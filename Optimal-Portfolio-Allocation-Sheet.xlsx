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ellieclarke/Desktop/"/>
    </mc:Choice>
  </mc:AlternateContent>
  <xr:revisionPtr revIDLastSave="0" documentId="8_{8BE1065F-40DA-E846-9523-845223EE4CD7}" xr6:coauthVersionLast="47" xr6:coauthVersionMax="47" xr10:uidLastSave="{00000000-0000-0000-0000-000000000000}"/>
  <bookViews>
    <workbookView xWindow="1840" yWindow="780" windowWidth="30240" windowHeight="18900" xr2:uid="{B9A2206B-8D6F-D24E-9F1F-F4CDE0C76D29}"/>
  </bookViews>
  <sheets>
    <sheet name="MES" sheetId="1" r:id="rId1"/>
  </sheets>
  <definedNames>
    <definedName name="solver_adj" localSheetId="0" hidden="1">MES!$AA$33:$AF$33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MES!$AG$33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opt" localSheetId="0" hidden="1">MES!$AA$32</definedName>
    <definedName name="solver_pre" localSheetId="0" hidden="1">1E-28</definedName>
    <definedName name="solver_rbv" localSheetId="0" hidden="1">1</definedName>
    <definedName name="solver_rel1" localSheetId="0" hidden="1">2</definedName>
    <definedName name="solver_rhs1" localSheetId="0" hidden="1">1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8" i="1" l="1"/>
  <c r="AA51" i="1"/>
  <c r="AA49" i="1"/>
  <c r="AA48" i="1"/>
  <c r="AA23" i="1" a="1"/>
  <c r="AA23" i="1" s="1"/>
  <c r="AA22" i="1" a="1"/>
  <c r="AA22" i="1" s="1"/>
  <c r="AC18" i="1" a="1"/>
  <c r="AC18" i="1" s="1"/>
  <c r="V6" i="1" a="1"/>
  <c r="V6" i="1" s="1"/>
  <c r="T3" i="1"/>
  <c r="N5" i="1"/>
  <c r="O4" i="1" a="1"/>
  <c r="O4" i="1" s="1"/>
  <c r="AA9" i="1"/>
  <c r="N3" i="1"/>
  <c r="N4" i="1"/>
  <c r="AG45" i="1"/>
  <c r="AG36" i="1"/>
  <c r="AG33" i="1"/>
  <c r="AJ18" i="1"/>
  <c r="N10" i="1"/>
  <c r="S3" i="1" a="1"/>
  <c r="S3" i="1" s="1"/>
  <c r="T4" i="1" a="1"/>
  <c r="T4" i="1" s="1"/>
  <c r="AA24" i="1"/>
  <c r="AG12" i="1"/>
  <c r="AA40" i="1" l="1"/>
  <c r="AA31" i="1" a="1"/>
  <c r="AA31" i="1" s="1"/>
  <c r="AA19" i="1"/>
  <c r="AA41" i="1" s="1"/>
  <c r="O11" i="1"/>
  <c r="AC23" i="1"/>
  <c r="AA11" i="1"/>
  <c r="AF10" i="1"/>
  <c r="AE10" i="1"/>
  <c r="AD10" i="1"/>
  <c r="AC10" i="1"/>
  <c r="AB10" i="1"/>
  <c r="AA10" i="1"/>
  <c r="AC9" i="1"/>
  <c r="AC11" i="1" s="1"/>
  <c r="AB9" i="1"/>
  <c r="AB11" i="1" s="1"/>
  <c r="AC3" i="1"/>
  <c r="AB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G7487" i="1" s="1" a="1"/>
  <c r="G7487" i="1" s="1"/>
  <c r="F7488" i="1"/>
  <c r="F7489" i="1"/>
  <c r="F7490" i="1"/>
  <c r="F7491" i="1"/>
  <c r="F7492" i="1"/>
  <c r="F7493" i="1"/>
  <c r="F7494" i="1"/>
  <c r="F7495" i="1"/>
  <c r="F7496" i="1"/>
  <c r="F7497" i="1"/>
  <c r="G7497" i="1" s="1" a="1"/>
  <c r="G7497" i="1" s="1"/>
  <c r="F7498" i="1"/>
  <c r="F7499" i="1"/>
  <c r="F7500" i="1"/>
  <c r="F7501" i="1"/>
  <c r="F7502" i="1"/>
  <c r="F7503" i="1"/>
  <c r="F7504" i="1"/>
  <c r="F7505" i="1"/>
  <c r="F7506" i="1"/>
  <c r="F7507" i="1"/>
  <c r="G7507" i="1" s="1" a="1"/>
  <c r="G7507" i="1" s="1"/>
  <c r="F7508" i="1"/>
  <c r="F7509" i="1"/>
  <c r="F7510" i="1"/>
  <c r="F7511" i="1"/>
  <c r="F7512" i="1"/>
  <c r="F7513" i="1"/>
  <c r="F7514" i="1"/>
  <c r="F7515" i="1"/>
  <c r="F7516" i="1"/>
  <c r="F7517" i="1"/>
  <c r="G7517" i="1" s="1" a="1"/>
  <c r="G7517" i="1" s="1"/>
  <c r="F7518" i="1"/>
  <c r="F7519" i="1"/>
  <c r="F7520" i="1"/>
  <c r="F7521" i="1"/>
  <c r="F7522" i="1"/>
  <c r="F7523" i="1"/>
  <c r="F7524" i="1"/>
  <c r="F7525" i="1"/>
  <c r="F7526" i="1"/>
  <c r="F7527" i="1"/>
  <c r="G7527" i="1" s="1" a="1"/>
  <c r="G7527" i="1" s="1"/>
  <c r="F7528" i="1"/>
  <c r="F7529" i="1"/>
  <c r="F7530" i="1"/>
  <c r="F7531" i="1"/>
  <c r="F7532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3" i="1"/>
  <c r="AB31" i="1" l="1"/>
  <c r="AA50" i="1" s="1"/>
  <c r="O12" i="1" s="1"/>
  <c r="O9" i="1"/>
  <c r="G7515" i="1" a="1"/>
  <c r="G7515" i="1" s="1"/>
  <c r="G7494" i="1" a="1"/>
  <c r="G7494" i="1" s="1"/>
  <c r="G7424" i="1" a="1"/>
  <c r="G7424" i="1" s="1"/>
  <c r="G7354" i="1" a="1"/>
  <c r="G7354" i="1" s="1"/>
  <c r="G7483" i="1" a="1"/>
  <c r="G7483" i="1" s="1"/>
  <c r="G7423" i="1" a="1"/>
  <c r="G7423" i="1" s="1"/>
  <c r="G7353" i="1" a="1"/>
  <c r="G7353" i="1" s="1"/>
  <c r="G7333" i="1" a="1"/>
  <c r="G7333" i="1" s="1"/>
  <c r="G7323" i="1" a="1"/>
  <c r="G7323" i="1" s="1"/>
  <c r="G7486" i="1" a="1"/>
  <c r="G7486" i="1" s="1"/>
  <c r="G7455" i="1" a="1"/>
  <c r="G7455" i="1" s="1"/>
  <c r="G7474" i="1" a="1"/>
  <c r="G7474" i="1" s="1"/>
  <c r="G7404" i="1" a="1"/>
  <c r="G7404" i="1" s="1"/>
  <c r="G7503" i="1" a="1"/>
  <c r="G7503" i="1" s="1"/>
  <c r="G7443" i="1" a="1"/>
  <c r="G7443" i="1" s="1"/>
  <c r="G7383" i="1" a="1"/>
  <c r="G7383" i="1" s="1"/>
  <c r="G7522" i="1" a="1"/>
  <c r="G7522" i="1" s="1"/>
  <c r="G7452" i="1" a="1"/>
  <c r="G7452" i="1" s="1"/>
  <c r="G7505" i="1" a="1"/>
  <c r="G7505" i="1" s="1"/>
  <c r="G7524" i="1" a="1"/>
  <c r="G7524" i="1" s="1"/>
  <c r="G7454" i="1" a="1"/>
  <c r="G7454" i="1" s="1"/>
  <c r="G7384" i="1" a="1"/>
  <c r="G7384" i="1" s="1"/>
  <c r="G7493" i="1" a="1"/>
  <c r="G7493" i="1" s="1"/>
  <c r="G7433" i="1" a="1"/>
  <c r="G7433" i="1" s="1"/>
  <c r="G7373" i="1" a="1"/>
  <c r="G7373" i="1" s="1"/>
  <c r="G7532" i="1" a="1"/>
  <c r="G7532" i="1" s="1"/>
  <c r="G7472" i="1" a="1"/>
  <c r="G7472" i="1" s="1"/>
  <c r="G7516" i="1" a="1"/>
  <c r="G7516" i="1" s="1"/>
  <c r="G7465" i="1" a="1"/>
  <c r="G7465" i="1" s="1"/>
  <c r="G7484" i="1" a="1"/>
  <c r="G7484" i="1" s="1"/>
  <c r="G7414" i="1" a="1"/>
  <c r="G7414" i="1" s="1"/>
  <c r="G7523" i="1" a="1"/>
  <c r="G7523" i="1" s="1"/>
  <c r="G7463" i="1" a="1"/>
  <c r="G7463" i="1" s="1"/>
  <c r="G7413" i="1" a="1"/>
  <c r="G7413" i="1" s="1"/>
  <c r="G7363" i="1" a="1"/>
  <c r="G7363" i="1" s="1"/>
  <c r="G7492" i="1" a="1"/>
  <c r="G7492" i="1" s="1"/>
  <c r="G7462" i="1" a="1"/>
  <c r="G7462" i="1" s="1"/>
  <c r="G7525" i="1" a="1"/>
  <c r="G7525" i="1" s="1"/>
  <c r="G7445" i="1" a="1"/>
  <c r="G7445" i="1" s="1"/>
  <c r="G7464" i="1" a="1"/>
  <c r="G7464" i="1" s="1"/>
  <c r="G7394" i="1" a="1"/>
  <c r="G7394" i="1" s="1"/>
  <c r="G7513" i="1" a="1"/>
  <c r="G7513" i="1" s="1"/>
  <c r="G7453" i="1" a="1"/>
  <c r="G7453" i="1" s="1"/>
  <c r="G7393" i="1" a="1"/>
  <c r="G7393" i="1" s="1"/>
  <c r="G7512" i="1" a="1"/>
  <c r="G7512" i="1" s="1"/>
  <c r="G7482" i="1" a="1"/>
  <c r="G7482" i="1" s="1"/>
  <c r="G7526" i="1" a="1"/>
  <c r="G7526" i="1" s="1"/>
  <c r="G7485" i="1" a="1"/>
  <c r="G7485" i="1" s="1"/>
  <c r="G7514" i="1" a="1"/>
  <c r="G7514" i="1" s="1"/>
  <c r="G7444" i="1" a="1"/>
  <c r="G7444" i="1" s="1"/>
  <c r="G7374" i="1" a="1"/>
  <c r="G7374" i="1" s="1"/>
  <c r="G7473" i="1" a="1"/>
  <c r="G7473" i="1" s="1"/>
  <c r="G7403" i="1" a="1"/>
  <c r="G7403" i="1" s="1"/>
  <c r="G7343" i="1" a="1"/>
  <c r="G7343" i="1" s="1"/>
  <c r="G7502" i="1" a="1"/>
  <c r="G7502" i="1" s="1"/>
  <c r="G7442" i="1" a="1"/>
  <c r="G7442" i="1" s="1"/>
  <c r="G7477" i="1" a="1"/>
  <c r="G7477" i="1" s="1"/>
  <c r="G7467" i="1" a="1"/>
  <c r="G7467" i="1" s="1"/>
  <c r="G7457" i="1" a="1"/>
  <c r="G7457" i="1" s="1"/>
  <c r="G7447" i="1" a="1"/>
  <c r="G7447" i="1" s="1"/>
  <c r="G7437" i="1" a="1"/>
  <c r="G7437" i="1" s="1"/>
  <c r="G7427" i="1" a="1"/>
  <c r="G7427" i="1" s="1"/>
  <c r="G7417" i="1" a="1"/>
  <c r="G7417" i="1" s="1"/>
  <c r="G7407" i="1" a="1"/>
  <c r="G7407" i="1" s="1"/>
  <c r="G7397" i="1" a="1"/>
  <c r="G7397" i="1" s="1"/>
  <c r="G7476" i="1" a="1"/>
  <c r="G7476" i="1" s="1"/>
  <c r="G7466" i="1" a="1"/>
  <c r="G7466" i="1" s="1"/>
  <c r="G7456" i="1" a="1"/>
  <c r="G7456" i="1" s="1"/>
  <c r="G7446" i="1" a="1"/>
  <c r="G7446" i="1" s="1"/>
  <c r="G7436" i="1" a="1"/>
  <c r="G7436" i="1" s="1"/>
  <c r="G7426" i="1" a="1"/>
  <c r="G7426" i="1" s="1"/>
  <c r="G7416" i="1" a="1"/>
  <c r="G7416" i="1" s="1"/>
  <c r="G7406" i="1" a="1"/>
  <c r="G7406" i="1" s="1"/>
  <c r="G7396" i="1" a="1"/>
  <c r="G7396" i="1" s="1"/>
  <c r="G7496" i="1" a="1"/>
  <c r="G7496" i="1" s="1"/>
  <c r="G7475" i="1" a="1"/>
  <c r="G7475" i="1" s="1"/>
  <c r="G7435" i="1" a="1"/>
  <c r="G7435" i="1" s="1"/>
  <c r="G7425" i="1" a="1"/>
  <c r="G7425" i="1" s="1"/>
  <c r="G7415" i="1" a="1"/>
  <c r="G7415" i="1" s="1"/>
  <c r="G7405" i="1" a="1"/>
  <c r="G7405" i="1" s="1"/>
  <c r="G7395" i="1" a="1"/>
  <c r="G7395" i="1" s="1"/>
  <c r="G7385" i="1" a="1"/>
  <c r="G7385" i="1" s="1"/>
  <c r="G7375" i="1" a="1"/>
  <c r="G7375" i="1" s="1"/>
  <c r="G7365" i="1" a="1"/>
  <c r="G7365" i="1" s="1"/>
  <c r="G7506" i="1" a="1"/>
  <c r="G7506" i="1" s="1"/>
  <c r="G7495" i="1" a="1"/>
  <c r="G7495" i="1" s="1"/>
  <c r="G7504" i="1" a="1"/>
  <c r="G7504" i="1" s="1"/>
  <c r="G7434" i="1" a="1"/>
  <c r="G7434" i="1" s="1"/>
  <c r="G7364" i="1" a="1"/>
  <c r="G7364" i="1" s="1"/>
  <c r="G7344" i="1" a="1"/>
  <c r="G7344" i="1" s="1"/>
  <c r="G7334" i="1" a="1"/>
  <c r="G7334" i="1" s="1"/>
  <c r="G7324" i="1" a="1"/>
  <c r="G7324" i="1" s="1"/>
  <c r="G7314" i="1" a="1"/>
  <c r="G7314" i="1" s="1"/>
  <c r="G7304" i="1" a="1"/>
  <c r="G7304" i="1" s="1"/>
  <c r="G7313" i="1" a="1"/>
  <c r="G7313" i="1" s="1"/>
  <c r="G7303" i="1" a="1"/>
  <c r="G7303" i="1" s="1"/>
  <c r="G7293" i="1" a="1"/>
  <c r="G7293" i="1" s="1"/>
  <c r="G7283" i="1" a="1"/>
  <c r="G7283" i="1" s="1"/>
  <c r="G7273" i="1" a="1"/>
  <c r="G7273" i="1" s="1"/>
  <c r="G7263" i="1" a="1"/>
  <c r="G7263" i="1" s="1"/>
  <c r="G7253" i="1" a="1"/>
  <c r="G7253" i="1" s="1"/>
  <c r="G7243" i="1" a="1"/>
  <c r="G7243" i="1" s="1"/>
  <c r="G7233" i="1" a="1"/>
  <c r="G7233" i="1" s="1"/>
  <c r="G7223" i="1" a="1"/>
  <c r="G7223" i="1" s="1"/>
  <c r="G7213" i="1" a="1"/>
  <c r="G7213" i="1" s="1"/>
  <c r="G7203" i="1" a="1"/>
  <c r="G7203" i="1" s="1"/>
  <c r="G7193" i="1" a="1"/>
  <c r="G7193" i="1" s="1"/>
  <c r="G7183" i="1" a="1"/>
  <c r="G7183" i="1" s="1"/>
  <c r="G7173" i="1" a="1"/>
  <c r="G7173" i="1" s="1"/>
  <c r="G7163" i="1" a="1"/>
  <c r="G7163" i="1" s="1"/>
  <c r="G7153" i="1" a="1"/>
  <c r="G7153" i="1" s="1"/>
  <c r="G7143" i="1" a="1"/>
  <c r="G7143" i="1" s="1"/>
  <c r="G7133" i="1" a="1"/>
  <c r="G7133" i="1" s="1"/>
  <c r="G7123" i="1" a="1"/>
  <c r="G7123" i="1" s="1"/>
  <c r="G7113" i="1" a="1"/>
  <c r="G7113" i="1" s="1"/>
  <c r="G7103" i="1" a="1"/>
  <c r="G7103" i="1" s="1"/>
  <c r="G7093" i="1" a="1"/>
  <c r="G7093" i="1" s="1"/>
  <c r="G7083" i="1" a="1"/>
  <c r="G7083" i="1" s="1"/>
  <c r="G7073" i="1" a="1"/>
  <c r="G7073" i="1" s="1"/>
  <c r="G7063" i="1" a="1"/>
  <c r="G7063" i="1" s="1"/>
  <c r="G7053" i="1" a="1"/>
  <c r="G7053" i="1" s="1"/>
  <c r="G7043" i="1" a="1"/>
  <c r="G7043" i="1" s="1"/>
  <c r="G7033" i="1" a="1"/>
  <c r="G7033" i="1" s="1"/>
  <c r="G7023" i="1" a="1"/>
  <c r="G7023" i="1" s="1"/>
  <c r="G7013" i="1" a="1"/>
  <c r="G7013" i="1" s="1"/>
  <c r="G7003" i="1" a="1"/>
  <c r="G7003" i="1" s="1"/>
  <c r="G6993" i="1" a="1"/>
  <c r="G6993" i="1" s="1"/>
  <c r="G6983" i="1" a="1"/>
  <c r="G6983" i="1" s="1"/>
  <c r="G6973" i="1" a="1"/>
  <c r="G6973" i="1" s="1"/>
  <c r="G6963" i="1" a="1"/>
  <c r="G6963" i="1" s="1"/>
  <c r="G6953" i="1" a="1"/>
  <c r="G6953" i="1" s="1"/>
  <c r="G6943" i="1" a="1"/>
  <c r="G6943" i="1" s="1"/>
  <c r="G6933" i="1" a="1"/>
  <c r="G6933" i="1" s="1"/>
  <c r="G6923" i="1" a="1"/>
  <c r="G6923" i="1" s="1"/>
  <c r="G6913" i="1" a="1"/>
  <c r="G6913" i="1" s="1"/>
  <c r="G6903" i="1" a="1"/>
  <c r="G6903" i="1" s="1"/>
  <c r="G6893" i="1" a="1"/>
  <c r="G6893" i="1" s="1"/>
  <c r="G6883" i="1" a="1"/>
  <c r="G6883" i="1" s="1"/>
  <c r="G6873" i="1" a="1"/>
  <c r="G6873" i="1" s="1"/>
  <c r="G6863" i="1" a="1"/>
  <c r="G6863" i="1" s="1"/>
  <c r="G6853" i="1" a="1"/>
  <c r="G6853" i="1" s="1"/>
  <c r="G6843" i="1" a="1"/>
  <c r="G6843" i="1" s="1"/>
  <c r="G6833" i="1" a="1"/>
  <c r="G6833" i="1" s="1"/>
  <c r="G6823" i="1" a="1"/>
  <c r="G6823" i="1" s="1"/>
  <c r="G6813" i="1" a="1"/>
  <c r="G6813" i="1" s="1"/>
  <c r="G6803" i="1" a="1"/>
  <c r="G6803" i="1" s="1"/>
  <c r="G6793" i="1" a="1"/>
  <c r="G6793" i="1" s="1"/>
  <c r="G6783" i="1" a="1"/>
  <c r="G6783" i="1" s="1"/>
  <c r="G6773" i="1" a="1"/>
  <c r="G6773" i="1" s="1"/>
  <c r="G6763" i="1" a="1"/>
  <c r="G6763" i="1" s="1"/>
  <c r="G6753" i="1" a="1"/>
  <c r="G6753" i="1" s="1"/>
  <c r="G6743" i="1" a="1"/>
  <c r="G6743" i="1" s="1"/>
  <c r="G6733" i="1" a="1"/>
  <c r="G6733" i="1" s="1"/>
  <c r="G6723" i="1" a="1"/>
  <c r="G6723" i="1" s="1"/>
  <c r="G6713" i="1" a="1"/>
  <c r="G6713" i="1" s="1"/>
  <c r="G6703" i="1" a="1"/>
  <c r="G6703" i="1" s="1"/>
  <c r="G6693" i="1" a="1"/>
  <c r="G6693" i="1" s="1"/>
  <c r="G6683" i="1" a="1"/>
  <c r="G6683" i="1" s="1"/>
  <c r="G6673" i="1" a="1"/>
  <c r="G6673" i="1" s="1"/>
  <c r="G6663" i="1" a="1"/>
  <c r="G6663" i="1" s="1"/>
  <c r="G6653" i="1" a="1"/>
  <c r="G6653" i="1" s="1"/>
  <c r="G6643" i="1" a="1"/>
  <c r="G6643" i="1" s="1"/>
  <c r="G6633" i="1" a="1"/>
  <c r="G6633" i="1" s="1"/>
  <c r="G6623" i="1" a="1"/>
  <c r="G6623" i="1" s="1"/>
  <c r="G6613" i="1" a="1"/>
  <c r="G6613" i="1" s="1"/>
  <c r="G6603" i="1" a="1"/>
  <c r="G6603" i="1" s="1"/>
  <c r="G6593" i="1" a="1"/>
  <c r="G6593" i="1" s="1"/>
  <c r="G6583" i="1" a="1"/>
  <c r="G6583" i="1" s="1"/>
  <c r="G6573" i="1" a="1"/>
  <c r="G6573" i="1" s="1"/>
  <c r="G6563" i="1" a="1"/>
  <c r="G6563" i="1" s="1"/>
  <c r="G6553" i="1" a="1"/>
  <c r="G6553" i="1" s="1"/>
  <c r="G6543" i="1" a="1"/>
  <c r="G6543" i="1" s="1"/>
  <c r="G6533" i="1" a="1"/>
  <c r="G6533" i="1" s="1"/>
  <c r="G6523" i="1" a="1"/>
  <c r="G6523" i="1" s="1"/>
  <c r="G6513" i="1" a="1"/>
  <c r="G6513" i="1" s="1"/>
  <c r="G6503" i="1" a="1"/>
  <c r="G6503" i="1" s="1"/>
  <c r="G6493" i="1" a="1"/>
  <c r="G6493" i="1" s="1"/>
  <c r="G6483" i="1" a="1"/>
  <c r="G6483" i="1" s="1"/>
  <c r="G6473" i="1" a="1"/>
  <c r="G6473" i="1" s="1"/>
  <c r="G7392" i="1" a="1"/>
  <c r="G7392" i="1" s="1"/>
  <c r="G7332" i="1" a="1"/>
  <c r="G7332" i="1" s="1"/>
  <c r="G7272" i="1" a="1"/>
  <c r="G7272" i="1" s="1"/>
  <c r="G7212" i="1" a="1"/>
  <c r="G7212" i="1" s="1"/>
  <c r="G7202" i="1" a="1"/>
  <c r="G7202" i="1" s="1"/>
  <c r="G7192" i="1" a="1"/>
  <c r="G7192" i="1" s="1"/>
  <c r="G7182" i="1" a="1"/>
  <c r="G7182" i="1" s="1"/>
  <c r="G7172" i="1" a="1"/>
  <c r="G7172" i="1" s="1"/>
  <c r="G7162" i="1" a="1"/>
  <c r="G7162" i="1" s="1"/>
  <c r="G7152" i="1" a="1"/>
  <c r="G7152" i="1" s="1"/>
  <c r="G7142" i="1" a="1"/>
  <c r="G7142" i="1" s="1"/>
  <c r="G7132" i="1" a="1"/>
  <c r="G7132" i="1" s="1"/>
  <c r="G7122" i="1" a="1"/>
  <c r="G7122" i="1" s="1"/>
  <c r="G7112" i="1" a="1"/>
  <c r="G7112" i="1" s="1"/>
  <c r="G7102" i="1" a="1"/>
  <c r="G7102" i="1" s="1"/>
  <c r="G7092" i="1" a="1"/>
  <c r="G7092" i="1" s="1"/>
  <c r="G7082" i="1" a="1"/>
  <c r="G7082" i="1" s="1"/>
  <c r="G7072" i="1" a="1"/>
  <c r="G7072" i="1" s="1"/>
  <c r="G7062" i="1" a="1"/>
  <c r="G7062" i="1" s="1"/>
  <c r="G7052" i="1" a="1"/>
  <c r="G7052" i="1" s="1"/>
  <c r="G7042" i="1" a="1"/>
  <c r="G7042" i="1" s="1"/>
  <c r="G7032" i="1" a="1"/>
  <c r="G7032" i="1" s="1"/>
  <c r="G7022" i="1" a="1"/>
  <c r="G7022" i="1" s="1"/>
  <c r="G7012" i="1" a="1"/>
  <c r="G7012" i="1" s="1"/>
  <c r="G7002" i="1" a="1"/>
  <c r="G7002" i="1" s="1"/>
  <c r="G6992" i="1" a="1"/>
  <c r="G6992" i="1" s="1"/>
  <c r="G6982" i="1" a="1"/>
  <c r="G6982" i="1" s="1"/>
  <c r="G6972" i="1" a="1"/>
  <c r="G6972" i="1" s="1"/>
  <c r="G6962" i="1" a="1"/>
  <c r="G6962" i="1" s="1"/>
  <c r="G6952" i="1" a="1"/>
  <c r="G6952" i="1" s="1"/>
  <c r="G6942" i="1" a="1"/>
  <c r="G6942" i="1" s="1"/>
  <c r="G6932" i="1" a="1"/>
  <c r="G6932" i="1" s="1"/>
  <c r="G6922" i="1" a="1"/>
  <c r="G6922" i="1" s="1"/>
  <c r="G6912" i="1" a="1"/>
  <c r="G6912" i="1" s="1"/>
  <c r="G6902" i="1" a="1"/>
  <c r="G6902" i="1" s="1"/>
  <c r="G6892" i="1" a="1"/>
  <c r="G6892" i="1" s="1"/>
  <c r="G6882" i="1" a="1"/>
  <c r="G6882" i="1" s="1"/>
  <c r="G6872" i="1" a="1"/>
  <c r="G6872" i="1" s="1"/>
  <c r="G6862" i="1" a="1"/>
  <c r="G6862" i="1" s="1"/>
  <c r="G6852" i="1" a="1"/>
  <c r="G6852" i="1" s="1"/>
  <c r="G6842" i="1" a="1"/>
  <c r="G6842" i="1" s="1"/>
  <c r="G6832" i="1" a="1"/>
  <c r="G6832" i="1" s="1"/>
  <c r="G6822" i="1" a="1"/>
  <c r="G6822" i="1" s="1"/>
  <c r="G6812" i="1" a="1"/>
  <c r="G6812" i="1" s="1"/>
  <c r="G6802" i="1" a="1"/>
  <c r="G6802" i="1" s="1"/>
  <c r="G6792" i="1" a="1"/>
  <c r="G6792" i="1" s="1"/>
  <c r="G6782" i="1" a="1"/>
  <c r="G6782" i="1" s="1"/>
  <c r="G6772" i="1" a="1"/>
  <c r="G6772" i="1" s="1"/>
  <c r="G6762" i="1" a="1"/>
  <c r="G6762" i="1" s="1"/>
  <c r="G6752" i="1" a="1"/>
  <c r="G6752" i="1" s="1"/>
  <c r="G6742" i="1" a="1"/>
  <c r="G6742" i="1" s="1"/>
  <c r="G6732" i="1" a="1"/>
  <c r="G6732" i="1" s="1"/>
  <c r="G6722" i="1" a="1"/>
  <c r="G6722" i="1" s="1"/>
  <c r="G6712" i="1" a="1"/>
  <c r="G6712" i="1" s="1"/>
  <c r="G6702" i="1" a="1"/>
  <c r="G6702" i="1" s="1"/>
  <c r="G6692" i="1" a="1"/>
  <c r="G6692" i="1" s="1"/>
  <c r="G6682" i="1" a="1"/>
  <c r="G6682" i="1" s="1"/>
  <c r="G6672" i="1" a="1"/>
  <c r="G6672" i="1" s="1"/>
  <c r="G6662" i="1" a="1"/>
  <c r="G6662" i="1" s="1"/>
  <c r="G6652" i="1" a="1"/>
  <c r="G6652" i="1" s="1"/>
  <c r="G6642" i="1" a="1"/>
  <c r="G6642" i="1" s="1"/>
  <c r="G6632" i="1" a="1"/>
  <c r="G6632" i="1" s="1"/>
  <c r="G6622" i="1" a="1"/>
  <c r="G6622" i="1" s="1"/>
  <c r="G6612" i="1" a="1"/>
  <c r="G6612" i="1" s="1"/>
  <c r="G6602" i="1" a="1"/>
  <c r="G6602" i="1" s="1"/>
  <c r="G6592" i="1" a="1"/>
  <c r="G6592" i="1" s="1"/>
  <c r="G6582" i="1" a="1"/>
  <c r="G6582" i="1" s="1"/>
  <c r="G6572" i="1" a="1"/>
  <c r="G6572" i="1" s="1"/>
  <c r="G6562" i="1" a="1"/>
  <c r="G6562" i="1" s="1"/>
  <c r="G6552" i="1" a="1"/>
  <c r="G6552" i="1" s="1"/>
  <c r="G6542" i="1" a="1"/>
  <c r="G6542" i="1" s="1"/>
  <c r="G6532" i="1" a="1"/>
  <c r="G6532" i="1" s="1"/>
  <c r="G6522" i="1" a="1"/>
  <c r="G6522" i="1" s="1"/>
  <c r="G6512" i="1" a="1"/>
  <c r="G6512" i="1" s="1"/>
  <c r="G6502" i="1" a="1"/>
  <c r="G6502" i="1" s="1"/>
  <c r="G6492" i="1" a="1"/>
  <c r="G6492" i="1" s="1"/>
  <c r="G6482" i="1" a="1"/>
  <c r="G6482" i="1" s="1"/>
  <c r="G6472" i="1" a="1"/>
  <c r="G6472" i="1" s="1"/>
  <c r="G6462" i="1" a="1"/>
  <c r="G6462" i="1" s="1"/>
  <c r="G6452" i="1" a="1"/>
  <c r="G6452" i="1" s="1"/>
  <c r="G6442" i="1" a="1"/>
  <c r="G6442" i="1" s="1"/>
  <c r="G7412" i="1" a="1"/>
  <c r="G7412" i="1" s="1"/>
  <c r="G7352" i="1" a="1"/>
  <c r="G7352" i="1" s="1"/>
  <c r="G7292" i="1" a="1"/>
  <c r="G7292" i="1" s="1"/>
  <c r="G7232" i="1" a="1"/>
  <c r="G7232" i="1" s="1"/>
  <c r="G7501" i="1" a="1"/>
  <c r="G7501" i="1" s="1"/>
  <c r="G7461" i="1" a="1"/>
  <c r="G7461" i="1" s="1"/>
  <c r="G7411" i="1" a="1"/>
  <c r="G7411" i="1" s="1"/>
  <c r="G7381" i="1" a="1"/>
  <c r="G7381" i="1" s="1"/>
  <c r="G7351" i="1" a="1"/>
  <c r="G7351" i="1" s="1"/>
  <c r="G7321" i="1" a="1"/>
  <c r="G7321" i="1" s="1"/>
  <c r="G7291" i="1" a="1"/>
  <c r="G7291" i="1" s="1"/>
  <c r="G7261" i="1" a="1"/>
  <c r="G7261" i="1" s="1"/>
  <c r="G7231" i="1" a="1"/>
  <c r="G7231" i="1" s="1"/>
  <c r="G7201" i="1" a="1"/>
  <c r="G7201" i="1" s="1"/>
  <c r="G7171" i="1" a="1"/>
  <c r="G7171" i="1" s="1"/>
  <c r="G7151" i="1" a="1"/>
  <c r="G7151" i="1" s="1"/>
  <c r="G7141" i="1" a="1"/>
  <c r="G7141" i="1" s="1"/>
  <c r="G7131" i="1" a="1"/>
  <c r="G7131" i="1" s="1"/>
  <c r="G7121" i="1" a="1"/>
  <c r="G7121" i="1" s="1"/>
  <c r="G7111" i="1" a="1"/>
  <c r="G7111" i="1" s="1"/>
  <c r="G7101" i="1" a="1"/>
  <c r="G7101" i="1" s="1"/>
  <c r="G7091" i="1" a="1"/>
  <c r="G7091" i="1" s="1"/>
  <c r="G7081" i="1" a="1"/>
  <c r="G7081" i="1" s="1"/>
  <c r="G7071" i="1" a="1"/>
  <c r="G7071" i="1" s="1"/>
  <c r="G7061" i="1" a="1"/>
  <c r="G7061" i="1" s="1"/>
  <c r="G7051" i="1" a="1"/>
  <c r="G7051" i="1" s="1"/>
  <c r="G7041" i="1" a="1"/>
  <c r="G7041" i="1" s="1"/>
  <c r="G7031" i="1" a="1"/>
  <c r="G7031" i="1" s="1"/>
  <c r="G7021" i="1" a="1"/>
  <c r="G7021" i="1" s="1"/>
  <c r="G7011" i="1" a="1"/>
  <c r="G7011" i="1" s="1"/>
  <c r="G7001" i="1" a="1"/>
  <c r="G7001" i="1" s="1"/>
  <c r="G6991" i="1" a="1"/>
  <c r="G6991" i="1" s="1"/>
  <c r="G6981" i="1" a="1"/>
  <c r="G6981" i="1" s="1"/>
  <c r="G6971" i="1" a="1"/>
  <c r="G6971" i="1" s="1"/>
  <c r="G6961" i="1" a="1"/>
  <c r="G6961" i="1" s="1"/>
  <c r="G6951" i="1" a="1"/>
  <c r="G6951" i="1" s="1"/>
  <c r="G6941" i="1" a="1"/>
  <c r="G6941" i="1" s="1"/>
  <c r="G6931" i="1" a="1"/>
  <c r="G6931" i="1" s="1"/>
  <c r="G6921" i="1" a="1"/>
  <c r="G6921" i="1" s="1"/>
  <c r="G6911" i="1" a="1"/>
  <c r="G6911" i="1" s="1"/>
  <c r="G6901" i="1" a="1"/>
  <c r="G6901" i="1" s="1"/>
  <c r="G6891" i="1" a="1"/>
  <c r="G6891" i="1" s="1"/>
  <c r="G6881" i="1" a="1"/>
  <c r="G6881" i="1" s="1"/>
  <c r="G6871" i="1" a="1"/>
  <c r="G6871" i="1" s="1"/>
  <c r="G6861" i="1" a="1"/>
  <c r="G6861" i="1" s="1"/>
  <c r="G6851" i="1" a="1"/>
  <c r="G6851" i="1" s="1"/>
  <c r="G6841" i="1" a="1"/>
  <c r="G6841" i="1" s="1"/>
  <c r="G6831" i="1" a="1"/>
  <c r="G6831" i="1" s="1"/>
  <c r="G6821" i="1" a="1"/>
  <c r="G6821" i="1" s="1"/>
  <c r="G6811" i="1" a="1"/>
  <c r="G6811" i="1" s="1"/>
  <c r="G6801" i="1" a="1"/>
  <c r="G6801" i="1" s="1"/>
  <c r="G6791" i="1" a="1"/>
  <c r="G6791" i="1" s="1"/>
  <c r="G6781" i="1" a="1"/>
  <c r="G6781" i="1" s="1"/>
  <c r="G6771" i="1" a="1"/>
  <c r="G6771" i="1" s="1"/>
  <c r="G6761" i="1" a="1"/>
  <c r="G6761" i="1" s="1"/>
  <c r="G6751" i="1" a="1"/>
  <c r="G6751" i="1" s="1"/>
  <c r="G6741" i="1" a="1"/>
  <c r="G6741" i="1" s="1"/>
  <c r="G6731" i="1" a="1"/>
  <c r="G6731" i="1" s="1"/>
  <c r="G6721" i="1" a="1"/>
  <c r="G6721" i="1" s="1"/>
  <c r="G6711" i="1" a="1"/>
  <c r="G6711" i="1" s="1"/>
  <c r="G6701" i="1" a="1"/>
  <c r="G6701" i="1" s="1"/>
  <c r="G6691" i="1" a="1"/>
  <c r="G6691" i="1" s="1"/>
  <c r="G6681" i="1" a="1"/>
  <c r="G6681" i="1" s="1"/>
  <c r="G6671" i="1" a="1"/>
  <c r="G6671" i="1" s="1"/>
  <c r="G6661" i="1" a="1"/>
  <c r="G6661" i="1" s="1"/>
  <c r="G6651" i="1" a="1"/>
  <c r="G6651" i="1" s="1"/>
  <c r="G6641" i="1" a="1"/>
  <c r="G6641" i="1" s="1"/>
  <c r="G6631" i="1" a="1"/>
  <c r="G6631" i="1" s="1"/>
  <c r="G6621" i="1" a="1"/>
  <c r="G6621" i="1" s="1"/>
  <c r="G6611" i="1" a="1"/>
  <c r="G6611" i="1" s="1"/>
  <c r="G6601" i="1" a="1"/>
  <c r="G6601" i="1" s="1"/>
  <c r="G6591" i="1" a="1"/>
  <c r="G6591" i="1" s="1"/>
  <c r="G6581" i="1" a="1"/>
  <c r="G6581" i="1" s="1"/>
  <c r="G6571" i="1" a="1"/>
  <c r="G6571" i="1" s="1"/>
  <c r="G6561" i="1" a="1"/>
  <c r="G6561" i="1" s="1"/>
  <c r="G6551" i="1" a="1"/>
  <c r="G6551" i="1" s="1"/>
  <c r="G6541" i="1" a="1"/>
  <c r="G6541" i="1" s="1"/>
  <c r="G6531" i="1" a="1"/>
  <c r="G6531" i="1" s="1"/>
  <c r="G6521" i="1" a="1"/>
  <c r="G6521" i="1" s="1"/>
  <c r="G6511" i="1" a="1"/>
  <c r="G6511" i="1" s="1"/>
  <c r="G6501" i="1" a="1"/>
  <c r="G6501" i="1" s="1"/>
  <c r="G6491" i="1" a="1"/>
  <c r="G6491" i="1" s="1"/>
  <c r="G7422" i="1" a="1"/>
  <c r="G7422" i="1" s="1"/>
  <c r="G7382" i="1" a="1"/>
  <c r="G7382" i="1" s="1"/>
  <c r="G7342" i="1" a="1"/>
  <c r="G7342" i="1" s="1"/>
  <c r="G7312" i="1" a="1"/>
  <c r="G7312" i="1" s="1"/>
  <c r="G7262" i="1" a="1"/>
  <c r="G7262" i="1" s="1"/>
  <c r="G7222" i="1" a="1"/>
  <c r="G7222" i="1" s="1"/>
  <c r="G7511" i="1" a="1"/>
  <c r="G7511" i="1" s="1"/>
  <c r="G7481" i="1" a="1"/>
  <c r="G7481" i="1" s="1"/>
  <c r="G7441" i="1" a="1"/>
  <c r="G7441" i="1" s="1"/>
  <c r="G7401" i="1" a="1"/>
  <c r="G7401" i="1" s="1"/>
  <c r="G7361" i="1" a="1"/>
  <c r="G7361" i="1" s="1"/>
  <c r="G7331" i="1" a="1"/>
  <c r="G7331" i="1" s="1"/>
  <c r="G7311" i="1" a="1"/>
  <c r="G7311" i="1" s="1"/>
  <c r="G7281" i="1" a="1"/>
  <c r="G7281" i="1" s="1"/>
  <c r="G7251" i="1" a="1"/>
  <c r="G7251" i="1" s="1"/>
  <c r="G7221" i="1" a="1"/>
  <c r="G7221" i="1" s="1"/>
  <c r="G7191" i="1" a="1"/>
  <c r="G7191" i="1" s="1"/>
  <c r="G7161" i="1" a="1"/>
  <c r="G7161" i="1" s="1"/>
  <c r="G7520" i="1" a="1"/>
  <c r="G7520" i="1" s="1"/>
  <c r="G7500" i="1" a="1"/>
  <c r="G7500" i="1" s="1"/>
  <c r="G7480" i="1" a="1"/>
  <c r="G7480" i="1" s="1"/>
  <c r="G7460" i="1" a="1"/>
  <c r="G7460" i="1" s="1"/>
  <c r="G7440" i="1" a="1"/>
  <c r="G7440" i="1" s="1"/>
  <c r="G7420" i="1" a="1"/>
  <c r="G7420" i="1" s="1"/>
  <c r="G7400" i="1" a="1"/>
  <c r="G7400" i="1" s="1"/>
  <c r="G7380" i="1" a="1"/>
  <c r="G7380" i="1" s="1"/>
  <c r="G7370" i="1" a="1"/>
  <c r="G7370" i="1" s="1"/>
  <c r="G7360" i="1" a="1"/>
  <c r="G7360" i="1" s="1"/>
  <c r="G7350" i="1" a="1"/>
  <c r="G7350" i="1" s="1"/>
  <c r="G7340" i="1" a="1"/>
  <c r="G7340" i="1" s="1"/>
  <c r="G7330" i="1" a="1"/>
  <c r="G7330" i="1" s="1"/>
  <c r="G7320" i="1" a="1"/>
  <c r="G7320" i="1" s="1"/>
  <c r="G7310" i="1" a="1"/>
  <c r="G7310" i="1" s="1"/>
  <c r="G7300" i="1" a="1"/>
  <c r="G7300" i="1" s="1"/>
  <c r="G7290" i="1" a="1"/>
  <c r="G7290" i="1" s="1"/>
  <c r="G7280" i="1" a="1"/>
  <c r="G7280" i="1" s="1"/>
  <c r="G7270" i="1" a="1"/>
  <c r="G7270" i="1" s="1"/>
  <c r="G7260" i="1" a="1"/>
  <c r="G7260" i="1" s="1"/>
  <c r="G7250" i="1" a="1"/>
  <c r="G7250" i="1" s="1"/>
  <c r="G7240" i="1" a="1"/>
  <c r="G7240" i="1" s="1"/>
  <c r="G7230" i="1" a="1"/>
  <c r="G7230" i="1" s="1"/>
  <c r="G7220" i="1" a="1"/>
  <c r="G7220" i="1" s="1"/>
  <c r="G7210" i="1" a="1"/>
  <c r="G7210" i="1" s="1"/>
  <c r="G7200" i="1" a="1"/>
  <c r="G7200" i="1" s="1"/>
  <c r="G7190" i="1" a="1"/>
  <c r="G7190" i="1" s="1"/>
  <c r="G7180" i="1" a="1"/>
  <c r="G7180" i="1" s="1"/>
  <c r="G7170" i="1" a="1"/>
  <c r="G7170" i="1" s="1"/>
  <c r="G7160" i="1" a="1"/>
  <c r="G7160" i="1" s="1"/>
  <c r="G7150" i="1" a="1"/>
  <c r="G7150" i="1" s="1"/>
  <c r="G7140" i="1" a="1"/>
  <c r="G7140" i="1" s="1"/>
  <c r="G7130" i="1" a="1"/>
  <c r="G7130" i="1" s="1"/>
  <c r="G7120" i="1" a="1"/>
  <c r="G7120" i="1" s="1"/>
  <c r="G7110" i="1" a="1"/>
  <c r="G7110" i="1" s="1"/>
  <c r="G7100" i="1" a="1"/>
  <c r="G7100" i="1" s="1"/>
  <c r="G7090" i="1" a="1"/>
  <c r="G7090" i="1" s="1"/>
  <c r="G7080" i="1" a="1"/>
  <c r="G7080" i="1" s="1"/>
  <c r="G7070" i="1" a="1"/>
  <c r="G7070" i="1" s="1"/>
  <c r="G7060" i="1" a="1"/>
  <c r="G7060" i="1" s="1"/>
  <c r="G7050" i="1" a="1"/>
  <c r="G7050" i="1" s="1"/>
  <c r="G7040" i="1" a="1"/>
  <c r="G7040" i="1" s="1"/>
  <c r="G7030" i="1" a="1"/>
  <c r="G7030" i="1" s="1"/>
  <c r="G7020" i="1" a="1"/>
  <c r="G7020" i="1" s="1"/>
  <c r="G7010" i="1" a="1"/>
  <c r="G7010" i="1" s="1"/>
  <c r="G7000" i="1" a="1"/>
  <c r="G7000" i="1" s="1"/>
  <c r="G6990" i="1" a="1"/>
  <c r="G6990" i="1" s="1"/>
  <c r="G6980" i="1" a="1"/>
  <c r="G6980" i="1" s="1"/>
  <c r="G6970" i="1" a="1"/>
  <c r="G6970" i="1" s="1"/>
  <c r="G6960" i="1" a="1"/>
  <c r="G6960" i="1" s="1"/>
  <c r="G6950" i="1" a="1"/>
  <c r="G6950" i="1" s="1"/>
  <c r="G6940" i="1" a="1"/>
  <c r="G6940" i="1" s="1"/>
  <c r="G6930" i="1" a="1"/>
  <c r="G6930" i="1" s="1"/>
  <c r="G6920" i="1" a="1"/>
  <c r="G6920" i="1" s="1"/>
  <c r="G6910" i="1" a="1"/>
  <c r="G6910" i="1" s="1"/>
  <c r="G6900" i="1" a="1"/>
  <c r="G6900" i="1" s="1"/>
  <c r="G6890" i="1" a="1"/>
  <c r="G6890" i="1" s="1"/>
  <c r="G6880" i="1" a="1"/>
  <c r="G6880" i="1" s="1"/>
  <c r="G6870" i="1" a="1"/>
  <c r="G6870" i="1" s="1"/>
  <c r="G6860" i="1" a="1"/>
  <c r="G6860" i="1" s="1"/>
  <c r="G6850" i="1" a="1"/>
  <c r="G6850" i="1" s="1"/>
  <c r="G6840" i="1" a="1"/>
  <c r="G6840" i="1" s="1"/>
  <c r="G6830" i="1" a="1"/>
  <c r="G6830" i="1" s="1"/>
  <c r="G6820" i="1" a="1"/>
  <c r="G6820" i="1" s="1"/>
  <c r="G6810" i="1" a="1"/>
  <c r="G6810" i="1" s="1"/>
  <c r="G6800" i="1" a="1"/>
  <c r="G6800" i="1" s="1"/>
  <c r="G6790" i="1" a="1"/>
  <c r="G6790" i="1" s="1"/>
  <c r="G6780" i="1" a="1"/>
  <c r="G6780" i="1" s="1"/>
  <c r="G6770" i="1" a="1"/>
  <c r="G6770" i="1" s="1"/>
  <c r="G7432" i="1" a="1"/>
  <c r="G7432" i="1" s="1"/>
  <c r="G7372" i="1" a="1"/>
  <c r="G7372" i="1" s="1"/>
  <c r="G7302" i="1" a="1"/>
  <c r="G7302" i="1" s="1"/>
  <c r="G7242" i="1" a="1"/>
  <c r="G7242" i="1" s="1"/>
  <c r="G7521" i="1" a="1"/>
  <c r="G7521" i="1" s="1"/>
  <c r="G7471" i="1" a="1"/>
  <c r="G7471" i="1" s="1"/>
  <c r="G7431" i="1" a="1"/>
  <c r="G7431" i="1" s="1"/>
  <c r="G7391" i="1" a="1"/>
  <c r="G7391" i="1" s="1"/>
  <c r="G7371" i="1" a="1"/>
  <c r="G7371" i="1" s="1"/>
  <c r="G7341" i="1" a="1"/>
  <c r="G7341" i="1" s="1"/>
  <c r="G7301" i="1" a="1"/>
  <c r="G7301" i="1" s="1"/>
  <c r="G7271" i="1" a="1"/>
  <c r="G7271" i="1" s="1"/>
  <c r="G7241" i="1" a="1"/>
  <c r="G7241" i="1" s="1"/>
  <c r="G7211" i="1" a="1"/>
  <c r="G7211" i="1" s="1"/>
  <c r="G7181" i="1" a="1"/>
  <c r="G7181" i="1" s="1"/>
  <c r="G7530" i="1" a="1"/>
  <c r="G7530" i="1" s="1"/>
  <c r="G7510" i="1" a="1"/>
  <c r="G7510" i="1" s="1"/>
  <c r="G7490" i="1" a="1"/>
  <c r="G7490" i="1" s="1"/>
  <c r="G7470" i="1" a="1"/>
  <c r="G7470" i="1" s="1"/>
  <c r="G7450" i="1" a="1"/>
  <c r="G7450" i="1" s="1"/>
  <c r="G7430" i="1" a="1"/>
  <c r="G7430" i="1" s="1"/>
  <c r="G7410" i="1" a="1"/>
  <c r="G7410" i="1" s="1"/>
  <c r="G7390" i="1" a="1"/>
  <c r="G7390" i="1" s="1"/>
  <c r="G7529" i="1" a="1"/>
  <c r="G7529" i="1" s="1"/>
  <c r="G7519" i="1" a="1"/>
  <c r="G7519" i="1" s="1"/>
  <c r="G7509" i="1" a="1"/>
  <c r="G7509" i="1" s="1"/>
  <c r="G7499" i="1" a="1"/>
  <c r="G7499" i="1" s="1"/>
  <c r="G7489" i="1" a="1"/>
  <c r="G7489" i="1" s="1"/>
  <c r="G7479" i="1" a="1"/>
  <c r="G7479" i="1" s="1"/>
  <c r="G7469" i="1" a="1"/>
  <c r="G7469" i="1" s="1"/>
  <c r="G7459" i="1" a="1"/>
  <c r="G7459" i="1" s="1"/>
  <c r="G7449" i="1" a="1"/>
  <c r="G7449" i="1" s="1"/>
  <c r="G7439" i="1" a="1"/>
  <c r="G7439" i="1" s="1"/>
  <c r="G7429" i="1" a="1"/>
  <c r="G7429" i="1" s="1"/>
  <c r="G7419" i="1" a="1"/>
  <c r="G7419" i="1" s="1"/>
  <c r="G7409" i="1" a="1"/>
  <c r="G7409" i="1" s="1"/>
  <c r="G7399" i="1" a="1"/>
  <c r="G7399" i="1" s="1"/>
  <c r="G7389" i="1" a="1"/>
  <c r="G7389" i="1" s="1"/>
  <c r="G7379" i="1" a="1"/>
  <c r="G7379" i="1" s="1"/>
  <c r="G7369" i="1" a="1"/>
  <c r="G7369" i="1" s="1"/>
  <c r="G7359" i="1" a="1"/>
  <c r="G7359" i="1" s="1"/>
  <c r="G7349" i="1" a="1"/>
  <c r="G7349" i="1" s="1"/>
  <c r="G7339" i="1" a="1"/>
  <c r="G7339" i="1" s="1"/>
  <c r="G7329" i="1" a="1"/>
  <c r="G7329" i="1" s="1"/>
  <c r="G7319" i="1" a="1"/>
  <c r="G7319" i="1" s="1"/>
  <c r="G7309" i="1" a="1"/>
  <c r="G7309" i="1" s="1"/>
  <c r="G7299" i="1" a="1"/>
  <c r="G7299" i="1" s="1"/>
  <c r="G7289" i="1" a="1"/>
  <c r="G7289" i="1" s="1"/>
  <c r="G7279" i="1" a="1"/>
  <c r="G7279" i="1" s="1"/>
  <c r="G7269" i="1" a="1"/>
  <c r="G7269" i="1" s="1"/>
  <c r="G7259" i="1" a="1"/>
  <c r="G7259" i="1" s="1"/>
  <c r="G7249" i="1" a="1"/>
  <c r="G7249" i="1" s="1"/>
  <c r="G7239" i="1" a="1"/>
  <c r="G7239" i="1" s="1"/>
  <c r="G7229" i="1" a="1"/>
  <c r="G7229" i="1" s="1"/>
  <c r="G7219" i="1" a="1"/>
  <c r="G7219" i="1" s="1"/>
  <c r="G7209" i="1" a="1"/>
  <c r="G7209" i="1" s="1"/>
  <c r="G7199" i="1" a="1"/>
  <c r="G7199" i="1" s="1"/>
  <c r="G7189" i="1" a="1"/>
  <c r="G7189" i="1" s="1"/>
  <c r="G7179" i="1" a="1"/>
  <c r="G7179" i="1" s="1"/>
  <c r="G7169" i="1" a="1"/>
  <c r="G7169" i="1" s="1"/>
  <c r="G7159" i="1" a="1"/>
  <c r="G7159" i="1" s="1"/>
  <c r="G7149" i="1" a="1"/>
  <c r="G7149" i="1" s="1"/>
  <c r="G7139" i="1" a="1"/>
  <c r="G7139" i="1" s="1"/>
  <c r="G7129" i="1" a="1"/>
  <c r="G7129" i="1" s="1"/>
  <c r="G7119" i="1" a="1"/>
  <c r="G7119" i="1" s="1"/>
  <c r="G7109" i="1" a="1"/>
  <c r="G7109" i="1" s="1"/>
  <c r="G7099" i="1" a="1"/>
  <c r="G7099" i="1" s="1"/>
  <c r="G7089" i="1" a="1"/>
  <c r="G7089" i="1" s="1"/>
  <c r="G7079" i="1" a="1"/>
  <c r="G7079" i="1" s="1"/>
  <c r="G7069" i="1" a="1"/>
  <c r="G7069" i="1" s="1"/>
  <c r="G7059" i="1" a="1"/>
  <c r="G7059" i="1" s="1"/>
  <c r="G7049" i="1" a="1"/>
  <c r="G7049" i="1" s="1"/>
  <c r="G7039" i="1" a="1"/>
  <c r="G7039" i="1" s="1"/>
  <c r="G7029" i="1" a="1"/>
  <c r="G7029" i="1" s="1"/>
  <c r="G7019" i="1" a="1"/>
  <c r="G7019" i="1" s="1"/>
  <c r="G7009" i="1" a="1"/>
  <c r="G7009" i="1" s="1"/>
  <c r="G6999" i="1" a="1"/>
  <c r="G6999" i="1" s="1"/>
  <c r="G6989" i="1" a="1"/>
  <c r="G6989" i="1" s="1"/>
  <c r="G6979" i="1" a="1"/>
  <c r="G6979" i="1" s="1"/>
  <c r="G6969" i="1" a="1"/>
  <c r="G6969" i="1" s="1"/>
  <c r="G6959" i="1" a="1"/>
  <c r="G6959" i="1" s="1"/>
  <c r="G6949" i="1" a="1"/>
  <c r="G6949" i="1" s="1"/>
  <c r="G6939" i="1" a="1"/>
  <c r="G6939" i="1" s="1"/>
  <c r="G6929" i="1" a="1"/>
  <c r="G6929" i="1" s="1"/>
  <c r="G7402" i="1" a="1"/>
  <c r="G7402" i="1" s="1"/>
  <c r="G7362" i="1" a="1"/>
  <c r="G7362" i="1" s="1"/>
  <c r="G7322" i="1" a="1"/>
  <c r="G7322" i="1" s="1"/>
  <c r="G7282" i="1" a="1"/>
  <c r="G7282" i="1" s="1"/>
  <c r="G7252" i="1" a="1"/>
  <c r="G7252" i="1" s="1"/>
  <c r="G7531" i="1" a="1"/>
  <c r="G7531" i="1" s="1"/>
  <c r="G7491" i="1" a="1"/>
  <c r="G7491" i="1" s="1"/>
  <c r="G7451" i="1" a="1"/>
  <c r="G7451" i="1" s="1"/>
  <c r="G7421" i="1" a="1"/>
  <c r="G7421" i="1" s="1"/>
  <c r="G7528" i="1" a="1"/>
  <c r="G7528" i="1" s="1"/>
  <c r="G7518" i="1" a="1"/>
  <c r="G7518" i="1" s="1"/>
  <c r="G7508" i="1" a="1"/>
  <c r="G7508" i="1" s="1"/>
  <c r="G7498" i="1" a="1"/>
  <c r="G7498" i="1" s="1"/>
  <c r="G7488" i="1" a="1"/>
  <c r="G7488" i="1" s="1"/>
  <c r="G7478" i="1" a="1"/>
  <c r="G7478" i="1" s="1"/>
  <c r="G7468" i="1" a="1"/>
  <c r="G7468" i="1" s="1"/>
  <c r="G7458" i="1" a="1"/>
  <c r="G7458" i="1" s="1"/>
  <c r="G7448" i="1" a="1"/>
  <c r="G7448" i="1" s="1"/>
  <c r="G7438" i="1" a="1"/>
  <c r="G7438" i="1" s="1"/>
  <c r="G7428" i="1" a="1"/>
  <c r="G7428" i="1" s="1"/>
  <c r="G7418" i="1" a="1"/>
  <c r="G7418" i="1" s="1"/>
  <c r="G7408" i="1" a="1"/>
  <c r="G7408" i="1" s="1"/>
  <c r="G7398" i="1" a="1"/>
  <c r="G7398" i="1" s="1"/>
  <c r="G7388" i="1" a="1"/>
  <c r="G7388" i="1" s="1"/>
  <c r="G7378" i="1" a="1"/>
  <c r="G7378" i="1" s="1"/>
  <c r="G7368" i="1" a="1"/>
  <c r="G7368" i="1" s="1"/>
  <c r="G7358" i="1" a="1"/>
  <c r="G7358" i="1" s="1"/>
  <c r="G7348" i="1" a="1"/>
  <c r="G7348" i="1" s="1"/>
  <c r="G7338" i="1" a="1"/>
  <c r="G7338" i="1" s="1"/>
  <c r="G7328" i="1" a="1"/>
  <c r="G7328" i="1" s="1"/>
  <c r="G7318" i="1" a="1"/>
  <c r="G7318" i="1" s="1"/>
  <c r="G7308" i="1" a="1"/>
  <c r="G7308" i="1" s="1"/>
  <c r="G7298" i="1" a="1"/>
  <c r="G7298" i="1" s="1"/>
  <c r="G7288" i="1" a="1"/>
  <c r="G7288" i="1" s="1"/>
  <c r="G7278" i="1" a="1"/>
  <c r="G7278" i="1" s="1"/>
  <c r="G7268" i="1" a="1"/>
  <c r="G7268" i="1" s="1"/>
  <c r="G7258" i="1" a="1"/>
  <c r="G7258" i="1" s="1"/>
  <c r="G7248" i="1" a="1"/>
  <c r="G7248" i="1" s="1"/>
  <c r="G7238" i="1" a="1"/>
  <c r="G7238" i="1" s="1"/>
  <c r="G7228" i="1" a="1"/>
  <c r="G7228" i="1" s="1"/>
  <c r="G7218" i="1" a="1"/>
  <c r="G7218" i="1" s="1"/>
  <c r="G7208" i="1" a="1"/>
  <c r="G7208" i="1" s="1"/>
  <c r="G7198" i="1" a="1"/>
  <c r="G7198" i="1" s="1"/>
  <c r="G7188" i="1" a="1"/>
  <c r="G7188" i="1" s="1"/>
  <c r="G7178" i="1" a="1"/>
  <c r="G7178" i="1" s="1"/>
  <c r="G7168" i="1" a="1"/>
  <c r="G7168" i="1" s="1"/>
  <c r="G7158" i="1" a="1"/>
  <c r="G7158" i="1" s="1"/>
  <c r="G7148" i="1" a="1"/>
  <c r="G7148" i="1" s="1"/>
  <c r="G7138" i="1" a="1"/>
  <c r="G7138" i="1" s="1"/>
  <c r="G7128" i="1" a="1"/>
  <c r="G7128" i="1" s="1"/>
  <c r="G7118" i="1" a="1"/>
  <c r="G7118" i="1" s="1"/>
  <c r="G7108" i="1" a="1"/>
  <c r="G7108" i="1" s="1"/>
  <c r="G7098" i="1" a="1"/>
  <c r="G7098" i="1" s="1"/>
  <c r="G7088" i="1" a="1"/>
  <c r="G7088" i="1" s="1"/>
  <c r="G7078" i="1" a="1"/>
  <c r="G7078" i="1" s="1"/>
  <c r="G7068" i="1" a="1"/>
  <c r="G7068" i="1" s="1"/>
  <c r="G7058" i="1" a="1"/>
  <c r="G7058" i="1" s="1"/>
  <c r="G7048" i="1" a="1"/>
  <c r="G7048" i="1" s="1"/>
  <c r="G7038" i="1" a="1"/>
  <c r="G7038" i="1" s="1"/>
  <c r="G7028" i="1" a="1"/>
  <c r="G7028" i="1" s="1"/>
  <c r="G7018" i="1" a="1"/>
  <c r="G7018" i="1" s="1"/>
  <c r="G7008" i="1" a="1"/>
  <c r="G7008" i="1" s="1"/>
  <c r="G6998" i="1" a="1"/>
  <c r="G6998" i="1" s="1"/>
  <c r="G6988" i="1" a="1"/>
  <c r="G6988" i="1" s="1"/>
  <c r="G6978" i="1" a="1"/>
  <c r="G6978" i="1" s="1"/>
  <c r="G6968" i="1" a="1"/>
  <c r="G6968" i="1" s="1"/>
  <c r="G6958" i="1" a="1"/>
  <c r="G6958" i="1" s="1"/>
  <c r="G6948" i="1" a="1"/>
  <c r="G6948" i="1" s="1"/>
  <c r="G6938" i="1" a="1"/>
  <c r="G6938" i="1" s="1"/>
  <c r="G6928" i="1" a="1"/>
  <c r="G6928" i="1" s="1"/>
  <c r="G6918" i="1" a="1"/>
  <c r="G6918" i="1" s="1"/>
  <c r="G6908" i="1" a="1"/>
  <c r="G6908" i="1" s="1"/>
  <c r="G6898" i="1" a="1"/>
  <c r="G6898" i="1" s="1"/>
  <c r="G6888" i="1" a="1"/>
  <c r="G6888" i="1" s="1"/>
  <c r="G6878" i="1" a="1"/>
  <c r="G6878" i="1" s="1"/>
  <c r="G6868" i="1" a="1"/>
  <c r="G6868" i="1" s="1"/>
  <c r="G6858" i="1" a="1"/>
  <c r="G6858" i="1" s="1"/>
  <c r="G6848" i="1" a="1"/>
  <c r="G6848" i="1" s="1"/>
  <c r="G6838" i="1" a="1"/>
  <c r="G6838" i="1" s="1"/>
  <c r="G6828" i="1" a="1"/>
  <c r="G6828" i="1" s="1"/>
  <c r="G6818" i="1" a="1"/>
  <c r="G6818" i="1" s="1"/>
  <c r="G6808" i="1" a="1"/>
  <c r="G6808" i="1" s="1"/>
  <c r="G6798" i="1" a="1"/>
  <c r="G6798" i="1" s="1"/>
  <c r="G7387" i="1" a="1"/>
  <c r="G7387" i="1" s="1"/>
  <c r="G7377" i="1" a="1"/>
  <c r="G7377" i="1" s="1"/>
  <c r="G7367" i="1" a="1"/>
  <c r="G7367" i="1" s="1"/>
  <c r="G7357" i="1" a="1"/>
  <c r="G7357" i="1" s="1"/>
  <c r="G7347" i="1" a="1"/>
  <c r="G7347" i="1" s="1"/>
  <c r="G7337" i="1" a="1"/>
  <c r="G7337" i="1" s="1"/>
  <c r="G7327" i="1" a="1"/>
  <c r="G7327" i="1" s="1"/>
  <c r="G7317" i="1" a="1"/>
  <c r="G7317" i="1" s="1"/>
  <c r="G7307" i="1" a="1"/>
  <c r="G7307" i="1" s="1"/>
  <c r="G7297" i="1" a="1"/>
  <c r="G7297" i="1" s="1"/>
  <c r="G7287" i="1" a="1"/>
  <c r="G7287" i="1" s="1"/>
  <c r="G7277" i="1" a="1"/>
  <c r="G7277" i="1" s="1"/>
  <c r="G7267" i="1" a="1"/>
  <c r="G7267" i="1" s="1"/>
  <c r="G7257" i="1" a="1"/>
  <c r="G7257" i="1" s="1"/>
  <c r="G7247" i="1" a="1"/>
  <c r="G7247" i="1" s="1"/>
  <c r="G7237" i="1" a="1"/>
  <c r="G7237" i="1" s="1"/>
  <c r="G7227" i="1" a="1"/>
  <c r="G7227" i="1" s="1"/>
  <c r="G7217" i="1" a="1"/>
  <c r="G7217" i="1" s="1"/>
  <c r="G7207" i="1" a="1"/>
  <c r="G7207" i="1" s="1"/>
  <c r="G7197" i="1" a="1"/>
  <c r="G7197" i="1" s="1"/>
  <c r="G7187" i="1" a="1"/>
  <c r="G7187" i="1" s="1"/>
  <c r="G7177" i="1" a="1"/>
  <c r="G7177" i="1" s="1"/>
  <c r="G7167" i="1" a="1"/>
  <c r="G7167" i="1" s="1"/>
  <c r="G7157" i="1" a="1"/>
  <c r="G7157" i="1" s="1"/>
  <c r="G7147" i="1" a="1"/>
  <c r="G7147" i="1" s="1"/>
  <c r="G7137" i="1" a="1"/>
  <c r="G7137" i="1" s="1"/>
  <c r="G7127" i="1" a="1"/>
  <c r="G7127" i="1" s="1"/>
  <c r="G7117" i="1" a="1"/>
  <c r="G7117" i="1" s="1"/>
  <c r="G7107" i="1" a="1"/>
  <c r="G7107" i="1" s="1"/>
  <c r="G7097" i="1" a="1"/>
  <c r="G7097" i="1" s="1"/>
  <c r="G7087" i="1" a="1"/>
  <c r="G7087" i="1" s="1"/>
  <c r="G7077" i="1" a="1"/>
  <c r="G7077" i="1" s="1"/>
  <c r="G7067" i="1" a="1"/>
  <c r="G7067" i="1" s="1"/>
  <c r="G7057" i="1" a="1"/>
  <c r="G7057" i="1" s="1"/>
  <c r="G7047" i="1" a="1"/>
  <c r="G7047" i="1" s="1"/>
  <c r="G7037" i="1" a="1"/>
  <c r="G7037" i="1" s="1"/>
  <c r="G7027" i="1" a="1"/>
  <c r="G7027" i="1" s="1"/>
  <c r="G7017" i="1" a="1"/>
  <c r="G7017" i="1" s="1"/>
  <c r="G7007" i="1" a="1"/>
  <c r="G7007" i="1" s="1"/>
  <c r="G6997" i="1" a="1"/>
  <c r="G6997" i="1" s="1"/>
  <c r="G6987" i="1" a="1"/>
  <c r="G6987" i="1" s="1"/>
  <c r="G6977" i="1" a="1"/>
  <c r="G6977" i="1" s="1"/>
  <c r="G6967" i="1" a="1"/>
  <c r="G6967" i="1" s="1"/>
  <c r="G6957" i="1" a="1"/>
  <c r="G6957" i="1" s="1"/>
  <c r="G6947" i="1" a="1"/>
  <c r="G6947" i="1" s="1"/>
  <c r="G6937" i="1" a="1"/>
  <c r="G6937" i="1" s="1"/>
  <c r="G6927" i="1" a="1"/>
  <c r="G6927" i="1" s="1"/>
  <c r="G6917" i="1" a="1"/>
  <c r="G6917" i="1" s="1"/>
  <c r="G6907" i="1" a="1"/>
  <c r="G6907" i="1" s="1"/>
  <c r="G6897" i="1" a="1"/>
  <c r="G6897" i="1" s="1"/>
  <c r="G6887" i="1" a="1"/>
  <c r="G6887" i="1" s="1"/>
  <c r="G6877" i="1" a="1"/>
  <c r="G6877" i="1" s="1"/>
  <c r="G6867" i="1" a="1"/>
  <c r="G6867" i="1" s="1"/>
  <c r="G6857" i="1" a="1"/>
  <c r="G6857" i="1" s="1"/>
  <c r="G6847" i="1" a="1"/>
  <c r="G6847" i="1" s="1"/>
  <c r="G6837" i="1" a="1"/>
  <c r="G6837" i="1" s="1"/>
  <c r="G6827" i="1" a="1"/>
  <c r="G6827" i="1" s="1"/>
  <c r="G6817" i="1" a="1"/>
  <c r="G6817" i="1" s="1"/>
  <c r="G6807" i="1" a="1"/>
  <c r="G6807" i="1" s="1"/>
  <c r="G6797" i="1" a="1"/>
  <c r="G6797" i="1" s="1"/>
  <c r="G6787" i="1" a="1"/>
  <c r="G6787" i="1" s="1"/>
  <c r="G6777" i="1" a="1"/>
  <c r="G6777" i="1" s="1"/>
  <c r="G6767" i="1" a="1"/>
  <c r="G6767" i="1" s="1"/>
  <c r="G6757" i="1" a="1"/>
  <c r="G6757" i="1" s="1"/>
  <c r="G6747" i="1" a="1"/>
  <c r="G6747" i="1" s="1"/>
  <c r="G6737" i="1" a="1"/>
  <c r="G6737" i="1" s="1"/>
  <c r="G6727" i="1" a="1"/>
  <c r="G6727" i="1" s="1"/>
  <c r="G6717" i="1" a="1"/>
  <c r="G6717" i="1" s="1"/>
  <c r="G6707" i="1" a="1"/>
  <c r="G6707" i="1" s="1"/>
  <c r="G6697" i="1" a="1"/>
  <c r="G6697" i="1" s="1"/>
  <c r="G6687" i="1" a="1"/>
  <c r="G6687" i="1" s="1"/>
  <c r="G6677" i="1" a="1"/>
  <c r="G6677" i="1" s="1"/>
  <c r="G6667" i="1" a="1"/>
  <c r="G6667" i="1" s="1"/>
  <c r="G6657" i="1" a="1"/>
  <c r="G6657" i="1" s="1"/>
  <c r="G6647" i="1" a="1"/>
  <c r="G6647" i="1" s="1"/>
  <c r="G6637" i="1" a="1"/>
  <c r="G6637" i="1" s="1"/>
  <c r="G6627" i="1" a="1"/>
  <c r="G6627" i="1" s="1"/>
  <c r="G6617" i="1" a="1"/>
  <c r="G6617" i="1" s="1"/>
  <c r="G6607" i="1" a="1"/>
  <c r="G6607" i="1" s="1"/>
  <c r="G6597" i="1" a="1"/>
  <c r="G6597" i="1" s="1"/>
  <c r="G6587" i="1" a="1"/>
  <c r="G6587" i="1" s="1"/>
  <c r="G6577" i="1" a="1"/>
  <c r="G6577" i="1" s="1"/>
  <c r="G6567" i="1" a="1"/>
  <c r="G6567" i="1" s="1"/>
  <c r="G7386" i="1" a="1"/>
  <c r="G7386" i="1" s="1"/>
  <c r="G7376" i="1" a="1"/>
  <c r="G7376" i="1" s="1"/>
  <c r="G7366" i="1" a="1"/>
  <c r="G7366" i="1" s="1"/>
  <c r="G7356" i="1" a="1"/>
  <c r="G7356" i="1" s="1"/>
  <c r="G7346" i="1" a="1"/>
  <c r="G7346" i="1" s="1"/>
  <c r="G7336" i="1" a="1"/>
  <c r="G7336" i="1" s="1"/>
  <c r="G7326" i="1" a="1"/>
  <c r="G7326" i="1" s="1"/>
  <c r="G7316" i="1" a="1"/>
  <c r="G7316" i="1" s="1"/>
  <c r="G7306" i="1" a="1"/>
  <c r="G7306" i="1" s="1"/>
  <c r="G7296" i="1" a="1"/>
  <c r="G7296" i="1" s="1"/>
  <c r="G7286" i="1" a="1"/>
  <c r="G7286" i="1" s="1"/>
  <c r="G7276" i="1" a="1"/>
  <c r="G7276" i="1" s="1"/>
  <c r="G7266" i="1" a="1"/>
  <c r="G7266" i="1" s="1"/>
  <c r="G7256" i="1" a="1"/>
  <c r="G7256" i="1" s="1"/>
  <c r="G7246" i="1" a="1"/>
  <c r="G7246" i="1" s="1"/>
  <c r="G7236" i="1" a="1"/>
  <c r="G7236" i="1" s="1"/>
  <c r="G7226" i="1" a="1"/>
  <c r="G7226" i="1" s="1"/>
  <c r="G7216" i="1" a="1"/>
  <c r="G7216" i="1" s="1"/>
  <c r="G7206" i="1" a="1"/>
  <c r="G7206" i="1" s="1"/>
  <c r="G7196" i="1" a="1"/>
  <c r="G7196" i="1" s="1"/>
  <c r="G7186" i="1" a="1"/>
  <c r="G7186" i="1" s="1"/>
  <c r="G7176" i="1" a="1"/>
  <c r="G7176" i="1" s="1"/>
  <c r="G7166" i="1" a="1"/>
  <c r="G7166" i="1" s="1"/>
  <c r="G7156" i="1" a="1"/>
  <c r="G7156" i="1" s="1"/>
  <c r="G7146" i="1" a="1"/>
  <c r="G7146" i="1" s="1"/>
  <c r="G7136" i="1" a="1"/>
  <c r="G7136" i="1" s="1"/>
  <c r="G7126" i="1" a="1"/>
  <c r="G7126" i="1" s="1"/>
  <c r="G7116" i="1" a="1"/>
  <c r="G7116" i="1" s="1"/>
  <c r="G7106" i="1" a="1"/>
  <c r="G7106" i="1" s="1"/>
  <c r="G7096" i="1" a="1"/>
  <c r="G7096" i="1" s="1"/>
  <c r="G7086" i="1" a="1"/>
  <c r="G7086" i="1" s="1"/>
  <c r="G7076" i="1" a="1"/>
  <c r="G7076" i="1" s="1"/>
  <c r="G7066" i="1" a="1"/>
  <c r="G7066" i="1" s="1"/>
  <c r="G7056" i="1" a="1"/>
  <c r="G7056" i="1" s="1"/>
  <c r="G7046" i="1" a="1"/>
  <c r="G7046" i="1" s="1"/>
  <c r="G7036" i="1" a="1"/>
  <c r="G7036" i="1" s="1"/>
  <c r="G7026" i="1" a="1"/>
  <c r="G7026" i="1" s="1"/>
  <c r="G7016" i="1" a="1"/>
  <c r="G7016" i="1" s="1"/>
  <c r="G7006" i="1" a="1"/>
  <c r="G7006" i="1" s="1"/>
  <c r="G6996" i="1" a="1"/>
  <c r="G6996" i="1" s="1"/>
  <c r="G6986" i="1" a="1"/>
  <c r="G6986" i="1" s="1"/>
  <c r="G6976" i="1" a="1"/>
  <c r="G6976" i="1" s="1"/>
  <c r="G6966" i="1" a="1"/>
  <c r="G6966" i="1" s="1"/>
  <c r="G6956" i="1" a="1"/>
  <c r="G6956" i="1" s="1"/>
  <c r="G6946" i="1" a="1"/>
  <c r="G6946" i="1" s="1"/>
  <c r="G6936" i="1" a="1"/>
  <c r="G6936" i="1" s="1"/>
  <c r="G6926" i="1" a="1"/>
  <c r="G6926" i="1" s="1"/>
  <c r="G6916" i="1" a="1"/>
  <c r="G6916" i="1" s="1"/>
  <c r="G6906" i="1" a="1"/>
  <c r="G6906" i="1" s="1"/>
  <c r="G6896" i="1" a="1"/>
  <c r="G6896" i="1" s="1"/>
  <c r="G6886" i="1" a="1"/>
  <c r="G6886" i="1" s="1"/>
  <c r="G6876" i="1" a="1"/>
  <c r="G6876" i="1" s="1"/>
  <c r="G6866" i="1" a="1"/>
  <c r="G6866" i="1" s="1"/>
  <c r="G6856" i="1" a="1"/>
  <c r="G6856" i="1" s="1"/>
  <c r="G6846" i="1" a="1"/>
  <c r="G6846" i="1" s="1"/>
  <c r="G6836" i="1" a="1"/>
  <c r="G6836" i="1" s="1"/>
  <c r="G6826" i="1" a="1"/>
  <c r="G6826" i="1" s="1"/>
  <c r="G6816" i="1" a="1"/>
  <c r="G6816" i="1" s="1"/>
  <c r="G6806" i="1" a="1"/>
  <c r="G6806" i="1" s="1"/>
  <c r="G6796" i="1" a="1"/>
  <c r="G6796" i="1" s="1"/>
  <c r="G6786" i="1" a="1"/>
  <c r="G6786" i="1" s="1"/>
  <c r="G6776" i="1" a="1"/>
  <c r="G6776" i="1" s="1"/>
  <c r="G6766" i="1" a="1"/>
  <c r="G6766" i="1" s="1"/>
  <c r="G6756" i="1" a="1"/>
  <c r="G6756" i="1" s="1"/>
  <c r="G6746" i="1" a="1"/>
  <c r="G6746" i="1" s="1"/>
  <c r="G6736" i="1" a="1"/>
  <c r="G6736" i="1" s="1"/>
  <c r="G6726" i="1" a="1"/>
  <c r="G6726" i="1" s="1"/>
  <c r="G6716" i="1" a="1"/>
  <c r="G6716" i="1" s="1"/>
  <c r="G6706" i="1" a="1"/>
  <c r="G6706" i="1" s="1"/>
  <c r="G6696" i="1" a="1"/>
  <c r="G6696" i="1" s="1"/>
  <c r="G6686" i="1" a="1"/>
  <c r="G6686" i="1" s="1"/>
  <c r="G6676" i="1" a="1"/>
  <c r="G6676" i="1" s="1"/>
  <c r="G6666" i="1" a="1"/>
  <c r="G6666" i="1" s="1"/>
  <c r="G6656" i="1" a="1"/>
  <c r="G6656" i="1" s="1"/>
  <c r="G6646" i="1" a="1"/>
  <c r="G6646" i="1" s="1"/>
  <c r="G6636" i="1" a="1"/>
  <c r="G6636" i="1" s="1"/>
  <c r="G6626" i="1" a="1"/>
  <c r="G6626" i="1" s="1"/>
  <c r="G6616" i="1" a="1"/>
  <c r="G6616" i="1" s="1"/>
  <c r="G6606" i="1" a="1"/>
  <c r="G6606" i="1" s="1"/>
  <c r="G6596" i="1" a="1"/>
  <c r="G6596" i="1" s="1"/>
  <c r="G7355" i="1" a="1"/>
  <c r="G7355" i="1" s="1"/>
  <c r="G7345" i="1" a="1"/>
  <c r="G7345" i="1" s="1"/>
  <c r="G7335" i="1" a="1"/>
  <c r="G7335" i="1" s="1"/>
  <c r="G7325" i="1" a="1"/>
  <c r="G7325" i="1" s="1"/>
  <c r="G7315" i="1" a="1"/>
  <c r="G7315" i="1" s="1"/>
  <c r="G7305" i="1" a="1"/>
  <c r="G7305" i="1" s="1"/>
  <c r="G7295" i="1" a="1"/>
  <c r="G7295" i="1" s="1"/>
  <c r="G7285" i="1" a="1"/>
  <c r="G7285" i="1" s="1"/>
  <c r="G7275" i="1" a="1"/>
  <c r="G7275" i="1" s="1"/>
  <c r="G7265" i="1" a="1"/>
  <c r="G7265" i="1" s="1"/>
  <c r="G7255" i="1" a="1"/>
  <c r="G7255" i="1" s="1"/>
  <c r="G7245" i="1" a="1"/>
  <c r="G7245" i="1" s="1"/>
  <c r="G7235" i="1" a="1"/>
  <c r="G7235" i="1" s="1"/>
  <c r="G7225" i="1" a="1"/>
  <c r="G7225" i="1" s="1"/>
  <c r="G7215" i="1" a="1"/>
  <c r="G7215" i="1" s="1"/>
  <c r="G7205" i="1" a="1"/>
  <c r="G7205" i="1" s="1"/>
  <c r="G7195" i="1" a="1"/>
  <c r="G7195" i="1" s="1"/>
  <c r="G7185" i="1" a="1"/>
  <c r="G7185" i="1" s="1"/>
  <c r="G7175" i="1" a="1"/>
  <c r="G7175" i="1" s="1"/>
  <c r="G7165" i="1" a="1"/>
  <c r="G7165" i="1" s="1"/>
  <c r="G7155" i="1" a="1"/>
  <c r="G7155" i="1" s="1"/>
  <c r="G7145" i="1" a="1"/>
  <c r="G7145" i="1" s="1"/>
  <c r="G7135" i="1" a="1"/>
  <c r="G7135" i="1" s="1"/>
  <c r="G7125" i="1" a="1"/>
  <c r="G7125" i="1" s="1"/>
  <c r="G7115" i="1" a="1"/>
  <c r="G7115" i="1" s="1"/>
  <c r="G7105" i="1" a="1"/>
  <c r="G7105" i="1" s="1"/>
  <c r="G7095" i="1" a="1"/>
  <c r="G7095" i="1" s="1"/>
  <c r="G7085" i="1" a="1"/>
  <c r="G7085" i="1" s="1"/>
  <c r="G7075" i="1" a="1"/>
  <c r="G7075" i="1" s="1"/>
  <c r="G7065" i="1" a="1"/>
  <c r="G7065" i="1" s="1"/>
  <c r="G7055" i="1" a="1"/>
  <c r="G7055" i="1" s="1"/>
  <c r="G7045" i="1" a="1"/>
  <c r="G7045" i="1" s="1"/>
  <c r="G7035" i="1" a="1"/>
  <c r="G7035" i="1" s="1"/>
  <c r="G7025" i="1" a="1"/>
  <c r="G7025" i="1" s="1"/>
  <c r="G7015" i="1" a="1"/>
  <c r="G7015" i="1" s="1"/>
  <c r="G7005" i="1" a="1"/>
  <c r="G7005" i="1" s="1"/>
  <c r="G6995" i="1" a="1"/>
  <c r="G6995" i="1" s="1"/>
  <c r="G6985" i="1" a="1"/>
  <c r="G6985" i="1" s="1"/>
  <c r="G6975" i="1" a="1"/>
  <c r="G6975" i="1" s="1"/>
  <c r="G6965" i="1" a="1"/>
  <c r="G6965" i="1" s="1"/>
  <c r="G6955" i="1" a="1"/>
  <c r="G6955" i="1" s="1"/>
  <c r="G6945" i="1" a="1"/>
  <c r="G6945" i="1" s="1"/>
  <c r="G6935" i="1" a="1"/>
  <c r="G6935" i="1" s="1"/>
  <c r="G6925" i="1" a="1"/>
  <c r="G6925" i="1" s="1"/>
  <c r="G6915" i="1" a="1"/>
  <c r="G6915" i="1" s="1"/>
  <c r="G6905" i="1" a="1"/>
  <c r="G6905" i="1" s="1"/>
  <c r="G6895" i="1" a="1"/>
  <c r="G6895" i="1" s="1"/>
  <c r="G6885" i="1" a="1"/>
  <c r="G6885" i="1" s="1"/>
  <c r="G6875" i="1" a="1"/>
  <c r="G6875" i="1" s="1"/>
  <c r="G6865" i="1" a="1"/>
  <c r="G6865" i="1" s="1"/>
  <c r="G6855" i="1" a="1"/>
  <c r="G6855" i="1" s="1"/>
  <c r="G6845" i="1" a="1"/>
  <c r="G6845" i="1" s="1"/>
  <c r="G6835" i="1" a="1"/>
  <c r="G6835" i="1" s="1"/>
  <c r="G6825" i="1" a="1"/>
  <c r="G6825" i="1" s="1"/>
  <c r="G6815" i="1" a="1"/>
  <c r="G6815" i="1" s="1"/>
  <c r="G6805" i="1" a="1"/>
  <c r="G6805" i="1" s="1"/>
  <c r="G6795" i="1" a="1"/>
  <c r="G6795" i="1" s="1"/>
  <c r="G6785" i="1" a="1"/>
  <c r="G6785" i="1" s="1"/>
  <c r="G6775" i="1" a="1"/>
  <c r="G6775" i="1" s="1"/>
  <c r="G6765" i="1" a="1"/>
  <c r="G6765" i="1" s="1"/>
  <c r="G6755" i="1" a="1"/>
  <c r="G6755" i="1" s="1"/>
  <c r="G6745" i="1" a="1"/>
  <c r="G6745" i="1" s="1"/>
  <c r="G6735" i="1" a="1"/>
  <c r="G6735" i="1" s="1"/>
  <c r="G6725" i="1" a="1"/>
  <c r="G6725" i="1" s="1"/>
  <c r="G6715" i="1" a="1"/>
  <c r="G6715" i="1" s="1"/>
  <c r="G6705" i="1" a="1"/>
  <c r="G6705" i="1" s="1"/>
  <c r="G6695" i="1" a="1"/>
  <c r="G6695" i="1" s="1"/>
  <c r="G6685" i="1" a="1"/>
  <c r="G6685" i="1" s="1"/>
  <c r="G6675" i="1" a="1"/>
  <c r="G6675" i="1" s="1"/>
  <c r="G6665" i="1" a="1"/>
  <c r="G6665" i="1" s="1"/>
  <c r="G6655" i="1" a="1"/>
  <c r="G6655" i="1" s="1"/>
  <c r="G6645" i="1" a="1"/>
  <c r="G6645" i="1" s="1"/>
  <c r="G6635" i="1" a="1"/>
  <c r="G6635" i="1" s="1"/>
  <c r="G6625" i="1" a="1"/>
  <c r="G6625" i="1" s="1"/>
  <c r="G6615" i="1" a="1"/>
  <c r="G6615" i="1" s="1"/>
  <c r="G6605" i="1" a="1"/>
  <c r="G6605" i="1" s="1"/>
  <c r="G6595" i="1" a="1"/>
  <c r="G6595" i="1" s="1"/>
  <c r="G6585" i="1" a="1"/>
  <c r="G6585" i="1" s="1"/>
  <c r="G6575" i="1" a="1"/>
  <c r="G6575" i="1" s="1"/>
  <c r="G6565" i="1" a="1"/>
  <c r="G6565" i="1" s="1"/>
  <c r="G6555" i="1" a="1"/>
  <c r="G6555" i="1" s="1"/>
  <c r="G6545" i="1" a="1"/>
  <c r="G6545" i="1" s="1"/>
  <c r="G6535" i="1" a="1"/>
  <c r="G6535" i="1" s="1"/>
  <c r="G6525" i="1" a="1"/>
  <c r="G6525" i="1" s="1"/>
  <c r="G6515" i="1" a="1"/>
  <c r="G6515" i="1" s="1"/>
  <c r="G7294" i="1" a="1"/>
  <c r="G7294" i="1" s="1"/>
  <c r="G7284" i="1" a="1"/>
  <c r="G7284" i="1" s="1"/>
  <c r="G7274" i="1" a="1"/>
  <c r="G7274" i="1" s="1"/>
  <c r="G7264" i="1" a="1"/>
  <c r="G7264" i="1" s="1"/>
  <c r="G7254" i="1" a="1"/>
  <c r="G7254" i="1" s="1"/>
  <c r="G7244" i="1" a="1"/>
  <c r="G7244" i="1" s="1"/>
  <c r="G7234" i="1" a="1"/>
  <c r="G7234" i="1" s="1"/>
  <c r="G7224" i="1" a="1"/>
  <c r="G7224" i="1" s="1"/>
  <c r="G7214" i="1" a="1"/>
  <c r="G7214" i="1" s="1"/>
  <c r="G7204" i="1" a="1"/>
  <c r="G7204" i="1" s="1"/>
  <c r="G7194" i="1" a="1"/>
  <c r="G7194" i="1" s="1"/>
  <c r="G7184" i="1" a="1"/>
  <c r="G7184" i="1" s="1"/>
  <c r="G7174" i="1" a="1"/>
  <c r="G7174" i="1" s="1"/>
  <c r="G7164" i="1" a="1"/>
  <c r="G7164" i="1" s="1"/>
  <c r="G7154" i="1" a="1"/>
  <c r="G7154" i="1" s="1"/>
  <c r="G7144" i="1" a="1"/>
  <c r="G7144" i="1" s="1"/>
  <c r="G7134" i="1" a="1"/>
  <c r="G7134" i="1" s="1"/>
  <c r="G7124" i="1" a="1"/>
  <c r="G7124" i="1" s="1"/>
  <c r="G7114" i="1" a="1"/>
  <c r="G7114" i="1" s="1"/>
  <c r="G7104" i="1" a="1"/>
  <c r="G7104" i="1" s="1"/>
  <c r="G7094" i="1" a="1"/>
  <c r="G7094" i="1" s="1"/>
  <c r="G7084" i="1" a="1"/>
  <c r="G7084" i="1" s="1"/>
  <c r="G7074" i="1" a="1"/>
  <c r="G7074" i="1" s="1"/>
  <c r="G7064" i="1" a="1"/>
  <c r="G7064" i="1" s="1"/>
  <c r="G7054" i="1" a="1"/>
  <c r="G7054" i="1" s="1"/>
  <c r="G7044" i="1" a="1"/>
  <c r="G7044" i="1" s="1"/>
  <c r="G7034" i="1" a="1"/>
  <c r="G7034" i="1" s="1"/>
  <c r="G7024" i="1" a="1"/>
  <c r="G7024" i="1" s="1"/>
  <c r="G7014" i="1" a="1"/>
  <c r="G7014" i="1" s="1"/>
  <c r="G7004" i="1" a="1"/>
  <c r="G7004" i="1" s="1"/>
  <c r="G6994" i="1" a="1"/>
  <c r="G6994" i="1" s="1"/>
  <c r="G6984" i="1" a="1"/>
  <c r="G6984" i="1" s="1"/>
  <c r="G6974" i="1" a="1"/>
  <c r="G6974" i="1" s="1"/>
  <c r="G6964" i="1" a="1"/>
  <c r="G6964" i="1" s="1"/>
  <c r="G6954" i="1" a="1"/>
  <c r="G6954" i="1" s="1"/>
  <c r="G6944" i="1" a="1"/>
  <c r="G6944" i="1" s="1"/>
  <c r="G6934" i="1" a="1"/>
  <c r="G6934" i="1" s="1"/>
  <c r="G6924" i="1" a="1"/>
  <c r="G6924" i="1" s="1"/>
  <c r="G6914" i="1" a="1"/>
  <c r="G6914" i="1" s="1"/>
  <c r="G6904" i="1" a="1"/>
  <c r="G6904" i="1" s="1"/>
  <c r="G6894" i="1" a="1"/>
  <c r="G6894" i="1" s="1"/>
  <c r="G6884" i="1" a="1"/>
  <c r="G6884" i="1" s="1"/>
  <c r="G6874" i="1" a="1"/>
  <c r="G6874" i="1" s="1"/>
  <c r="G6864" i="1" a="1"/>
  <c r="G6864" i="1" s="1"/>
  <c r="G6854" i="1" a="1"/>
  <c r="G6854" i="1" s="1"/>
  <c r="G6844" i="1" a="1"/>
  <c r="G6844" i="1" s="1"/>
  <c r="G6834" i="1" a="1"/>
  <c r="G6834" i="1" s="1"/>
  <c r="G6824" i="1" a="1"/>
  <c r="G6824" i="1" s="1"/>
  <c r="G6814" i="1" a="1"/>
  <c r="G6814" i="1" s="1"/>
  <c r="G6804" i="1" a="1"/>
  <c r="G6804" i="1" s="1"/>
  <c r="G6794" i="1" a="1"/>
  <c r="G6794" i="1" s="1"/>
  <c r="G6784" i="1" a="1"/>
  <c r="G6784" i="1" s="1"/>
  <c r="G6774" i="1" a="1"/>
  <c r="G6774" i="1" s="1"/>
  <c r="G6764" i="1" a="1"/>
  <c r="G6764" i="1" s="1"/>
  <c r="G6754" i="1" a="1"/>
  <c r="G6754" i="1" s="1"/>
  <c r="G6744" i="1" a="1"/>
  <c r="G6744" i="1" s="1"/>
  <c r="G6734" i="1" a="1"/>
  <c r="G6734" i="1" s="1"/>
  <c r="G6724" i="1" a="1"/>
  <c r="G6724" i="1" s="1"/>
  <c r="G6714" i="1" a="1"/>
  <c r="G6714" i="1" s="1"/>
  <c r="G6704" i="1" a="1"/>
  <c r="G6704" i="1" s="1"/>
  <c r="G6694" i="1" a="1"/>
  <c r="G6694" i="1" s="1"/>
  <c r="G6684" i="1" a="1"/>
  <c r="G6684" i="1" s="1"/>
  <c r="G6674" i="1" a="1"/>
  <c r="G6674" i="1" s="1"/>
  <c r="G6664" i="1" a="1"/>
  <c r="G6664" i="1" s="1"/>
  <c r="G6654" i="1" a="1"/>
  <c r="G6654" i="1" s="1"/>
  <c r="G6644" i="1" a="1"/>
  <c r="G6644" i="1" s="1"/>
  <c r="G6634" i="1" a="1"/>
  <c r="G6634" i="1" s="1"/>
  <c r="G6624" i="1" a="1"/>
  <c r="G6624" i="1" s="1"/>
  <c r="G6614" i="1" a="1"/>
  <c r="G6614" i="1" s="1"/>
  <c r="G6604" i="1" a="1"/>
  <c r="G6604" i="1" s="1"/>
  <c r="G6594" i="1" a="1"/>
  <c r="G6594" i="1" s="1"/>
  <c r="G6584" i="1" a="1"/>
  <c r="G6584" i="1" s="1"/>
  <c r="G6574" i="1" a="1"/>
  <c r="G6574" i="1" s="1"/>
  <c r="G6564" i="1" a="1"/>
  <c r="G6564" i="1" s="1"/>
  <c r="G6554" i="1" a="1"/>
  <c r="G6554" i="1" s="1"/>
  <c r="G6544" i="1" a="1"/>
  <c r="G6544" i="1" s="1"/>
  <c r="G6534" i="1" a="1"/>
  <c r="G6534" i="1" s="1"/>
  <c r="G6524" i="1" a="1"/>
  <c r="G6524" i="1" s="1"/>
  <c r="G6514" i="1" a="1"/>
  <c r="G6514" i="1" s="1"/>
  <c r="G6504" i="1" a="1"/>
  <c r="G6504" i="1" s="1"/>
  <c r="G6494" i="1" a="1"/>
  <c r="G6494" i="1" s="1"/>
  <c r="G6484" i="1" a="1"/>
  <c r="G6484" i="1" s="1"/>
  <c r="G6474" i="1" a="1"/>
  <c r="G6474" i="1" s="1"/>
  <c r="G6463" i="1" a="1"/>
  <c r="G6463" i="1" s="1"/>
  <c r="G6453" i="1" a="1"/>
  <c r="G6453" i="1" s="1"/>
  <c r="G6443" i="1" a="1"/>
  <c r="G6443" i="1" s="1"/>
  <c r="G6433" i="1" a="1"/>
  <c r="G6433" i="1" s="1"/>
  <c r="G6423" i="1" a="1"/>
  <c r="G6423" i="1" s="1"/>
  <c r="G6413" i="1" a="1"/>
  <c r="G6413" i="1" s="1"/>
  <c r="G6403" i="1" a="1"/>
  <c r="G6403" i="1" s="1"/>
  <c r="G6393" i="1" a="1"/>
  <c r="G6393" i="1" s="1"/>
  <c r="G6383" i="1" a="1"/>
  <c r="G6383" i="1" s="1"/>
  <c r="G6373" i="1" a="1"/>
  <c r="G6373" i="1" s="1"/>
  <c r="G6363" i="1" a="1"/>
  <c r="G6363" i="1" s="1"/>
  <c r="G6353" i="1" a="1"/>
  <c r="G6353" i="1" s="1"/>
  <c r="G6343" i="1" a="1"/>
  <c r="G6343" i="1" s="1"/>
  <c r="G6333" i="1" a="1"/>
  <c r="G6333" i="1" s="1"/>
  <c r="G6323" i="1" a="1"/>
  <c r="G6323" i="1" s="1"/>
  <c r="G6313" i="1" a="1"/>
  <c r="G6313" i="1" s="1"/>
  <c r="G6303" i="1" a="1"/>
  <c r="G6303" i="1" s="1"/>
  <c r="G6293" i="1" a="1"/>
  <c r="G6293" i="1" s="1"/>
  <c r="G6283" i="1" a="1"/>
  <c r="G6283" i="1" s="1"/>
  <c r="G6273" i="1" a="1"/>
  <c r="G6273" i="1" s="1"/>
  <c r="G6263" i="1" a="1"/>
  <c r="G6263" i="1" s="1"/>
  <c r="G6253" i="1" a="1"/>
  <c r="G6253" i="1" s="1"/>
  <c r="G6243" i="1" a="1"/>
  <c r="G6243" i="1" s="1"/>
  <c r="G6233" i="1" a="1"/>
  <c r="G6233" i="1" s="1"/>
  <c r="G6223" i="1" a="1"/>
  <c r="G6223" i="1" s="1"/>
  <c r="G6213" i="1" a="1"/>
  <c r="G6213" i="1" s="1"/>
  <c r="G6203" i="1" a="1"/>
  <c r="G6203" i="1" s="1"/>
  <c r="G6193" i="1" a="1"/>
  <c r="G6193" i="1" s="1"/>
  <c r="G6183" i="1" a="1"/>
  <c r="G6183" i="1" s="1"/>
  <c r="G6173" i="1" a="1"/>
  <c r="G6173" i="1" s="1"/>
  <c r="G6163" i="1" a="1"/>
  <c r="G6163" i="1" s="1"/>
  <c r="G6153" i="1" a="1"/>
  <c r="G6153" i="1" s="1"/>
  <c r="G6143" i="1" a="1"/>
  <c r="G6143" i="1" s="1"/>
  <c r="G6133" i="1" a="1"/>
  <c r="G6133" i="1" s="1"/>
  <c r="G6123" i="1" a="1"/>
  <c r="G6123" i="1" s="1"/>
  <c r="G6113" i="1" a="1"/>
  <c r="G6113" i="1" s="1"/>
  <c r="G6103" i="1" a="1"/>
  <c r="G6103" i="1" s="1"/>
  <c r="G6093" i="1" a="1"/>
  <c r="G6093" i="1" s="1"/>
  <c r="G6083" i="1" a="1"/>
  <c r="G6083" i="1" s="1"/>
  <c r="G6073" i="1" a="1"/>
  <c r="G6073" i="1" s="1"/>
  <c r="G6063" i="1" a="1"/>
  <c r="G6063" i="1" s="1"/>
  <c r="G6053" i="1" a="1"/>
  <c r="G6053" i="1" s="1"/>
  <c r="G6043" i="1" a="1"/>
  <c r="G6043" i="1" s="1"/>
  <c r="G6033" i="1" a="1"/>
  <c r="G6033" i="1" s="1"/>
  <c r="G6023" i="1" a="1"/>
  <c r="G6023" i="1" s="1"/>
  <c r="G6013" i="1" a="1"/>
  <c r="G6013" i="1" s="1"/>
  <c r="G6003" i="1" a="1"/>
  <c r="G6003" i="1" s="1"/>
  <c r="G5993" i="1" a="1"/>
  <c r="G5993" i="1" s="1"/>
  <c r="G5983" i="1" a="1"/>
  <c r="G5983" i="1" s="1"/>
  <c r="G5973" i="1" a="1"/>
  <c r="G5973" i="1" s="1"/>
  <c r="G5963" i="1" a="1"/>
  <c r="G5963" i="1" s="1"/>
  <c r="G5953" i="1" a="1"/>
  <c r="G5953" i="1" s="1"/>
  <c r="G5943" i="1" a="1"/>
  <c r="G5943" i="1" s="1"/>
  <c r="G5933" i="1" a="1"/>
  <c r="G5933" i="1" s="1"/>
  <c r="G5923" i="1" a="1"/>
  <c r="G5923" i="1" s="1"/>
  <c r="G5913" i="1" a="1"/>
  <c r="G5913" i="1" s="1"/>
  <c r="G5903" i="1" a="1"/>
  <c r="G5903" i="1" s="1"/>
  <c r="G5893" i="1" a="1"/>
  <c r="G5893" i="1" s="1"/>
  <c r="G5883" i="1" a="1"/>
  <c r="G5883" i="1" s="1"/>
  <c r="G5873" i="1" a="1"/>
  <c r="G5873" i="1" s="1"/>
  <c r="G5863" i="1" a="1"/>
  <c r="G5863" i="1" s="1"/>
  <c r="G5853" i="1" a="1"/>
  <c r="G5853" i="1" s="1"/>
  <c r="G5843" i="1" a="1"/>
  <c r="G5843" i="1" s="1"/>
  <c r="G5833" i="1" a="1"/>
  <c r="G5833" i="1" s="1"/>
  <c r="G5823" i="1" a="1"/>
  <c r="G5823" i="1" s="1"/>
  <c r="G5813" i="1" a="1"/>
  <c r="G5813" i="1" s="1"/>
  <c r="G5803" i="1" a="1"/>
  <c r="G5803" i="1" s="1"/>
  <c r="G5793" i="1" a="1"/>
  <c r="G5793" i="1" s="1"/>
  <c r="G5783" i="1" a="1"/>
  <c r="G5783" i="1" s="1"/>
  <c r="G5773" i="1" a="1"/>
  <c r="G5773" i="1" s="1"/>
  <c r="G5763" i="1" a="1"/>
  <c r="G5763" i="1" s="1"/>
  <c r="G5753" i="1" a="1"/>
  <c r="G5753" i="1" s="1"/>
  <c r="G5743" i="1" a="1"/>
  <c r="G5743" i="1" s="1"/>
  <c r="G5733" i="1" a="1"/>
  <c r="G5733" i="1" s="1"/>
  <c r="G5723" i="1" a="1"/>
  <c r="G5723" i="1" s="1"/>
  <c r="G5713" i="1" a="1"/>
  <c r="G5713" i="1" s="1"/>
  <c r="G6432" i="1" a="1"/>
  <c r="G6432" i="1" s="1"/>
  <c r="G6422" i="1" a="1"/>
  <c r="G6422" i="1" s="1"/>
  <c r="G6412" i="1" a="1"/>
  <c r="G6412" i="1" s="1"/>
  <c r="G6402" i="1" a="1"/>
  <c r="G6402" i="1" s="1"/>
  <c r="G6392" i="1" a="1"/>
  <c r="G6392" i="1" s="1"/>
  <c r="G6382" i="1" a="1"/>
  <c r="G6382" i="1" s="1"/>
  <c r="G6372" i="1" a="1"/>
  <c r="G6372" i="1" s="1"/>
  <c r="G6362" i="1" a="1"/>
  <c r="G6362" i="1" s="1"/>
  <c r="G6352" i="1" a="1"/>
  <c r="G6352" i="1" s="1"/>
  <c r="G6342" i="1" a="1"/>
  <c r="G6342" i="1" s="1"/>
  <c r="G6332" i="1" a="1"/>
  <c r="G6332" i="1" s="1"/>
  <c r="G6322" i="1" a="1"/>
  <c r="G6322" i="1" s="1"/>
  <c r="G6312" i="1" a="1"/>
  <c r="G6312" i="1" s="1"/>
  <c r="G6302" i="1" a="1"/>
  <c r="G6302" i="1" s="1"/>
  <c r="G6292" i="1" a="1"/>
  <c r="G6292" i="1" s="1"/>
  <c r="G6282" i="1" a="1"/>
  <c r="G6282" i="1" s="1"/>
  <c r="G6272" i="1" a="1"/>
  <c r="G6272" i="1" s="1"/>
  <c r="G6262" i="1" a="1"/>
  <c r="G6262" i="1" s="1"/>
  <c r="G6252" i="1" a="1"/>
  <c r="G6252" i="1" s="1"/>
  <c r="G6242" i="1" a="1"/>
  <c r="G6242" i="1" s="1"/>
  <c r="G6232" i="1" a="1"/>
  <c r="G6232" i="1" s="1"/>
  <c r="G6222" i="1" a="1"/>
  <c r="G6222" i="1" s="1"/>
  <c r="G6212" i="1" a="1"/>
  <c r="G6212" i="1" s="1"/>
  <c r="G6202" i="1" a="1"/>
  <c r="G6202" i="1" s="1"/>
  <c r="G6192" i="1" a="1"/>
  <c r="G6192" i="1" s="1"/>
  <c r="G6182" i="1" a="1"/>
  <c r="G6182" i="1" s="1"/>
  <c r="G6172" i="1" a="1"/>
  <c r="G6172" i="1" s="1"/>
  <c r="G6162" i="1" a="1"/>
  <c r="G6162" i="1" s="1"/>
  <c r="G6152" i="1" a="1"/>
  <c r="G6152" i="1" s="1"/>
  <c r="G6142" i="1" a="1"/>
  <c r="G6142" i="1" s="1"/>
  <c r="G6132" i="1" a="1"/>
  <c r="G6132" i="1" s="1"/>
  <c r="G6122" i="1" a="1"/>
  <c r="G6122" i="1" s="1"/>
  <c r="G6112" i="1" a="1"/>
  <c r="G6112" i="1" s="1"/>
  <c r="G6102" i="1" a="1"/>
  <c r="G6102" i="1" s="1"/>
  <c r="G6092" i="1" a="1"/>
  <c r="G6092" i="1" s="1"/>
  <c r="G6082" i="1" a="1"/>
  <c r="G6082" i="1" s="1"/>
  <c r="G6072" i="1" a="1"/>
  <c r="G6072" i="1" s="1"/>
  <c r="G6062" i="1" a="1"/>
  <c r="G6062" i="1" s="1"/>
  <c r="G6052" i="1" a="1"/>
  <c r="G6052" i="1" s="1"/>
  <c r="G6042" i="1" a="1"/>
  <c r="G6042" i="1" s="1"/>
  <c r="G6032" i="1" a="1"/>
  <c r="G6032" i="1" s="1"/>
  <c r="G6022" i="1" a="1"/>
  <c r="G6022" i="1" s="1"/>
  <c r="G6012" i="1" a="1"/>
  <c r="G6012" i="1" s="1"/>
  <c r="G6002" i="1" a="1"/>
  <c r="G6002" i="1" s="1"/>
  <c r="G5992" i="1" a="1"/>
  <c r="G5992" i="1" s="1"/>
  <c r="G5982" i="1" a="1"/>
  <c r="G5982" i="1" s="1"/>
  <c r="G5972" i="1" a="1"/>
  <c r="G5972" i="1" s="1"/>
  <c r="G5962" i="1" a="1"/>
  <c r="G5962" i="1" s="1"/>
  <c r="G5952" i="1" a="1"/>
  <c r="G5952" i="1" s="1"/>
  <c r="G5942" i="1" a="1"/>
  <c r="G5942" i="1" s="1"/>
  <c r="G5932" i="1" a="1"/>
  <c r="G5932" i="1" s="1"/>
  <c r="G5922" i="1" a="1"/>
  <c r="G5922" i="1" s="1"/>
  <c r="G5912" i="1" a="1"/>
  <c r="G5912" i="1" s="1"/>
  <c r="G5902" i="1" a="1"/>
  <c r="G5902" i="1" s="1"/>
  <c r="G5892" i="1" a="1"/>
  <c r="G5892" i="1" s="1"/>
  <c r="G5882" i="1" a="1"/>
  <c r="G5882" i="1" s="1"/>
  <c r="G5872" i="1" a="1"/>
  <c r="G5872" i="1" s="1"/>
  <c r="G5862" i="1" a="1"/>
  <c r="G5862" i="1" s="1"/>
  <c r="G5852" i="1" a="1"/>
  <c r="G5852" i="1" s="1"/>
  <c r="G5842" i="1" a="1"/>
  <c r="G5842" i="1" s="1"/>
  <c r="G5832" i="1" a="1"/>
  <c r="G5832" i="1" s="1"/>
  <c r="G5822" i="1" a="1"/>
  <c r="G5822" i="1" s="1"/>
  <c r="G5812" i="1" a="1"/>
  <c r="G5812" i="1" s="1"/>
  <c r="G5802" i="1" a="1"/>
  <c r="G5802" i="1" s="1"/>
  <c r="G5792" i="1" a="1"/>
  <c r="G5792" i="1" s="1"/>
  <c r="G5782" i="1" a="1"/>
  <c r="G5782" i="1" s="1"/>
  <c r="G5772" i="1" a="1"/>
  <c r="G5772" i="1" s="1"/>
  <c r="G5762" i="1" a="1"/>
  <c r="G5762" i="1" s="1"/>
  <c r="G5752" i="1" a="1"/>
  <c r="G5752" i="1" s="1"/>
  <c r="G5742" i="1" a="1"/>
  <c r="G5742" i="1" s="1"/>
  <c r="G5732" i="1" a="1"/>
  <c r="G5732" i="1" s="1"/>
  <c r="G5722" i="1" a="1"/>
  <c r="G5722" i="1" s="1"/>
  <c r="G5712" i="1" a="1"/>
  <c r="G5712" i="1" s="1"/>
  <c r="G5702" i="1" a="1"/>
  <c r="G5702" i="1" s="1"/>
  <c r="G5692" i="1" a="1"/>
  <c r="G5692" i="1" s="1"/>
  <c r="G5682" i="1" a="1"/>
  <c r="G5682" i="1" s="1"/>
  <c r="G5672" i="1" a="1"/>
  <c r="G5672" i="1" s="1"/>
  <c r="G5662" i="1" a="1"/>
  <c r="G5662" i="1" s="1"/>
  <c r="G5652" i="1" a="1"/>
  <c r="G5652" i="1" s="1"/>
  <c r="G5642" i="1" a="1"/>
  <c r="G5642" i="1" s="1"/>
  <c r="G5632" i="1" a="1"/>
  <c r="G5632" i="1" s="1"/>
  <c r="G5622" i="1" a="1"/>
  <c r="G5622" i="1" s="1"/>
  <c r="G6481" i="1" a="1"/>
  <c r="G6481" i="1" s="1"/>
  <c r="G6471" i="1" a="1"/>
  <c r="G6471" i="1" s="1"/>
  <c r="G6461" i="1" a="1"/>
  <c r="G6461" i="1" s="1"/>
  <c r="G6451" i="1" a="1"/>
  <c r="G6451" i="1" s="1"/>
  <c r="G6441" i="1" a="1"/>
  <c r="G6441" i="1" s="1"/>
  <c r="G6431" i="1" a="1"/>
  <c r="G6431" i="1" s="1"/>
  <c r="G6421" i="1" a="1"/>
  <c r="G6421" i="1" s="1"/>
  <c r="G6411" i="1" a="1"/>
  <c r="G6411" i="1" s="1"/>
  <c r="G6401" i="1" a="1"/>
  <c r="G6401" i="1" s="1"/>
  <c r="G6391" i="1" a="1"/>
  <c r="G6391" i="1" s="1"/>
  <c r="G6381" i="1" a="1"/>
  <c r="G6381" i="1" s="1"/>
  <c r="G6371" i="1" a="1"/>
  <c r="G6371" i="1" s="1"/>
  <c r="G6361" i="1" a="1"/>
  <c r="G6361" i="1" s="1"/>
  <c r="G6351" i="1" a="1"/>
  <c r="G6351" i="1" s="1"/>
  <c r="G6341" i="1" a="1"/>
  <c r="G6341" i="1" s="1"/>
  <c r="G6331" i="1" a="1"/>
  <c r="G6331" i="1" s="1"/>
  <c r="G6321" i="1" a="1"/>
  <c r="G6321" i="1" s="1"/>
  <c r="G6311" i="1" a="1"/>
  <c r="G6311" i="1" s="1"/>
  <c r="G6301" i="1" a="1"/>
  <c r="G6301" i="1" s="1"/>
  <c r="G6291" i="1" a="1"/>
  <c r="G6291" i="1" s="1"/>
  <c r="G6281" i="1" a="1"/>
  <c r="G6281" i="1" s="1"/>
  <c r="G6271" i="1" a="1"/>
  <c r="G6271" i="1" s="1"/>
  <c r="G6261" i="1" a="1"/>
  <c r="G6261" i="1" s="1"/>
  <c r="G6251" i="1" a="1"/>
  <c r="G6251" i="1" s="1"/>
  <c r="G6241" i="1" a="1"/>
  <c r="G6241" i="1" s="1"/>
  <c r="G6231" i="1" a="1"/>
  <c r="G6231" i="1" s="1"/>
  <c r="G6221" i="1" a="1"/>
  <c r="G6221" i="1" s="1"/>
  <c r="G6211" i="1" a="1"/>
  <c r="G6211" i="1" s="1"/>
  <c r="G6201" i="1" a="1"/>
  <c r="G6201" i="1" s="1"/>
  <c r="G6191" i="1" a="1"/>
  <c r="G6191" i="1" s="1"/>
  <c r="G6181" i="1" a="1"/>
  <c r="G6181" i="1" s="1"/>
  <c r="G6171" i="1" a="1"/>
  <c r="G6171" i="1" s="1"/>
  <c r="G6161" i="1" a="1"/>
  <c r="G6161" i="1" s="1"/>
  <c r="G6151" i="1" a="1"/>
  <c r="G6151" i="1" s="1"/>
  <c r="G6141" i="1" a="1"/>
  <c r="G6141" i="1" s="1"/>
  <c r="G6131" i="1" a="1"/>
  <c r="G6131" i="1" s="1"/>
  <c r="G6121" i="1" a="1"/>
  <c r="G6121" i="1" s="1"/>
  <c r="G6111" i="1" a="1"/>
  <c r="G6111" i="1" s="1"/>
  <c r="G6101" i="1" a="1"/>
  <c r="G6101" i="1" s="1"/>
  <c r="G6091" i="1" a="1"/>
  <c r="G6091" i="1" s="1"/>
  <c r="G6081" i="1" a="1"/>
  <c r="G6081" i="1" s="1"/>
  <c r="G6071" i="1" a="1"/>
  <c r="G6071" i="1" s="1"/>
  <c r="G6061" i="1" a="1"/>
  <c r="G6061" i="1" s="1"/>
  <c r="G6051" i="1" a="1"/>
  <c r="G6051" i="1" s="1"/>
  <c r="G6041" i="1" a="1"/>
  <c r="G6041" i="1" s="1"/>
  <c r="G6031" i="1" a="1"/>
  <c r="G6031" i="1" s="1"/>
  <c r="G6021" i="1" a="1"/>
  <c r="G6021" i="1" s="1"/>
  <c r="G6011" i="1" a="1"/>
  <c r="G6011" i="1" s="1"/>
  <c r="G6001" i="1" a="1"/>
  <c r="G6001" i="1" s="1"/>
  <c r="G5991" i="1" a="1"/>
  <c r="G5991" i="1" s="1"/>
  <c r="G5981" i="1" a="1"/>
  <c r="G5981" i="1" s="1"/>
  <c r="G5971" i="1" a="1"/>
  <c r="G5971" i="1" s="1"/>
  <c r="G5961" i="1" a="1"/>
  <c r="G5961" i="1" s="1"/>
  <c r="G5951" i="1" a="1"/>
  <c r="G5951" i="1" s="1"/>
  <c r="G5941" i="1" a="1"/>
  <c r="G5941" i="1" s="1"/>
  <c r="G5931" i="1" a="1"/>
  <c r="G5931" i="1" s="1"/>
  <c r="G5921" i="1" a="1"/>
  <c r="G5921" i="1" s="1"/>
  <c r="G5911" i="1" a="1"/>
  <c r="G5911" i="1" s="1"/>
  <c r="G5901" i="1" a="1"/>
  <c r="G5901" i="1" s="1"/>
  <c r="G5891" i="1" a="1"/>
  <c r="G5891" i="1" s="1"/>
  <c r="G5881" i="1" a="1"/>
  <c r="G5881" i="1" s="1"/>
  <c r="G5871" i="1" a="1"/>
  <c r="G5871" i="1" s="1"/>
  <c r="G5861" i="1" a="1"/>
  <c r="G5861" i="1" s="1"/>
  <c r="G5851" i="1" a="1"/>
  <c r="G5851" i="1" s="1"/>
  <c r="G5841" i="1" a="1"/>
  <c r="G5841" i="1" s="1"/>
  <c r="G5831" i="1" a="1"/>
  <c r="G5831" i="1" s="1"/>
  <c r="G5821" i="1" a="1"/>
  <c r="G5821" i="1" s="1"/>
  <c r="G5811" i="1" a="1"/>
  <c r="G5811" i="1" s="1"/>
  <c r="G5801" i="1" a="1"/>
  <c r="G5801" i="1" s="1"/>
  <c r="G5791" i="1" a="1"/>
  <c r="G5791" i="1" s="1"/>
  <c r="G5781" i="1" a="1"/>
  <c r="G5781" i="1" s="1"/>
  <c r="G5771" i="1" a="1"/>
  <c r="G5771" i="1" s="1"/>
  <c r="G5761" i="1" a="1"/>
  <c r="G5761" i="1" s="1"/>
  <c r="G5751" i="1" a="1"/>
  <c r="G5751" i="1" s="1"/>
  <c r="G5741" i="1" a="1"/>
  <c r="G5741" i="1" s="1"/>
  <c r="G5731" i="1" a="1"/>
  <c r="G5731" i="1" s="1"/>
  <c r="G5721" i="1" a="1"/>
  <c r="G5721" i="1" s="1"/>
  <c r="G5711" i="1" a="1"/>
  <c r="G5711" i="1" s="1"/>
  <c r="G5701" i="1" a="1"/>
  <c r="G5701" i="1" s="1"/>
  <c r="G6760" i="1" a="1"/>
  <c r="G6760" i="1" s="1"/>
  <c r="G6750" i="1" a="1"/>
  <c r="G6750" i="1" s="1"/>
  <c r="G6740" i="1" a="1"/>
  <c r="G6740" i="1" s="1"/>
  <c r="G6730" i="1" a="1"/>
  <c r="G6730" i="1" s="1"/>
  <c r="G6720" i="1" a="1"/>
  <c r="G6720" i="1" s="1"/>
  <c r="G6710" i="1" a="1"/>
  <c r="G6710" i="1" s="1"/>
  <c r="G6700" i="1" a="1"/>
  <c r="G6700" i="1" s="1"/>
  <c r="G6690" i="1" a="1"/>
  <c r="G6690" i="1" s="1"/>
  <c r="G6680" i="1" a="1"/>
  <c r="G6680" i="1" s="1"/>
  <c r="G6670" i="1" a="1"/>
  <c r="G6670" i="1" s="1"/>
  <c r="G6660" i="1" a="1"/>
  <c r="G6660" i="1" s="1"/>
  <c r="G6650" i="1" a="1"/>
  <c r="G6650" i="1" s="1"/>
  <c r="G6640" i="1" a="1"/>
  <c r="G6640" i="1" s="1"/>
  <c r="G6630" i="1" a="1"/>
  <c r="G6630" i="1" s="1"/>
  <c r="G6620" i="1" a="1"/>
  <c r="G6620" i="1" s="1"/>
  <c r="G6610" i="1" a="1"/>
  <c r="G6610" i="1" s="1"/>
  <c r="G6600" i="1" a="1"/>
  <c r="G6600" i="1" s="1"/>
  <c r="G6590" i="1" a="1"/>
  <c r="G6590" i="1" s="1"/>
  <c r="G6580" i="1" a="1"/>
  <c r="G6580" i="1" s="1"/>
  <c r="G6570" i="1" a="1"/>
  <c r="G6570" i="1" s="1"/>
  <c r="G6560" i="1" a="1"/>
  <c r="G6560" i="1" s="1"/>
  <c r="G6550" i="1" a="1"/>
  <c r="G6550" i="1" s="1"/>
  <c r="G6540" i="1" a="1"/>
  <c r="G6540" i="1" s="1"/>
  <c r="G6530" i="1" a="1"/>
  <c r="G6530" i="1" s="1"/>
  <c r="G6520" i="1" a="1"/>
  <c r="G6520" i="1" s="1"/>
  <c r="G6510" i="1" a="1"/>
  <c r="G6510" i="1" s="1"/>
  <c r="G6500" i="1" a="1"/>
  <c r="G6500" i="1" s="1"/>
  <c r="G6490" i="1" a="1"/>
  <c r="G6490" i="1" s="1"/>
  <c r="G6480" i="1" a="1"/>
  <c r="G6480" i="1" s="1"/>
  <c r="G6470" i="1" a="1"/>
  <c r="G6470" i="1" s="1"/>
  <c r="G6460" i="1" a="1"/>
  <c r="G6460" i="1" s="1"/>
  <c r="G6450" i="1" a="1"/>
  <c r="G6450" i="1" s="1"/>
  <c r="G6440" i="1" a="1"/>
  <c r="G6440" i="1" s="1"/>
  <c r="G6430" i="1" a="1"/>
  <c r="G6430" i="1" s="1"/>
  <c r="G6420" i="1" a="1"/>
  <c r="G6420" i="1" s="1"/>
  <c r="G6410" i="1" a="1"/>
  <c r="G6410" i="1" s="1"/>
  <c r="G6400" i="1" a="1"/>
  <c r="G6400" i="1" s="1"/>
  <c r="G6390" i="1" a="1"/>
  <c r="G6390" i="1" s="1"/>
  <c r="G6380" i="1" a="1"/>
  <c r="G6380" i="1" s="1"/>
  <c r="G6370" i="1" a="1"/>
  <c r="G6370" i="1" s="1"/>
  <c r="G6360" i="1" a="1"/>
  <c r="G6360" i="1" s="1"/>
  <c r="G6350" i="1" a="1"/>
  <c r="G6350" i="1" s="1"/>
  <c r="G6340" i="1" a="1"/>
  <c r="G6340" i="1" s="1"/>
  <c r="G6330" i="1" a="1"/>
  <c r="G6330" i="1" s="1"/>
  <c r="G6320" i="1" a="1"/>
  <c r="G6320" i="1" s="1"/>
  <c r="G6310" i="1" a="1"/>
  <c r="G6310" i="1" s="1"/>
  <c r="G6300" i="1" a="1"/>
  <c r="G6300" i="1" s="1"/>
  <c r="G6290" i="1" a="1"/>
  <c r="G6290" i="1" s="1"/>
  <c r="G6280" i="1" a="1"/>
  <c r="G6280" i="1" s="1"/>
  <c r="G6270" i="1" a="1"/>
  <c r="G6270" i="1" s="1"/>
  <c r="G6260" i="1" a="1"/>
  <c r="G6260" i="1" s="1"/>
  <c r="G6250" i="1" a="1"/>
  <c r="G6250" i="1" s="1"/>
  <c r="G6240" i="1" a="1"/>
  <c r="G6240" i="1" s="1"/>
  <c r="G6230" i="1" a="1"/>
  <c r="G6230" i="1" s="1"/>
  <c r="G6220" i="1" a="1"/>
  <c r="G6220" i="1" s="1"/>
  <c r="G6210" i="1" a="1"/>
  <c r="G6210" i="1" s="1"/>
  <c r="G6200" i="1" a="1"/>
  <c r="G6200" i="1" s="1"/>
  <c r="G6190" i="1" a="1"/>
  <c r="G6190" i="1" s="1"/>
  <c r="G6180" i="1" a="1"/>
  <c r="G6180" i="1" s="1"/>
  <c r="G6170" i="1" a="1"/>
  <c r="G6170" i="1" s="1"/>
  <c r="G6160" i="1" a="1"/>
  <c r="G6160" i="1" s="1"/>
  <c r="G6150" i="1" a="1"/>
  <c r="G6150" i="1" s="1"/>
  <c r="G6140" i="1" a="1"/>
  <c r="G6140" i="1" s="1"/>
  <c r="G6130" i="1" a="1"/>
  <c r="G6130" i="1" s="1"/>
  <c r="G6120" i="1" a="1"/>
  <c r="G6120" i="1" s="1"/>
  <c r="G6110" i="1" a="1"/>
  <c r="G6110" i="1" s="1"/>
  <c r="G6100" i="1" a="1"/>
  <c r="G6100" i="1" s="1"/>
  <c r="G6090" i="1" a="1"/>
  <c r="G6090" i="1" s="1"/>
  <c r="G6080" i="1" a="1"/>
  <c r="G6080" i="1" s="1"/>
  <c r="G6070" i="1" a="1"/>
  <c r="G6070" i="1" s="1"/>
  <c r="G6060" i="1" a="1"/>
  <c r="G6060" i="1" s="1"/>
  <c r="G6050" i="1" a="1"/>
  <c r="G6050" i="1" s="1"/>
  <c r="G6040" i="1" a="1"/>
  <c r="G6040" i="1" s="1"/>
  <c r="G6030" i="1" a="1"/>
  <c r="G6030" i="1" s="1"/>
  <c r="G6020" i="1" a="1"/>
  <c r="G6020" i="1" s="1"/>
  <c r="G6010" i="1" a="1"/>
  <c r="G6010" i="1" s="1"/>
  <c r="G6000" i="1" a="1"/>
  <c r="G6000" i="1" s="1"/>
  <c r="G5990" i="1" a="1"/>
  <c r="G5990" i="1" s="1"/>
  <c r="G5980" i="1" a="1"/>
  <c r="G5980" i="1" s="1"/>
  <c r="G5970" i="1" a="1"/>
  <c r="G5970" i="1" s="1"/>
  <c r="G5960" i="1" a="1"/>
  <c r="G5960" i="1" s="1"/>
  <c r="G5950" i="1" a="1"/>
  <c r="G5950" i="1" s="1"/>
  <c r="G5940" i="1" a="1"/>
  <c r="G5940" i="1" s="1"/>
  <c r="G5930" i="1" a="1"/>
  <c r="G5930" i="1" s="1"/>
  <c r="G5920" i="1" a="1"/>
  <c r="G5920" i="1" s="1"/>
  <c r="G5910" i="1" a="1"/>
  <c r="G5910" i="1" s="1"/>
  <c r="G6919" i="1" a="1"/>
  <c r="G6919" i="1" s="1"/>
  <c r="G6909" i="1" a="1"/>
  <c r="G6909" i="1" s="1"/>
  <c r="G6899" i="1" a="1"/>
  <c r="G6899" i="1" s="1"/>
  <c r="G6889" i="1" a="1"/>
  <c r="G6889" i="1" s="1"/>
  <c r="G6879" i="1" a="1"/>
  <c r="G6879" i="1" s="1"/>
  <c r="G6869" i="1" a="1"/>
  <c r="G6869" i="1" s="1"/>
  <c r="G6859" i="1" a="1"/>
  <c r="G6859" i="1" s="1"/>
  <c r="G6849" i="1" a="1"/>
  <c r="G6849" i="1" s="1"/>
  <c r="G6839" i="1" a="1"/>
  <c r="G6839" i="1" s="1"/>
  <c r="G6829" i="1" a="1"/>
  <c r="G6829" i="1" s="1"/>
  <c r="G6819" i="1" a="1"/>
  <c r="G6819" i="1" s="1"/>
  <c r="G6809" i="1" a="1"/>
  <c r="G6809" i="1" s="1"/>
  <c r="G6799" i="1" a="1"/>
  <c r="G6799" i="1" s="1"/>
  <c r="G6789" i="1" a="1"/>
  <c r="G6789" i="1" s="1"/>
  <c r="G6779" i="1" a="1"/>
  <c r="G6779" i="1" s="1"/>
  <c r="G6769" i="1" a="1"/>
  <c r="G6769" i="1" s="1"/>
  <c r="G6759" i="1" a="1"/>
  <c r="G6759" i="1" s="1"/>
  <c r="G6749" i="1" a="1"/>
  <c r="G6749" i="1" s="1"/>
  <c r="G6739" i="1" a="1"/>
  <c r="G6739" i="1" s="1"/>
  <c r="G6729" i="1" a="1"/>
  <c r="G6729" i="1" s="1"/>
  <c r="G6719" i="1" a="1"/>
  <c r="G6719" i="1" s="1"/>
  <c r="G6709" i="1" a="1"/>
  <c r="G6709" i="1" s="1"/>
  <c r="G6699" i="1" a="1"/>
  <c r="G6699" i="1" s="1"/>
  <c r="G6689" i="1" a="1"/>
  <c r="G6689" i="1" s="1"/>
  <c r="G6679" i="1" a="1"/>
  <c r="G6679" i="1" s="1"/>
  <c r="G6669" i="1" a="1"/>
  <c r="G6669" i="1" s="1"/>
  <c r="G6659" i="1" a="1"/>
  <c r="G6659" i="1" s="1"/>
  <c r="G6649" i="1" a="1"/>
  <c r="G6649" i="1" s="1"/>
  <c r="G6639" i="1" a="1"/>
  <c r="G6639" i="1" s="1"/>
  <c r="G6629" i="1" a="1"/>
  <c r="G6629" i="1" s="1"/>
  <c r="G6619" i="1" a="1"/>
  <c r="G6619" i="1" s="1"/>
  <c r="G6609" i="1" a="1"/>
  <c r="G6609" i="1" s="1"/>
  <c r="G6599" i="1" a="1"/>
  <c r="G6599" i="1" s="1"/>
  <c r="G6589" i="1" a="1"/>
  <c r="G6589" i="1" s="1"/>
  <c r="G6579" i="1" a="1"/>
  <c r="G6579" i="1" s="1"/>
  <c r="G6569" i="1" a="1"/>
  <c r="G6569" i="1" s="1"/>
  <c r="G6559" i="1" a="1"/>
  <c r="G6559" i="1" s="1"/>
  <c r="G6549" i="1" a="1"/>
  <c r="G6549" i="1" s="1"/>
  <c r="G6539" i="1" a="1"/>
  <c r="G6539" i="1" s="1"/>
  <c r="G6529" i="1" a="1"/>
  <c r="G6529" i="1" s="1"/>
  <c r="G6519" i="1" a="1"/>
  <c r="G6519" i="1" s="1"/>
  <c r="G6509" i="1" a="1"/>
  <c r="G6509" i="1" s="1"/>
  <c r="G6499" i="1" a="1"/>
  <c r="G6499" i="1" s="1"/>
  <c r="G6489" i="1" a="1"/>
  <c r="G6489" i="1" s="1"/>
  <c r="G6479" i="1" a="1"/>
  <c r="G6479" i="1" s="1"/>
  <c r="G6469" i="1" a="1"/>
  <c r="G6469" i="1" s="1"/>
  <c r="G6459" i="1" a="1"/>
  <c r="G6459" i="1" s="1"/>
  <c r="G6449" i="1" a="1"/>
  <c r="G6449" i="1" s="1"/>
  <c r="G6439" i="1" a="1"/>
  <c r="G6439" i="1" s="1"/>
  <c r="G6429" i="1" a="1"/>
  <c r="G6429" i="1" s="1"/>
  <c r="G6419" i="1" a="1"/>
  <c r="G6419" i="1" s="1"/>
  <c r="G6409" i="1" a="1"/>
  <c r="G6409" i="1" s="1"/>
  <c r="G6399" i="1" a="1"/>
  <c r="G6399" i="1" s="1"/>
  <c r="G6389" i="1" a="1"/>
  <c r="G6389" i="1" s="1"/>
  <c r="G6379" i="1" a="1"/>
  <c r="G6379" i="1" s="1"/>
  <c r="G6369" i="1" a="1"/>
  <c r="G6369" i="1" s="1"/>
  <c r="G6359" i="1" a="1"/>
  <c r="G6359" i="1" s="1"/>
  <c r="G6349" i="1" a="1"/>
  <c r="G6349" i="1" s="1"/>
  <c r="G6339" i="1" a="1"/>
  <c r="G6339" i="1" s="1"/>
  <c r="G6329" i="1" a="1"/>
  <c r="G6329" i="1" s="1"/>
  <c r="G6319" i="1" a="1"/>
  <c r="G6319" i="1" s="1"/>
  <c r="G6309" i="1" a="1"/>
  <c r="G6309" i="1" s="1"/>
  <c r="G6299" i="1" a="1"/>
  <c r="G6299" i="1" s="1"/>
  <c r="G6289" i="1" a="1"/>
  <c r="G6289" i="1" s="1"/>
  <c r="G6279" i="1" a="1"/>
  <c r="G6279" i="1" s="1"/>
  <c r="G6269" i="1" a="1"/>
  <c r="G6269" i="1" s="1"/>
  <c r="G6259" i="1" a="1"/>
  <c r="G6259" i="1" s="1"/>
  <c r="G6249" i="1" a="1"/>
  <c r="G6249" i="1" s="1"/>
  <c r="G6239" i="1" a="1"/>
  <c r="G6239" i="1" s="1"/>
  <c r="G6229" i="1" a="1"/>
  <c r="G6229" i="1" s="1"/>
  <c r="G6219" i="1" a="1"/>
  <c r="G6219" i="1" s="1"/>
  <c r="G6209" i="1" a="1"/>
  <c r="G6209" i="1" s="1"/>
  <c r="G6199" i="1" a="1"/>
  <c r="G6199" i="1" s="1"/>
  <c r="G6189" i="1" a="1"/>
  <c r="G6189" i="1" s="1"/>
  <c r="G6179" i="1" a="1"/>
  <c r="G6179" i="1" s="1"/>
  <c r="G6169" i="1" a="1"/>
  <c r="G6169" i="1" s="1"/>
  <c r="G6159" i="1" a="1"/>
  <c r="G6159" i="1" s="1"/>
  <c r="G6149" i="1" a="1"/>
  <c r="G6149" i="1" s="1"/>
  <c r="G6139" i="1" a="1"/>
  <c r="G6139" i="1" s="1"/>
  <c r="G6129" i="1" a="1"/>
  <c r="G6129" i="1" s="1"/>
  <c r="G6119" i="1" a="1"/>
  <c r="G6119" i="1" s="1"/>
  <c r="G6109" i="1" a="1"/>
  <c r="G6109" i="1" s="1"/>
  <c r="G6099" i="1" a="1"/>
  <c r="G6099" i="1" s="1"/>
  <c r="G6089" i="1" a="1"/>
  <c r="G6089" i="1" s="1"/>
  <c r="G6079" i="1" a="1"/>
  <c r="G6079" i="1" s="1"/>
  <c r="G6069" i="1" a="1"/>
  <c r="G6069" i="1" s="1"/>
  <c r="G6059" i="1" a="1"/>
  <c r="G6059" i="1" s="1"/>
  <c r="G6049" i="1" a="1"/>
  <c r="G6049" i="1" s="1"/>
  <c r="G6039" i="1" a="1"/>
  <c r="G6039" i="1" s="1"/>
  <c r="G6788" i="1" a="1"/>
  <c r="G6788" i="1" s="1"/>
  <c r="G6778" i="1" a="1"/>
  <c r="G6778" i="1" s="1"/>
  <c r="G6768" i="1" a="1"/>
  <c r="G6768" i="1" s="1"/>
  <c r="G6758" i="1" a="1"/>
  <c r="G6758" i="1" s="1"/>
  <c r="G6748" i="1" a="1"/>
  <c r="G6748" i="1" s="1"/>
  <c r="G6738" i="1" a="1"/>
  <c r="G6738" i="1" s="1"/>
  <c r="G6728" i="1" a="1"/>
  <c r="G6728" i="1" s="1"/>
  <c r="G6718" i="1" a="1"/>
  <c r="G6718" i="1" s="1"/>
  <c r="G6708" i="1" a="1"/>
  <c r="G6708" i="1" s="1"/>
  <c r="G6698" i="1" a="1"/>
  <c r="G6698" i="1" s="1"/>
  <c r="G6688" i="1" a="1"/>
  <c r="G6688" i="1" s="1"/>
  <c r="G6678" i="1" a="1"/>
  <c r="G6678" i="1" s="1"/>
  <c r="G6668" i="1" a="1"/>
  <c r="G6668" i="1" s="1"/>
  <c r="G6658" i="1" a="1"/>
  <c r="G6658" i="1" s="1"/>
  <c r="G6648" i="1" a="1"/>
  <c r="G6648" i="1" s="1"/>
  <c r="G6638" i="1" a="1"/>
  <c r="G6638" i="1" s="1"/>
  <c r="G6628" i="1" a="1"/>
  <c r="G6628" i="1" s="1"/>
  <c r="G6618" i="1" a="1"/>
  <c r="G6618" i="1" s="1"/>
  <c r="G6608" i="1" a="1"/>
  <c r="G6608" i="1" s="1"/>
  <c r="G6598" i="1" a="1"/>
  <c r="G6598" i="1" s="1"/>
  <c r="G6588" i="1" a="1"/>
  <c r="G6588" i="1" s="1"/>
  <c r="G6578" i="1" a="1"/>
  <c r="G6578" i="1" s="1"/>
  <c r="G6568" i="1" a="1"/>
  <c r="G6568" i="1" s="1"/>
  <c r="G6558" i="1" a="1"/>
  <c r="G6558" i="1" s="1"/>
  <c r="G6548" i="1" a="1"/>
  <c r="G6548" i="1" s="1"/>
  <c r="G6538" i="1" a="1"/>
  <c r="G6538" i="1" s="1"/>
  <c r="G6528" i="1" a="1"/>
  <c r="G6528" i="1" s="1"/>
  <c r="G6518" i="1" a="1"/>
  <c r="G6518" i="1" s="1"/>
  <c r="G6508" i="1" a="1"/>
  <c r="G6508" i="1" s="1"/>
  <c r="G6498" i="1" a="1"/>
  <c r="G6498" i="1" s="1"/>
  <c r="G6488" i="1" a="1"/>
  <c r="G6488" i="1" s="1"/>
  <c r="G6478" i="1" a="1"/>
  <c r="G6478" i="1" s="1"/>
  <c r="G6468" i="1" a="1"/>
  <c r="G6468" i="1" s="1"/>
  <c r="G6458" i="1" a="1"/>
  <c r="G6458" i="1" s="1"/>
  <c r="G6448" i="1" a="1"/>
  <c r="G6448" i="1" s="1"/>
  <c r="G6438" i="1" a="1"/>
  <c r="G6438" i="1" s="1"/>
  <c r="G6428" i="1" a="1"/>
  <c r="G6428" i="1" s="1"/>
  <c r="G6418" i="1" a="1"/>
  <c r="G6418" i="1" s="1"/>
  <c r="G6408" i="1" a="1"/>
  <c r="G6408" i="1" s="1"/>
  <c r="G6398" i="1" a="1"/>
  <c r="G6398" i="1" s="1"/>
  <c r="G6388" i="1" a="1"/>
  <c r="G6388" i="1" s="1"/>
  <c r="G6378" i="1" a="1"/>
  <c r="G6378" i="1" s="1"/>
  <c r="G6368" i="1" a="1"/>
  <c r="G6368" i="1" s="1"/>
  <c r="G6358" i="1" a="1"/>
  <c r="G6358" i="1" s="1"/>
  <c r="G6348" i="1" a="1"/>
  <c r="G6348" i="1" s="1"/>
  <c r="G6338" i="1" a="1"/>
  <c r="G6338" i="1" s="1"/>
  <c r="G6328" i="1" a="1"/>
  <c r="G6328" i="1" s="1"/>
  <c r="G6318" i="1" a="1"/>
  <c r="G6318" i="1" s="1"/>
  <c r="G6308" i="1" a="1"/>
  <c r="G6308" i="1" s="1"/>
  <c r="G6298" i="1" a="1"/>
  <c r="G6298" i="1" s="1"/>
  <c r="G6288" i="1" a="1"/>
  <c r="G6288" i="1" s="1"/>
  <c r="G6278" i="1" a="1"/>
  <c r="G6278" i="1" s="1"/>
  <c r="G6268" i="1" a="1"/>
  <c r="G6268" i="1" s="1"/>
  <c r="G6258" i="1" a="1"/>
  <c r="G6258" i="1" s="1"/>
  <c r="G6248" i="1" a="1"/>
  <c r="G6248" i="1" s="1"/>
  <c r="G6238" i="1" a="1"/>
  <c r="G6238" i="1" s="1"/>
  <c r="G6228" i="1" a="1"/>
  <c r="G6228" i="1" s="1"/>
  <c r="G6218" i="1" a="1"/>
  <c r="G6218" i="1" s="1"/>
  <c r="G6208" i="1" a="1"/>
  <c r="G6208" i="1" s="1"/>
  <c r="G6198" i="1" a="1"/>
  <c r="G6198" i="1" s="1"/>
  <c r="G6188" i="1" a="1"/>
  <c r="G6188" i="1" s="1"/>
  <c r="G6178" i="1" a="1"/>
  <c r="G6178" i="1" s="1"/>
  <c r="G6168" i="1" a="1"/>
  <c r="G6168" i="1" s="1"/>
  <c r="G6158" i="1" a="1"/>
  <c r="G6158" i="1" s="1"/>
  <c r="G6148" i="1" a="1"/>
  <c r="G6148" i="1" s="1"/>
  <c r="G6138" i="1" a="1"/>
  <c r="G6138" i="1" s="1"/>
  <c r="G6128" i="1" a="1"/>
  <c r="G6128" i="1" s="1"/>
  <c r="G6118" i="1" a="1"/>
  <c r="G6118" i="1" s="1"/>
  <c r="G6108" i="1" a="1"/>
  <c r="G6108" i="1" s="1"/>
  <c r="G6098" i="1" a="1"/>
  <c r="G6098" i="1" s="1"/>
  <c r="G6088" i="1" a="1"/>
  <c r="G6088" i="1" s="1"/>
  <c r="G6078" i="1" a="1"/>
  <c r="G6078" i="1" s="1"/>
  <c r="G6068" i="1" a="1"/>
  <c r="G6068" i="1" s="1"/>
  <c r="G6058" i="1" a="1"/>
  <c r="G6058" i="1" s="1"/>
  <c r="G6048" i="1" a="1"/>
  <c r="G6048" i="1" s="1"/>
  <c r="G6038" i="1" a="1"/>
  <c r="G6038" i="1" s="1"/>
  <c r="G6028" i="1" a="1"/>
  <c r="G6028" i="1" s="1"/>
  <c r="G6018" i="1" a="1"/>
  <c r="G6018" i="1" s="1"/>
  <c r="G6008" i="1" a="1"/>
  <c r="G6008" i="1" s="1"/>
  <c r="G5998" i="1" a="1"/>
  <c r="G5998" i="1" s="1"/>
  <c r="G5988" i="1" a="1"/>
  <c r="G5988" i="1" s="1"/>
  <c r="G5978" i="1" a="1"/>
  <c r="G5978" i="1" s="1"/>
  <c r="G5968" i="1" a="1"/>
  <c r="G5968" i="1" s="1"/>
  <c r="G5958" i="1" a="1"/>
  <c r="G5958" i="1" s="1"/>
  <c r="G6557" i="1" a="1"/>
  <c r="G6557" i="1" s="1"/>
  <c r="G6547" i="1" a="1"/>
  <c r="G6547" i="1" s="1"/>
  <c r="G6537" i="1" a="1"/>
  <c r="G6537" i="1" s="1"/>
  <c r="G6527" i="1" a="1"/>
  <c r="G6527" i="1" s="1"/>
  <c r="G6517" i="1" a="1"/>
  <c r="G6517" i="1" s="1"/>
  <c r="G6507" i="1" a="1"/>
  <c r="G6507" i="1" s="1"/>
  <c r="G6497" i="1" a="1"/>
  <c r="G6497" i="1" s="1"/>
  <c r="G6487" i="1" a="1"/>
  <c r="G6487" i="1" s="1"/>
  <c r="G6477" i="1" a="1"/>
  <c r="G6477" i="1" s="1"/>
  <c r="G6467" i="1" a="1"/>
  <c r="G6467" i="1" s="1"/>
  <c r="G6457" i="1" a="1"/>
  <c r="G6457" i="1" s="1"/>
  <c r="G6447" i="1" a="1"/>
  <c r="G6447" i="1" s="1"/>
  <c r="G6437" i="1" a="1"/>
  <c r="G6437" i="1" s="1"/>
  <c r="G6427" i="1" a="1"/>
  <c r="G6427" i="1" s="1"/>
  <c r="G6417" i="1" a="1"/>
  <c r="G6417" i="1" s="1"/>
  <c r="G6407" i="1" a="1"/>
  <c r="G6407" i="1" s="1"/>
  <c r="G6397" i="1" a="1"/>
  <c r="G6397" i="1" s="1"/>
  <c r="G6387" i="1" a="1"/>
  <c r="G6387" i="1" s="1"/>
  <c r="G6377" i="1" a="1"/>
  <c r="G6377" i="1" s="1"/>
  <c r="G6367" i="1" a="1"/>
  <c r="G6367" i="1" s="1"/>
  <c r="G6357" i="1" a="1"/>
  <c r="G6357" i="1" s="1"/>
  <c r="G6347" i="1" a="1"/>
  <c r="G6347" i="1" s="1"/>
  <c r="G6337" i="1" a="1"/>
  <c r="G6337" i="1" s="1"/>
  <c r="G6327" i="1" a="1"/>
  <c r="G6327" i="1" s="1"/>
  <c r="G6317" i="1" a="1"/>
  <c r="G6317" i="1" s="1"/>
  <c r="G6307" i="1" a="1"/>
  <c r="G6307" i="1" s="1"/>
  <c r="G6297" i="1" a="1"/>
  <c r="G6297" i="1" s="1"/>
  <c r="G6287" i="1" a="1"/>
  <c r="G6287" i="1" s="1"/>
  <c r="G6277" i="1" a="1"/>
  <c r="G6277" i="1" s="1"/>
  <c r="G6267" i="1" a="1"/>
  <c r="G6267" i="1" s="1"/>
  <c r="G6257" i="1" a="1"/>
  <c r="G6257" i="1" s="1"/>
  <c r="G6247" i="1" a="1"/>
  <c r="G6247" i="1" s="1"/>
  <c r="G6237" i="1" a="1"/>
  <c r="G6237" i="1" s="1"/>
  <c r="G6227" i="1" a="1"/>
  <c r="G6227" i="1" s="1"/>
  <c r="G6217" i="1" a="1"/>
  <c r="G6217" i="1" s="1"/>
  <c r="G6207" i="1" a="1"/>
  <c r="G6207" i="1" s="1"/>
  <c r="G6197" i="1" a="1"/>
  <c r="G6197" i="1" s="1"/>
  <c r="G6187" i="1" a="1"/>
  <c r="G6187" i="1" s="1"/>
  <c r="G6177" i="1" a="1"/>
  <c r="G6177" i="1" s="1"/>
  <c r="G6167" i="1" a="1"/>
  <c r="G6167" i="1" s="1"/>
  <c r="G6157" i="1" a="1"/>
  <c r="G6157" i="1" s="1"/>
  <c r="G6147" i="1" a="1"/>
  <c r="G6147" i="1" s="1"/>
  <c r="G6137" i="1" a="1"/>
  <c r="G6137" i="1" s="1"/>
  <c r="G6127" i="1" a="1"/>
  <c r="G6127" i="1" s="1"/>
  <c r="G6117" i="1" a="1"/>
  <c r="G6117" i="1" s="1"/>
  <c r="G6107" i="1" a="1"/>
  <c r="G6107" i="1" s="1"/>
  <c r="G6097" i="1" a="1"/>
  <c r="G6097" i="1" s="1"/>
  <c r="G6087" i="1" a="1"/>
  <c r="G6087" i="1" s="1"/>
  <c r="G6077" i="1" a="1"/>
  <c r="G6077" i="1" s="1"/>
  <c r="G6067" i="1" a="1"/>
  <c r="G6067" i="1" s="1"/>
  <c r="G6057" i="1" a="1"/>
  <c r="G6057" i="1" s="1"/>
  <c r="G6047" i="1" a="1"/>
  <c r="G6047" i="1" s="1"/>
  <c r="G6037" i="1" a="1"/>
  <c r="G6037" i="1" s="1"/>
  <c r="G6027" i="1" a="1"/>
  <c r="G6027" i="1" s="1"/>
  <c r="G6017" i="1" a="1"/>
  <c r="G6017" i="1" s="1"/>
  <c r="G6007" i="1" a="1"/>
  <c r="G6007" i="1" s="1"/>
  <c r="G5997" i="1" a="1"/>
  <c r="G5997" i="1" s="1"/>
  <c r="G5987" i="1" a="1"/>
  <c r="G5987" i="1" s="1"/>
  <c r="G5977" i="1" a="1"/>
  <c r="G5977" i="1" s="1"/>
  <c r="G5967" i="1" a="1"/>
  <c r="G5967" i="1" s="1"/>
  <c r="G5957" i="1" a="1"/>
  <c r="G5957" i="1" s="1"/>
  <c r="G5947" i="1" a="1"/>
  <c r="G5947" i="1" s="1"/>
  <c r="G5937" i="1" a="1"/>
  <c r="G5937" i="1" s="1"/>
  <c r="G5927" i="1" a="1"/>
  <c r="G5927" i="1" s="1"/>
  <c r="G5917" i="1" a="1"/>
  <c r="G5917" i="1" s="1"/>
  <c r="G5907" i="1" a="1"/>
  <c r="G5907" i="1" s="1"/>
  <c r="G5897" i="1" a="1"/>
  <c r="G5897" i="1" s="1"/>
  <c r="G5887" i="1" a="1"/>
  <c r="G5887" i="1" s="1"/>
  <c r="G5877" i="1" a="1"/>
  <c r="G5877" i="1" s="1"/>
  <c r="G5867" i="1" a="1"/>
  <c r="G5867" i="1" s="1"/>
  <c r="G5857" i="1" a="1"/>
  <c r="G5857" i="1" s="1"/>
  <c r="G5847" i="1" a="1"/>
  <c r="G5847" i="1" s="1"/>
  <c r="G5837" i="1" a="1"/>
  <c r="G5837" i="1" s="1"/>
  <c r="G5827" i="1" a="1"/>
  <c r="G5827" i="1" s="1"/>
  <c r="G5817" i="1" a="1"/>
  <c r="G5817" i="1" s="1"/>
  <c r="G5807" i="1" a="1"/>
  <c r="G5807" i="1" s="1"/>
  <c r="G5797" i="1" a="1"/>
  <c r="G5797" i="1" s="1"/>
  <c r="G5787" i="1" a="1"/>
  <c r="G5787" i="1" s="1"/>
  <c r="G5777" i="1" a="1"/>
  <c r="G5777" i="1" s="1"/>
  <c r="G5767" i="1" a="1"/>
  <c r="G5767" i="1" s="1"/>
  <c r="G6586" i="1" a="1"/>
  <c r="G6586" i="1" s="1"/>
  <c r="G6576" i="1" a="1"/>
  <c r="G6576" i="1" s="1"/>
  <c r="G6566" i="1" a="1"/>
  <c r="G6566" i="1" s="1"/>
  <c r="G6556" i="1" a="1"/>
  <c r="G6556" i="1" s="1"/>
  <c r="G6546" i="1" a="1"/>
  <c r="G6546" i="1" s="1"/>
  <c r="G6536" i="1" a="1"/>
  <c r="G6536" i="1" s="1"/>
  <c r="G6526" i="1" a="1"/>
  <c r="G6526" i="1" s="1"/>
  <c r="G6516" i="1" a="1"/>
  <c r="G6516" i="1" s="1"/>
  <c r="G6506" i="1" a="1"/>
  <c r="G6506" i="1" s="1"/>
  <c r="G6496" i="1" a="1"/>
  <c r="G6496" i="1" s="1"/>
  <c r="G6486" i="1" a="1"/>
  <c r="G6486" i="1" s="1"/>
  <c r="G6476" i="1" a="1"/>
  <c r="G6476" i="1" s="1"/>
  <c r="G6466" i="1" a="1"/>
  <c r="G6466" i="1" s="1"/>
  <c r="G6456" i="1" a="1"/>
  <c r="G6456" i="1" s="1"/>
  <c r="G6446" i="1" a="1"/>
  <c r="G6446" i="1" s="1"/>
  <c r="G6436" i="1" a="1"/>
  <c r="G6436" i="1" s="1"/>
  <c r="G6426" i="1" a="1"/>
  <c r="G6426" i="1" s="1"/>
  <c r="G6416" i="1" a="1"/>
  <c r="G6416" i="1" s="1"/>
  <c r="G6406" i="1" a="1"/>
  <c r="G6406" i="1" s="1"/>
  <c r="G6396" i="1" a="1"/>
  <c r="G6396" i="1" s="1"/>
  <c r="G6386" i="1" a="1"/>
  <c r="G6386" i="1" s="1"/>
  <c r="G6376" i="1" a="1"/>
  <c r="G6376" i="1" s="1"/>
  <c r="G6366" i="1" a="1"/>
  <c r="G6366" i="1" s="1"/>
  <c r="G6356" i="1" a="1"/>
  <c r="G6356" i="1" s="1"/>
  <c r="G6346" i="1" a="1"/>
  <c r="G6346" i="1" s="1"/>
  <c r="G6336" i="1" a="1"/>
  <c r="G6336" i="1" s="1"/>
  <c r="G6326" i="1" a="1"/>
  <c r="G6326" i="1" s="1"/>
  <c r="G6316" i="1" a="1"/>
  <c r="G6316" i="1" s="1"/>
  <c r="G6306" i="1" a="1"/>
  <c r="G6306" i="1" s="1"/>
  <c r="G6296" i="1" a="1"/>
  <c r="G6296" i="1" s="1"/>
  <c r="G6286" i="1" a="1"/>
  <c r="G6286" i="1" s="1"/>
  <c r="G6276" i="1" a="1"/>
  <c r="G6276" i="1" s="1"/>
  <c r="G6266" i="1" a="1"/>
  <c r="G6266" i="1" s="1"/>
  <c r="G6256" i="1" a="1"/>
  <c r="G6256" i="1" s="1"/>
  <c r="G6246" i="1" a="1"/>
  <c r="G6246" i="1" s="1"/>
  <c r="G6236" i="1" a="1"/>
  <c r="G6236" i="1" s="1"/>
  <c r="G6226" i="1" a="1"/>
  <c r="G6226" i="1" s="1"/>
  <c r="G6216" i="1" a="1"/>
  <c r="G6216" i="1" s="1"/>
  <c r="G6206" i="1" a="1"/>
  <c r="G6206" i="1" s="1"/>
  <c r="G6196" i="1" a="1"/>
  <c r="G6196" i="1" s="1"/>
  <c r="G6186" i="1" a="1"/>
  <c r="G6186" i="1" s="1"/>
  <c r="G6176" i="1" a="1"/>
  <c r="G6176" i="1" s="1"/>
  <c r="G6166" i="1" a="1"/>
  <c r="G6166" i="1" s="1"/>
  <c r="G6156" i="1" a="1"/>
  <c r="G6156" i="1" s="1"/>
  <c r="G6146" i="1" a="1"/>
  <c r="G6146" i="1" s="1"/>
  <c r="G6136" i="1" a="1"/>
  <c r="G6136" i="1" s="1"/>
  <c r="G6126" i="1" a="1"/>
  <c r="G6126" i="1" s="1"/>
  <c r="G6116" i="1" a="1"/>
  <c r="G6116" i="1" s="1"/>
  <c r="G6106" i="1" a="1"/>
  <c r="G6106" i="1" s="1"/>
  <c r="G6096" i="1" a="1"/>
  <c r="G6096" i="1" s="1"/>
  <c r="G6086" i="1" a="1"/>
  <c r="G6086" i="1" s="1"/>
  <c r="G6076" i="1" a="1"/>
  <c r="G6076" i="1" s="1"/>
  <c r="G6066" i="1" a="1"/>
  <c r="G6066" i="1" s="1"/>
  <c r="G6056" i="1" a="1"/>
  <c r="G6056" i="1" s="1"/>
  <c r="G6046" i="1" a="1"/>
  <c r="G6046" i="1" s="1"/>
  <c r="G6036" i="1" a="1"/>
  <c r="G6036" i="1" s="1"/>
  <c r="G6026" i="1" a="1"/>
  <c r="G6026" i="1" s="1"/>
  <c r="G6016" i="1" a="1"/>
  <c r="G6016" i="1" s="1"/>
  <c r="G6006" i="1" a="1"/>
  <c r="G6006" i="1" s="1"/>
  <c r="G5996" i="1" a="1"/>
  <c r="G5996" i="1" s="1"/>
  <c r="G5986" i="1" a="1"/>
  <c r="G5986" i="1" s="1"/>
  <c r="G5976" i="1" a="1"/>
  <c r="G5976" i="1" s="1"/>
  <c r="G5966" i="1" a="1"/>
  <c r="G5966" i="1" s="1"/>
  <c r="G5956" i="1" a="1"/>
  <c r="G5956" i="1" s="1"/>
  <c r="G5946" i="1" a="1"/>
  <c r="G5946" i="1" s="1"/>
  <c r="G5936" i="1" a="1"/>
  <c r="G5936" i="1" s="1"/>
  <c r="G5926" i="1" a="1"/>
  <c r="G5926" i="1" s="1"/>
  <c r="G5916" i="1" a="1"/>
  <c r="G5916" i="1" s="1"/>
  <c r="G5906" i="1" a="1"/>
  <c r="G5906" i="1" s="1"/>
  <c r="G5896" i="1" a="1"/>
  <c r="G5896" i="1" s="1"/>
  <c r="G5886" i="1" a="1"/>
  <c r="G5886" i="1" s="1"/>
  <c r="G5876" i="1" a="1"/>
  <c r="G5876" i="1" s="1"/>
  <c r="G5866" i="1" a="1"/>
  <c r="G5866" i="1" s="1"/>
  <c r="G5856" i="1" a="1"/>
  <c r="G5856" i="1" s="1"/>
  <c r="G5846" i="1" a="1"/>
  <c r="G5846" i="1" s="1"/>
  <c r="G5836" i="1" a="1"/>
  <c r="G5836" i="1" s="1"/>
  <c r="G5826" i="1" a="1"/>
  <c r="G5826" i="1" s="1"/>
  <c r="G5816" i="1" a="1"/>
  <c r="G5816" i="1" s="1"/>
  <c r="G5806" i="1" a="1"/>
  <c r="G5806" i="1" s="1"/>
  <c r="G5796" i="1" a="1"/>
  <c r="G5796" i="1" s="1"/>
  <c r="G5786" i="1" a="1"/>
  <c r="G5786" i="1" s="1"/>
  <c r="G5776" i="1" a="1"/>
  <c r="G5776" i="1" s="1"/>
  <c r="G5766" i="1" a="1"/>
  <c r="G5766" i="1" s="1"/>
  <c r="G5756" i="1" a="1"/>
  <c r="G5756" i="1" s="1"/>
  <c r="G5746" i="1" a="1"/>
  <c r="G5746" i="1" s="1"/>
  <c r="G6505" i="1" a="1"/>
  <c r="G6505" i="1" s="1"/>
  <c r="G6495" i="1" a="1"/>
  <c r="G6495" i="1" s="1"/>
  <c r="G6485" i="1" a="1"/>
  <c r="G6485" i="1" s="1"/>
  <c r="G6475" i="1" a="1"/>
  <c r="G6475" i="1" s="1"/>
  <c r="G6465" i="1" a="1"/>
  <c r="G6465" i="1" s="1"/>
  <c r="G6455" i="1" a="1"/>
  <c r="G6455" i="1" s="1"/>
  <c r="G6445" i="1" a="1"/>
  <c r="G6445" i="1" s="1"/>
  <c r="G6435" i="1" a="1"/>
  <c r="G6435" i="1" s="1"/>
  <c r="G6425" i="1" a="1"/>
  <c r="G6425" i="1" s="1"/>
  <c r="G6415" i="1" a="1"/>
  <c r="G6415" i="1" s="1"/>
  <c r="G6405" i="1" a="1"/>
  <c r="G6405" i="1" s="1"/>
  <c r="G6395" i="1" a="1"/>
  <c r="G6395" i="1" s="1"/>
  <c r="G6385" i="1" a="1"/>
  <c r="G6385" i="1" s="1"/>
  <c r="G6375" i="1" a="1"/>
  <c r="G6375" i="1" s="1"/>
  <c r="G6365" i="1" a="1"/>
  <c r="G6365" i="1" s="1"/>
  <c r="G6355" i="1" a="1"/>
  <c r="G6355" i="1" s="1"/>
  <c r="G6345" i="1" a="1"/>
  <c r="G6345" i="1" s="1"/>
  <c r="G6335" i="1" a="1"/>
  <c r="G6335" i="1" s="1"/>
  <c r="G6325" i="1" a="1"/>
  <c r="G6325" i="1" s="1"/>
  <c r="G6315" i="1" a="1"/>
  <c r="G6315" i="1" s="1"/>
  <c r="G6305" i="1" a="1"/>
  <c r="G6305" i="1" s="1"/>
  <c r="G6295" i="1" a="1"/>
  <c r="G6295" i="1" s="1"/>
  <c r="G6285" i="1" a="1"/>
  <c r="G6285" i="1" s="1"/>
  <c r="G6275" i="1" a="1"/>
  <c r="G6275" i="1" s="1"/>
  <c r="G6265" i="1" a="1"/>
  <c r="G6265" i="1" s="1"/>
  <c r="G6255" i="1" a="1"/>
  <c r="G6255" i="1" s="1"/>
  <c r="G6245" i="1" a="1"/>
  <c r="G6245" i="1" s="1"/>
  <c r="G6235" i="1" a="1"/>
  <c r="G6235" i="1" s="1"/>
  <c r="G6225" i="1" a="1"/>
  <c r="G6225" i="1" s="1"/>
  <c r="G6215" i="1" a="1"/>
  <c r="G6215" i="1" s="1"/>
  <c r="G6205" i="1" a="1"/>
  <c r="G6205" i="1" s="1"/>
  <c r="G6195" i="1" a="1"/>
  <c r="G6195" i="1" s="1"/>
  <c r="G6185" i="1" a="1"/>
  <c r="G6185" i="1" s="1"/>
  <c r="G6175" i="1" a="1"/>
  <c r="G6175" i="1" s="1"/>
  <c r="G6165" i="1" a="1"/>
  <c r="G6165" i="1" s="1"/>
  <c r="G6155" i="1" a="1"/>
  <c r="G6155" i="1" s="1"/>
  <c r="G6145" i="1" a="1"/>
  <c r="G6145" i="1" s="1"/>
  <c r="G6135" i="1" a="1"/>
  <c r="G6135" i="1" s="1"/>
  <c r="G6125" i="1" a="1"/>
  <c r="G6125" i="1" s="1"/>
  <c r="G6115" i="1" a="1"/>
  <c r="G6115" i="1" s="1"/>
  <c r="G6105" i="1" a="1"/>
  <c r="G6105" i="1" s="1"/>
  <c r="G6095" i="1" a="1"/>
  <c r="G6095" i="1" s="1"/>
  <c r="G6085" i="1" a="1"/>
  <c r="G6085" i="1" s="1"/>
  <c r="G6075" i="1" a="1"/>
  <c r="G6075" i="1" s="1"/>
  <c r="G6065" i="1" a="1"/>
  <c r="G6065" i="1" s="1"/>
  <c r="G6055" i="1" a="1"/>
  <c r="G6055" i="1" s="1"/>
  <c r="G6045" i="1" a="1"/>
  <c r="G6045" i="1" s="1"/>
  <c r="G6035" i="1" a="1"/>
  <c r="G6035" i="1" s="1"/>
  <c r="G6025" i="1" a="1"/>
  <c r="G6025" i="1" s="1"/>
  <c r="G6015" i="1" a="1"/>
  <c r="G6015" i="1" s="1"/>
  <c r="G6005" i="1" a="1"/>
  <c r="G6005" i="1" s="1"/>
  <c r="G5995" i="1" a="1"/>
  <c r="G5995" i="1" s="1"/>
  <c r="G5985" i="1" a="1"/>
  <c r="G5985" i="1" s="1"/>
  <c r="G5975" i="1" a="1"/>
  <c r="G5975" i="1" s="1"/>
  <c r="G5965" i="1" a="1"/>
  <c r="G5965" i="1" s="1"/>
  <c r="G5955" i="1" a="1"/>
  <c r="G5955" i="1" s="1"/>
  <c r="G5945" i="1" a="1"/>
  <c r="G5945" i="1" s="1"/>
  <c r="G5935" i="1" a="1"/>
  <c r="G5935" i="1" s="1"/>
  <c r="G5925" i="1" a="1"/>
  <c r="G5925" i="1" s="1"/>
  <c r="G5915" i="1" a="1"/>
  <c r="G5915" i="1" s="1"/>
  <c r="G5905" i="1" a="1"/>
  <c r="G5905" i="1" s="1"/>
  <c r="G5895" i="1" a="1"/>
  <c r="G5895" i="1" s="1"/>
  <c r="G5885" i="1" a="1"/>
  <c r="G5885" i="1" s="1"/>
  <c r="G5875" i="1" a="1"/>
  <c r="G5875" i="1" s="1"/>
  <c r="G5865" i="1" a="1"/>
  <c r="G5865" i="1" s="1"/>
  <c r="G5855" i="1" a="1"/>
  <c r="G5855" i="1" s="1"/>
  <c r="G5845" i="1" a="1"/>
  <c r="G5845" i="1" s="1"/>
  <c r="G5835" i="1" a="1"/>
  <c r="G5835" i="1" s="1"/>
  <c r="G5825" i="1" a="1"/>
  <c r="G5825" i="1" s="1"/>
  <c r="G5815" i="1" a="1"/>
  <c r="G5815" i="1" s="1"/>
  <c r="G5805" i="1" a="1"/>
  <c r="G5805" i="1" s="1"/>
  <c r="G5795" i="1" a="1"/>
  <c r="G5795" i="1" s="1"/>
  <c r="G5785" i="1" a="1"/>
  <c r="G5785" i="1" s="1"/>
  <c r="G5775" i="1" a="1"/>
  <c r="G5775" i="1" s="1"/>
  <c r="G5765" i="1" a="1"/>
  <c r="G5765" i="1" s="1"/>
  <c r="G6464" i="1" a="1"/>
  <c r="G6464" i="1" s="1"/>
  <c r="G6454" i="1" a="1"/>
  <c r="G6454" i="1" s="1"/>
  <c r="G6444" i="1" a="1"/>
  <c r="G6444" i="1" s="1"/>
  <c r="G6434" i="1" a="1"/>
  <c r="G6434" i="1" s="1"/>
  <c r="G6424" i="1" a="1"/>
  <c r="G6424" i="1" s="1"/>
  <c r="G6414" i="1" a="1"/>
  <c r="G6414" i="1" s="1"/>
  <c r="G6404" i="1" a="1"/>
  <c r="G6404" i="1" s="1"/>
  <c r="G6394" i="1" a="1"/>
  <c r="G6394" i="1" s="1"/>
  <c r="G6384" i="1" a="1"/>
  <c r="G6384" i="1" s="1"/>
  <c r="G6374" i="1" a="1"/>
  <c r="G6374" i="1" s="1"/>
  <c r="G6364" i="1" a="1"/>
  <c r="G6364" i="1" s="1"/>
  <c r="G6354" i="1" a="1"/>
  <c r="G6354" i="1" s="1"/>
  <c r="G6344" i="1" a="1"/>
  <c r="G6344" i="1" s="1"/>
  <c r="G6334" i="1" a="1"/>
  <c r="G6334" i="1" s="1"/>
  <c r="G6324" i="1" a="1"/>
  <c r="G6324" i="1" s="1"/>
  <c r="G6314" i="1" a="1"/>
  <c r="G6314" i="1" s="1"/>
  <c r="G6304" i="1" a="1"/>
  <c r="G6304" i="1" s="1"/>
  <c r="G6294" i="1" a="1"/>
  <c r="G6294" i="1" s="1"/>
  <c r="G6284" i="1" a="1"/>
  <c r="G6284" i="1" s="1"/>
  <c r="G6274" i="1" a="1"/>
  <c r="G6274" i="1" s="1"/>
  <c r="G6264" i="1" a="1"/>
  <c r="G6264" i="1" s="1"/>
  <c r="G6254" i="1" a="1"/>
  <c r="G6254" i="1" s="1"/>
  <c r="G6244" i="1" a="1"/>
  <c r="G6244" i="1" s="1"/>
  <c r="G6234" i="1" a="1"/>
  <c r="G6234" i="1" s="1"/>
  <c r="G6224" i="1" a="1"/>
  <c r="G6224" i="1" s="1"/>
  <c r="G6214" i="1" a="1"/>
  <c r="G6214" i="1" s="1"/>
  <c r="G6204" i="1" a="1"/>
  <c r="G6204" i="1" s="1"/>
  <c r="G6194" i="1" a="1"/>
  <c r="G6194" i="1" s="1"/>
  <c r="G6184" i="1" a="1"/>
  <c r="G6184" i="1" s="1"/>
  <c r="G6174" i="1" a="1"/>
  <c r="G6174" i="1" s="1"/>
  <c r="G6164" i="1" a="1"/>
  <c r="G6164" i="1" s="1"/>
  <c r="G6154" i="1" a="1"/>
  <c r="G6154" i="1" s="1"/>
  <c r="G6144" i="1" a="1"/>
  <c r="G6144" i="1" s="1"/>
  <c r="G6134" i="1" a="1"/>
  <c r="G6134" i="1" s="1"/>
  <c r="G6124" i="1" a="1"/>
  <c r="G6124" i="1" s="1"/>
  <c r="G6114" i="1" a="1"/>
  <c r="G6114" i="1" s="1"/>
  <c r="G6104" i="1" a="1"/>
  <c r="G6104" i="1" s="1"/>
  <c r="G6094" i="1" a="1"/>
  <c r="G6094" i="1" s="1"/>
  <c r="G6084" i="1" a="1"/>
  <c r="G6084" i="1" s="1"/>
  <c r="G6074" i="1" a="1"/>
  <c r="G6074" i="1" s="1"/>
  <c r="G6064" i="1" a="1"/>
  <c r="G6064" i="1" s="1"/>
  <c r="G6054" i="1" a="1"/>
  <c r="G6054" i="1" s="1"/>
  <c r="G6044" i="1" a="1"/>
  <c r="G6044" i="1" s="1"/>
  <c r="G6034" i="1" a="1"/>
  <c r="G6034" i="1" s="1"/>
  <c r="G6024" i="1" a="1"/>
  <c r="G6024" i="1" s="1"/>
  <c r="G6014" i="1" a="1"/>
  <c r="G6014" i="1" s="1"/>
  <c r="G6004" i="1" a="1"/>
  <c r="G6004" i="1" s="1"/>
  <c r="G5994" i="1" a="1"/>
  <c r="G5994" i="1" s="1"/>
  <c r="G5984" i="1" a="1"/>
  <c r="G5984" i="1" s="1"/>
  <c r="G5974" i="1" a="1"/>
  <c r="G5974" i="1" s="1"/>
  <c r="G5964" i="1" a="1"/>
  <c r="G5964" i="1" s="1"/>
  <c r="G5954" i="1" a="1"/>
  <c r="G5954" i="1" s="1"/>
  <c r="G5944" i="1" a="1"/>
  <c r="G5944" i="1" s="1"/>
  <c r="G5934" i="1" a="1"/>
  <c r="G5934" i="1" s="1"/>
  <c r="G5924" i="1" a="1"/>
  <c r="G5924" i="1" s="1"/>
  <c r="G5914" i="1" a="1"/>
  <c r="G5914" i="1" s="1"/>
  <c r="G5904" i="1" a="1"/>
  <c r="G5904" i="1" s="1"/>
  <c r="G5894" i="1" a="1"/>
  <c r="G5894" i="1" s="1"/>
  <c r="G5884" i="1" a="1"/>
  <c r="G5884" i="1" s="1"/>
  <c r="G5874" i="1" a="1"/>
  <c r="G5874" i="1" s="1"/>
  <c r="G5864" i="1" a="1"/>
  <c r="G5864" i="1" s="1"/>
  <c r="G5854" i="1" a="1"/>
  <c r="G5854" i="1" s="1"/>
  <c r="G5844" i="1" a="1"/>
  <c r="G5844" i="1" s="1"/>
  <c r="G5834" i="1" a="1"/>
  <c r="G5834" i="1" s="1"/>
  <c r="G5824" i="1" a="1"/>
  <c r="G5824" i="1" s="1"/>
  <c r="G5814" i="1" a="1"/>
  <c r="G5814" i="1" s="1"/>
  <c r="G5804" i="1" a="1"/>
  <c r="G5804" i="1" s="1"/>
  <c r="G5794" i="1" a="1"/>
  <c r="G5794" i="1" s="1"/>
  <c r="G5784" i="1" a="1"/>
  <c r="G5784" i="1" s="1"/>
  <c r="G5774" i="1" a="1"/>
  <c r="G5774" i="1" s="1"/>
  <c r="G5764" i="1" a="1"/>
  <c r="G5764" i="1" s="1"/>
  <c r="G5754" i="1" a="1"/>
  <c r="G5754" i="1" s="1"/>
  <c r="G5744" i="1" a="1"/>
  <c r="G5744" i="1" s="1"/>
  <c r="G5734" i="1" a="1"/>
  <c r="G5734" i="1" s="1"/>
  <c r="G5724" i="1" a="1"/>
  <c r="G5724" i="1" s="1"/>
  <c r="G5714" i="1" a="1"/>
  <c r="G5714" i="1" s="1"/>
  <c r="G5704" i="1" a="1"/>
  <c r="G5704" i="1" s="1"/>
  <c r="G5694" i="1" a="1"/>
  <c r="G5694" i="1" s="1"/>
  <c r="G5684" i="1" a="1"/>
  <c r="G5684" i="1" s="1"/>
  <c r="G5674" i="1" a="1"/>
  <c r="G5674" i="1" s="1"/>
  <c r="G5664" i="1" a="1"/>
  <c r="G5664" i="1" s="1"/>
  <c r="G5654" i="1" a="1"/>
  <c r="G5654" i="1" s="1"/>
  <c r="G5644" i="1" a="1"/>
  <c r="G5644" i="1" s="1"/>
  <c r="G5634" i="1" a="1"/>
  <c r="G5634" i="1" s="1"/>
  <c r="G5703" i="1" a="1"/>
  <c r="G5703" i="1" s="1"/>
  <c r="G5693" i="1" a="1"/>
  <c r="G5693" i="1" s="1"/>
  <c r="G5683" i="1" a="1"/>
  <c r="G5683" i="1" s="1"/>
  <c r="G5673" i="1" a="1"/>
  <c r="G5673" i="1" s="1"/>
  <c r="G5663" i="1" a="1"/>
  <c r="G5663" i="1" s="1"/>
  <c r="G5653" i="1" a="1"/>
  <c r="G5653" i="1" s="1"/>
  <c r="G5643" i="1" a="1"/>
  <c r="G5643" i="1" s="1"/>
  <c r="G5633" i="1" a="1"/>
  <c r="G5633" i="1" s="1"/>
  <c r="G5623" i="1" a="1"/>
  <c r="G5623" i="1" s="1"/>
  <c r="G5613" i="1" a="1"/>
  <c r="G5613" i="1" s="1"/>
  <c r="G5603" i="1" a="1"/>
  <c r="G5603" i="1" s="1"/>
  <c r="G5593" i="1" a="1"/>
  <c r="G5593" i="1" s="1"/>
  <c r="G5583" i="1" a="1"/>
  <c r="G5583" i="1" s="1"/>
  <c r="G5573" i="1" a="1"/>
  <c r="G5573" i="1" s="1"/>
  <c r="G5563" i="1" a="1"/>
  <c r="G5563" i="1" s="1"/>
  <c r="G5553" i="1" a="1"/>
  <c r="G5553" i="1" s="1"/>
  <c r="G5543" i="1" a="1"/>
  <c r="G5543" i="1" s="1"/>
  <c r="G5533" i="1" a="1"/>
  <c r="G5533" i="1" s="1"/>
  <c r="G5523" i="1" a="1"/>
  <c r="G5523" i="1" s="1"/>
  <c r="G5513" i="1" a="1"/>
  <c r="G5513" i="1" s="1"/>
  <c r="G5503" i="1" a="1"/>
  <c r="G5503" i="1" s="1"/>
  <c r="G5493" i="1" a="1"/>
  <c r="G5493" i="1" s="1"/>
  <c r="G5483" i="1" a="1"/>
  <c r="G5483" i="1" s="1"/>
  <c r="G5473" i="1" a="1"/>
  <c r="G5473" i="1" s="1"/>
  <c r="G5463" i="1" a="1"/>
  <c r="G5463" i="1" s="1"/>
  <c r="G5453" i="1" a="1"/>
  <c r="G5453" i="1" s="1"/>
  <c r="G5443" i="1" a="1"/>
  <c r="G5443" i="1" s="1"/>
  <c r="G5433" i="1" a="1"/>
  <c r="G5433" i="1" s="1"/>
  <c r="G5423" i="1" a="1"/>
  <c r="G5423" i="1" s="1"/>
  <c r="G5413" i="1" a="1"/>
  <c r="G5413" i="1" s="1"/>
  <c r="G5403" i="1" a="1"/>
  <c r="G5403" i="1" s="1"/>
  <c r="G5393" i="1" a="1"/>
  <c r="G5393" i="1" s="1"/>
  <c r="G5383" i="1" a="1"/>
  <c r="G5383" i="1" s="1"/>
  <c r="G5373" i="1" a="1"/>
  <c r="G5373" i="1" s="1"/>
  <c r="G5363" i="1" a="1"/>
  <c r="G5363" i="1" s="1"/>
  <c r="G5353" i="1" a="1"/>
  <c r="G5353" i="1" s="1"/>
  <c r="G5343" i="1" a="1"/>
  <c r="G5343" i="1" s="1"/>
  <c r="G5333" i="1" a="1"/>
  <c r="G5333" i="1" s="1"/>
  <c r="G5323" i="1" a="1"/>
  <c r="G5323" i="1" s="1"/>
  <c r="G5313" i="1" a="1"/>
  <c r="G5313" i="1" s="1"/>
  <c r="G5303" i="1" a="1"/>
  <c r="G5303" i="1" s="1"/>
  <c r="G5293" i="1" a="1"/>
  <c r="G5293" i="1" s="1"/>
  <c r="G5283" i="1" a="1"/>
  <c r="G5283" i="1" s="1"/>
  <c r="G5273" i="1" a="1"/>
  <c r="G5273" i="1" s="1"/>
  <c r="G5263" i="1" a="1"/>
  <c r="G5263" i="1" s="1"/>
  <c r="G5253" i="1" a="1"/>
  <c r="G5253" i="1" s="1"/>
  <c r="G5243" i="1" a="1"/>
  <c r="G5243" i="1" s="1"/>
  <c r="G5233" i="1" a="1"/>
  <c r="G5233" i="1" s="1"/>
  <c r="G5223" i="1" a="1"/>
  <c r="G5223" i="1" s="1"/>
  <c r="G5213" i="1" a="1"/>
  <c r="G5213" i="1" s="1"/>
  <c r="G5203" i="1" a="1"/>
  <c r="G5203" i="1" s="1"/>
  <c r="G5193" i="1" a="1"/>
  <c r="G5193" i="1" s="1"/>
  <c r="G5183" i="1" a="1"/>
  <c r="G5183" i="1" s="1"/>
  <c r="G5173" i="1" a="1"/>
  <c r="G5173" i="1" s="1"/>
  <c r="G5163" i="1" a="1"/>
  <c r="G5163" i="1" s="1"/>
  <c r="G5153" i="1" a="1"/>
  <c r="G5153" i="1" s="1"/>
  <c r="G5143" i="1" a="1"/>
  <c r="G5143" i="1" s="1"/>
  <c r="G5133" i="1" a="1"/>
  <c r="G5133" i="1" s="1"/>
  <c r="G5123" i="1" a="1"/>
  <c r="G5123" i="1" s="1"/>
  <c r="G5113" i="1" a="1"/>
  <c r="G5113" i="1" s="1"/>
  <c r="G5103" i="1" a="1"/>
  <c r="G5103" i="1" s="1"/>
  <c r="G5093" i="1" a="1"/>
  <c r="G5093" i="1" s="1"/>
  <c r="G5083" i="1" a="1"/>
  <c r="G5083" i="1" s="1"/>
  <c r="G5073" i="1" a="1"/>
  <c r="G5073" i="1" s="1"/>
  <c r="G5063" i="1" a="1"/>
  <c r="G5063" i="1" s="1"/>
  <c r="G5053" i="1" a="1"/>
  <c r="G5053" i="1" s="1"/>
  <c r="G5043" i="1" a="1"/>
  <c r="G5043" i="1" s="1"/>
  <c r="G5033" i="1" a="1"/>
  <c r="G5033" i="1" s="1"/>
  <c r="G5023" i="1" a="1"/>
  <c r="G5023" i="1" s="1"/>
  <c r="G5013" i="1" a="1"/>
  <c r="G5013" i="1" s="1"/>
  <c r="G5003" i="1" a="1"/>
  <c r="G5003" i="1" s="1"/>
  <c r="G4993" i="1" a="1"/>
  <c r="G4993" i="1" s="1"/>
  <c r="G4983" i="1" a="1"/>
  <c r="G4983" i="1" s="1"/>
  <c r="G4973" i="1" a="1"/>
  <c r="G4973" i="1" s="1"/>
  <c r="G4963" i="1" a="1"/>
  <c r="G4963" i="1" s="1"/>
  <c r="G4953" i="1" a="1"/>
  <c r="G4953" i="1" s="1"/>
  <c r="G5612" i="1" a="1"/>
  <c r="G5612" i="1" s="1"/>
  <c r="G5602" i="1" a="1"/>
  <c r="G5602" i="1" s="1"/>
  <c r="G5592" i="1" a="1"/>
  <c r="G5592" i="1" s="1"/>
  <c r="G5582" i="1" a="1"/>
  <c r="G5582" i="1" s="1"/>
  <c r="G5572" i="1" a="1"/>
  <c r="G5572" i="1" s="1"/>
  <c r="G5562" i="1" a="1"/>
  <c r="G5562" i="1" s="1"/>
  <c r="G5552" i="1" a="1"/>
  <c r="G5552" i="1" s="1"/>
  <c r="G5542" i="1" a="1"/>
  <c r="G5542" i="1" s="1"/>
  <c r="G5532" i="1" a="1"/>
  <c r="G5532" i="1" s="1"/>
  <c r="G5522" i="1" a="1"/>
  <c r="G5522" i="1" s="1"/>
  <c r="G5512" i="1" a="1"/>
  <c r="G5512" i="1" s="1"/>
  <c r="G5502" i="1" a="1"/>
  <c r="G5502" i="1" s="1"/>
  <c r="G5492" i="1" a="1"/>
  <c r="G5492" i="1" s="1"/>
  <c r="G5482" i="1" a="1"/>
  <c r="G5482" i="1" s="1"/>
  <c r="G5472" i="1" a="1"/>
  <c r="G5472" i="1" s="1"/>
  <c r="G5462" i="1" a="1"/>
  <c r="G5462" i="1" s="1"/>
  <c r="G5452" i="1" a="1"/>
  <c r="G5452" i="1" s="1"/>
  <c r="G5442" i="1" a="1"/>
  <c r="G5442" i="1" s="1"/>
  <c r="G5432" i="1" a="1"/>
  <c r="G5432" i="1" s="1"/>
  <c r="G5422" i="1" a="1"/>
  <c r="G5422" i="1" s="1"/>
  <c r="G5412" i="1" a="1"/>
  <c r="G5412" i="1" s="1"/>
  <c r="G5402" i="1" a="1"/>
  <c r="G5402" i="1" s="1"/>
  <c r="G5392" i="1" a="1"/>
  <c r="G5392" i="1" s="1"/>
  <c r="G5382" i="1" a="1"/>
  <c r="G5382" i="1" s="1"/>
  <c r="G5372" i="1" a="1"/>
  <c r="G5372" i="1" s="1"/>
  <c r="G5362" i="1" a="1"/>
  <c r="G5362" i="1" s="1"/>
  <c r="G5352" i="1" a="1"/>
  <c r="G5352" i="1" s="1"/>
  <c r="G5342" i="1" a="1"/>
  <c r="G5342" i="1" s="1"/>
  <c r="G5332" i="1" a="1"/>
  <c r="G5332" i="1" s="1"/>
  <c r="G5322" i="1" a="1"/>
  <c r="G5322" i="1" s="1"/>
  <c r="G5312" i="1" a="1"/>
  <c r="G5312" i="1" s="1"/>
  <c r="G5302" i="1" a="1"/>
  <c r="G5302" i="1" s="1"/>
  <c r="G5292" i="1" a="1"/>
  <c r="G5292" i="1" s="1"/>
  <c r="G5282" i="1" a="1"/>
  <c r="G5282" i="1" s="1"/>
  <c r="G5272" i="1" a="1"/>
  <c r="G5272" i="1" s="1"/>
  <c r="G5262" i="1" a="1"/>
  <c r="G5262" i="1" s="1"/>
  <c r="G5252" i="1" a="1"/>
  <c r="G5252" i="1" s="1"/>
  <c r="G5242" i="1" a="1"/>
  <c r="G5242" i="1" s="1"/>
  <c r="G5232" i="1" a="1"/>
  <c r="G5232" i="1" s="1"/>
  <c r="G5222" i="1" a="1"/>
  <c r="G5222" i="1" s="1"/>
  <c r="G5212" i="1" a="1"/>
  <c r="G5212" i="1" s="1"/>
  <c r="G5202" i="1" a="1"/>
  <c r="G5202" i="1" s="1"/>
  <c r="G5192" i="1" a="1"/>
  <c r="G5192" i="1" s="1"/>
  <c r="G5182" i="1" a="1"/>
  <c r="G5182" i="1" s="1"/>
  <c r="G5172" i="1" a="1"/>
  <c r="G5172" i="1" s="1"/>
  <c r="G5162" i="1" a="1"/>
  <c r="G5162" i="1" s="1"/>
  <c r="G5152" i="1" a="1"/>
  <c r="G5152" i="1" s="1"/>
  <c r="G5142" i="1" a="1"/>
  <c r="G5142" i="1" s="1"/>
  <c r="G5132" i="1" a="1"/>
  <c r="G5132" i="1" s="1"/>
  <c r="G5122" i="1" a="1"/>
  <c r="G5122" i="1" s="1"/>
  <c r="G5112" i="1" a="1"/>
  <c r="G5112" i="1" s="1"/>
  <c r="G5102" i="1" a="1"/>
  <c r="G5102" i="1" s="1"/>
  <c r="G5092" i="1" a="1"/>
  <c r="G5092" i="1" s="1"/>
  <c r="G5082" i="1" a="1"/>
  <c r="G5082" i="1" s="1"/>
  <c r="G5072" i="1" a="1"/>
  <c r="G5072" i="1" s="1"/>
  <c r="G5062" i="1" a="1"/>
  <c r="G5062" i="1" s="1"/>
  <c r="G5052" i="1" a="1"/>
  <c r="G5052" i="1" s="1"/>
  <c r="G5042" i="1" a="1"/>
  <c r="G5042" i="1" s="1"/>
  <c r="G5032" i="1" a="1"/>
  <c r="G5032" i="1" s="1"/>
  <c r="G5022" i="1" a="1"/>
  <c r="G5022" i="1" s="1"/>
  <c r="G5012" i="1" a="1"/>
  <c r="G5012" i="1" s="1"/>
  <c r="G5002" i="1" a="1"/>
  <c r="G5002" i="1" s="1"/>
  <c r="G4992" i="1" a="1"/>
  <c r="G4992" i="1" s="1"/>
  <c r="G4982" i="1" a="1"/>
  <c r="G4982" i="1" s="1"/>
  <c r="G4972" i="1" a="1"/>
  <c r="G4972" i="1" s="1"/>
  <c r="G4962" i="1" a="1"/>
  <c r="G4962" i="1" s="1"/>
  <c r="G4952" i="1" a="1"/>
  <c r="G4952" i="1" s="1"/>
  <c r="G4942" i="1" a="1"/>
  <c r="G4942" i="1" s="1"/>
  <c r="G4932" i="1" a="1"/>
  <c r="G4932" i="1" s="1"/>
  <c r="G4922" i="1" a="1"/>
  <c r="G4922" i="1" s="1"/>
  <c r="G4912" i="1" a="1"/>
  <c r="G4912" i="1" s="1"/>
  <c r="G4902" i="1" a="1"/>
  <c r="G4902" i="1" s="1"/>
  <c r="G4892" i="1" a="1"/>
  <c r="G4892" i="1" s="1"/>
  <c r="G4882" i="1" a="1"/>
  <c r="G4882" i="1" s="1"/>
  <c r="G4872" i="1" a="1"/>
  <c r="G4872" i="1" s="1"/>
  <c r="G4862" i="1" a="1"/>
  <c r="G4862" i="1" s="1"/>
  <c r="G4852" i="1" a="1"/>
  <c r="G4852" i="1" s="1"/>
  <c r="G5691" i="1" a="1"/>
  <c r="G5691" i="1" s="1"/>
  <c r="G5681" i="1" a="1"/>
  <c r="G5681" i="1" s="1"/>
  <c r="G5671" i="1" a="1"/>
  <c r="G5671" i="1" s="1"/>
  <c r="G5661" i="1" a="1"/>
  <c r="G5661" i="1" s="1"/>
  <c r="G5651" i="1" a="1"/>
  <c r="G5651" i="1" s="1"/>
  <c r="G5641" i="1" a="1"/>
  <c r="G5641" i="1" s="1"/>
  <c r="G5631" i="1" a="1"/>
  <c r="G5631" i="1" s="1"/>
  <c r="G5621" i="1" a="1"/>
  <c r="G5621" i="1" s="1"/>
  <c r="G5611" i="1" a="1"/>
  <c r="G5611" i="1" s="1"/>
  <c r="G5601" i="1" a="1"/>
  <c r="G5601" i="1" s="1"/>
  <c r="G5591" i="1" a="1"/>
  <c r="G5591" i="1" s="1"/>
  <c r="G5581" i="1" a="1"/>
  <c r="G5581" i="1" s="1"/>
  <c r="G5571" i="1" a="1"/>
  <c r="G5571" i="1" s="1"/>
  <c r="G5561" i="1" a="1"/>
  <c r="G5561" i="1" s="1"/>
  <c r="G5551" i="1" a="1"/>
  <c r="G5551" i="1" s="1"/>
  <c r="G5541" i="1" a="1"/>
  <c r="G5541" i="1" s="1"/>
  <c r="G5531" i="1" a="1"/>
  <c r="G5531" i="1" s="1"/>
  <c r="G5521" i="1" a="1"/>
  <c r="G5521" i="1" s="1"/>
  <c r="G5511" i="1" a="1"/>
  <c r="G5511" i="1" s="1"/>
  <c r="G5501" i="1" a="1"/>
  <c r="G5501" i="1" s="1"/>
  <c r="G5491" i="1" a="1"/>
  <c r="G5491" i="1" s="1"/>
  <c r="G5481" i="1" a="1"/>
  <c r="G5481" i="1" s="1"/>
  <c r="G5471" i="1" a="1"/>
  <c r="G5471" i="1" s="1"/>
  <c r="G5461" i="1" a="1"/>
  <c r="G5461" i="1" s="1"/>
  <c r="G5451" i="1" a="1"/>
  <c r="G5451" i="1" s="1"/>
  <c r="G5441" i="1" a="1"/>
  <c r="G5441" i="1" s="1"/>
  <c r="G5431" i="1" a="1"/>
  <c r="G5431" i="1" s="1"/>
  <c r="G5421" i="1" a="1"/>
  <c r="G5421" i="1" s="1"/>
  <c r="G5411" i="1" a="1"/>
  <c r="G5411" i="1" s="1"/>
  <c r="G5401" i="1" a="1"/>
  <c r="G5401" i="1" s="1"/>
  <c r="G5391" i="1" a="1"/>
  <c r="G5391" i="1" s="1"/>
  <c r="G5381" i="1" a="1"/>
  <c r="G5381" i="1" s="1"/>
  <c r="G5371" i="1" a="1"/>
  <c r="G5371" i="1" s="1"/>
  <c r="G5361" i="1" a="1"/>
  <c r="G5361" i="1" s="1"/>
  <c r="G5351" i="1" a="1"/>
  <c r="G5351" i="1" s="1"/>
  <c r="G5341" i="1" a="1"/>
  <c r="G5341" i="1" s="1"/>
  <c r="G5331" i="1" a="1"/>
  <c r="G5331" i="1" s="1"/>
  <c r="G5321" i="1" a="1"/>
  <c r="G5321" i="1" s="1"/>
  <c r="G5311" i="1" a="1"/>
  <c r="G5311" i="1" s="1"/>
  <c r="G5301" i="1" a="1"/>
  <c r="G5301" i="1" s="1"/>
  <c r="G5291" i="1" a="1"/>
  <c r="G5291" i="1" s="1"/>
  <c r="G5281" i="1" a="1"/>
  <c r="G5281" i="1" s="1"/>
  <c r="G5271" i="1" a="1"/>
  <c r="G5271" i="1" s="1"/>
  <c r="G5261" i="1" a="1"/>
  <c r="G5261" i="1" s="1"/>
  <c r="G5251" i="1" a="1"/>
  <c r="G5251" i="1" s="1"/>
  <c r="G5241" i="1" a="1"/>
  <c r="G5241" i="1" s="1"/>
  <c r="G5231" i="1" a="1"/>
  <c r="G5231" i="1" s="1"/>
  <c r="G5221" i="1" a="1"/>
  <c r="G5221" i="1" s="1"/>
  <c r="G5211" i="1" a="1"/>
  <c r="G5211" i="1" s="1"/>
  <c r="G5201" i="1" a="1"/>
  <c r="G5201" i="1" s="1"/>
  <c r="G5191" i="1" a="1"/>
  <c r="G5191" i="1" s="1"/>
  <c r="G5181" i="1" a="1"/>
  <c r="G5181" i="1" s="1"/>
  <c r="G5171" i="1" a="1"/>
  <c r="G5171" i="1" s="1"/>
  <c r="G5161" i="1" a="1"/>
  <c r="G5161" i="1" s="1"/>
  <c r="G5151" i="1" a="1"/>
  <c r="G5151" i="1" s="1"/>
  <c r="G5141" i="1" a="1"/>
  <c r="G5141" i="1" s="1"/>
  <c r="G5131" i="1" a="1"/>
  <c r="G5131" i="1" s="1"/>
  <c r="G5121" i="1" a="1"/>
  <c r="G5121" i="1" s="1"/>
  <c r="G5111" i="1" a="1"/>
  <c r="G5111" i="1" s="1"/>
  <c r="G5101" i="1" a="1"/>
  <c r="G5101" i="1" s="1"/>
  <c r="G5091" i="1" a="1"/>
  <c r="G5091" i="1" s="1"/>
  <c r="G5081" i="1" a="1"/>
  <c r="G5081" i="1" s="1"/>
  <c r="G5071" i="1" a="1"/>
  <c r="G5071" i="1" s="1"/>
  <c r="G5061" i="1" a="1"/>
  <c r="G5061" i="1" s="1"/>
  <c r="G5051" i="1" a="1"/>
  <c r="G5051" i="1" s="1"/>
  <c r="G5041" i="1" a="1"/>
  <c r="G5041" i="1" s="1"/>
  <c r="G5031" i="1" a="1"/>
  <c r="G5031" i="1" s="1"/>
  <c r="G5021" i="1" a="1"/>
  <c r="G5021" i="1" s="1"/>
  <c r="G5011" i="1" a="1"/>
  <c r="G5011" i="1" s="1"/>
  <c r="G5001" i="1" a="1"/>
  <c r="G5001" i="1" s="1"/>
  <c r="G4991" i="1" a="1"/>
  <c r="G4991" i="1" s="1"/>
  <c r="G4981" i="1" a="1"/>
  <c r="G4981" i="1" s="1"/>
  <c r="G4971" i="1" a="1"/>
  <c r="G4971" i="1" s="1"/>
  <c r="G5900" i="1" a="1"/>
  <c r="G5900" i="1" s="1"/>
  <c r="G5890" i="1" a="1"/>
  <c r="G5890" i="1" s="1"/>
  <c r="G5880" i="1" a="1"/>
  <c r="G5880" i="1" s="1"/>
  <c r="G5870" i="1" a="1"/>
  <c r="G5870" i="1" s="1"/>
  <c r="G5860" i="1" a="1"/>
  <c r="G5860" i="1" s="1"/>
  <c r="G5850" i="1" a="1"/>
  <c r="G5850" i="1" s="1"/>
  <c r="G5840" i="1" a="1"/>
  <c r="G5840" i="1" s="1"/>
  <c r="G5830" i="1" a="1"/>
  <c r="G5830" i="1" s="1"/>
  <c r="G5820" i="1" a="1"/>
  <c r="G5820" i="1" s="1"/>
  <c r="G5810" i="1" a="1"/>
  <c r="G5810" i="1" s="1"/>
  <c r="G5800" i="1" a="1"/>
  <c r="G5800" i="1" s="1"/>
  <c r="G5790" i="1" a="1"/>
  <c r="G5790" i="1" s="1"/>
  <c r="G5780" i="1" a="1"/>
  <c r="G5780" i="1" s="1"/>
  <c r="G5770" i="1" a="1"/>
  <c r="G5770" i="1" s="1"/>
  <c r="G5760" i="1" a="1"/>
  <c r="G5760" i="1" s="1"/>
  <c r="G5750" i="1" a="1"/>
  <c r="G5750" i="1" s="1"/>
  <c r="G5740" i="1" a="1"/>
  <c r="G5740" i="1" s="1"/>
  <c r="G5730" i="1" a="1"/>
  <c r="G5730" i="1" s="1"/>
  <c r="G5720" i="1" a="1"/>
  <c r="G5720" i="1" s="1"/>
  <c r="G5710" i="1" a="1"/>
  <c r="G5710" i="1" s="1"/>
  <c r="G5700" i="1" a="1"/>
  <c r="G5700" i="1" s="1"/>
  <c r="G5690" i="1" a="1"/>
  <c r="G5690" i="1" s="1"/>
  <c r="G5680" i="1" a="1"/>
  <c r="G5680" i="1" s="1"/>
  <c r="G5670" i="1" a="1"/>
  <c r="G5670" i="1" s="1"/>
  <c r="G5660" i="1" a="1"/>
  <c r="G5660" i="1" s="1"/>
  <c r="G5650" i="1" a="1"/>
  <c r="G5650" i="1" s="1"/>
  <c r="G5640" i="1" a="1"/>
  <c r="G5640" i="1" s="1"/>
  <c r="G5630" i="1" a="1"/>
  <c r="G5630" i="1" s="1"/>
  <c r="G5620" i="1" a="1"/>
  <c r="G5620" i="1" s="1"/>
  <c r="G5610" i="1" a="1"/>
  <c r="G5610" i="1" s="1"/>
  <c r="G5600" i="1" a="1"/>
  <c r="G5600" i="1" s="1"/>
  <c r="G5590" i="1" a="1"/>
  <c r="G5590" i="1" s="1"/>
  <c r="G5580" i="1" a="1"/>
  <c r="G5580" i="1" s="1"/>
  <c r="G5570" i="1" a="1"/>
  <c r="G5570" i="1" s="1"/>
  <c r="G5560" i="1" a="1"/>
  <c r="G5560" i="1" s="1"/>
  <c r="G5550" i="1" a="1"/>
  <c r="G5550" i="1" s="1"/>
  <c r="G5540" i="1" a="1"/>
  <c r="G5540" i="1" s="1"/>
  <c r="G5530" i="1" a="1"/>
  <c r="G5530" i="1" s="1"/>
  <c r="G5520" i="1" a="1"/>
  <c r="G5520" i="1" s="1"/>
  <c r="G5510" i="1" a="1"/>
  <c r="G5510" i="1" s="1"/>
  <c r="G5500" i="1" a="1"/>
  <c r="G5500" i="1" s="1"/>
  <c r="G5490" i="1" a="1"/>
  <c r="G5490" i="1" s="1"/>
  <c r="G5480" i="1" a="1"/>
  <c r="G5480" i="1" s="1"/>
  <c r="G5470" i="1" a="1"/>
  <c r="G5470" i="1" s="1"/>
  <c r="G5460" i="1" a="1"/>
  <c r="G5460" i="1" s="1"/>
  <c r="G5450" i="1" a="1"/>
  <c r="G5450" i="1" s="1"/>
  <c r="G5440" i="1" a="1"/>
  <c r="G5440" i="1" s="1"/>
  <c r="G5430" i="1" a="1"/>
  <c r="G5430" i="1" s="1"/>
  <c r="G5420" i="1" a="1"/>
  <c r="G5420" i="1" s="1"/>
  <c r="G5410" i="1" a="1"/>
  <c r="G5410" i="1" s="1"/>
  <c r="G5400" i="1" a="1"/>
  <c r="G5400" i="1" s="1"/>
  <c r="G5390" i="1" a="1"/>
  <c r="G5390" i="1" s="1"/>
  <c r="G5380" i="1" a="1"/>
  <c r="G5380" i="1" s="1"/>
  <c r="G5370" i="1" a="1"/>
  <c r="G5370" i="1" s="1"/>
  <c r="G5360" i="1" a="1"/>
  <c r="G5360" i="1" s="1"/>
  <c r="G5350" i="1" a="1"/>
  <c r="G5350" i="1" s="1"/>
  <c r="G5340" i="1" a="1"/>
  <c r="G5340" i="1" s="1"/>
  <c r="G5330" i="1" a="1"/>
  <c r="G5330" i="1" s="1"/>
  <c r="G5320" i="1" a="1"/>
  <c r="G5320" i="1" s="1"/>
  <c r="G5310" i="1" a="1"/>
  <c r="G5310" i="1" s="1"/>
  <c r="G5300" i="1" a="1"/>
  <c r="G5300" i="1" s="1"/>
  <c r="G5290" i="1" a="1"/>
  <c r="G5290" i="1" s="1"/>
  <c r="G5280" i="1" a="1"/>
  <c r="G5280" i="1" s="1"/>
  <c r="G5270" i="1" a="1"/>
  <c r="G5270" i="1" s="1"/>
  <c r="G5260" i="1" a="1"/>
  <c r="G5260" i="1" s="1"/>
  <c r="G5250" i="1" a="1"/>
  <c r="G5250" i="1" s="1"/>
  <c r="G5240" i="1" a="1"/>
  <c r="G5240" i="1" s="1"/>
  <c r="G5230" i="1" a="1"/>
  <c r="G5230" i="1" s="1"/>
  <c r="G5220" i="1" a="1"/>
  <c r="G5220" i="1" s="1"/>
  <c r="G5210" i="1" a="1"/>
  <c r="G5210" i="1" s="1"/>
  <c r="G5200" i="1" a="1"/>
  <c r="G5200" i="1" s="1"/>
  <c r="G5190" i="1" a="1"/>
  <c r="G5190" i="1" s="1"/>
  <c r="G5180" i="1" a="1"/>
  <c r="G5180" i="1" s="1"/>
  <c r="G5170" i="1" a="1"/>
  <c r="G5170" i="1" s="1"/>
  <c r="G5160" i="1" a="1"/>
  <c r="G5160" i="1" s="1"/>
  <c r="G5150" i="1" a="1"/>
  <c r="G5150" i="1" s="1"/>
  <c r="G5140" i="1" a="1"/>
  <c r="G5140" i="1" s="1"/>
  <c r="G5130" i="1" a="1"/>
  <c r="G5130" i="1" s="1"/>
  <c r="G5120" i="1" a="1"/>
  <c r="G5120" i="1" s="1"/>
  <c r="G6029" i="1" a="1"/>
  <c r="G6029" i="1" s="1"/>
  <c r="G6019" i="1" a="1"/>
  <c r="G6019" i="1" s="1"/>
  <c r="G6009" i="1" a="1"/>
  <c r="G6009" i="1" s="1"/>
  <c r="G5999" i="1" a="1"/>
  <c r="G5999" i="1" s="1"/>
  <c r="G5989" i="1" a="1"/>
  <c r="G5989" i="1" s="1"/>
  <c r="G5979" i="1" a="1"/>
  <c r="G5979" i="1" s="1"/>
  <c r="G5969" i="1" a="1"/>
  <c r="G5969" i="1" s="1"/>
  <c r="G5959" i="1" a="1"/>
  <c r="G5959" i="1" s="1"/>
  <c r="G5949" i="1" a="1"/>
  <c r="G5949" i="1" s="1"/>
  <c r="G5939" i="1" a="1"/>
  <c r="G5939" i="1" s="1"/>
  <c r="G5929" i="1" a="1"/>
  <c r="G5929" i="1" s="1"/>
  <c r="G5919" i="1" a="1"/>
  <c r="G5919" i="1" s="1"/>
  <c r="G5909" i="1" a="1"/>
  <c r="G5909" i="1" s="1"/>
  <c r="G5899" i="1" a="1"/>
  <c r="G5899" i="1" s="1"/>
  <c r="G5889" i="1" a="1"/>
  <c r="G5889" i="1" s="1"/>
  <c r="G5879" i="1" a="1"/>
  <c r="G5879" i="1" s="1"/>
  <c r="G5869" i="1" a="1"/>
  <c r="G5869" i="1" s="1"/>
  <c r="G5859" i="1" a="1"/>
  <c r="G5859" i="1" s="1"/>
  <c r="G5849" i="1" a="1"/>
  <c r="G5849" i="1" s="1"/>
  <c r="G5839" i="1" a="1"/>
  <c r="G5839" i="1" s="1"/>
  <c r="G5829" i="1" a="1"/>
  <c r="G5829" i="1" s="1"/>
  <c r="G5819" i="1" a="1"/>
  <c r="G5819" i="1" s="1"/>
  <c r="G5809" i="1" a="1"/>
  <c r="G5809" i="1" s="1"/>
  <c r="G5799" i="1" a="1"/>
  <c r="G5799" i="1" s="1"/>
  <c r="G5789" i="1" a="1"/>
  <c r="G5789" i="1" s="1"/>
  <c r="G5779" i="1" a="1"/>
  <c r="G5779" i="1" s="1"/>
  <c r="G5769" i="1" a="1"/>
  <c r="G5769" i="1" s="1"/>
  <c r="G5759" i="1" a="1"/>
  <c r="G5759" i="1" s="1"/>
  <c r="G5749" i="1" a="1"/>
  <c r="G5749" i="1" s="1"/>
  <c r="G5739" i="1" a="1"/>
  <c r="G5739" i="1" s="1"/>
  <c r="G5729" i="1" a="1"/>
  <c r="G5729" i="1" s="1"/>
  <c r="G5719" i="1" a="1"/>
  <c r="G5719" i="1" s="1"/>
  <c r="G5709" i="1" a="1"/>
  <c r="G5709" i="1" s="1"/>
  <c r="G5699" i="1" a="1"/>
  <c r="G5699" i="1" s="1"/>
  <c r="G5689" i="1" a="1"/>
  <c r="G5689" i="1" s="1"/>
  <c r="G5679" i="1" a="1"/>
  <c r="G5679" i="1" s="1"/>
  <c r="G5669" i="1" a="1"/>
  <c r="G5669" i="1" s="1"/>
  <c r="G5659" i="1" a="1"/>
  <c r="G5659" i="1" s="1"/>
  <c r="G5649" i="1" a="1"/>
  <c r="G5649" i="1" s="1"/>
  <c r="G5639" i="1" a="1"/>
  <c r="G5639" i="1" s="1"/>
  <c r="G5629" i="1" a="1"/>
  <c r="G5629" i="1" s="1"/>
  <c r="G5619" i="1" a="1"/>
  <c r="G5619" i="1" s="1"/>
  <c r="G5609" i="1" a="1"/>
  <c r="G5609" i="1" s="1"/>
  <c r="G5599" i="1" a="1"/>
  <c r="G5599" i="1" s="1"/>
  <c r="G5589" i="1" a="1"/>
  <c r="G5589" i="1" s="1"/>
  <c r="G5579" i="1" a="1"/>
  <c r="G5579" i="1" s="1"/>
  <c r="G5569" i="1" a="1"/>
  <c r="G5569" i="1" s="1"/>
  <c r="G5559" i="1" a="1"/>
  <c r="G5559" i="1" s="1"/>
  <c r="G5549" i="1" a="1"/>
  <c r="G5549" i="1" s="1"/>
  <c r="G5539" i="1" a="1"/>
  <c r="G5539" i="1" s="1"/>
  <c r="G5529" i="1" a="1"/>
  <c r="G5529" i="1" s="1"/>
  <c r="G5519" i="1" a="1"/>
  <c r="G5519" i="1" s="1"/>
  <c r="G5509" i="1" a="1"/>
  <c r="G5509" i="1" s="1"/>
  <c r="G5499" i="1" a="1"/>
  <c r="G5499" i="1" s="1"/>
  <c r="G5489" i="1" a="1"/>
  <c r="G5489" i="1" s="1"/>
  <c r="G5479" i="1" a="1"/>
  <c r="G5479" i="1" s="1"/>
  <c r="G5469" i="1" a="1"/>
  <c r="G5469" i="1" s="1"/>
  <c r="G5459" i="1" a="1"/>
  <c r="G5459" i="1" s="1"/>
  <c r="G5449" i="1" a="1"/>
  <c r="G5449" i="1" s="1"/>
  <c r="G5439" i="1" a="1"/>
  <c r="G5439" i="1" s="1"/>
  <c r="G5429" i="1" a="1"/>
  <c r="G5429" i="1" s="1"/>
  <c r="G5419" i="1" a="1"/>
  <c r="G5419" i="1" s="1"/>
  <c r="G5409" i="1" a="1"/>
  <c r="G5409" i="1" s="1"/>
  <c r="G5399" i="1" a="1"/>
  <c r="G5399" i="1" s="1"/>
  <c r="G5389" i="1" a="1"/>
  <c r="G5389" i="1" s="1"/>
  <c r="G5379" i="1" a="1"/>
  <c r="G5379" i="1" s="1"/>
  <c r="G5369" i="1" a="1"/>
  <c r="G5369" i="1" s="1"/>
  <c r="G5359" i="1" a="1"/>
  <c r="G5359" i="1" s="1"/>
  <c r="G5349" i="1" a="1"/>
  <c r="G5349" i="1" s="1"/>
  <c r="G5339" i="1" a="1"/>
  <c r="G5339" i="1" s="1"/>
  <c r="G5329" i="1" a="1"/>
  <c r="G5329" i="1" s="1"/>
  <c r="G5319" i="1" a="1"/>
  <c r="G5319" i="1" s="1"/>
  <c r="G5309" i="1" a="1"/>
  <c r="G5309" i="1" s="1"/>
  <c r="G5299" i="1" a="1"/>
  <c r="G5299" i="1" s="1"/>
  <c r="G5289" i="1" a="1"/>
  <c r="G5289" i="1" s="1"/>
  <c r="G5279" i="1" a="1"/>
  <c r="G5279" i="1" s="1"/>
  <c r="G5269" i="1" a="1"/>
  <c r="G5269" i="1" s="1"/>
  <c r="G5259" i="1" a="1"/>
  <c r="G5259" i="1" s="1"/>
  <c r="G5249" i="1" a="1"/>
  <c r="G5249" i="1" s="1"/>
  <c r="G5239" i="1" a="1"/>
  <c r="G5239" i="1" s="1"/>
  <c r="G5229" i="1" a="1"/>
  <c r="G5229" i="1" s="1"/>
  <c r="G5219" i="1" a="1"/>
  <c r="G5219" i="1" s="1"/>
  <c r="G5209" i="1" a="1"/>
  <c r="G5209" i="1" s="1"/>
  <c r="G5199" i="1" a="1"/>
  <c r="G5199" i="1" s="1"/>
  <c r="G5189" i="1" a="1"/>
  <c r="G5189" i="1" s="1"/>
  <c r="G5948" i="1" a="1"/>
  <c r="G5948" i="1" s="1"/>
  <c r="G5938" i="1" a="1"/>
  <c r="G5938" i="1" s="1"/>
  <c r="G5928" i="1" a="1"/>
  <c r="G5928" i="1" s="1"/>
  <c r="G5918" i="1" a="1"/>
  <c r="G5918" i="1" s="1"/>
  <c r="G5908" i="1" a="1"/>
  <c r="G5908" i="1" s="1"/>
  <c r="G5898" i="1" a="1"/>
  <c r="G5898" i="1" s="1"/>
  <c r="G5888" i="1" a="1"/>
  <c r="G5888" i="1" s="1"/>
  <c r="G5878" i="1" a="1"/>
  <c r="G5878" i="1" s="1"/>
  <c r="G5868" i="1" a="1"/>
  <c r="G5868" i="1" s="1"/>
  <c r="G5858" i="1" a="1"/>
  <c r="G5858" i="1" s="1"/>
  <c r="G5848" i="1" a="1"/>
  <c r="G5848" i="1" s="1"/>
  <c r="G5838" i="1" a="1"/>
  <c r="G5838" i="1" s="1"/>
  <c r="G5828" i="1" a="1"/>
  <c r="G5828" i="1" s="1"/>
  <c r="G5818" i="1" a="1"/>
  <c r="G5818" i="1" s="1"/>
  <c r="G5808" i="1" a="1"/>
  <c r="G5808" i="1" s="1"/>
  <c r="G5798" i="1" a="1"/>
  <c r="G5798" i="1" s="1"/>
  <c r="G5788" i="1" a="1"/>
  <c r="G5788" i="1" s="1"/>
  <c r="G5778" i="1" a="1"/>
  <c r="G5778" i="1" s="1"/>
  <c r="G5768" i="1" a="1"/>
  <c r="G5768" i="1" s="1"/>
  <c r="G5758" i="1" a="1"/>
  <c r="G5758" i="1" s="1"/>
  <c r="G5748" i="1" a="1"/>
  <c r="G5748" i="1" s="1"/>
  <c r="G5738" i="1" a="1"/>
  <c r="G5738" i="1" s="1"/>
  <c r="G5728" i="1" a="1"/>
  <c r="G5728" i="1" s="1"/>
  <c r="G5718" i="1" a="1"/>
  <c r="G5718" i="1" s="1"/>
  <c r="G5708" i="1" a="1"/>
  <c r="G5708" i="1" s="1"/>
  <c r="G5698" i="1" a="1"/>
  <c r="G5698" i="1" s="1"/>
  <c r="G5688" i="1" a="1"/>
  <c r="G5688" i="1" s="1"/>
  <c r="G5678" i="1" a="1"/>
  <c r="G5678" i="1" s="1"/>
  <c r="G5668" i="1" a="1"/>
  <c r="G5668" i="1" s="1"/>
  <c r="G5658" i="1" a="1"/>
  <c r="G5658" i="1" s="1"/>
  <c r="G5648" i="1" a="1"/>
  <c r="G5648" i="1" s="1"/>
  <c r="G5638" i="1" a="1"/>
  <c r="G5638" i="1" s="1"/>
  <c r="G5628" i="1" a="1"/>
  <c r="G5628" i="1" s="1"/>
  <c r="G5618" i="1" a="1"/>
  <c r="G5618" i="1" s="1"/>
  <c r="G5608" i="1" a="1"/>
  <c r="G5608" i="1" s="1"/>
  <c r="G5598" i="1" a="1"/>
  <c r="G5598" i="1" s="1"/>
  <c r="G5588" i="1" a="1"/>
  <c r="G5588" i="1" s="1"/>
  <c r="G5578" i="1" a="1"/>
  <c r="G5578" i="1" s="1"/>
  <c r="G5568" i="1" a="1"/>
  <c r="G5568" i="1" s="1"/>
  <c r="G5558" i="1" a="1"/>
  <c r="G5558" i="1" s="1"/>
  <c r="G5548" i="1" a="1"/>
  <c r="G5548" i="1" s="1"/>
  <c r="G5538" i="1" a="1"/>
  <c r="G5538" i="1" s="1"/>
  <c r="G5528" i="1" a="1"/>
  <c r="G5528" i="1" s="1"/>
  <c r="G5518" i="1" a="1"/>
  <c r="G5518" i="1" s="1"/>
  <c r="G5508" i="1" a="1"/>
  <c r="G5508" i="1" s="1"/>
  <c r="G5498" i="1" a="1"/>
  <c r="G5498" i="1" s="1"/>
  <c r="G5488" i="1" a="1"/>
  <c r="G5488" i="1" s="1"/>
  <c r="G5478" i="1" a="1"/>
  <c r="G5478" i="1" s="1"/>
  <c r="G5468" i="1" a="1"/>
  <c r="G5468" i="1" s="1"/>
  <c r="G5458" i="1" a="1"/>
  <c r="G5458" i="1" s="1"/>
  <c r="G5448" i="1" a="1"/>
  <c r="G5448" i="1" s="1"/>
  <c r="G5438" i="1" a="1"/>
  <c r="G5438" i="1" s="1"/>
  <c r="G5428" i="1" a="1"/>
  <c r="G5428" i="1" s="1"/>
  <c r="G5418" i="1" a="1"/>
  <c r="G5418" i="1" s="1"/>
  <c r="G5408" i="1" a="1"/>
  <c r="G5408" i="1" s="1"/>
  <c r="G5398" i="1" a="1"/>
  <c r="G5398" i="1" s="1"/>
  <c r="G5388" i="1" a="1"/>
  <c r="G5388" i="1" s="1"/>
  <c r="G5378" i="1" a="1"/>
  <c r="G5378" i="1" s="1"/>
  <c r="G5368" i="1" a="1"/>
  <c r="G5368" i="1" s="1"/>
  <c r="G5358" i="1" a="1"/>
  <c r="G5358" i="1" s="1"/>
  <c r="G5348" i="1" a="1"/>
  <c r="G5348" i="1" s="1"/>
  <c r="G5338" i="1" a="1"/>
  <c r="G5338" i="1" s="1"/>
  <c r="G5328" i="1" a="1"/>
  <c r="G5328" i="1" s="1"/>
  <c r="G5318" i="1" a="1"/>
  <c r="G5318" i="1" s="1"/>
  <c r="G5308" i="1" a="1"/>
  <c r="G5308" i="1" s="1"/>
  <c r="G5298" i="1" a="1"/>
  <c r="G5298" i="1" s="1"/>
  <c r="G5288" i="1" a="1"/>
  <c r="G5288" i="1" s="1"/>
  <c r="G5278" i="1" a="1"/>
  <c r="G5278" i="1" s="1"/>
  <c r="G5268" i="1" a="1"/>
  <c r="G5268" i="1" s="1"/>
  <c r="G5258" i="1" a="1"/>
  <c r="G5258" i="1" s="1"/>
  <c r="G5248" i="1" a="1"/>
  <c r="G5248" i="1" s="1"/>
  <c r="G5238" i="1" a="1"/>
  <c r="G5238" i="1" s="1"/>
  <c r="G5228" i="1" a="1"/>
  <c r="G5228" i="1" s="1"/>
  <c r="G5218" i="1" a="1"/>
  <c r="G5218" i="1" s="1"/>
  <c r="G5208" i="1" a="1"/>
  <c r="G5208" i="1" s="1"/>
  <c r="G5198" i="1" a="1"/>
  <c r="G5198" i="1" s="1"/>
  <c r="G5188" i="1" a="1"/>
  <c r="G5188" i="1" s="1"/>
  <c r="G5178" i="1" a="1"/>
  <c r="G5178" i="1" s="1"/>
  <c r="G5168" i="1" a="1"/>
  <c r="G5168" i="1" s="1"/>
  <c r="G5158" i="1" a="1"/>
  <c r="G5158" i="1" s="1"/>
  <c r="G5148" i="1" a="1"/>
  <c r="G5148" i="1" s="1"/>
  <c r="G5138" i="1" a="1"/>
  <c r="G5138" i="1" s="1"/>
  <c r="G5128" i="1" a="1"/>
  <c r="G5128" i="1" s="1"/>
  <c r="G5757" i="1" a="1"/>
  <c r="G5757" i="1" s="1"/>
  <c r="G5747" i="1" a="1"/>
  <c r="G5747" i="1" s="1"/>
  <c r="G5737" i="1" a="1"/>
  <c r="G5737" i="1" s="1"/>
  <c r="G5727" i="1" a="1"/>
  <c r="G5727" i="1" s="1"/>
  <c r="G5717" i="1" a="1"/>
  <c r="G5717" i="1" s="1"/>
  <c r="G5707" i="1" a="1"/>
  <c r="G5707" i="1" s="1"/>
  <c r="G5697" i="1" a="1"/>
  <c r="G5697" i="1" s="1"/>
  <c r="G5687" i="1" a="1"/>
  <c r="G5687" i="1" s="1"/>
  <c r="G5677" i="1" a="1"/>
  <c r="G5677" i="1" s="1"/>
  <c r="G5667" i="1" a="1"/>
  <c r="G5667" i="1" s="1"/>
  <c r="G5657" i="1" a="1"/>
  <c r="G5657" i="1" s="1"/>
  <c r="G5647" i="1" a="1"/>
  <c r="G5647" i="1" s="1"/>
  <c r="G5637" i="1" a="1"/>
  <c r="G5637" i="1" s="1"/>
  <c r="G5627" i="1" a="1"/>
  <c r="G5627" i="1" s="1"/>
  <c r="G5617" i="1" a="1"/>
  <c r="G5617" i="1" s="1"/>
  <c r="G5607" i="1" a="1"/>
  <c r="G5607" i="1" s="1"/>
  <c r="G5597" i="1" a="1"/>
  <c r="G5597" i="1" s="1"/>
  <c r="G5587" i="1" a="1"/>
  <c r="G5587" i="1" s="1"/>
  <c r="G5577" i="1" a="1"/>
  <c r="G5577" i="1" s="1"/>
  <c r="G5567" i="1" a="1"/>
  <c r="G5567" i="1" s="1"/>
  <c r="G5557" i="1" a="1"/>
  <c r="G5557" i="1" s="1"/>
  <c r="G5547" i="1" a="1"/>
  <c r="G5547" i="1" s="1"/>
  <c r="G5537" i="1" a="1"/>
  <c r="G5537" i="1" s="1"/>
  <c r="G5527" i="1" a="1"/>
  <c r="G5527" i="1" s="1"/>
  <c r="G5517" i="1" a="1"/>
  <c r="G5517" i="1" s="1"/>
  <c r="G5507" i="1" a="1"/>
  <c r="G5507" i="1" s="1"/>
  <c r="G5497" i="1" a="1"/>
  <c r="G5497" i="1" s="1"/>
  <c r="G5487" i="1" a="1"/>
  <c r="G5487" i="1" s="1"/>
  <c r="G5477" i="1" a="1"/>
  <c r="G5477" i="1" s="1"/>
  <c r="G5467" i="1" a="1"/>
  <c r="G5467" i="1" s="1"/>
  <c r="G5457" i="1" a="1"/>
  <c r="G5457" i="1" s="1"/>
  <c r="G5447" i="1" a="1"/>
  <c r="G5447" i="1" s="1"/>
  <c r="G5437" i="1" a="1"/>
  <c r="G5437" i="1" s="1"/>
  <c r="G5427" i="1" a="1"/>
  <c r="G5427" i="1" s="1"/>
  <c r="G5417" i="1" a="1"/>
  <c r="G5417" i="1" s="1"/>
  <c r="G5407" i="1" a="1"/>
  <c r="G5407" i="1" s="1"/>
  <c r="G5397" i="1" a="1"/>
  <c r="G5397" i="1" s="1"/>
  <c r="G5387" i="1" a="1"/>
  <c r="G5387" i="1" s="1"/>
  <c r="G5377" i="1" a="1"/>
  <c r="G5377" i="1" s="1"/>
  <c r="G5367" i="1" a="1"/>
  <c r="G5367" i="1" s="1"/>
  <c r="G5357" i="1" a="1"/>
  <c r="G5357" i="1" s="1"/>
  <c r="G5347" i="1" a="1"/>
  <c r="G5347" i="1" s="1"/>
  <c r="G5337" i="1" a="1"/>
  <c r="G5337" i="1" s="1"/>
  <c r="G5327" i="1" a="1"/>
  <c r="G5327" i="1" s="1"/>
  <c r="G5317" i="1" a="1"/>
  <c r="G5317" i="1" s="1"/>
  <c r="G5307" i="1" a="1"/>
  <c r="G5307" i="1" s="1"/>
  <c r="G5297" i="1" a="1"/>
  <c r="G5297" i="1" s="1"/>
  <c r="G5287" i="1" a="1"/>
  <c r="G5287" i="1" s="1"/>
  <c r="G5277" i="1" a="1"/>
  <c r="G5277" i="1" s="1"/>
  <c r="G5267" i="1" a="1"/>
  <c r="G5267" i="1" s="1"/>
  <c r="G5257" i="1" a="1"/>
  <c r="G5257" i="1" s="1"/>
  <c r="G5247" i="1" a="1"/>
  <c r="G5247" i="1" s="1"/>
  <c r="G5237" i="1" a="1"/>
  <c r="G5237" i="1" s="1"/>
  <c r="G5227" i="1" a="1"/>
  <c r="G5227" i="1" s="1"/>
  <c r="G5217" i="1" a="1"/>
  <c r="G5217" i="1" s="1"/>
  <c r="G5207" i="1" a="1"/>
  <c r="G5207" i="1" s="1"/>
  <c r="G5197" i="1" a="1"/>
  <c r="G5197" i="1" s="1"/>
  <c r="G5187" i="1" a="1"/>
  <c r="G5187" i="1" s="1"/>
  <c r="G5177" i="1" a="1"/>
  <c r="G5177" i="1" s="1"/>
  <c r="G5167" i="1" a="1"/>
  <c r="G5167" i="1" s="1"/>
  <c r="G5157" i="1" a="1"/>
  <c r="G5157" i="1" s="1"/>
  <c r="G5147" i="1" a="1"/>
  <c r="G5147" i="1" s="1"/>
  <c r="G5137" i="1" a="1"/>
  <c r="G5137" i="1" s="1"/>
  <c r="G5127" i="1" a="1"/>
  <c r="G5127" i="1" s="1"/>
  <c r="G5117" i="1" a="1"/>
  <c r="G5117" i="1" s="1"/>
  <c r="G5107" i="1" a="1"/>
  <c r="G5107" i="1" s="1"/>
  <c r="G5097" i="1" a="1"/>
  <c r="G5097" i="1" s="1"/>
  <c r="G5087" i="1" a="1"/>
  <c r="G5087" i="1" s="1"/>
  <c r="G5077" i="1" a="1"/>
  <c r="G5077" i="1" s="1"/>
  <c r="G5067" i="1" a="1"/>
  <c r="G5067" i="1" s="1"/>
  <c r="G5057" i="1" a="1"/>
  <c r="G5057" i="1" s="1"/>
  <c r="G5047" i="1" a="1"/>
  <c r="G5047" i="1" s="1"/>
  <c r="G5037" i="1" a="1"/>
  <c r="G5037" i="1" s="1"/>
  <c r="G5027" i="1" a="1"/>
  <c r="G5027" i="1" s="1"/>
  <c r="G5017" i="1" a="1"/>
  <c r="G5017" i="1" s="1"/>
  <c r="G5007" i="1" a="1"/>
  <c r="G5007" i="1" s="1"/>
  <c r="G5736" i="1" a="1"/>
  <c r="G5736" i="1" s="1"/>
  <c r="G5726" i="1" a="1"/>
  <c r="G5726" i="1" s="1"/>
  <c r="G5716" i="1" a="1"/>
  <c r="G5716" i="1" s="1"/>
  <c r="G5706" i="1" a="1"/>
  <c r="G5706" i="1" s="1"/>
  <c r="G5696" i="1" a="1"/>
  <c r="G5696" i="1" s="1"/>
  <c r="G5686" i="1" a="1"/>
  <c r="G5686" i="1" s="1"/>
  <c r="G5676" i="1" a="1"/>
  <c r="G5676" i="1" s="1"/>
  <c r="G5666" i="1" a="1"/>
  <c r="G5666" i="1" s="1"/>
  <c r="G5656" i="1" a="1"/>
  <c r="G5656" i="1" s="1"/>
  <c r="G5646" i="1" a="1"/>
  <c r="G5646" i="1" s="1"/>
  <c r="G5636" i="1" a="1"/>
  <c r="G5636" i="1" s="1"/>
  <c r="G5626" i="1" a="1"/>
  <c r="G5626" i="1" s="1"/>
  <c r="G5616" i="1" a="1"/>
  <c r="G5616" i="1" s="1"/>
  <c r="G5606" i="1" a="1"/>
  <c r="G5606" i="1" s="1"/>
  <c r="G5596" i="1" a="1"/>
  <c r="G5596" i="1" s="1"/>
  <c r="G5586" i="1" a="1"/>
  <c r="G5586" i="1" s="1"/>
  <c r="G5576" i="1" a="1"/>
  <c r="G5576" i="1" s="1"/>
  <c r="G5566" i="1" a="1"/>
  <c r="G5566" i="1" s="1"/>
  <c r="G5556" i="1" a="1"/>
  <c r="G5556" i="1" s="1"/>
  <c r="G5546" i="1" a="1"/>
  <c r="G5546" i="1" s="1"/>
  <c r="G5536" i="1" a="1"/>
  <c r="G5536" i="1" s="1"/>
  <c r="G5526" i="1" a="1"/>
  <c r="G5526" i="1" s="1"/>
  <c r="G5516" i="1" a="1"/>
  <c r="G5516" i="1" s="1"/>
  <c r="G5506" i="1" a="1"/>
  <c r="G5506" i="1" s="1"/>
  <c r="G5496" i="1" a="1"/>
  <c r="G5496" i="1" s="1"/>
  <c r="G5486" i="1" a="1"/>
  <c r="G5486" i="1" s="1"/>
  <c r="G5476" i="1" a="1"/>
  <c r="G5476" i="1" s="1"/>
  <c r="G5466" i="1" a="1"/>
  <c r="G5466" i="1" s="1"/>
  <c r="G5456" i="1" a="1"/>
  <c r="G5456" i="1" s="1"/>
  <c r="G5446" i="1" a="1"/>
  <c r="G5446" i="1" s="1"/>
  <c r="G5436" i="1" a="1"/>
  <c r="G5436" i="1" s="1"/>
  <c r="G5426" i="1" a="1"/>
  <c r="G5426" i="1" s="1"/>
  <c r="G5416" i="1" a="1"/>
  <c r="G5416" i="1" s="1"/>
  <c r="G5406" i="1" a="1"/>
  <c r="G5406" i="1" s="1"/>
  <c r="G5396" i="1" a="1"/>
  <c r="G5396" i="1" s="1"/>
  <c r="G5386" i="1" a="1"/>
  <c r="G5386" i="1" s="1"/>
  <c r="G5376" i="1" a="1"/>
  <c r="G5376" i="1" s="1"/>
  <c r="G5366" i="1" a="1"/>
  <c r="G5366" i="1" s="1"/>
  <c r="G5356" i="1" a="1"/>
  <c r="G5356" i="1" s="1"/>
  <c r="G5346" i="1" a="1"/>
  <c r="G5346" i="1" s="1"/>
  <c r="G5336" i="1" a="1"/>
  <c r="G5336" i="1" s="1"/>
  <c r="G5326" i="1" a="1"/>
  <c r="G5326" i="1" s="1"/>
  <c r="G5316" i="1" a="1"/>
  <c r="G5316" i="1" s="1"/>
  <c r="G5306" i="1" a="1"/>
  <c r="G5306" i="1" s="1"/>
  <c r="G5296" i="1" a="1"/>
  <c r="G5296" i="1" s="1"/>
  <c r="G5286" i="1" a="1"/>
  <c r="G5286" i="1" s="1"/>
  <c r="G5276" i="1" a="1"/>
  <c r="G5276" i="1" s="1"/>
  <c r="G5266" i="1" a="1"/>
  <c r="G5266" i="1" s="1"/>
  <c r="G5256" i="1" a="1"/>
  <c r="G5256" i="1" s="1"/>
  <c r="G5246" i="1" a="1"/>
  <c r="G5246" i="1" s="1"/>
  <c r="G5236" i="1" a="1"/>
  <c r="G5236" i="1" s="1"/>
  <c r="G5226" i="1" a="1"/>
  <c r="G5226" i="1" s="1"/>
  <c r="G5216" i="1" a="1"/>
  <c r="G5216" i="1" s="1"/>
  <c r="G5206" i="1" a="1"/>
  <c r="G5206" i="1" s="1"/>
  <c r="G5196" i="1" a="1"/>
  <c r="G5196" i="1" s="1"/>
  <c r="G5186" i="1" a="1"/>
  <c r="G5186" i="1" s="1"/>
  <c r="G5176" i="1" a="1"/>
  <c r="G5176" i="1" s="1"/>
  <c r="G5166" i="1" a="1"/>
  <c r="G5166" i="1" s="1"/>
  <c r="G5156" i="1" a="1"/>
  <c r="G5156" i="1" s="1"/>
  <c r="G5146" i="1" a="1"/>
  <c r="G5146" i="1" s="1"/>
  <c r="G5136" i="1" a="1"/>
  <c r="G5136" i="1" s="1"/>
  <c r="G5126" i="1" a="1"/>
  <c r="G5126" i="1" s="1"/>
  <c r="G5116" i="1" a="1"/>
  <c r="G5116" i="1" s="1"/>
  <c r="G5106" i="1" a="1"/>
  <c r="G5106" i="1" s="1"/>
  <c r="G5096" i="1" a="1"/>
  <c r="G5096" i="1" s="1"/>
  <c r="G5086" i="1" a="1"/>
  <c r="G5086" i="1" s="1"/>
  <c r="G5076" i="1" a="1"/>
  <c r="G5076" i="1" s="1"/>
  <c r="G5066" i="1" a="1"/>
  <c r="G5066" i="1" s="1"/>
  <c r="G5056" i="1" a="1"/>
  <c r="G5056" i="1" s="1"/>
  <c r="G5046" i="1" a="1"/>
  <c r="G5046" i="1" s="1"/>
  <c r="G5036" i="1" a="1"/>
  <c r="G5036" i="1" s="1"/>
  <c r="G5026" i="1" a="1"/>
  <c r="G5026" i="1" s="1"/>
  <c r="G5016" i="1" a="1"/>
  <c r="G5016" i="1" s="1"/>
  <c r="G5006" i="1" a="1"/>
  <c r="G5006" i="1" s="1"/>
  <c r="G4996" i="1" a="1"/>
  <c r="G4996" i="1" s="1"/>
  <c r="G4986" i="1" a="1"/>
  <c r="G4986" i="1" s="1"/>
  <c r="G5755" i="1" a="1"/>
  <c r="G5755" i="1" s="1"/>
  <c r="G5745" i="1" a="1"/>
  <c r="G5745" i="1" s="1"/>
  <c r="G5735" i="1" a="1"/>
  <c r="G5735" i="1" s="1"/>
  <c r="G5725" i="1" a="1"/>
  <c r="G5725" i="1" s="1"/>
  <c r="G5715" i="1" a="1"/>
  <c r="G5715" i="1" s="1"/>
  <c r="G5705" i="1" a="1"/>
  <c r="G5705" i="1" s="1"/>
  <c r="G5695" i="1" a="1"/>
  <c r="G5695" i="1" s="1"/>
  <c r="G5685" i="1" a="1"/>
  <c r="G5685" i="1" s="1"/>
  <c r="G5675" i="1" a="1"/>
  <c r="G5675" i="1" s="1"/>
  <c r="G5665" i="1" a="1"/>
  <c r="G5665" i="1" s="1"/>
  <c r="G5655" i="1" a="1"/>
  <c r="G5655" i="1" s="1"/>
  <c r="G5645" i="1" a="1"/>
  <c r="G5645" i="1" s="1"/>
  <c r="G5635" i="1" a="1"/>
  <c r="G5635" i="1" s="1"/>
  <c r="G5625" i="1" a="1"/>
  <c r="G5625" i="1" s="1"/>
  <c r="G5615" i="1" a="1"/>
  <c r="G5615" i="1" s="1"/>
  <c r="G5605" i="1" a="1"/>
  <c r="G5605" i="1" s="1"/>
  <c r="G5595" i="1" a="1"/>
  <c r="G5595" i="1" s="1"/>
  <c r="G5585" i="1" a="1"/>
  <c r="G5585" i="1" s="1"/>
  <c r="G5575" i="1" a="1"/>
  <c r="G5575" i="1" s="1"/>
  <c r="G5565" i="1" a="1"/>
  <c r="G5565" i="1" s="1"/>
  <c r="G5555" i="1" a="1"/>
  <c r="G5555" i="1" s="1"/>
  <c r="G5545" i="1" a="1"/>
  <c r="G5545" i="1" s="1"/>
  <c r="G5535" i="1" a="1"/>
  <c r="G5535" i="1" s="1"/>
  <c r="G5525" i="1" a="1"/>
  <c r="G5525" i="1" s="1"/>
  <c r="G5515" i="1" a="1"/>
  <c r="G5515" i="1" s="1"/>
  <c r="G5505" i="1" a="1"/>
  <c r="G5505" i="1" s="1"/>
  <c r="G5495" i="1" a="1"/>
  <c r="G5495" i="1" s="1"/>
  <c r="G5485" i="1" a="1"/>
  <c r="G5485" i="1" s="1"/>
  <c r="G5475" i="1" a="1"/>
  <c r="G5475" i="1" s="1"/>
  <c r="G5465" i="1" a="1"/>
  <c r="G5465" i="1" s="1"/>
  <c r="G5455" i="1" a="1"/>
  <c r="G5455" i="1" s="1"/>
  <c r="G5445" i="1" a="1"/>
  <c r="G5445" i="1" s="1"/>
  <c r="G5435" i="1" a="1"/>
  <c r="G5435" i="1" s="1"/>
  <c r="G5425" i="1" a="1"/>
  <c r="G5425" i="1" s="1"/>
  <c r="G5415" i="1" a="1"/>
  <c r="G5415" i="1" s="1"/>
  <c r="G5405" i="1" a="1"/>
  <c r="G5405" i="1" s="1"/>
  <c r="G5395" i="1" a="1"/>
  <c r="G5395" i="1" s="1"/>
  <c r="G5385" i="1" a="1"/>
  <c r="G5385" i="1" s="1"/>
  <c r="G5375" i="1" a="1"/>
  <c r="G5375" i="1" s="1"/>
  <c r="G5365" i="1" a="1"/>
  <c r="G5365" i="1" s="1"/>
  <c r="G5355" i="1" a="1"/>
  <c r="G5355" i="1" s="1"/>
  <c r="G5345" i="1" a="1"/>
  <c r="G5345" i="1" s="1"/>
  <c r="G5335" i="1" a="1"/>
  <c r="G5335" i="1" s="1"/>
  <c r="G5325" i="1" a="1"/>
  <c r="G5325" i="1" s="1"/>
  <c r="G5315" i="1" a="1"/>
  <c r="G5315" i="1" s="1"/>
  <c r="G5305" i="1" a="1"/>
  <c r="G5305" i="1" s="1"/>
  <c r="G5295" i="1" a="1"/>
  <c r="G5295" i="1" s="1"/>
  <c r="G5285" i="1" a="1"/>
  <c r="G5285" i="1" s="1"/>
  <c r="G5275" i="1" a="1"/>
  <c r="G5275" i="1" s="1"/>
  <c r="G5265" i="1" a="1"/>
  <c r="G5265" i="1" s="1"/>
  <c r="G5255" i="1" a="1"/>
  <c r="G5255" i="1" s="1"/>
  <c r="G5245" i="1" a="1"/>
  <c r="G5245" i="1" s="1"/>
  <c r="G5235" i="1" a="1"/>
  <c r="G5235" i="1" s="1"/>
  <c r="G5225" i="1" a="1"/>
  <c r="G5225" i="1" s="1"/>
  <c r="G5215" i="1" a="1"/>
  <c r="G5215" i="1" s="1"/>
  <c r="G5205" i="1" a="1"/>
  <c r="G5205" i="1" s="1"/>
  <c r="G5195" i="1" a="1"/>
  <c r="G5195" i="1" s="1"/>
  <c r="G5185" i="1" a="1"/>
  <c r="G5185" i="1" s="1"/>
  <c r="G5175" i="1" a="1"/>
  <c r="G5175" i="1" s="1"/>
  <c r="G5165" i="1" a="1"/>
  <c r="G5165" i="1" s="1"/>
  <c r="G5155" i="1" a="1"/>
  <c r="G5155" i="1" s="1"/>
  <c r="G5145" i="1" a="1"/>
  <c r="G5145" i="1" s="1"/>
  <c r="G5135" i="1" a="1"/>
  <c r="G5135" i="1" s="1"/>
  <c r="G5125" i="1" a="1"/>
  <c r="G5125" i="1" s="1"/>
  <c r="G5115" i="1" a="1"/>
  <c r="G5115" i="1" s="1"/>
  <c r="G5105" i="1" a="1"/>
  <c r="G5105" i="1" s="1"/>
  <c r="G5095" i="1" a="1"/>
  <c r="G5095" i="1" s="1"/>
  <c r="G5085" i="1" a="1"/>
  <c r="G5085" i="1" s="1"/>
  <c r="G5075" i="1" a="1"/>
  <c r="G5075" i="1" s="1"/>
  <c r="G5065" i="1" a="1"/>
  <c r="G5065" i="1" s="1"/>
  <c r="G5055" i="1" a="1"/>
  <c r="G5055" i="1" s="1"/>
  <c r="G5045" i="1" a="1"/>
  <c r="G5045" i="1" s="1"/>
  <c r="G5035" i="1" a="1"/>
  <c r="G5035" i="1" s="1"/>
  <c r="G5025" i="1" a="1"/>
  <c r="G5025" i="1" s="1"/>
  <c r="G5015" i="1" a="1"/>
  <c r="G5015" i="1" s="1"/>
  <c r="G5005" i="1" a="1"/>
  <c r="G5005" i="1" s="1"/>
  <c r="G4995" i="1" a="1"/>
  <c r="G4995" i="1" s="1"/>
  <c r="G4985" i="1" a="1"/>
  <c r="G4985" i="1" s="1"/>
  <c r="G4975" i="1" a="1"/>
  <c r="G4975" i="1" s="1"/>
  <c r="G4965" i="1" a="1"/>
  <c r="G4965" i="1" s="1"/>
  <c r="G4955" i="1" a="1"/>
  <c r="G4955" i="1" s="1"/>
  <c r="G4945" i="1" a="1"/>
  <c r="G4945" i="1" s="1"/>
  <c r="G5624" i="1" a="1"/>
  <c r="G5624" i="1" s="1"/>
  <c r="G5614" i="1" a="1"/>
  <c r="G5614" i="1" s="1"/>
  <c r="G5604" i="1" a="1"/>
  <c r="G5604" i="1" s="1"/>
  <c r="G5594" i="1" a="1"/>
  <c r="G5594" i="1" s="1"/>
  <c r="G5584" i="1" a="1"/>
  <c r="G5584" i="1" s="1"/>
  <c r="G5574" i="1" a="1"/>
  <c r="G5574" i="1" s="1"/>
  <c r="G5564" i="1" a="1"/>
  <c r="G5564" i="1" s="1"/>
  <c r="G5554" i="1" a="1"/>
  <c r="G5554" i="1" s="1"/>
  <c r="G5544" i="1" a="1"/>
  <c r="G5544" i="1" s="1"/>
  <c r="G5534" i="1" a="1"/>
  <c r="G5534" i="1" s="1"/>
  <c r="G5524" i="1" a="1"/>
  <c r="G5524" i="1" s="1"/>
  <c r="G5514" i="1" a="1"/>
  <c r="G5514" i="1" s="1"/>
  <c r="G5504" i="1" a="1"/>
  <c r="G5504" i="1" s="1"/>
  <c r="G5494" i="1" a="1"/>
  <c r="G5494" i="1" s="1"/>
  <c r="G5484" i="1" a="1"/>
  <c r="G5484" i="1" s="1"/>
  <c r="G5474" i="1" a="1"/>
  <c r="G5474" i="1" s="1"/>
  <c r="G5464" i="1" a="1"/>
  <c r="G5464" i="1" s="1"/>
  <c r="G5454" i="1" a="1"/>
  <c r="G5454" i="1" s="1"/>
  <c r="G5444" i="1" a="1"/>
  <c r="G5444" i="1" s="1"/>
  <c r="G5434" i="1" a="1"/>
  <c r="G5434" i="1" s="1"/>
  <c r="G5424" i="1" a="1"/>
  <c r="G5424" i="1" s="1"/>
  <c r="G5414" i="1" a="1"/>
  <c r="G5414" i="1" s="1"/>
  <c r="G5404" i="1" a="1"/>
  <c r="G5404" i="1" s="1"/>
  <c r="G5394" i="1" a="1"/>
  <c r="G5394" i="1" s="1"/>
  <c r="G5384" i="1" a="1"/>
  <c r="G5384" i="1" s="1"/>
  <c r="G5374" i="1" a="1"/>
  <c r="G5374" i="1" s="1"/>
  <c r="G5364" i="1" a="1"/>
  <c r="G5364" i="1" s="1"/>
  <c r="G5354" i="1" a="1"/>
  <c r="G5354" i="1" s="1"/>
  <c r="G5344" i="1" a="1"/>
  <c r="G5344" i="1" s="1"/>
  <c r="G5334" i="1" a="1"/>
  <c r="G5334" i="1" s="1"/>
  <c r="G5324" i="1" a="1"/>
  <c r="G5324" i="1" s="1"/>
  <c r="G5314" i="1" a="1"/>
  <c r="G5314" i="1" s="1"/>
  <c r="G5304" i="1" a="1"/>
  <c r="G5304" i="1" s="1"/>
  <c r="G5294" i="1" a="1"/>
  <c r="G5294" i="1" s="1"/>
  <c r="G5284" i="1" a="1"/>
  <c r="G5284" i="1" s="1"/>
  <c r="G5274" i="1" a="1"/>
  <c r="G5274" i="1" s="1"/>
  <c r="G5264" i="1" a="1"/>
  <c r="G5264" i="1" s="1"/>
  <c r="G5254" i="1" a="1"/>
  <c r="G5254" i="1" s="1"/>
  <c r="G5244" i="1" a="1"/>
  <c r="G5244" i="1" s="1"/>
  <c r="G5234" i="1" a="1"/>
  <c r="G5234" i="1" s="1"/>
  <c r="G5224" i="1" a="1"/>
  <c r="G5224" i="1" s="1"/>
  <c r="G5214" i="1" a="1"/>
  <c r="G5214" i="1" s="1"/>
  <c r="G5204" i="1" a="1"/>
  <c r="G5204" i="1" s="1"/>
  <c r="G5194" i="1" a="1"/>
  <c r="G5194" i="1" s="1"/>
  <c r="G5184" i="1" a="1"/>
  <c r="G5184" i="1" s="1"/>
  <c r="G5174" i="1" a="1"/>
  <c r="G5174" i="1" s="1"/>
  <c r="G5164" i="1" a="1"/>
  <c r="G5164" i="1" s="1"/>
  <c r="G5154" i="1" a="1"/>
  <c r="G5154" i="1" s="1"/>
  <c r="G5144" i="1" a="1"/>
  <c r="G5144" i="1" s="1"/>
  <c r="G5134" i="1" a="1"/>
  <c r="G5134" i="1" s="1"/>
  <c r="G5124" i="1" a="1"/>
  <c r="G5124" i="1" s="1"/>
  <c r="G5114" i="1" a="1"/>
  <c r="G5114" i="1" s="1"/>
  <c r="G5104" i="1" a="1"/>
  <c r="G5104" i="1" s="1"/>
  <c r="G5094" i="1" a="1"/>
  <c r="G5094" i="1" s="1"/>
  <c r="G5084" i="1" a="1"/>
  <c r="G5084" i="1" s="1"/>
  <c r="G5074" i="1" a="1"/>
  <c r="G5074" i="1" s="1"/>
  <c r="G5064" i="1" a="1"/>
  <c r="G5064" i="1" s="1"/>
  <c r="G5054" i="1" a="1"/>
  <c r="G5054" i="1" s="1"/>
  <c r="G5044" i="1" a="1"/>
  <c r="G5044" i="1" s="1"/>
  <c r="G5034" i="1" a="1"/>
  <c r="G5034" i="1" s="1"/>
  <c r="G5024" i="1" a="1"/>
  <c r="G5024" i="1" s="1"/>
  <c r="G5014" i="1" a="1"/>
  <c r="G5014" i="1" s="1"/>
  <c r="G5004" i="1" a="1"/>
  <c r="G5004" i="1" s="1"/>
  <c r="G4994" i="1" a="1"/>
  <c r="G4994" i="1" s="1"/>
  <c r="G4984" i="1" a="1"/>
  <c r="G4984" i="1" s="1"/>
  <c r="G4974" i="1" a="1"/>
  <c r="G4974" i="1" s="1"/>
  <c r="G4964" i="1" a="1"/>
  <c r="G4964" i="1" s="1"/>
  <c r="G4954" i="1" a="1"/>
  <c r="G4954" i="1" s="1"/>
  <c r="G4944" i="1" a="1"/>
  <c r="G4944" i="1" s="1"/>
  <c r="G4934" i="1" a="1"/>
  <c r="G4934" i="1" s="1"/>
  <c r="G4924" i="1" a="1"/>
  <c r="G4924" i="1" s="1"/>
  <c r="G4914" i="1" a="1"/>
  <c r="G4914" i="1" s="1"/>
  <c r="G4904" i="1" a="1"/>
  <c r="G4904" i="1" s="1"/>
  <c r="G4894" i="1" a="1"/>
  <c r="G4894" i="1" s="1"/>
  <c r="G4943" i="1" a="1"/>
  <c r="G4943" i="1" s="1"/>
  <c r="G4933" i="1" a="1"/>
  <c r="G4933" i="1" s="1"/>
  <c r="G4923" i="1" a="1"/>
  <c r="G4923" i="1" s="1"/>
  <c r="G4913" i="1" a="1"/>
  <c r="G4913" i="1" s="1"/>
  <c r="G4903" i="1" a="1"/>
  <c r="G4903" i="1" s="1"/>
  <c r="G4893" i="1" a="1"/>
  <c r="G4893" i="1" s="1"/>
  <c r="G4883" i="1" a="1"/>
  <c r="G4883" i="1" s="1"/>
  <c r="G4873" i="1" a="1"/>
  <c r="G4873" i="1" s="1"/>
  <c r="G4863" i="1" a="1"/>
  <c r="G4863" i="1" s="1"/>
  <c r="G4853" i="1" a="1"/>
  <c r="G4853" i="1" s="1"/>
  <c r="G4843" i="1" a="1"/>
  <c r="G4843" i="1" s="1"/>
  <c r="G4833" i="1" a="1"/>
  <c r="G4833" i="1" s="1"/>
  <c r="G4823" i="1" a="1"/>
  <c r="G4823" i="1" s="1"/>
  <c r="G4813" i="1" a="1"/>
  <c r="G4813" i="1" s="1"/>
  <c r="G4803" i="1" a="1"/>
  <c r="G4803" i="1" s="1"/>
  <c r="G4793" i="1" a="1"/>
  <c r="G4793" i="1" s="1"/>
  <c r="G4783" i="1" a="1"/>
  <c r="G4783" i="1" s="1"/>
  <c r="G4773" i="1" a="1"/>
  <c r="G4773" i="1" s="1"/>
  <c r="G4763" i="1" a="1"/>
  <c r="G4763" i="1" s="1"/>
  <c r="G4753" i="1" a="1"/>
  <c r="G4753" i="1" s="1"/>
  <c r="G4743" i="1" a="1"/>
  <c r="G4743" i="1" s="1"/>
  <c r="G4733" i="1" a="1"/>
  <c r="G4733" i="1" s="1"/>
  <c r="G4723" i="1" a="1"/>
  <c r="G4723" i="1" s="1"/>
  <c r="G4713" i="1" a="1"/>
  <c r="G4713" i="1" s="1"/>
  <c r="G4703" i="1" a="1"/>
  <c r="G4703" i="1" s="1"/>
  <c r="G4693" i="1" a="1"/>
  <c r="G4693" i="1" s="1"/>
  <c r="G4683" i="1" a="1"/>
  <c r="G4683" i="1" s="1"/>
  <c r="G4673" i="1" a="1"/>
  <c r="G4673" i="1" s="1"/>
  <c r="G4663" i="1" a="1"/>
  <c r="G4663" i="1" s="1"/>
  <c r="G4653" i="1" a="1"/>
  <c r="G4653" i="1" s="1"/>
  <c r="G4643" i="1" a="1"/>
  <c r="G4643" i="1" s="1"/>
  <c r="G4633" i="1" a="1"/>
  <c r="G4633" i="1" s="1"/>
  <c r="G4623" i="1" a="1"/>
  <c r="G4623" i="1" s="1"/>
  <c r="G4613" i="1" a="1"/>
  <c r="G4613" i="1" s="1"/>
  <c r="G4603" i="1" a="1"/>
  <c r="G4603" i="1" s="1"/>
  <c r="G4593" i="1" a="1"/>
  <c r="G4593" i="1" s="1"/>
  <c r="G4583" i="1" a="1"/>
  <c r="G4583" i="1" s="1"/>
  <c r="G4573" i="1" a="1"/>
  <c r="G4573" i="1" s="1"/>
  <c r="G4563" i="1" a="1"/>
  <c r="G4563" i="1" s="1"/>
  <c r="G4553" i="1" a="1"/>
  <c r="G4553" i="1" s="1"/>
  <c r="G4543" i="1" a="1"/>
  <c r="G4543" i="1" s="1"/>
  <c r="G4533" i="1" a="1"/>
  <c r="G4533" i="1" s="1"/>
  <c r="G4523" i="1" a="1"/>
  <c r="G4523" i="1" s="1"/>
  <c r="G4513" i="1" a="1"/>
  <c r="G4513" i="1" s="1"/>
  <c r="G4503" i="1" a="1"/>
  <c r="G4503" i="1" s="1"/>
  <c r="G4493" i="1" a="1"/>
  <c r="G4493" i="1" s="1"/>
  <c r="G4483" i="1" a="1"/>
  <c r="G4483" i="1" s="1"/>
  <c r="G4473" i="1" a="1"/>
  <c r="G4473" i="1" s="1"/>
  <c r="G4463" i="1" a="1"/>
  <c r="G4463" i="1" s="1"/>
  <c r="G4453" i="1" a="1"/>
  <c r="G4453" i="1" s="1"/>
  <c r="G4443" i="1" a="1"/>
  <c r="G4443" i="1" s="1"/>
  <c r="G4433" i="1" a="1"/>
  <c r="G4433" i="1" s="1"/>
  <c r="G4423" i="1" a="1"/>
  <c r="G4423" i="1" s="1"/>
  <c r="G4413" i="1" a="1"/>
  <c r="G4413" i="1" s="1"/>
  <c r="G4403" i="1" a="1"/>
  <c r="G4403" i="1" s="1"/>
  <c r="G4393" i="1" a="1"/>
  <c r="G4393" i="1" s="1"/>
  <c r="G4383" i="1" a="1"/>
  <c r="G4383" i="1" s="1"/>
  <c r="G4373" i="1" a="1"/>
  <c r="G4373" i="1" s="1"/>
  <c r="G4363" i="1" a="1"/>
  <c r="G4363" i="1" s="1"/>
  <c r="G4353" i="1" a="1"/>
  <c r="G4353" i="1" s="1"/>
  <c r="G4343" i="1" a="1"/>
  <c r="G4343" i="1" s="1"/>
  <c r="G4333" i="1" a="1"/>
  <c r="G4333" i="1" s="1"/>
  <c r="G4323" i="1" a="1"/>
  <c r="G4323" i="1" s="1"/>
  <c r="G4313" i="1" a="1"/>
  <c r="G4313" i="1" s="1"/>
  <c r="G4303" i="1" a="1"/>
  <c r="G4303" i="1" s="1"/>
  <c r="G4293" i="1" a="1"/>
  <c r="G4293" i="1" s="1"/>
  <c r="G4283" i="1" a="1"/>
  <c r="G4283" i="1" s="1"/>
  <c r="G4273" i="1" a="1"/>
  <c r="G4273" i="1" s="1"/>
  <c r="G4263" i="1" a="1"/>
  <c r="G4263" i="1" s="1"/>
  <c r="G4253" i="1" a="1"/>
  <c r="G4253" i="1" s="1"/>
  <c r="G4243" i="1" a="1"/>
  <c r="G4243" i="1" s="1"/>
  <c r="G4233" i="1" a="1"/>
  <c r="G4233" i="1" s="1"/>
  <c r="G4223" i="1" a="1"/>
  <c r="G4223" i="1" s="1"/>
  <c r="G4213" i="1" a="1"/>
  <c r="G4213" i="1" s="1"/>
  <c r="G4203" i="1" a="1"/>
  <c r="G4203" i="1" s="1"/>
  <c r="G4193" i="1" a="1"/>
  <c r="G4193" i="1" s="1"/>
  <c r="G4183" i="1" a="1"/>
  <c r="G4183" i="1" s="1"/>
  <c r="G4173" i="1" a="1"/>
  <c r="G4173" i="1" s="1"/>
  <c r="G4163" i="1" a="1"/>
  <c r="G4163" i="1" s="1"/>
  <c r="G4153" i="1" a="1"/>
  <c r="G4153" i="1" s="1"/>
  <c r="G4143" i="1" a="1"/>
  <c r="G4143" i="1" s="1"/>
  <c r="G4133" i="1" a="1"/>
  <c r="G4133" i="1" s="1"/>
  <c r="G4123" i="1" a="1"/>
  <c r="G4123" i="1" s="1"/>
  <c r="G4113" i="1" a="1"/>
  <c r="G4113" i="1" s="1"/>
  <c r="G4103" i="1" a="1"/>
  <c r="G4103" i="1" s="1"/>
  <c r="G4842" i="1" a="1"/>
  <c r="G4842" i="1" s="1"/>
  <c r="G4832" i="1" a="1"/>
  <c r="G4832" i="1" s="1"/>
  <c r="G4822" i="1" a="1"/>
  <c r="G4822" i="1" s="1"/>
  <c r="G4812" i="1" a="1"/>
  <c r="G4812" i="1" s="1"/>
  <c r="G4802" i="1" a="1"/>
  <c r="G4802" i="1" s="1"/>
  <c r="G4792" i="1" a="1"/>
  <c r="G4792" i="1" s="1"/>
  <c r="G4782" i="1" a="1"/>
  <c r="G4782" i="1" s="1"/>
  <c r="G4772" i="1" a="1"/>
  <c r="G4772" i="1" s="1"/>
  <c r="G4762" i="1" a="1"/>
  <c r="G4762" i="1" s="1"/>
  <c r="G4752" i="1" a="1"/>
  <c r="G4752" i="1" s="1"/>
  <c r="G4742" i="1" a="1"/>
  <c r="G4742" i="1" s="1"/>
  <c r="G4732" i="1" a="1"/>
  <c r="G4732" i="1" s="1"/>
  <c r="G4722" i="1" a="1"/>
  <c r="G4722" i="1" s="1"/>
  <c r="G4712" i="1" a="1"/>
  <c r="G4712" i="1" s="1"/>
  <c r="G4702" i="1" a="1"/>
  <c r="G4702" i="1" s="1"/>
  <c r="G4692" i="1" a="1"/>
  <c r="G4692" i="1" s="1"/>
  <c r="G4682" i="1" a="1"/>
  <c r="G4682" i="1" s="1"/>
  <c r="G4672" i="1" a="1"/>
  <c r="G4672" i="1" s="1"/>
  <c r="G4662" i="1" a="1"/>
  <c r="G4662" i="1" s="1"/>
  <c r="G4652" i="1" a="1"/>
  <c r="G4652" i="1" s="1"/>
  <c r="G4642" i="1" a="1"/>
  <c r="G4642" i="1" s="1"/>
  <c r="G4632" i="1" a="1"/>
  <c r="G4632" i="1" s="1"/>
  <c r="G4622" i="1" a="1"/>
  <c r="G4622" i="1" s="1"/>
  <c r="G4612" i="1" a="1"/>
  <c r="G4612" i="1" s="1"/>
  <c r="G4602" i="1" a="1"/>
  <c r="G4602" i="1" s="1"/>
  <c r="G4592" i="1" a="1"/>
  <c r="G4592" i="1" s="1"/>
  <c r="G4582" i="1" a="1"/>
  <c r="G4582" i="1" s="1"/>
  <c r="G4572" i="1" a="1"/>
  <c r="G4572" i="1" s="1"/>
  <c r="G4562" i="1" a="1"/>
  <c r="G4562" i="1" s="1"/>
  <c r="G4552" i="1" a="1"/>
  <c r="G4552" i="1" s="1"/>
  <c r="G4542" i="1" a="1"/>
  <c r="G4542" i="1" s="1"/>
  <c r="G4532" i="1" a="1"/>
  <c r="G4532" i="1" s="1"/>
  <c r="G4522" i="1" a="1"/>
  <c r="G4522" i="1" s="1"/>
  <c r="G4512" i="1" a="1"/>
  <c r="G4512" i="1" s="1"/>
  <c r="G4502" i="1" a="1"/>
  <c r="G4502" i="1" s="1"/>
  <c r="G4492" i="1" a="1"/>
  <c r="G4492" i="1" s="1"/>
  <c r="G4482" i="1" a="1"/>
  <c r="G4482" i="1" s="1"/>
  <c r="G4472" i="1" a="1"/>
  <c r="G4472" i="1" s="1"/>
  <c r="G4462" i="1" a="1"/>
  <c r="G4462" i="1" s="1"/>
  <c r="G4452" i="1" a="1"/>
  <c r="G4452" i="1" s="1"/>
  <c r="G4442" i="1" a="1"/>
  <c r="G4442" i="1" s="1"/>
  <c r="G4432" i="1" a="1"/>
  <c r="G4432" i="1" s="1"/>
  <c r="G4422" i="1" a="1"/>
  <c r="G4422" i="1" s="1"/>
  <c r="G4412" i="1" a="1"/>
  <c r="G4412" i="1" s="1"/>
  <c r="G4402" i="1" a="1"/>
  <c r="G4402" i="1" s="1"/>
  <c r="G4392" i="1" a="1"/>
  <c r="G4392" i="1" s="1"/>
  <c r="G4382" i="1" a="1"/>
  <c r="G4382" i="1" s="1"/>
  <c r="G4372" i="1" a="1"/>
  <c r="G4372" i="1" s="1"/>
  <c r="G4362" i="1" a="1"/>
  <c r="G4362" i="1" s="1"/>
  <c r="G4352" i="1" a="1"/>
  <c r="G4352" i="1" s="1"/>
  <c r="G4342" i="1" a="1"/>
  <c r="G4342" i="1" s="1"/>
  <c r="G4332" i="1" a="1"/>
  <c r="G4332" i="1" s="1"/>
  <c r="G4322" i="1" a="1"/>
  <c r="G4322" i="1" s="1"/>
  <c r="G4312" i="1" a="1"/>
  <c r="G4312" i="1" s="1"/>
  <c r="G4302" i="1" a="1"/>
  <c r="G4302" i="1" s="1"/>
  <c r="G4292" i="1" a="1"/>
  <c r="G4292" i="1" s="1"/>
  <c r="G4282" i="1" a="1"/>
  <c r="G4282" i="1" s="1"/>
  <c r="G4272" i="1" a="1"/>
  <c r="G4272" i="1" s="1"/>
  <c r="G4262" i="1" a="1"/>
  <c r="G4262" i="1" s="1"/>
  <c r="G4252" i="1" a="1"/>
  <c r="G4252" i="1" s="1"/>
  <c r="G4242" i="1" a="1"/>
  <c r="G4242" i="1" s="1"/>
  <c r="G4232" i="1" a="1"/>
  <c r="G4232" i="1" s="1"/>
  <c r="G4222" i="1" a="1"/>
  <c r="G4222" i="1" s="1"/>
  <c r="G4212" i="1" a="1"/>
  <c r="G4212" i="1" s="1"/>
  <c r="G4202" i="1" a="1"/>
  <c r="G4202" i="1" s="1"/>
  <c r="G4192" i="1" a="1"/>
  <c r="G4192" i="1" s="1"/>
  <c r="G4182" i="1" a="1"/>
  <c r="G4182" i="1" s="1"/>
  <c r="G4172" i="1" a="1"/>
  <c r="G4172" i="1" s="1"/>
  <c r="G4162" i="1" a="1"/>
  <c r="G4162" i="1" s="1"/>
  <c r="G4152" i="1" a="1"/>
  <c r="G4152" i="1" s="1"/>
  <c r="G4142" i="1" a="1"/>
  <c r="G4142" i="1" s="1"/>
  <c r="G4132" i="1" a="1"/>
  <c r="G4132" i="1" s="1"/>
  <c r="G4122" i="1" a="1"/>
  <c r="G4122" i="1" s="1"/>
  <c r="G4112" i="1" a="1"/>
  <c r="G4112" i="1" s="1"/>
  <c r="G4102" i="1" a="1"/>
  <c r="G4102" i="1" s="1"/>
  <c r="G4092" i="1" a="1"/>
  <c r="G4092" i="1" s="1"/>
  <c r="G4082" i="1" a="1"/>
  <c r="G4082" i="1" s="1"/>
  <c r="G4961" i="1" a="1"/>
  <c r="G4961" i="1" s="1"/>
  <c r="G4951" i="1" a="1"/>
  <c r="G4951" i="1" s="1"/>
  <c r="G4941" i="1" a="1"/>
  <c r="G4941" i="1" s="1"/>
  <c r="G4931" i="1" a="1"/>
  <c r="G4931" i="1" s="1"/>
  <c r="G4921" i="1" a="1"/>
  <c r="G4921" i="1" s="1"/>
  <c r="G4911" i="1" a="1"/>
  <c r="G4911" i="1" s="1"/>
  <c r="G4901" i="1" a="1"/>
  <c r="G4901" i="1" s="1"/>
  <c r="G4891" i="1" a="1"/>
  <c r="G4891" i="1" s="1"/>
  <c r="G4881" i="1" a="1"/>
  <c r="G4881" i="1" s="1"/>
  <c r="G4871" i="1" a="1"/>
  <c r="G4871" i="1" s="1"/>
  <c r="G4861" i="1" a="1"/>
  <c r="G4861" i="1" s="1"/>
  <c r="G4851" i="1" a="1"/>
  <c r="G4851" i="1" s="1"/>
  <c r="G4841" i="1" a="1"/>
  <c r="G4841" i="1" s="1"/>
  <c r="G4831" i="1" a="1"/>
  <c r="G4831" i="1" s="1"/>
  <c r="G4821" i="1" a="1"/>
  <c r="G4821" i="1" s="1"/>
  <c r="G4811" i="1" a="1"/>
  <c r="G4811" i="1" s="1"/>
  <c r="G4801" i="1" a="1"/>
  <c r="G4801" i="1" s="1"/>
  <c r="G4791" i="1" a="1"/>
  <c r="G4791" i="1" s="1"/>
  <c r="G4781" i="1" a="1"/>
  <c r="G4781" i="1" s="1"/>
  <c r="G4771" i="1" a="1"/>
  <c r="G4771" i="1" s="1"/>
  <c r="G4761" i="1" a="1"/>
  <c r="G4761" i="1" s="1"/>
  <c r="G4751" i="1" a="1"/>
  <c r="G4751" i="1" s="1"/>
  <c r="G4741" i="1" a="1"/>
  <c r="G4741" i="1" s="1"/>
  <c r="G4731" i="1" a="1"/>
  <c r="G4731" i="1" s="1"/>
  <c r="G4721" i="1" a="1"/>
  <c r="G4721" i="1" s="1"/>
  <c r="G4711" i="1" a="1"/>
  <c r="G4711" i="1" s="1"/>
  <c r="G4701" i="1" a="1"/>
  <c r="G4701" i="1" s="1"/>
  <c r="G4691" i="1" a="1"/>
  <c r="G4691" i="1" s="1"/>
  <c r="G4681" i="1" a="1"/>
  <c r="G4681" i="1" s="1"/>
  <c r="G4671" i="1" a="1"/>
  <c r="G4671" i="1" s="1"/>
  <c r="G4661" i="1" a="1"/>
  <c r="G4661" i="1" s="1"/>
  <c r="G4651" i="1" a="1"/>
  <c r="G4651" i="1" s="1"/>
  <c r="G4641" i="1" a="1"/>
  <c r="G4641" i="1" s="1"/>
  <c r="G4631" i="1" a="1"/>
  <c r="G4631" i="1" s="1"/>
  <c r="G4621" i="1" a="1"/>
  <c r="G4621" i="1" s="1"/>
  <c r="G4611" i="1" a="1"/>
  <c r="G4611" i="1" s="1"/>
  <c r="G4601" i="1" a="1"/>
  <c r="G4601" i="1" s="1"/>
  <c r="G4591" i="1" a="1"/>
  <c r="G4591" i="1" s="1"/>
  <c r="G4581" i="1" a="1"/>
  <c r="G4581" i="1" s="1"/>
  <c r="G4571" i="1" a="1"/>
  <c r="G4571" i="1" s="1"/>
  <c r="G4561" i="1" a="1"/>
  <c r="G4561" i="1" s="1"/>
  <c r="G4551" i="1" a="1"/>
  <c r="G4551" i="1" s="1"/>
  <c r="G4541" i="1" a="1"/>
  <c r="G4541" i="1" s="1"/>
  <c r="G4531" i="1" a="1"/>
  <c r="G4531" i="1" s="1"/>
  <c r="G4521" i="1" a="1"/>
  <c r="G4521" i="1" s="1"/>
  <c r="G4511" i="1" a="1"/>
  <c r="G4511" i="1" s="1"/>
  <c r="G4501" i="1" a="1"/>
  <c r="G4501" i="1" s="1"/>
  <c r="G4491" i="1" a="1"/>
  <c r="G4491" i="1" s="1"/>
  <c r="G4481" i="1" a="1"/>
  <c r="G4481" i="1" s="1"/>
  <c r="G4471" i="1" a="1"/>
  <c r="G4471" i="1" s="1"/>
  <c r="G4461" i="1" a="1"/>
  <c r="G4461" i="1" s="1"/>
  <c r="G4451" i="1" a="1"/>
  <c r="G4451" i="1" s="1"/>
  <c r="G4441" i="1" a="1"/>
  <c r="G4441" i="1" s="1"/>
  <c r="G4431" i="1" a="1"/>
  <c r="G4431" i="1" s="1"/>
  <c r="G4421" i="1" a="1"/>
  <c r="G4421" i="1" s="1"/>
  <c r="G4411" i="1" a="1"/>
  <c r="G4411" i="1" s="1"/>
  <c r="G4401" i="1" a="1"/>
  <c r="G4401" i="1" s="1"/>
  <c r="G4391" i="1" a="1"/>
  <c r="G4391" i="1" s="1"/>
  <c r="G4381" i="1" a="1"/>
  <c r="G4381" i="1" s="1"/>
  <c r="G4371" i="1" a="1"/>
  <c r="G4371" i="1" s="1"/>
  <c r="G4361" i="1" a="1"/>
  <c r="G4361" i="1" s="1"/>
  <c r="G4351" i="1" a="1"/>
  <c r="G4351" i="1" s="1"/>
  <c r="G4341" i="1" a="1"/>
  <c r="G4341" i="1" s="1"/>
  <c r="G4331" i="1" a="1"/>
  <c r="G4331" i="1" s="1"/>
  <c r="G4321" i="1" a="1"/>
  <c r="G4321" i="1" s="1"/>
  <c r="G4311" i="1" a="1"/>
  <c r="G4311" i="1" s="1"/>
  <c r="G4301" i="1" a="1"/>
  <c r="G4301" i="1" s="1"/>
  <c r="G4291" i="1" a="1"/>
  <c r="G4291" i="1" s="1"/>
  <c r="G4281" i="1" a="1"/>
  <c r="G4281" i="1" s="1"/>
  <c r="G4271" i="1" a="1"/>
  <c r="G4271" i="1" s="1"/>
  <c r="G4261" i="1" a="1"/>
  <c r="G4261" i="1" s="1"/>
  <c r="G4251" i="1" a="1"/>
  <c r="G4251" i="1" s="1"/>
  <c r="G4241" i="1" a="1"/>
  <c r="G4241" i="1" s="1"/>
  <c r="G4231" i="1" a="1"/>
  <c r="G4231" i="1" s="1"/>
  <c r="G4221" i="1" a="1"/>
  <c r="G4221" i="1" s="1"/>
  <c r="G4211" i="1" a="1"/>
  <c r="G4211" i="1" s="1"/>
  <c r="G4201" i="1" a="1"/>
  <c r="G4201" i="1" s="1"/>
  <c r="G4191" i="1" a="1"/>
  <c r="G4191" i="1" s="1"/>
  <c r="G4181" i="1" a="1"/>
  <c r="G4181" i="1" s="1"/>
  <c r="G4171" i="1" a="1"/>
  <c r="G4171" i="1" s="1"/>
  <c r="G4161" i="1" a="1"/>
  <c r="G4161" i="1" s="1"/>
  <c r="G5110" i="1" a="1"/>
  <c r="G5110" i="1" s="1"/>
  <c r="G5100" i="1" a="1"/>
  <c r="G5100" i="1" s="1"/>
  <c r="G5090" i="1" a="1"/>
  <c r="G5090" i="1" s="1"/>
  <c r="G5080" i="1" a="1"/>
  <c r="G5080" i="1" s="1"/>
  <c r="G5070" i="1" a="1"/>
  <c r="G5070" i="1" s="1"/>
  <c r="G5060" i="1" a="1"/>
  <c r="G5060" i="1" s="1"/>
  <c r="G5050" i="1" a="1"/>
  <c r="G5050" i="1" s="1"/>
  <c r="G5040" i="1" a="1"/>
  <c r="G5040" i="1" s="1"/>
  <c r="G5030" i="1" a="1"/>
  <c r="G5030" i="1" s="1"/>
  <c r="G5020" i="1" a="1"/>
  <c r="G5020" i="1" s="1"/>
  <c r="G5010" i="1" a="1"/>
  <c r="G5010" i="1" s="1"/>
  <c r="G5000" i="1" a="1"/>
  <c r="G5000" i="1" s="1"/>
  <c r="G4990" i="1" a="1"/>
  <c r="G4990" i="1" s="1"/>
  <c r="G4980" i="1" a="1"/>
  <c r="G4980" i="1" s="1"/>
  <c r="G4970" i="1" a="1"/>
  <c r="G4970" i="1" s="1"/>
  <c r="G4960" i="1" a="1"/>
  <c r="G4960" i="1" s="1"/>
  <c r="G4950" i="1" a="1"/>
  <c r="G4950" i="1" s="1"/>
  <c r="G4940" i="1" a="1"/>
  <c r="G4940" i="1" s="1"/>
  <c r="G4930" i="1" a="1"/>
  <c r="G4930" i="1" s="1"/>
  <c r="G4920" i="1" a="1"/>
  <c r="G4920" i="1" s="1"/>
  <c r="G4910" i="1" a="1"/>
  <c r="G4910" i="1" s="1"/>
  <c r="G4900" i="1" a="1"/>
  <c r="G4900" i="1" s="1"/>
  <c r="G4890" i="1" a="1"/>
  <c r="G4890" i="1" s="1"/>
  <c r="G4880" i="1" a="1"/>
  <c r="G4880" i="1" s="1"/>
  <c r="G4870" i="1" a="1"/>
  <c r="G4870" i="1" s="1"/>
  <c r="G4860" i="1" a="1"/>
  <c r="G4860" i="1" s="1"/>
  <c r="G4850" i="1" a="1"/>
  <c r="G4850" i="1" s="1"/>
  <c r="G4840" i="1" a="1"/>
  <c r="G4840" i="1" s="1"/>
  <c r="G4830" i="1" a="1"/>
  <c r="G4830" i="1" s="1"/>
  <c r="G4820" i="1" a="1"/>
  <c r="G4820" i="1" s="1"/>
  <c r="G4810" i="1" a="1"/>
  <c r="G4810" i="1" s="1"/>
  <c r="G4800" i="1" a="1"/>
  <c r="G4800" i="1" s="1"/>
  <c r="G4790" i="1" a="1"/>
  <c r="G4790" i="1" s="1"/>
  <c r="G4780" i="1" a="1"/>
  <c r="G4780" i="1" s="1"/>
  <c r="G4770" i="1" a="1"/>
  <c r="G4770" i="1" s="1"/>
  <c r="G4760" i="1" a="1"/>
  <c r="G4760" i="1" s="1"/>
  <c r="G4750" i="1" a="1"/>
  <c r="G4750" i="1" s="1"/>
  <c r="G4740" i="1" a="1"/>
  <c r="G4740" i="1" s="1"/>
  <c r="G4730" i="1" a="1"/>
  <c r="G4730" i="1" s="1"/>
  <c r="G4720" i="1" a="1"/>
  <c r="G4720" i="1" s="1"/>
  <c r="G4710" i="1" a="1"/>
  <c r="G4710" i="1" s="1"/>
  <c r="G4700" i="1" a="1"/>
  <c r="G4700" i="1" s="1"/>
  <c r="G4690" i="1" a="1"/>
  <c r="G4690" i="1" s="1"/>
  <c r="G4680" i="1" a="1"/>
  <c r="G4680" i="1" s="1"/>
  <c r="G4670" i="1" a="1"/>
  <c r="G4670" i="1" s="1"/>
  <c r="G4660" i="1" a="1"/>
  <c r="G4660" i="1" s="1"/>
  <c r="G4650" i="1" a="1"/>
  <c r="G4650" i="1" s="1"/>
  <c r="G4640" i="1" a="1"/>
  <c r="G4640" i="1" s="1"/>
  <c r="G4630" i="1" a="1"/>
  <c r="G4630" i="1" s="1"/>
  <c r="G4620" i="1" a="1"/>
  <c r="G4620" i="1" s="1"/>
  <c r="G4610" i="1" a="1"/>
  <c r="G4610" i="1" s="1"/>
  <c r="G4600" i="1" a="1"/>
  <c r="G4600" i="1" s="1"/>
  <c r="G4590" i="1" a="1"/>
  <c r="G4590" i="1" s="1"/>
  <c r="G4580" i="1" a="1"/>
  <c r="G4580" i="1" s="1"/>
  <c r="G4570" i="1" a="1"/>
  <c r="G4570" i="1" s="1"/>
  <c r="G4560" i="1" a="1"/>
  <c r="G4560" i="1" s="1"/>
  <c r="G4550" i="1" a="1"/>
  <c r="G4550" i="1" s="1"/>
  <c r="G4540" i="1" a="1"/>
  <c r="G4540" i="1" s="1"/>
  <c r="G4530" i="1" a="1"/>
  <c r="G4530" i="1" s="1"/>
  <c r="G4520" i="1" a="1"/>
  <c r="G4520" i="1" s="1"/>
  <c r="G4510" i="1" a="1"/>
  <c r="G4510" i="1" s="1"/>
  <c r="G4500" i="1" a="1"/>
  <c r="G4500" i="1" s="1"/>
  <c r="G4490" i="1" a="1"/>
  <c r="G4490" i="1" s="1"/>
  <c r="G4480" i="1" a="1"/>
  <c r="G4480" i="1" s="1"/>
  <c r="G4470" i="1" a="1"/>
  <c r="G4470" i="1" s="1"/>
  <c r="G4460" i="1" a="1"/>
  <c r="G4460" i="1" s="1"/>
  <c r="G4450" i="1" a="1"/>
  <c r="G4450" i="1" s="1"/>
  <c r="G4440" i="1" a="1"/>
  <c r="G4440" i="1" s="1"/>
  <c r="G4430" i="1" a="1"/>
  <c r="G4430" i="1" s="1"/>
  <c r="G4420" i="1" a="1"/>
  <c r="G4420" i="1" s="1"/>
  <c r="G4410" i="1" a="1"/>
  <c r="G4410" i="1" s="1"/>
  <c r="G4400" i="1" a="1"/>
  <c r="G4400" i="1" s="1"/>
  <c r="G4390" i="1" a="1"/>
  <c r="G4390" i="1" s="1"/>
  <c r="G4380" i="1" a="1"/>
  <c r="G4380" i="1" s="1"/>
  <c r="G4370" i="1" a="1"/>
  <c r="G4370" i="1" s="1"/>
  <c r="G4360" i="1" a="1"/>
  <c r="G4360" i="1" s="1"/>
  <c r="G4350" i="1" a="1"/>
  <c r="G4350" i="1" s="1"/>
  <c r="G4340" i="1" a="1"/>
  <c r="G4340" i="1" s="1"/>
  <c r="G4330" i="1" a="1"/>
  <c r="G4330" i="1" s="1"/>
  <c r="G4320" i="1" a="1"/>
  <c r="G4320" i="1" s="1"/>
  <c r="G4310" i="1" a="1"/>
  <c r="G4310" i="1" s="1"/>
  <c r="G4300" i="1" a="1"/>
  <c r="G4300" i="1" s="1"/>
  <c r="G4290" i="1" a="1"/>
  <c r="G4290" i="1" s="1"/>
  <c r="G4280" i="1" a="1"/>
  <c r="G4280" i="1" s="1"/>
  <c r="G4270" i="1" a="1"/>
  <c r="G4270" i="1" s="1"/>
  <c r="G5179" i="1" a="1"/>
  <c r="G5179" i="1" s="1"/>
  <c r="G5169" i="1" a="1"/>
  <c r="G5169" i="1" s="1"/>
  <c r="G5159" i="1" a="1"/>
  <c r="G5159" i="1" s="1"/>
  <c r="G5149" i="1" a="1"/>
  <c r="G5149" i="1" s="1"/>
  <c r="G5139" i="1" a="1"/>
  <c r="G5139" i="1" s="1"/>
  <c r="G5129" i="1" a="1"/>
  <c r="G5129" i="1" s="1"/>
  <c r="G5119" i="1" a="1"/>
  <c r="G5119" i="1" s="1"/>
  <c r="G5109" i="1" a="1"/>
  <c r="G5109" i="1" s="1"/>
  <c r="G5099" i="1" a="1"/>
  <c r="G5099" i="1" s="1"/>
  <c r="G5089" i="1" a="1"/>
  <c r="G5089" i="1" s="1"/>
  <c r="G5079" i="1" a="1"/>
  <c r="G5079" i="1" s="1"/>
  <c r="G5069" i="1" a="1"/>
  <c r="G5069" i="1" s="1"/>
  <c r="G5059" i="1" a="1"/>
  <c r="G5059" i="1" s="1"/>
  <c r="G5049" i="1" a="1"/>
  <c r="G5049" i="1" s="1"/>
  <c r="G5039" i="1" a="1"/>
  <c r="G5039" i="1" s="1"/>
  <c r="G5029" i="1" a="1"/>
  <c r="G5029" i="1" s="1"/>
  <c r="G5019" i="1" a="1"/>
  <c r="G5019" i="1" s="1"/>
  <c r="G5009" i="1" a="1"/>
  <c r="G5009" i="1" s="1"/>
  <c r="G4999" i="1" a="1"/>
  <c r="G4999" i="1" s="1"/>
  <c r="G4989" i="1" a="1"/>
  <c r="G4989" i="1" s="1"/>
  <c r="G4979" i="1" a="1"/>
  <c r="G4979" i="1" s="1"/>
  <c r="G4969" i="1" a="1"/>
  <c r="G4969" i="1" s="1"/>
  <c r="G4959" i="1" a="1"/>
  <c r="G4959" i="1" s="1"/>
  <c r="G4949" i="1" a="1"/>
  <c r="G4949" i="1" s="1"/>
  <c r="G4939" i="1" a="1"/>
  <c r="G4939" i="1" s="1"/>
  <c r="G4929" i="1" a="1"/>
  <c r="G4929" i="1" s="1"/>
  <c r="G4919" i="1" a="1"/>
  <c r="G4919" i="1" s="1"/>
  <c r="G4909" i="1" a="1"/>
  <c r="G4909" i="1" s="1"/>
  <c r="G4899" i="1" a="1"/>
  <c r="G4899" i="1" s="1"/>
  <c r="G4889" i="1" a="1"/>
  <c r="G4889" i="1" s="1"/>
  <c r="G4879" i="1" a="1"/>
  <c r="G4879" i="1" s="1"/>
  <c r="G4869" i="1" a="1"/>
  <c r="G4869" i="1" s="1"/>
  <c r="G4859" i="1" a="1"/>
  <c r="G4859" i="1" s="1"/>
  <c r="G4849" i="1" a="1"/>
  <c r="G4849" i="1" s="1"/>
  <c r="G4839" i="1" a="1"/>
  <c r="G4839" i="1" s="1"/>
  <c r="G4829" i="1" a="1"/>
  <c r="G4829" i="1" s="1"/>
  <c r="G4819" i="1" a="1"/>
  <c r="G4819" i="1" s="1"/>
  <c r="G4809" i="1" a="1"/>
  <c r="G4809" i="1" s="1"/>
  <c r="G4799" i="1" a="1"/>
  <c r="G4799" i="1" s="1"/>
  <c r="G4789" i="1" a="1"/>
  <c r="G4789" i="1" s="1"/>
  <c r="G4779" i="1" a="1"/>
  <c r="G4779" i="1" s="1"/>
  <c r="G4769" i="1" a="1"/>
  <c r="G4769" i="1" s="1"/>
  <c r="G4759" i="1" a="1"/>
  <c r="G4759" i="1" s="1"/>
  <c r="G4749" i="1" a="1"/>
  <c r="G4749" i="1" s="1"/>
  <c r="G4739" i="1" a="1"/>
  <c r="G4739" i="1" s="1"/>
  <c r="G4729" i="1" a="1"/>
  <c r="G4729" i="1" s="1"/>
  <c r="G4719" i="1" a="1"/>
  <c r="G4719" i="1" s="1"/>
  <c r="G4709" i="1" a="1"/>
  <c r="G4709" i="1" s="1"/>
  <c r="G4699" i="1" a="1"/>
  <c r="G4699" i="1" s="1"/>
  <c r="G4689" i="1" a="1"/>
  <c r="G4689" i="1" s="1"/>
  <c r="G4679" i="1" a="1"/>
  <c r="G4679" i="1" s="1"/>
  <c r="G4669" i="1" a="1"/>
  <c r="G4669" i="1" s="1"/>
  <c r="G4659" i="1" a="1"/>
  <c r="G4659" i="1" s="1"/>
  <c r="G4649" i="1" a="1"/>
  <c r="G4649" i="1" s="1"/>
  <c r="G4639" i="1" a="1"/>
  <c r="G4639" i="1" s="1"/>
  <c r="G4629" i="1" a="1"/>
  <c r="G4629" i="1" s="1"/>
  <c r="G4619" i="1" a="1"/>
  <c r="G4619" i="1" s="1"/>
  <c r="G4609" i="1" a="1"/>
  <c r="G4609" i="1" s="1"/>
  <c r="G4599" i="1" a="1"/>
  <c r="G4599" i="1" s="1"/>
  <c r="G4589" i="1" a="1"/>
  <c r="G4589" i="1" s="1"/>
  <c r="G4579" i="1" a="1"/>
  <c r="G4579" i="1" s="1"/>
  <c r="G4569" i="1" a="1"/>
  <c r="G4569" i="1" s="1"/>
  <c r="G4559" i="1" a="1"/>
  <c r="G4559" i="1" s="1"/>
  <c r="G4549" i="1" a="1"/>
  <c r="G4549" i="1" s="1"/>
  <c r="G4539" i="1" a="1"/>
  <c r="G4539" i="1" s="1"/>
  <c r="G4529" i="1" a="1"/>
  <c r="G4529" i="1" s="1"/>
  <c r="G4519" i="1" a="1"/>
  <c r="G4519" i="1" s="1"/>
  <c r="G4509" i="1" a="1"/>
  <c r="G4509" i="1" s="1"/>
  <c r="G4499" i="1" a="1"/>
  <c r="G4499" i="1" s="1"/>
  <c r="G4489" i="1" a="1"/>
  <c r="G4489" i="1" s="1"/>
  <c r="G4479" i="1" a="1"/>
  <c r="G4479" i="1" s="1"/>
  <c r="G4469" i="1" a="1"/>
  <c r="G4469" i="1" s="1"/>
  <c r="G4459" i="1" a="1"/>
  <c r="G4459" i="1" s="1"/>
  <c r="G4449" i="1" a="1"/>
  <c r="G4449" i="1" s="1"/>
  <c r="G4439" i="1" a="1"/>
  <c r="G4439" i="1" s="1"/>
  <c r="G4429" i="1" a="1"/>
  <c r="G4429" i="1" s="1"/>
  <c r="G4419" i="1" a="1"/>
  <c r="G4419" i="1" s="1"/>
  <c r="G4409" i="1" a="1"/>
  <c r="G4409" i="1" s="1"/>
  <c r="G4399" i="1" a="1"/>
  <c r="G4399" i="1" s="1"/>
  <c r="G4389" i="1" a="1"/>
  <c r="G4389" i="1" s="1"/>
  <c r="G5118" i="1" a="1"/>
  <c r="G5118" i="1" s="1"/>
  <c r="G5108" i="1" a="1"/>
  <c r="G5108" i="1" s="1"/>
  <c r="G5098" i="1" a="1"/>
  <c r="G5098" i="1" s="1"/>
  <c r="G5088" i="1" a="1"/>
  <c r="G5088" i="1" s="1"/>
  <c r="G5078" i="1" a="1"/>
  <c r="G5078" i="1" s="1"/>
  <c r="G5068" i="1" a="1"/>
  <c r="G5068" i="1" s="1"/>
  <c r="G5058" i="1" a="1"/>
  <c r="G5058" i="1" s="1"/>
  <c r="G5048" i="1" a="1"/>
  <c r="G5048" i="1" s="1"/>
  <c r="G5038" i="1" a="1"/>
  <c r="G5038" i="1" s="1"/>
  <c r="G5028" i="1" a="1"/>
  <c r="G5028" i="1" s="1"/>
  <c r="G5018" i="1" a="1"/>
  <c r="G5018" i="1" s="1"/>
  <c r="G5008" i="1" a="1"/>
  <c r="G5008" i="1" s="1"/>
  <c r="G4998" i="1" a="1"/>
  <c r="G4998" i="1" s="1"/>
  <c r="G4988" i="1" a="1"/>
  <c r="G4988" i="1" s="1"/>
  <c r="G4978" i="1" a="1"/>
  <c r="G4978" i="1" s="1"/>
  <c r="G4968" i="1" a="1"/>
  <c r="G4968" i="1" s="1"/>
  <c r="G4958" i="1" a="1"/>
  <c r="G4958" i="1" s="1"/>
  <c r="G4948" i="1" a="1"/>
  <c r="G4948" i="1" s="1"/>
  <c r="G4938" i="1" a="1"/>
  <c r="G4938" i="1" s="1"/>
  <c r="G4928" i="1" a="1"/>
  <c r="G4928" i="1" s="1"/>
  <c r="G4918" i="1" a="1"/>
  <c r="G4918" i="1" s="1"/>
  <c r="G4908" i="1" a="1"/>
  <c r="G4908" i="1" s="1"/>
  <c r="G4898" i="1" a="1"/>
  <c r="G4898" i="1" s="1"/>
  <c r="G4888" i="1" a="1"/>
  <c r="G4888" i="1" s="1"/>
  <c r="G4878" i="1" a="1"/>
  <c r="G4878" i="1" s="1"/>
  <c r="G4868" i="1" a="1"/>
  <c r="G4868" i="1" s="1"/>
  <c r="G4858" i="1" a="1"/>
  <c r="G4858" i="1" s="1"/>
  <c r="G4848" i="1" a="1"/>
  <c r="G4848" i="1" s="1"/>
  <c r="G4838" i="1" a="1"/>
  <c r="G4838" i="1" s="1"/>
  <c r="G4828" i="1" a="1"/>
  <c r="G4828" i="1" s="1"/>
  <c r="G4818" i="1" a="1"/>
  <c r="G4818" i="1" s="1"/>
  <c r="G4808" i="1" a="1"/>
  <c r="G4808" i="1" s="1"/>
  <c r="G4798" i="1" a="1"/>
  <c r="G4798" i="1" s="1"/>
  <c r="G4788" i="1" a="1"/>
  <c r="G4788" i="1" s="1"/>
  <c r="G4778" i="1" a="1"/>
  <c r="G4778" i="1" s="1"/>
  <c r="G4768" i="1" a="1"/>
  <c r="G4768" i="1" s="1"/>
  <c r="G4758" i="1" a="1"/>
  <c r="G4758" i="1" s="1"/>
  <c r="G4748" i="1" a="1"/>
  <c r="G4748" i="1" s="1"/>
  <c r="G4738" i="1" a="1"/>
  <c r="G4738" i="1" s="1"/>
  <c r="G4728" i="1" a="1"/>
  <c r="G4728" i="1" s="1"/>
  <c r="G4718" i="1" a="1"/>
  <c r="G4718" i="1" s="1"/>
  <c r="G4708" i="1" a="1"/>
  <c r="G4708" i="1" s="1"/>
  <c r="G4698" i="1" a="1"/>
  <c r="G4698" i="1" s="1"/>
  <c r="G4688" i="1" a="1"/>
  <c r="G4688" i="1" s="1"/>
  <c r="G4678" i="1" a="1"/>
  <c r="G4678" i="1" s="1"/>
  <c r="G4668" i="1" a="1"/>
  <c r="G4668" i="1" s="1"/>
  <c r="G4658" i="1" a="1"/>
  <c r="G4658" i="1" s="1"/>
  <c r="G4648" i="1" a="1"/>
  <c r="G4648" i="1" s="1"/>
  <c r="G4638" i="1" a="1"/>
  <c r="G4638" i="1" s="1"/>
  <c r="G4628" i="1" a="1"/>
  <c r="G4628" i="1" s="1"/>
  <c r="G4618" i="1" a="1"/>
  <c r="G4618" i="1" s="1"/>
  <c r="G4608" i="1" a="1"/>
  <c r="G4608" i="1" s="1"/>
  <c r="G4598" i="1" a="1"/>
  <c r="G4598" i="1" s="1"/>
  <c r="G4588" i="1" a="1"/>
  <c r="G4588" i="1" s="1"/>
  <c r="G4578" i="1" a="1"/>
  <c r="G4578" i="1" s="1"/>
  <c r="G4568" i="1" a="1"/>
  <c r="G4568" i="1" s="1"/>
  <c r="G4558" i="1" a="1"/>
  <c r="G4558" i="1" s="1"/>
  <c r="G4548" i="1" a="1"/>
  <c r="G4548" i="1" s="1"/>
  <c r="G4538" i="1" a="1"/>
  <c r="G4538" i="1" s="1"/>
  <c r="G4528" i="1" a="1"/>
  <c r="G4528" i="1" s="1"/>
  <c r="G4518" i="1" a="1"/>
  <c r="G4518" i="1" s="1"/>
  <c r="G4508" i="1" a="1"/>
  <c r="G4508" i="1" s="1"/>
  <c r="G4498" i="1" a="1"/>
  <c r="G4498" i="1" s="1"/>
  <c r="G4488" i="1" a="1"/>
  <c r="G4488" i="1" s="1"/>
  <c r="G4478" i="1" a="1"/>
  <c r="G4478" i="1" s="1"/>
  <c r="G4468" i="1" a="1"/>
  <c r="G4468" i="1" s="1"/>
  <c r="G4458" i="1" a="1"/>
  <c r="G4458" i="1" s="1"/>
  <c r="G4448" i="1" a="1"/>
  <c r="G4448" i="1" s="1"/>
  <c r="G4438" i="1" a="1"/>
  <c r="G4438" i="1" s="1"/>
  <c r="G4428" i="1" a="1"/>
  <c r="G4428" i="1" s="1"/>
  <c r="G4418" i="1" a="1"/>
  <c r="G4418" i="1" s="1"/>
  <c r="G4408" i="1" a="1"/>
  <c r="G4408" i="1" s="1"/>
  <c r="G4398" i="1" a="1"/>
  <c r="G4398" i="1" s="1"/>
  <c r="G4388" i="1" a="1"/>
  <c r="G4388" i="1" s="1"/>
  <c r="G4378" i="1" a="1"/>
  <c r="G4378" i="1" s="1"/>
  <c r="G4368" i="1" a="1"/>
  <c r="G4368" i="1" s="1"/>
  <c r="G4358" i="1" a="1"/>
  <c r="G4358" i="1" s="1"/>
  <c r="G4348" i="1" a="1"/>
  <c r="G4348" i="1" s="1"/>
  <c r="G4338" i="1" a="1"/>
  <c r="G4338" i="1" s="1"/>
  <c r="G4328" i="1" a="1"/>
  <c r="G4328" i="1" s="1"/>
  <c r="G4318" i="1" a="1"/>
  <c r="G4318" i="1" s="1"/>
  <c r="G4997" i="1" a="1"/>
  <c r="G4997" i="1" s="1"/>
  <c r="G4987" i="1" a="1"/>
  <c r="G4987" i="1" s="1"/>
  <c r="G4977" i="1" a="1"/>
  <c r="G4977" i="1" s="1"/>
  <c r="G4967" i="1" a="1"/>
  <c r="G4967" i="1" s="1"/>
  <c r="G4957" i="1" a="1"/>
  <c r="G4957" i="1" s="1"/>
  <c r="G4947" i="1" a="1"/>
  <c r="G4947" i="1" s="1"/>
  <c r="G4937" i="1" a="1"/>
  <c r="G4937" i="1" s="1"/>
  <c r="G4927" i="1" a="1"/>
  <c r="G4927" i="1" s="1"/>
  <c r="G4917" i="1" a="1"/>
  <c r="G4917" i="1" s="1"/>
  <c r="G4907" i="1" a="1"/>
  <c r="G4907" i="1" s="1"/>
  <c r="G4897" i="1" a="1"/>
  <c r="G4897" i="1" s="1"/>
  <c r="G4887" i="1" a="1"/>
  <c r="G4887" i="1" s="1"/>
  <c r="G4877" i="1" a="1"/>
  <c r="G4877" i="1" s="1"/>
  <c r="G4867" i="1" a="1"/>
  <c r="G4867" i="1" s="1"/>
  <c r="G4857" i="1" a="1"/>
  <c r="G4857" i="1" s="1"/>
  <c r="G4847" i="1" a="1"/>
  <c r="G4847" i="1" s="1"/>
  <c r="G4837" i="1" a="1"/>
  <c r="G4837" i="1" s="1"/>
  <c r="G4827" i="1" a="1"/>
  <c r="G4827" i="1" s="1"/>
  <c r="G4817" i="1" a="1"/>
  <c r="G4817" i="1" s="1"/>
  <c r="G4807" i="1" a="1"/>
  <c r="G4807" i="1" s="1"/>
  <c r="G4797" i="1" a="1"/>
  <c r="G4797" i="1" s="1"/>
  <c r="G4787" i="1" a="1"/>
  <c r="G4787" i="1" s="1"/>
  <c r="G4777" i="1" a="1"/>
  <c r="G4777" i="1" s="1"/>
  <c r="G4767" i="1" a="1"/>
  <c r="G4767" i="1" s="1"/>
  <c r="G4757" i="1" a="1"/>
  <c r="G4757" i="1" s="1"/>
  <c r="G4747" i="1" a="1"/>
  <c r="G4747" i="1" s="1"/>
  <c r="G4737" i="1" a="1"/>
  <c r="G4737" i="1" s="1"/>
  <c r="G4727" i="1" a="1"/>
  <c r="G4727" i="1" s="1"/>
  <c r="G4717" i="1" a="1"/>
  <c r="G4717" i="1" s="1"/>
  <c r="G4707" i="1" a="1"/>
  <c r="G4707" i="1" s="1"/>
  <c r="G4697" i="1" a="1"/>
  <c r="G4697" i="1" s="1"/>
  <c r="G4687" i="1" a="1"/>
  <c r="G4687" i="1" s="1"/>
  <c r="G4677" i="1" a="1"/>
  <c r="G4677" i="1" s="1"/>
  <c r="G4667" i="1" a="1"/>
  <c r="G4667" i="1" s="1"/>
  <c r="G4657" i="1" a="1"/>
  <c r="G4657" i="1" s="1"/>
  <c r="G4647" i="1" a="1"/>
  <c r="G4647" i="1" s="1"/>
  <c r="G4637" i="1" a="1"/>
  <c r="G4637" i="1" s="1"/>
  <c r="G4627" i="1" a="1"/>
  <c r="G4627" i="1" s="1"/>
  <c r="G4617" i="1" a="1"/>
  <c r="G4617" i="1" s="1"/>
  <c r="G4607" i="1" a="1"/>
  <c r="G4607" i="1" s="1"/>
  <c r="G4597" i="1" a="1"/>
  <c r="G4597" i="1" s="1"/>
  <c r="G4587" i="1" a="1"/>
  <c r="G4587" i="1" s="1"/>
  <c r="G4577" i="1" a="1"/>
  <c r="G4577" i="1" s="1"/>
  <c r="G4567" i="1" a="1"/>
  <c r="G4567" i="1" s="1"/>
  <c r="G4557" i="1" a="1"/>
  <c r="G4557" i="1" s="1"/>
  <c r="G4547" i="1" a="1"/>
  <c r="G4547" i="1" s="1"/>
  <c r="G4537" i="1" a="1"/>
  <c r="G4537" i="1" s="1"/>
  <c r="G4527" i="1" a="1"/>
  <c r="G4527" i="1" s="1"/>
  <c r="G4517" i="1" a="1"/>
  <c r="G4517" i="1" s="1"/>
  <c r="G4507" i="1" a="1"/>
  <c r="G4507" i="1" s="1"/>
  <c r="G4497" i="1" a="1"/>
  <c r="G4497" i="1" s="1"/>
  <c r="G4487" i="1" a="1"/>
  <c r="G4487" i="1" s="1"/>
  <c r="G4477" i="1" a="1"/>
  <c r="G4477" i="1" s="1"/>
  <c r="G4467" i="1" a="1"/>
  <c r="G4467" i="1" s="1"/>
  <c r="G4457" i="1" a="1"/>
  <c r="G4457" i="1" s="1"/>
  <c r="G4447" i="1" a="1"/>
  <c r="G4447" i="1" s="1"/>
  <c r="G4437" i="1" a="1"/>
  <c r="G4437" i="1" s="1"/>
  <c r="G4427" i="1" a="1"/>
  <c r="G4427" i="1" s="1"/>
  <c r="G4417" i="1" a="1"/>
  <c r="G4417" i="1" s="1"/>
  <c r="G4407" i="1" a="1"/>
  <c r="G4407" i="1" s="1"/>
  <c r="G4397" i="1" a="1"/>
  <c r="G4397" i="1" s="1"/>
  <c r="G4387" i="1" a="1"/>
  <c r="G4387" i="1" s="1"/>
  <c r="G4377" i="1" a="1"/>
  <c r="G4377" i="1" s="1"/>
  <c r="G4367" i="1" a="1"/>
  <c r="G4367" i="1" s="1"/>
  <c r="G4357" i="1" a="1"/>
  <c r="G4357" i="1" s="1"/>
  <c r="G4347" i="1" a="1"/>
  <c r="G4347" i="1" s="1"/>
  <c r="G4337" i="1" a="1"/>
  <c r="G4337" i="1" s="1"/>
  <c r="G4327" i="1" a="1"/>
  <c r="G4327" i="1" s="1"/>
  <c r="G4317" i="1" a="1"/>
  <c r="G4317" i="1" s="1"/>
  <c r="G4307" i="1" a="1"/>
  <c r="G4307" i="1" s="1"/>
  <c r="G4297" i="1" a="1"/>
  <c r="G4297" i="1" s="1"/>
  <c r="G4287" i="1" a="1"/>
  <c r="G4287" i="1" s="1"/>
  <c r="G4277" i="1" a="1"/>
  <c r="G4277" i="1" s="1"/>
  <c r="G4267" i="1" a="1"/>
  <c r="G4267" i="1" s="1"/>
  <c r="G4257" i="1" a="1"/>
  <c r="G4257" i="1" s="1"/>
  <c r="G4247" i="1" a="1"/>
  <c r="G4247" i="1" s="1"/>
  <c r="G4237" i="1" a="1"/>
  <c r="G4237" i="1" s="1"/>
  <c r="G4227" i="1" a="1"/>
  <c r="G4227" i="1" s="1"/>
  <c r="G4217" i="1" a="1"/>
  <c r="G4217" i="1" s="1"/>
  <c r="G4207" i="1" a="1"/>
  <c r="G4207" i="1" s="1"/>
  <c r="G4976" i="1" a="1"/>
  <c r="G4976" i="1" s="1"/>
  <c r="G4966" i="1" a="1"/>
  <c r="G4966" i="1" s="1"/>
  <c r="G4956" i="1" a="1"/>
  <c r="G4956" i="1" s="1"/>
  <c r="G4946" i="1" a="1"/>
  <c r="G4946" i="1" s="1"/>
  <c r="G4936" i="1" a="1"/>
  <c r="G4936" i="1" s="1"/>
  <c r="G4926" i="1" a="1"/>
  <c r="G4926" i="1" s="1"/>
  <c r="G4916" i="1" a="1"/>
  <c r="G4916" i="1" s="1"/>
  <c r="G4906" i="1" a="1"/>
  <c r="G4906" i="1" s="1"/>
  <c r="G4896" i="1" a="1"/>
  <c r="G4896" i="1" s="1"/>
  <c r="G4886" i="1" a="1"/>
  <c r="G4886" i="1" s="1"/>
  <c r="G4876" i="1" a="1"/>
  <c r="G4876" i="1" s="1"/>
  <c r="G4866" i="1" a="1"/>
  <c r="G4866" i="1" s="1"/>
  <c r="G4856" i="1" a="1"/>
  <c r="G4856" i="1" s="1"/>
  <c r="G4846" i="1" a="1"/>
  <c r="G4846" i="1" s="1"/>
  <c r="G4836" i="1" a="1"/>
  <c r="G4836" i="1" s="1"/>
  <c r="G4826" i="1" a="1"/>
  <c r="G4826" i="1" s="1"/>
  <c r="G4816" i="1" a="1"/>
  <c r="G4816" i="1" s="1"/>
  <c r="G4806" i="1" a="1"/>
  <c r="G4806" i="1" s="1"/>
  <c r="G4796" i="1" a="1"/>
  <c r="G4796" i="1" s="1"/>
  <c r="G4786" i="1" a="1"/>
  <c r="G4786" i="1" s="1"/>
  <c r="G4776" i="1" a="1"/>
  <c r="G4776" i="1" s="1"/>
  <c r="G4766" i="1" a="1"/>
  <c r="G4766" i="1" s="1"/>
  <c r="G4756" i="1" a="1"/>
  <c r="G4756" i="1" s="1"/>
  <c r="G4746" i="1" a="1"/>
  <c r="G4746" i="1" s="1"/>
  <c r="G4736" i="1" a="1"/>
  <c r="G4736" i="1" s="1"/>
  <c r="G4726" i="1" a="1"/>
  <c r="G4726" i="1" s="1"/>
  <c r="G4716" i="1" a="1"/>
  <c r="G4716" i="1" s="1"/>
  <c r="G4706" i="1" a="1"/>
  <c r="G4706" i="1" s="1"/>
  <c r="G4696" i="1" a="1"/>
  <c r="G4696" i="1" s="1"/>
  <c r="G4686" i="1" a="1"/>
  <c r="G4686" i="1" s="1"/>
  <c r="G4676" i="1" a="1"/>
  <c r="G4676" i="1" s="1"/>
  <c r="G4666" i="1" a="1"/>
  <c r="G4666" i="1" s="1"/>
  <c r="G4656" i="1" a="1"/>
  <c r="G4656" i="1" s="1"/>
  <c r="G4646" i="1" a="1"/>
  <c r="G4646" i="1" s="1"/>
  <c r="G4636" i="1" a="1"/>
  <c r="G4636" i="1" s="1"/>
  <c r="G4626" i="1" a="1"/>
  <c r="G4626" i="1" s="1"/>
  <c r="G4616" i="1" a="1"/>
  <c r="G4616" i="1" s="1"/>
  <c r="G4606" i="1" a="1"/>
  <c r="G4606" i="1" s="1"/>
  <c r="G4596" i="1" a="1"/>
  <c r="G4596" i="1" s="1"/>
  <c r="G4586" i="1" a="1"/>
  <c r="G4586" i="1" s="1"/>
  <c r="G4576" i="1" a="1"/>
  <c r="G4576" i="1" s="1"/>
  <c r="G4566" i="1" a="1"/>
  <c r="G4566" i="1" s="1"/>
  <c r="G4556" i="1" a="1"/>
  <c r="G4556" i="1" s="1"/>
  <c r="G4546" i="1" a="1"/>
  <c r="G4546" i="1" s="1"/>
  <c r="G4536" i="1" a="1"/>
  <c r="G4536" i="1" s="1"/>
  <c r="G4526" i="1" a="1"/>
  <c r="G4526" i="1" s="1"/>
  <c r="G4516" i="1" a="1"/>
  <c r="G4516" i="1" s="1"/>
  <c r="G4506" i="1" a="1"/>
  <c r="G4506" i="1" s="1"/>
  <c r="G4496" i="1" a="1"/>
  <c r="G4496" i="1" s="1"/>
  <c r="G4486" i="1" a="1"/>
  <c r="G4486" i="1" s="1"/>
  <c r="G4476" i="1" a="1"/>
  <c r="G4476" i="1" s="1"/>
  <c r="G4466" i="1" a="1"/>
  <c r="G4466" i="1" s="1"/>
  <c r="G4456" i="1" a="1"/>
  <c r="G4456" i="1" s="1"/>
  <c r="G4446" i="1" a="1"/>
  <c r="G4446" i="1" s="1"/>
  <c r="G4436" i="1" a="1"/>
  <c r="G4436" i="1" s="1"/>
  <c r="G4426" i="1" a="1"/>
  <c r="G4426" i="1" s="1"/>
  <c r="G4416" i="1" a="1"/>
  <c r="G4416" i="1" s="1"/>
  <c r="G4406" i="1" a="1"/>
  <c r="G4406" i="1" s="1"/>
  <c r="G4396" i="1" a="1"/>
  <c r="G4396" i="1" s="1"/>
  <c r="G4386" i="1" a="1"/>
  <c r="G4386" i="1" s="1"/>
  <c r="G4376" i="1" a="1"/>
  <c r="G4376" i="1" s="1"/>
  <c r="G4366" i="1" a="1"/>
  <c r="G4366" i="1" s="1"/>
  <c r="G4356" i="1" a="1"/>
  <c r="G4356" i="1" s="1"/>
  <c r="G4346" i="1" a="1"/>
  <c r="G4346" i="1" s="1"/>
  <c r="G4336" i="1" a="1"/>
  <c r="G4336" i="1" s="1"/>
  <c r="G4326" i="1" a="1"/>
  <c r="G4326" i="1" s="1"/>
  <c r="G4316" i="1" a="1"/>
  <c r="G4316" i="1" s="1"/>
  <c r="G4306" i="1" a="1"/>
  <c r="G4306" i="1" s="1"/>
  <c r="G4296" i="1" a="1"/>
  <c r="G4296" i="1" s="1"/>
  <c r="G4286" i="1" a="1"/>
  <c r="G4286" i="1" s="1"/>
  <c r="G4276" i="1" a="1"/>
  <c r="G4276" i="1" s="1"/>
  <c r="G4266" i="1" a="1"/>
  <c r="G4266" i="1" s="1"/>
  <c r="G4256" i="1" a="1"/>
  <c r="G4256" i="1" s="1"/>
  <c r="G4246" i="1" a="1"/>
  <c r="G4246" i="1" s="1"/>
  <c r="G4236" i="1" a="1"/>
  <c r="G4236" i="1" s="1"/>
  <c r="G4226" i="1" a="1"/>
  <c r="G4226" i="1" s="1"/>
  <c r="G4935" i="1" a="1"/>
  <c r="G4935" i="1" s="1"/>
  <c r="G4925" i="1" a="1"/>
  <c r="G4925" i="1" s="1"/>
  <c r="G4915" i="1" a="1"/>
  <c r="G4915" i="1" s="1"/>
  <c r="G4905" i="1" a="1"/>
  <c r="G4905" i="1" s="1"/>
  <c r="G4895" i="1" a="1"/>
  <c r="G4895" i="1" s="1"/>
  <c r="G4885" i="1" a="1"/>
  <c r="G4885" i="1" s="1"/>
  <c r="G4875" i="1" a="1"/>
  <c r="G4875" i="1" s="1"/>
  <c r="G4865" i="1" a="1"/>
  <c r="G4865" i="1" s="1"/>
  <c r="G4855" i="1" a="1"/>
  <c r="G4855" i="1" s="1"/>
  <c r="G4845" i="1" a="1"/>
  <c r="G4845" i="1" s="1"/>
  <c r="G4835" i="1" a="1"/>
  <c r="G4835" i="1" s="1"/>
  <c r="G4825" i="1" a="1"/>
  <c r="G4825" i="1" s="1"/>
  <c r="G4815" i="1" a="1"/>
  <c r="G4815" i="1" s="1"/>
  <c r="G4805" i="1" a="1"/>
  <c r="G4805" i="1" s="1"/>
  <c r="G4795" i="1" a="1"/>
  <c r="G4795" i="1" s="1"/>
  <c r="G4785" i="1" a="1"/>
  <c r="G4785" i="1" s="1"/>
  <c r="G4775" i="1" a="1"/>
  <c r="G4775" i="1" s="1"/>
  <c r="G4765" i="1" a="1"/>
  <c r="G4765" i="1" s="1"/>
  <c r="G4755" i="1" a="1"/>
  <c r="G4755" i="1" s="1"/>
  <c r="G4745" i="1" a="1"/>
  <c r="G4745" i="1" s="1"/>
  <c r="G4735" i="1" a="1"/>
  <c r="G4735" i="1" s="1"/>
  <c r="G4725" i="1" a="1"/>
  <c r="G4725" i="1" s="1"/>
  <c r="G4715" i="1" a="1"/>
  <c r="G4715" i="1" s="1"/>
  <c r="G4705" i="1" a="1"/>
  <c r="G4705" i="1" s="1"/>
  <c r="G4695" i="1" a="1"/>
  <c r="G4695" i="1" s="1"/>
  <c r="G4685" i="1" a="1"/>
  <c r="G4685" i="1" s="1"/>
  <c r="G4675" i="1" a="1"/>
  <c r="G4675" i="1" s="1"/>
  <c r="G4665" i="1" a="1"/>
  <c r="G4665" i="1" s="1"/>
  <c r="G4655" i="1" a="1"/>
  <c r="G4655" i="1" s="1"/>
  <c r="G4645" i="1" a="1"/>
  <c r="G4645" i="1" s="1"/>
  <c r="G4635" i="1" a="1"/>
  <c r="G4635" i="1" s="1"/>
  <c r="G4625" i="1" a="1"/>
  <c r="G4625" i="1" s="1"/>
  <c r="G4615" i="1" a="1"/>
  <c r="G4615" i="1" s="1"/>
  <c r="G4605" i="1" a="1"/>
  <c r="G4605" i="1" s="1"/>
  <c r="G4595" i="1" a="1"/>
  <c r="G4595" i="1" s="1"/>
  <c r="G4585" i="1" a="1"/>
  <c r="G4585" i="1" s="1"/>
  <c r="G4575" i="1" a="1"/>
  <c r="G4575" i="1" s="1"/>
  <c r="G4565" i="1" a="1"/>
  <c r="G4565" i="1" s="1"/>
  <c r="G4555" i="1" a="1"/>
  <c r="G4555" i="1" s="1"/>
  <c r="G4545" i="1" a="1"/>
  <c r="G4545" i="1" s="1"/>
  <c r="G4535" i="1" a="1"/>
  <c r="G4535" i="1" s="1"/>
  <c r="G4525" i="1" a="1"/>
  <c r="G4525" i="1" s="1"/>
  <c r="G4515" i="1" a="1"/>
  <c r="G4515" i="1" s="1"/>
  <c r="G4505" i="1" a="1"/>
  <c r="G4505" i="1" s="1"/>
  <c r="G4495" i="1" a="1"/>
  <c r="G4495" i="1" s="1"/>
  <c r="G4485" i="1" a="1"/>
  <c r="G4485" i="1" s="1"/>
  <c r="G4475" i="1" a="1"/>
  <c r="G4475" i="1" s="1"/>
  <c r="G4465" i="1" a="1"/>
  <c r="G4465" i="1" s="1"/>
  <c r="G4455" i="1" a="1"/>
  <c r="G4455" i="1" s="1"/>
  <c r="G4445" i="1" a="1"/>
  <c r="G4445" i="1" s="1"/>
  <c r="G4435" i="1" a="1"/>
  <c r="G4435" i="1" s="1"/>
  <c r="G4425" i="1" a="1"/>
  <c r="G4425" i="1" s="1"/>
  <c r="G4415" i="1" a="1"/>
  <c r="G4415" i="1" s="1"/>
  <c r="G4405" i="1" a="1"/>
  <c r="G4405" i="1" s="1"/>
  <c r="G4395" i="1" a="1"/>
  <c r="G4395" i="1" s="1"/>
  <c r="G4385" i="1" a="1"/>
  <c r="G4385" i="1" s="1"/>
  <c r="G4375" i="1" a="1"/>
  <c r="G4375" i="1" s="1"/>
  <c r="G4365" i="1" a="1"/>
  <c r="G4365" i="1" s="1"/>
  <c r="G4355" i="1" a="1"/>
  <c r="G4355" i="1" s="1"/>
  <c r="G4345" i="1" a="1"/>
  <c r="G4345" i="1" s="1"/>
  <c r="G4335" i="1" a="1"/>
  <c r="G4335" i="1" s="1"/>
  <c r="G4325" i="1" a="1"/>
  <c r="G4325" i="1" s="1"/>
  <c r="G4315" i="1" a="1"/>
  <c r="G4315" i="1" s="1"/>
  <c r="G4305" i="1" a="1"/>
  <c r="G4305" i="1" s="1"/>
  <c r="G4295" i="1" a="1"/>
  <c r="G4295" i="1" s="1"/>
  <c r="G4285" i="1" a="1"/>
  <c r="G4285" i="1" s="1"/>
  <c r="G4275" i="1" a="1"/>
  <c r="G4275" i="1" s="1"/>
  <c r="G4265" i="1" a="1"/>
  <c r="G4265" i="1" s="1"/>
  <c r="G4255" i="1" a="1"/>
  <c r="G4255" i="1" s="1"/>
  <c r="G4245" i="1" a="1"/>
  <c r="G4245" i="1" s="1"/>
  <c r="G4235" i="1" a="1"/>
  <c r="G4235" i="1" s="1"/>
  <c r="G4225" i="1" a="1"/>
  <c r="G4225" i="1" s="1"/>
  <c r="G4215" i="1" a="1"/>
  <c r="G4215" i="1" s="1"/>
  <c r="G4205" i="1" a="1"/>
  <c r="G4205" i="1" s="1"/>
  <c r="G4195" i="1" a="1"/>
  <c r="G4195" i="1" s="1"/>
  <c r="G4185" i="1" a="1"/>
  <c r="G4185" i="1" s="1"/>
  <c r="G4175" i="1" a="1"/>
  <c r="G4175" i="1" s="1"/>
  <c r="G4165" i="1" a="1"/>
  <c r="G4165" i="1" s="1"/>
  <c r="G4155" i="1" a="1"/>
  <c r="G4155" i="1" s="1"/>
  <c r="G4145" i="1" a="1"/>
  <c r="G4145" i="1" s="1"/>
  <c r="G4135" i="1" a="1"/>
  <c r="G4135" i="1" s="1"/>
  <c r="G4125" i="1" a="1"/>
  <c r="G4125" i="1" s="1"/>
  <c r="G4115" i="1" a="1"/>
  <c r="G4115" i="1" s="1"/>
  <c r="G4105" i="1" a="1"/>
  <c r="G4105" i="1" s="1"/>
  <c r="G4095" i="1" a="1"/>
  <c r="G4095" i="1" s="1"/>
  <c r="G4884" i="1" a="1"/>
  <c r="G4884" i="1" s="1"/>
  <c r="G4874" i="1" a="1"/>
  <c r="G4874" i="1" s="1"/>
  <c r="G4864" i="1" a="1"/>
  <c r="G4864" i="1" s="1"/>
  <c r="G4854" i="1" a="1"/>
  <c r="G4854" i="1" s="1"/>
  <c r="G4844" i="1" a="1"/>
  <c r="G4844" i="1" s="1"/>
  <c r="G4834" i="1" a="1"/>
  <c r="G4834" i="1" s="1"/>
  <c r="G4824" i="1" a="1"/>
  <c r="G4824" i="1" s="1"/>
  <c r="G4814" i="1" a="1"/>
  <c r="G4814" i="1" s="1"/>
  <c r="G4804" i="1" a="1"/>
  <c r="G4804" i="1" s="1"/>
  <c r="G4794" i="1" a="1"/>
  <c r="G4794" i="1" s="1"/>
  <c r="G4784" i="1" a="1"/>
  <c r="G4784" i="1" s="1"/>
  <c r="G4774" i="1" a="1"/>
  <c r="G4774" i="1" s="1"/>
  <c r="G4764" i="1" a="1"/>
  <c r="G4764" i="1" s="1"/>
  <c r="G4754" i="1" a="1"/>
  <c r="G4754" i="1" s="1"/>
  <c r="G4744" i="1" a="1"/>
  <c r="G4744" i="1" s="1"/>
  <c r="G4734" i="1" a="1"/>
  <c r="G4734" i="1" s="1"/>
  <c r="G4724" i="1" a="1"/>
  <c r="G4724" i="1" s="1"/>
  <c r="G4714" i="1" a="1"/>
  <c r="G4714" i="1" s="1"/>
  <c r="G4704" i="1" a="1"/>
  <c r="G4704" i="1" s="1"/>
  <c r="G4694" i="1" a="1"/>
  <c r="G4694" i="1" s="1"/>
  <c r="G4684" i="1" a="1"/>
  <c r="G4684" i="1" s="1"/>
  <c r="G4674" i="1" a="1"/>
  <c r="G4674" i="1" s="1"/>
  <c r="G4664" i="1" a="1"/>
  <c r="G4664" i="1" s="1"/>
  <c r="G4654" i="1" a="1"/>
  <c r="G4654" i="1" s="1"/>
  <c r="G4644" i="1" a="1"/>
  <c r="G4644" i="1" s="1"/>
  <c r="G4634" i="1" a="1"/>
  <c r="G4634" i="1" s="1"/>
  <c r="G4624" i="1" a="1"/>
  <c r="G4624" i="1" s="1"/>
  <c r="G4614" i="1" a="1"/>
  <c r="G4614" i="1" s="1"/>
  <c r="G4604" i="1" a="1"/>
  <c r="G4604" i="1" s="1"/>
  <c r="G4594" i="1" a="1"/>
  <c r="G4594" i="1" s="1"/>
  <c r="G4584" i="1" a="1"/>
  <c r="G4584" i="1" s="1"/>
  <c r="G4574" i="1" a="1"/>
  <c r="G4574" i="1" s="1"/>
  <c r="G4564" i="1" a="1"/>
  <c r="G4564" i="1" s="1"/>
  <c r="G4554" i="1" a="1"/>
  <c r="G4554" i="1" s="1"/>
  <c r="G4544" i="1" a="1"/>
  <c r="G4544" i="1" s="1"/>
  <c r="G4534" i="1" a="1"/>
  <c r="G4534" i="1" s="1"/>
  <c r="G4524" i="1" a="1"/>
  <c r="G4524" i="1" s="1"/>
  <c r="G4514" i="1" a="1"/>
  <c r="G4514" i="1" s="1"/>
  <c r="G4504" i="1" a="1"/>
  <c r="G4504" i="1" s="1"/>
  <c r="G4494" i="1" a="1"/>
  <c r="G4494" i="1" s="1"/>
  <c r="G4484" i="1" a="1"/>
  <c r="G4484" i="1" s="1"/>
  <c r="G4474" i="1" a="1"/>
  <c r="G4474" i="1" s="1"/>
  <c r="G4464" i="1" a="1"/>
  <c r="G4464" i="1" s="1"/>
  <c r="G4454" i="1" a="1"/>
  <c r="G4454" i="1" s="1"/>
  <c r="G4444" i="1" a="1"/>
  <c r="G4444" i="1" s="1"/>
  <c r="G4434" i="1" a="1"/>
  <c r="G4434" i="1" s="1"/>
  <c r="G4424" i="1" a="1"/>
  <c r="G4424" i="1" s="1"/>
  <c r="G4414" i="1" a="1"/>
  <c r="G4414" i="1" s="1"/>
  <c r="G4404" i="1" a="1"/>
  <c r="G4404" i="1" s="1"/>
  <c r="G4394" i="1" a="1"/>
  <c r="G4394" i="1" s="1"/>
  <c r="G4384" i="1" a="1"/>
  <c r="G4384" i="1" s="1"/>
  <c r="G4374" i="1" a="1"/>
  <c r="G4374" i="1" s="1"/>
  <c r="G4364" i="1" a="1"/>
  <c r="G4364" i="1" s="1"/>
  <c r="G4354" i="1" a="1"/>
  <c r="G4354" i="1" s="1"/>
  <c r="G4344" i="1" a="1"/>
  <c r="G4344" i="1" s="1"/>
  <c r="G4334" i="1" a="1"/>
  <c r="G4334" i="1" s="1"/>
  <c r="G4324" i="1" a="1"/>
  <c r="G4324" i="1" s="1"/>
  <c r="G4314" i="1" a="1"/>
  <c r="G4314" i="1" s="1"/>
  <c r="G4304" i="1" a="1"/>
  <c r="G4304" i="1" s="1"/>
  <c r="G4294" i="1" a="1"/>
  <c r="G4294" i="1" s="1"/>
  <c r="G4284" i="1" a="1"/>
  <c r="G4284" i="1" s="1"/>
  <c r="G4274" i="1" a="1"/>
  <c r="G4274" i="1" s="1"/>
  <c r="G4264" i="1" a="1"/>
  <c r="G4264" i="1" s="1"/>
  <c r="G4254" i="1" a="1"/>
  <c r="G4254" i="1" s="1"/>
  <c r="G4244" i="1" a="1"/>
  <c r="G4244" i="1" s="1"/>
  <c r="G4234" i="1" a="1"/>
  <c r="G4234" i="1" s="1"/>
  <c r="G4224" i="1" a="1"/>
  <c r="G4224" i="1" s="1"/>
  <c r="G4214" i="1" a="1"/>
  <c r="G4214" i="1" s="1"/>
  <c r="G4204" i="1" a="1"/>
  <c r="G4204" i="1" s="1"/>
  <c r="G4194" i="1" a="1"/>
  <c r="G4194" i="1" s="1"/>
  <c r="G4184" i="1" a="1"/>
  <c r="G4184" i="1" s="1"/>
  <c r="G4174" i="1" a="1"/>
  <c r="G4174" i="1" s="1"/>
  <c r="G4164" i="1" a="1"/>
  <c r="G4164" i="1" s="1"/>
  <c r="G4154" i="1" a="1"/>
  <c r="G4154" i="1" s="1"/>
  <c r="G4144" i="1" a="1"/>
  <c r="G4144" i="1" s="1"/>
  <c r="G4134" i="1" a="1"/>
  <c r="G4134" i="1" s="1"/>
  <c r="G4124" i="1" a="1"/>
  <c r="G4124" i="1" s="1"/>
  <c r="G4114" i="1" a="1"/>
  <c r="G4114" i="1" s="1"/>
  <c r="G4093" i="1" a="1"/>
  <c r="G4093" i="1" s="1"/>
  <c r="G4083" i="1" a="1"/>
  <c r="G4083" i="1" s="1"/>
  <c r="G4073" i="1" a="1"/>
  <c r="G4073" i="1" s="1"/>
  <c r="G4063" i="1" a="1"/>
  <c r="G4063" i="1" s="1"/>
  <c r="G4053" i="1" a="1"/>
  <c r="G4053" i="1" s="1"/>
  <c r="G4043" i="1" a="1"/>
  <c r="G4043" i="1" s="1"/>
  <c r="G4033" i="1" a="1"/>
  <c r="G4033" i="1" s="1"/>
  <c r="G4023" i="1" a="1"/>
  <c r="G4023" i="1" s="1"/>
  <c r="G4013" i="1" a="1"/>
  <c r="G4013" i="1" s="1"/>
  <c r="G4003" i="1" a="1"/>
  <c r="G4003" i="1" s="1"/>
  <c r="G3993" i="1" a="1"/>
  <c r="G3993" i="1" s="1"/>
  <c r="G3983" i="1" a="1"/>
  <c r="G3983" i="1" s="1"/>
  <c r="G3973" i="1" a="1"/>
  <c r="G3973" i="1" s="1"/>
  <c r="G3963" i="1" a="1"/>
  <c r="G3963" i="1" s="1"/>
  <c r="G3953" i="1" a="1"/>
  <c r="G3953" i="1" s="1"/>
  <c r="G3943" i="1" a="1"/>
  <c r="G3943" i="1" s="1"/>
  <c r="G3933" i="1" a="1"/>
  <c r="G3933" i="1" s="1"/>
  <c r="G3923" i="1" a="1"/>
  <c r="G3923" i="1" s="1"/>
  <c r="G3913" i="1" a="1"/>
  <c r="G3913" i="1" s="1"/>
  <c r="G3903" i="1" a="1"/>
  <c r="G3903" i="1" s="1"/>
  <c r="G3893" i="1" a="1"/>
  <c r="G3893" i="1" s="1"/>
  <c r="G3883" i="1" a="1"/>
  <c r="G3883" i="1" s="1"/>
  <c r="G3873" i="1" a="1"/>
  <c r="G3873" i="1" s="1"/>
  <c r="G3863" i="1" a="1"/>
  <c r="G3863" i="1" s="1"/>
  <c r="G3853" i="1" a="1"/>
  <c r="G3853" i="1" s="1"/>
  <c r="G3843" i="1" a="1"/>
  <c r="G3843" i="1" s="1"/>
  <c r="G3833" i="1" a="1"/>
  <c r="G3833" i="1" s="1"/>
  <c r="G3823" i="1" a="1"/>
  <c r="G3823" i="1" s="1"/>
  <c r="G3813" i="1" a="1"/>
  <c r="G3813" i="1" s="1"/>
  <c r="G3803" i="1" a="1"/>
  <c r="G3803" i="1" s="1"/>
  <c r="G3793" i="1" a="1"/>
  <c r="G3793" i="1" s="1"/>
  <c r="G3783" i="1" a="1"/>
  <c r="G3783" i="1" s="1"/>
  <c r="G3773" i="1" a="1"/>
  <c r="G3773" i="1" s="1"/>
  <c r="G3763" i="1" a="1"/>
  <c r="G3763" i="1" s="1"/>
  <c r="G3753" i="1" a="1"/>
  <c r="G3753" i="1" s="1"/>
  <c r="G3743" i="1" a="1"/>
  <c r="G3743" i="1" s="1"/>
  <c r="G3733" i="1" a="1"/>
  <c r="G3733" i="1" s="1"/>
  <c r="G3723" i="1" a="1"/>
  <c r="G3723" i="1" s="1"/>
  <c r="G3713" i="1" a="1"/>
  <c r="G3713" i="1" s="1"/>
  <c r="G3703" i="1" a="1"/>
  <c r="G3703" i="1" s="1"/>
  <c r="G3693" i="1" a="1"/>
  <c r="G3693" i="1" s="1"/>
  <c r="G3683" i="1" a="1"/>
  <c r="G3683" i="1" s="1"/>
  <c r="G3673" i="1" a="1"/>
  <c r="G3673" i="1" s="1"/>
  <c r="G3663" i="1" a="1"/>
  <c r="G3663" i="1" s="1"/>
  <c r="G3653" i="1" a="1"/>
  <c r="G3653" i="1" s="1"/>
  <c r="G3643" i="1" a="1"/>
  <c r="G3643" i="1" s="1"/>
  <c r="G3633" i="1" a="1"/>
  <c r="G3633" i="1" s="1"/>
  <c r="G3623" i="1" a="1"/>
  <c r="G3623" i="1" s="1"/>
  <c r="G3613" i="1" a="1"/>
  <c r="G3613" i="1" s="1"/>
  <c r="G3603" i="1" a="1"/>
  <c r="G3603" i="1" s="1"/>
  <c r="G3593" i="1" a="1"/>
  <c r="G3593" i="1" s="1"/>
  <c r="G3583" i="1" a="1"/>
  <c r="G3583" i="1" s="1"/>
  <c r="G3573" i="1" a="1"/>
  <c r="G3573" i="1" s="1"/>
  <c r="G3563" i="1" a="1"/>
  <c r="G3563" i="1" s="1"/>
  <c r="G3553" i="1" a="1"/>
  <c r="G3553" i="1" s="1"/>
  <c r="G3543" i="1" a="1"/>
  <c r="G3543" i="1" s="1"/>
  <c r="G3533" i="1" a="1"/>
  <c r="G3533" i="1" s="1"/>
  <c r="G3523" i="1" a="1"/>
  <c r="G3523" i="1" s="1"/>
  <c r="G3513" i="1" a="1"/>
  <c r="G3513" i="1" s="1"/>
  <c r="G3503" i="1" a="1"/>
  <c r="G3503" i="1" s="1"/>
  <c r="G3493" i="1" a="1"/>
  <c r="G3493" i="1" s="1"/>
  <c r="G3483" i="1" a="1"/>
  <c r="G3483" i="1" s="1"/>
  <c r="G3473" i="1" a="1"/>
  <c r="G3473" i="1" s="1"/>
  <c r="G3463" i="1" a="1"/>
  <c r="G3463" i="1" s="1"/>
  <c r="G3453" i="1" a="1"/>
  <c r="G3453" i="1" s="1"/>
  <c r="G3443" i="1" a="1"/>
  <c r="G3443" i="1" s="1"/>
  <c r="G3433" i="1" a="1"/>
  <c r="G3433" i="1" s="1"/>
  <c r="G3423" i="1" a="1"/>
  <c r="G3423" i="1" s="1"/>
  <c r="G3413" i="1" a="1"/>
  <c r="G3413" i="1" s="1"/>
  <c r="G3403" i="1" a="1"/>
  <c r="G3403" i="1" s="1"/>
  <c r="G3393" i="1" a="1"/>
  <c r="G3393" i="1" s="1"/>
  <c r="G3383" i="1" a="1"/>
  <c r="G3383" i="1" s="1"/>
  <c r="G3373" i="1" a="1"/>
  <c r="G3373" i="1" s="1"/>
  <c r="G3363" i="1" a="1"/>
  <c r="G3363" i="1" s="1"/>
  <c r="G3353" i="1" a="1"/>
  <c r="G3353" i="1" s="1"/>
  <c r="G3343" i="1" a="1"/>
  <c r="G3343" i="1" s="1"/>
  <c r="G3333" i="1" a="1"/>
  <c r="G3333" i="1" s="1"/>
  <c r="G3323" i="1" a="1"/>
  <c r="G3323" i="1" s="1"/>
  <c r="G3313" i="1" a="1"/>
  <c r="G3313" i="1" s="1"/>
  <c r="G3303" i="1" a="1"/>
  <c r="G3303" i="1" s="1"/>
  <c r="G4072" i="1" a="1"/>
  <c r="G4072" i="1" s="1"/>
  <c r="G4062" i="1" a="1"/>
  <c r="G4062" i="1" s="1"/>
  <c r="G4052" i="1" a="1"/>
  <c r="G4052" i="1" s="1"/>
  <c r="G4042" i="1" a="1"/>
  <c r="G4042" i="1" s="1"/>
  <c r="G4032" i="1" a="1"/>
  <c r="G4032" i="1" s="1"/>
  <c r="G4022" i="1" a="1"/>
  <c r="G4022" i="1" s="1"/>
  <c r="G4012" i="1" a="1"/>
  <c r="G4012" i="1" s="1"/>
  <c r="G4002" i="1" a="1"/>
  <c r="G4002" i="1" s="1"/>
  <c r="G3992" i="1" a="1"/>
  <c r="G3992" i="1" s="1"/>
  <c r="G3982" i="1" a="1"/>
  <c r="G3982" i="1" s="1"/>
  <c r="G3972" i="1" a="1"/>
  <c r="G3972" i="1" s="1"/>
  <c r="G3962" i="1" a="1"/>
  <c r="G3962" i="1" s="1"/>
  <c r="G3952" i="1" a="1"/>
  <c r="G3952" i="1" s="1"/>
  <c r="G3942" i="1" a="1"/>
  <c r="G3942" i="1" s="1"/>
  <c r="G3932" i="1" a="1"/>
  <c r="G3932" i="1" s="1"/>
  <c r="G3922" i="1" a="1"/>
  <c r="G3922" i="1" s="1"/>
  <c r="G3912" i="1" a="1"/>
  <c r="G3912" i="1" s="1"/>
  <c r="G3902" i="1" a="1"/>
  <c r="G3902" i="1" s="1"/>
  <c r="G3892" i="1" a="1"/>
  <c r="G3892" i="1" s="1"/>
  <c r="G3882" i="1" a="1"/>
  <c r="G3882" i="1" s="1"/>
  <c r="G3872" i="1" a="1"/>
  <c r="G3872" i="1" s="1"/>
  <c r="G3862" i="1" a="1"/>
  <c r="G3862" i="1" s="1"/>
  <c r="G3852" i="1" a="1"/>
  <c r="G3852" i="1" s="1"/>
  <c r="G3842" i="1" a="1"/>
  <c r="G3842" i="1" s="1"/>
  <c r="G3832" i="1" a="1"/>
  <c r="G3832" i="1" s="1"/>
  <c r="G3822" i="1" a="1"/>
  <c r="G3822" i="1" s="1"/>
  <c r="G3812" i="1" a="1"/>
  <c r="G3812" i="1" s="1"/>
  <c r="G3802" i="1" a="1"/>
  <c r="G3802" i="1" s="1"/>
  <c r="G3792" i="1" a="1"/>
  <c r="G3792" i="1" s="1"/>
  <c r="G3782" i="1" a="1"/>
  <c r="G3782" i="1" s="1"/>
  <c r="G3772" i="1" a="1"/>
  <c r="G3772" i="1" s="1"/>
  <c r="G3762" i="1" a="1"/>
  <c r="G3762" i="1" s="1"/>
  <c r="G3752" i="1" a="1"/>
  <c r="G3752" i="1" s="1"/>
  <c r="G3742" i="1" a="1"/>
  <c r="G3742" i="1" s="1"/>
  <c r="G3732" i="1" a="1"/>
  <c r="G3732" i="1" s="1"/>
  <c r="G3722" i="1" a="1"/>
  <c r="G3722" i="1" s="1"/>
  <c r="G3712" i="1" a="1"/>
  <c r="G3712" i="1" s="1"/>
  <c r="G3702" i="1" a="1"/>
  <c r="G3702" i="1" s="1"/>
  <c r="G3692" i="1" a="1"/>
  <c r="G3692" i="1" s="1"/>
  <c r="G3682" i="1" a="1"/>
  <c r="G3682" i="1" s="1"/>
  <c r="G3672" i="1" a="1"/>
  <c r="G3672" i="1" s="1"/>
  <c r="G3662" i="1" a="1"/>
  <c r="G3662" i="1" s="1"/>
  <c r="G3652" i="1" a="1"/>
  <c r="G3652" i="1" s="1"/>
  <c r="G3642" i="1" a="1"/>
  <c r="G3642" i="1" s="1"/>
  <c r="G3632" i="1" a="1"/>
  <c r="G3632" i="1" s="1"/>
  <c r="G3622" i="1" a="1"/>
  <c r="G3622" i="1" s="1"/>
  <c r="G3612" i="1" a="1"/>
  <c r="G3612" i="1" s="1"/>
  <c r="G3602" i="1" a="1"/>
  <c r="G3602" i="1" s="1"/>
  <c r="G3592" i="1" a="1"/>
  <c r="G3592" i="1" s="1"/>
  <c r="G3582" i="1" a="1"/>
  <c r="G3582" i="1" s="1"/>
  <c r="G3572" i="1" a="1"/>
  <c r="G3572" i="1" s="1"/>
  <c r="G3562" i="1" a="1"/>
  <c r="G3562" i="1" s="1"/>
  <c r="G3552" i="1" a="1"/>
  <c r="G3552" i="1" s="1"/>
  <c r="G3542" i="1" a="1"/>
  <c r="G3542" i="1" s="1"/>
  <c r="G3532" i="1" a="1"/>
  <c r="G3532" i="1" s="1"/>
  <c r="G3522" i="1" a="1"/>
  <c r="G3522" i="1" s="1"/>
  <c r="G3512" i="1" a="1"/>
  <c r="G3512" i="1" s="1"/>
  <c r="G3502" i="1" a="1"/>
  <c r="G3502" i="1" s="1"/>
  <c r="G3492" i="1" a="1"/>
  <c r="G3492" i="1" s="1"/>
  <c r="G3482" i="1" a="1"/>
  <c r="G3482" i="1" s="1"/>
  <c r="G3472" i="1" a="1"/>
  <c r="G3472" i="1" s="1"/>
  <c r="G3462" i="1" a="1"/>
  <c r="G3462" i="1" s="1"/>
  <c r="G3452" i="1" a="1"/>
  <c r="G3452" i="1" s="1"/>
  <c r="G3442" i="1" a="1"/>
  <c r="G3442" i="1" s="1"/>
  <c r="G3432" i="1" a="1"/>
  <c r="G3432" i="1" s="1"/>
  <c r="G3422" i="1" a="1"/>
  <c r="G3422" i="1" s="1"/>
  <c r="G3412" i="1" a="1"/>
  <c r="G3412" i="1" s="1"/>
  <c r="G3402" i="1" a="1"/>
  <c r="G3402" i="1" s="1"/>
  <c r="G3392" i="1" a="1"/>
  <c r="G3392" i="1" s="1"/>
  <c r="G3382" i="1" a="1"/>
  <c r="G3382" i="1" s="1"/>
  <c r="G3372" i="1" a="1"/>
  <c r="G3372" i="1" s="1"/>
  <c r="G3362" i="1" a="1"/>
  <c r="G3362" i="1" s="1"/>
  <c r="G3352" i="1" a="1"/>
  <c r="G3352" i="1" s="1"/>
  <c r="G3342" i="1" a="1"/>
  <c r="G3342" i="1" s="1"/>
  <c r="G3332" i="1" a="1"/>
  <c r="G3332" i="1" s="1"/>
  <c r="G3322" i="1" a="1"/>
  <c r="G3322" i="1" s="1"/>
  <c r="G3312" i="1" a="1"/>
  <c r="G3312" i="1" s="1"/>
  <c r="G3302" i="1" a="1"/>
  <c r="G3302" i="1" s="1"/>
  <c r="G3292" i="1" a="1"/>
  <c r="G3292" i="1" s="1"/>
  <c r="G3282" i="1" a="1"/>
  <c r="G3282" i="1" s="1"/>
  <c r="G4151" i="1" a="1"/>
  <c r="G4151" i="1" s="1"/>
  <c r="G4141" i="1" a="1"/>
  <c r="G4141" i="1" s="1"/>
  <c r="G4131" i="1" a="1"/>
  <c r="G4131" i="1" s="1"/>
  <c r="G4121" i="1" a="1"/>
  <c r="G4121" i="1" s="1"/>
  <c r="G4111" i="1" a="1"/>
  <c r="G4111" i="1" s="1"/>
  <c r="G4101" i="1" a="1"/>
  <c r="G4101" i="1" s="1"/>
  <c r="G4091" i="1" a="1"/>
  <c r="G4091" i="1" s="1"/>
  <c r="G4081" i="1" a="1"/>
  <c r="G4081" i="1" s="1"/>
  <c r="G4071" i="1" a="1"/>
  <c r="G4071" i="1" s="1"/>
  <c r="G4061" i="1" a="1"/>
  <c r="G4061" i="1" s="1"/>
  <c r="G4051" i="1" a="1"/>
  <c r="G4051" i="1" s="1"/>
  <c r="G4041" i="1" a="1"/>
  <c r="G4041" i="1" s="1"/>
  <c r="G4031" i="1" a="1"/>
  <c r="G4031" i="1" s="1"/>
  <c r="G4021" i="1" a="1"/>
  <c r="G4021" i="1" s="1"/>
  <c r="G4011" i="1" a="1"/>
  <c r="G4011" i="1" s="1"/>
  <c r="G4001" i="1" a="1"/>
  <c r="G4001" i="1" s="1"/>
  <c r="G3991" i="1" a="1"/>
  <c r="G3991" i="1" s="1"/>
  <c r="G3981" i="1" a="1"/>
  <c r="G3981" i="1" s="1"/>
  <c r="G3971" i="1" a="1"/>
  <c r="G3971" i="1" s="1"/>
  <c r="G3961" i="1" a="1"/>
  <c r="G3961" i="1" s="1"/>
  <c r="G3951" i="1" a="1"/>
  <c r="G3951" i="1" s="1"/>
  <c r="G3941" i="1" a="1"/>
  <c r="G3941" i="1" s="1"/>
  <c r="G3931" i="1" a="1"/>
  <c r="G3931" i="1" s="1"/>
  <c r="G3921" i="1" a="1"/>
  <c r="G3921" i="1" s="1"/>
  <c r="G3911" i="1" a="1"/>
  <c r="G3911" i="1" s="1"/>
  <c r="G3901" i="1" a="1"/>
  <c r="G3901" i="1" s="1"/>
  <c r="G3891" i="1" a="1"/>
  <c r="G3891" i="1" s="1"/>
  <c r="G3881" i="1" a="1"/>
  <c r="G3881" i="1" s="1"/>
  <c r="G3871" i="1" a="1"/>
  <c r="G3871" i="1" s="1"/>
  <c r="G3861" i="1" a="1"/>
  <c r="G3861" i="1" s="1"/>
  <c r="G3851" i="1" a="1"/>
  <c r="G3851" i="1" s="1"/>
  <c r="G3841" i="1" a="1"/>
  <c r="G3841" i="1" s="1"/>
  <c r="G3831" i="1" a="1"/>
  <c r="G3831" i="1" s="1"/>
  <c r="G3821" i="1" a="1"/>
  <c r="G3821" i="1" s="1"/>
  <c r="G3811" i="1" a="1"/>
  <c r="G3811" i="1" s="1"/>
  <c r="G3801" i="1" a="1"/>
  <c r="G3801" i="1" s="1"/>
  <c r="G3791" i="1" a="1"/>
  <c r="G3791" i="1" s="1"/>
  <c r="G3781" i="1" a="1"/>
  <c r="G3781" i="1" s="1"/>
  <c r="G3771" i="1" a="1"/>
  <c r="G3771" i="1" s="1"/>
  <c r="G3761" i="1" a="1"/>
  <c r="G3761" i="1" s="1"/>
  <c r="G3751" i="1" a="1"/>
  <c r="G3751" i="1" s="1"/>
  <c r="G3741" i="1" a="1"/>
  <c r="G3741" i="1" s="1"/>
  <c r="G3731" i="1" a="1"/>
  <c r="G3731" i="1" s="1"/>
  <c r="G3721" i="1" a="1"/>
  <c r="G3721" i="1" s="1"/>
  <c r="G3711" i="1" a="1"/>
  <c r="G3711" i="1" s="1"/>
  <c r="G3701" i="1" a="1"/>
  <c r="G3701" i="1" s="1"/>
  <c r="G3691" i="1" a="1"/>
  <c r="G3691" i="1" s="1"/>
  <c r="G3681" i="1" a="1"/>
  <c r="G3681" i="1" s="1"/>
  <c r="G3671" i="1" a="1"/>
  <c r="G3671" i="1" s="1"/>
  <c r="G3661" i="1" a="1"/>
  <c r="G3661" i="1" s="1"/>
  <c r="G3651" i="1" a="1"/>
  <c r="G3651" i="1" s="1"/>
  <c r="G3641" i="1" a="1"/>
  <c r="G3641" i="1" s="1"/>
  <c r="G3631" i="1" a="1"/>
  <c r="G3631" i="1" s="1"/>
  <c r="G3621" i="1" a="1"/>
  <c r="G3621" i="1" s="1"/>
  <c r="G3611" i="1" a="1"/>
  <c r="G3611" i="1" s="1"/>
  <c r="G3601" i="1" a="1"/>
  <c r="G3601" i="1" s="1"/>
  <c r="G3591" i="1" a="1"/>
  <c r="G3591" i="1" s="1"/>
  <c r="G3581" i="1" a="1"/>
  <c r="G3581" i="1" s="1"/>
  <c r="G3571" i="1" a="1"/>
  <c r="G3571" i="1" s="1"/>
  <c r="G3561" i="1" a="1"/>
  <c r="G3561" i="1" s="1"/>
  <c r="G3551" i="1" a="1"/>
  <c r="G3551" i="1" s="1"/>
  <c r="G3541" i="1" a="1"/>
  <c r="G3541" i="1" s="1"/>
  <c r="G3531" i="1" a="1"/>
  <c r="G3531" i="1" s="1"/>
  <c r="G3521" i="1" a="1"/>
  <c r="G3521" i="1" s="1"/>
  <c r="G3511" i="1" a="1"/>
  <c r="G3511" i="1" s="1"/>
  <c r="G3501" i="1" a="1"/>
  <c r="G3501" i="1" s="1"/>
  <c r="G3491" i="1" a="1"/>
  <c r="G3491" i="1" s="1"/>
  <c r="G3481" i="1" a="1"/>
  <c r="G3481" i="1" s="1"/>
  <c r="G3471" i="1" a="1"/>
  <c r="G3471" i="1" s="1"/>
  <c r="G3461" i="1" a="1"/>
  <c r="G3461" i="1" s="1"/>
  <c r="G3451" i="1" a="1"/>
  <c r="G3451" i="1" s="1"/>
  <c r="G3441" i="1" a="1"/>
  <c r="G3441" i="1" s="1"/>
  <c r="G3431" i="1" a="1"/>
  <c r="G3431" i="1" s="1"/>
  <c r="G3421" i="1" a="1"/>
  <c r="G3421" i="1" s="1"/>
  <c r="G3411" i="1" a="1"/>
  <c r="G3411" i="1" s="1"/>
  <c r="G3401" i="1" a="1"/>
  <c r="G3401" i="1" s="1"/>
  <c r="G3391" i="1" a="1"/>
  <c r="G3391" i="1" s="1"/>
  <c r="G3381" i="1" a="1"/>
  <c r="G3381" i="1" s="1"/>
  <c r="G3371" i="1" a="1"/>
  <c r="G3371" i="1" s="1"/>
  <c r="G4260" i="1" a="1"/>
  <c r="G4260" i="1" s="1"/>
  <c r="G4250" i="1" a="1"/>
  <c r="G4250" i="1" s="1"/>
  <c r="G4240" i="1" a="1"/>
  <c r="G4240" i="1" s="1"/>
  <c r="G4230" i="1" a="1"/>
  <c r="G4230" i="1" s="1"/>
  <c r="G4220" i="1" a="1"/>
  <c r="G4220" i="1" s="1"/>
  <c r="G4210" i="1" a="1"/>
  <c r="G4210" i="1" s="1"/>
  <c r="G4200" i="1" a="1"/>
  <c r="G4200" i="1" s="1"/>
  <c r="G4190" i="1" a="1"/>
  <c r="G4190" i="1" s="1"/>
  <c r="G4180" i="1" a="1"/>
  <c r="G4180" i="1" s="1"/>
  <c r="G4170" i="1" a="1"/>
  <c r="G4170" i="1" s="1"/>
  <c r="G4160" i="1" a="1"/>
  <c r="G4160" i="1" s="1"/>
  <c r="G4150" i="1" a="1"/>
  <c r="G4150" i="1" s="1"/>
  <c r="G4140" i="1" a="1"/>
  <c r="G4140" i="1" s="1"/>
  <c r="G4130" i="1" a="1"/>
  <c r="G4130" i="1" s="1"/>
  <c r="G4120" i="1" a="1"/>
  <c r="G4120" i="1" s="1"/>
  <c r="G4110" i="1" a="1"/>
  <c r="G4110" i="1" s="1"/>
  <c r="G4100" i="1" a="1"/>
  <c r="G4100" i="1" s="1"/>
  <c r="G4090" i="1" a="1"/>
  <c r="G4090" i="1" s="1"/>
  <c r="G4080" i="1" a="1"/>
  <c r="G4080" i="1" s="1"/>
  <c r="G4070" i="1" a="1"/>
  <c r="G4070" i="1" s="1"/>
  <c r="G4060" i="1" a="1"/>
  <c r="G4060" i="1" s="1"/>
  <c r="G4050" i="1" a="1"/>
  <c r="G4050" i="1" s="1"/>
  <c r="G4040" i="1" a="1"/>
  <c r="G4040" i="1" s="1"/>
  <c r="G4030" i="1" a="1"/>
  <c r="G4030" i="1" s="1"/>
  <c r="G4020" i="1" a="1"/>
  <c r="G4020" i="1" s="1"/>
  <c r="G4010" i="1" a="1"/>
  <c r="G4010" i="1" s="1"/>
  <c r="G4000" i="1" a="1"/>
  <c r="G4000" i="1" s="1"/>
  <c r="G3990" i="1" a="1"/>
  <c r="G3990" i="1" s="1"/>
  <c r="G3980" i="1" a="1"/>
  <c r="G3980" i="1" s="1"/>
  <c r="G3970" i="1" a="1"/>
  <c r="G3970" i="1" s="1"/>
  <c r="G3960" i="1" a="1"/>
  <c r="G3960" i="1" s="1"/>
  <c r="G3950" i="1" a="1"/>
  <c r="G3950" i="1" s="1"/>
  <c r="G3940" i="1" a="1"/>
  <c r="G3940" i="1" s="1"/>
  <c r="G3930" i="1" a="1"/>
  <c r="G3930" i="1" s="1"/>
  <c r="G3920" i="1" a="1"/>
  <c r="G3920" i="1" s="1"/>
  <c r="G3910" i="1" a="1"/>
  <c r="G3910" i="1" s="1"/>
  <c r="G3900" i="1" a="1"/>
  <c r="G3900" i="1" s="1"/>
  <c r="G3890" i="1" a="1"/>
  <c r="G3890" i="1" s="1"/>
  <c r="G3880" i="1" a="1"/>
  <c r="G3880" i="1" s="1"/>
  <c r="G3870" i="1" a="1"/>
  <c r="G3870" i="1" s="1"/>
  <c r="G3860" i="1" a="1"/>
  <c r="G3860" i="1" s="1"/>
  <c r="G3850" i="1" a="1"/>
  <c r="G3850" i="1" s="1"/>
  <c r="G3840" i="1" a="1"/>
  <c r="G3840" i="1" s="1"/>
  <c r="G3830" i="1" a="1"/>
  <c r="G3830" i="1" s="1"/>
  <c r="G3820" i="1" a="1"/>
  <c r="G3820" i="1" s="1"/>
  <c r="G3810" i="1" a="1"/>
  <c r="G3810" i="1" s="1"/>
  <c r="G3800" i="1" a="1"/>
  <c r="G3800" i="1" s="1"/>
  <c r="G3790" i="1" a="1"/>
  <c r="G3790" i="1" s="1"/>
  <c r="G3780" i="1" a="1"/>
  <c r="G3780" i="1" s="1"/>
  <c r="G3770" i="1" a="1"/>
  <c r="G3770" i="1" s="1"/>
  <c r="G3760" i="1" a="1"/>
  <c r="G3760" i="1" s="1"/>
  <c r="G3750" i="1" a="1"/>
  <c r="G3750" i="1" s="1"/>
  <c r="G3740" i="1" a="1"/>
  <c r="G3740" i="1" s="1"/>
  <c r="G3730" i="1" a="1"/>
  <c r="G3730" i="1" s="1"/>
  <c r="G3720" i="1" a="1"/>
  <c r="G3720" i="1" s="1"/>
  <c r="G3710" i="1" a="1"/>
  <c r="G3710" i="1" s="1"/>
  <c r="G3700" i="1" a="1"/>
  <c r="G3700" i="1" s="1"/>
  <c r="G3690" i="1" a="1"/>
  <c r="G3690" i="1" s="1"/>
  <c r="G3680" i="1" a="1"/>
  <c r="G3680" i="1" s="1"/>
  <c r="G3670" i="1" a="1"/>
  <c r="G3670" i="1" s="1"/>
  <c r="G3660" i="1" a="1"/>
  <c r="G3660" i="1" s="1"/>
  <c r="G3650" i="1" a="1"/>
  <c r="G3650" i="1" s="1"/>
  <c r="G3640" i="1" a="1"/>
  <c r="G3640" i="1" s="1"/>
  <c r="G3630" i="1" a="1"/>
  <c r="G3630" i="1" s="1"/>
  <c r="G3620" i="1" a="1"/>
  <c r="G3620" i="1" s="1"/>
  <c r="G3610" i="1" a="1"/>
  <c r="G3610" i="1" s="1"/>
  <c r="G3600" i="1" a="1"/>
  <c r="G3600" i="1" s="1"/>
  <c r="G3590" i="1" a="1"/>
  <c r="G3590" i="1" s="1"/>
  <c r="G3580" i="1" a="1"/>
  <c r="G3580" i="1" s="1"/>
  <c r="G3570" i="1" a="1"/>
  <c r="G3570" i="1" s="1"/>
  <c r="G3560" i="1" a="1"/>
  <c r="G3560" i="1" s="1"/>
  <c r="G3550" i="1" a="1"/>
  <c r="G3550" i="1" s="1"/>
  <c r="G3540" i="1" a="1"/>
  <c r="G3540" i="1" s="1"/>
  <c r="G3530" i="1" a="1"/>
  <c r="G3530" i="1" s="1"/>
  <c r="G3520" i="1" a="1"/>
  <c r="G3520" i="1" s="1"/>
  <c r="G3510" i="1" a="1"/>
  <c r="G3510" i="1" s="1"/>
  <c r="G3500" i="1" a="1"/>
  <c r="G3500" i="1" s="1"/>
  <c r="G3490" i="1" a="1"/>
  <c r="G3490" i="1" s="1"/>
  <c r="G3480" i="1" a="1"/>
  <c r="G3480" i="1" s="1"/>
  <c r="G3470" i="1" a="1"/>
  <c r="G3470" i="1" s="1"/>
  <c r="G3460" i="1" a="1"/>
  <c r="G3460" i="1" s="1"/>
  <c r="G3450" i="1" a="1"/>
  <c r="G3450" i="1" s="1"/>
  <c r="G3440" i="1" a="1"/>
  <c r="G3440" i="1" s="1"/>
  <c r="G4379" i="1" a="1"/>
  <c r="G4379" i="1" s="1"/>
  <c r="G4369" i="1" a="1"/>
  <c r="G4369" i="1" s="1"/>
  <c r="G4359" i="1" a="1"/>
  <c r="G4359" i="1" s="1"/>
  <c r="G4349" i="1" a="1"/>
  <c r="G4349" i="1" s="1"/>
  <c r="G4339" i="1" a="1"/>
  <c r="G4339" i="1" s="1"/>
  <c r="G4329" i="1" a="1"/>
  <c r="G4329" i="1" s="1"/>
  <c r="G4319" i="1" a="1"/>
  <c r="G4319" i="1" s="1"/>
  <c r="G4309" i="1" a="1"/>
  <c r="G4309" i="1" s="1"/>
  <c r="G4299" i="1" a="1"/>
  <c r="G4299" i="1" s="1"/>
  <c r="G4289" i="1" a="1"/>
  <c r="G4289" i="1" s="1"/>
  <c r="G4279" i="1" a="1"/>
  <c r="G4279" i="1" s="1"/>
  <c r="G4269" i="1" a="1"/>
  <c r="G4269" i="1" s="1"/>
  <c r="G4259" i="1" a="1"/>
  <c r="G4259" i="1" s="1"/>
  <c r="G4249" i="1" a="1"/>
  <c r="G4249" i="1" s="1"/>
  <c r="G4239" i="1" a="1"/>
  <c r="G4239" i="1" s="1"/>
  <c r="G4229" i="1" a="1"/>
  <c r="G4229" i="1" s="1"/>
  <c r="G4219" i="1" a="1"/>
  <c r="G4219" i="1" s="1"/>
  <c r="G4209" i="1" a="1"/>
  <c r="G4209" i="1" s="1"/>
  <c r="G4199" i="1" a="1"/>
  <c r="G4199" i="1" s="1"/>
  <c r="G4189" i="1" a="1"/>
  <c r="G4189" i="1" s="1"/>
  <c r="G4179" i="1" a="1"/>
  <c r="G4179" i="1" s="1"/>
  <c r="G4169" i="1" a="1"/>
  <c r="G4169" i="1" s="1"/>
  <c r="G4159" i="1" a="1"/>
  <c r="G4159" i="1" s="1"/>
  <c r="G4149" i="1" a="1"/>
  <c r="G4149" i="1" s="1"/>
  <c r="G4139" i="1" a="1"/>
  <c r="G4139" i="1" s="1"/>
  <c r="G4129" i="1" a="1"/>
  <c r="G4129" i="1" s="1"/>
  <c r="G4119" i="1" a="1"/>
  <c r="G4119" i="1" s="1"/>
  <c r="G4109" i="1" a="1"/>
  <c r="G4109" i="1" s="1"/>
  <c r="G4099" i="1" a="1"/>
  <c r="G4099" i="1" s="1"/>
  <c r="G4089" i="1" a="1"/>
  <c r="G4089" i="1" s="1"/>
  <c r="G4079" i="1" a="1"/>
  <c r="G4079" i="1" s="1"/>
  <c r="G4069" i="1" a="1"/>
  <c r="G4069" i="1" s="1"/>
  <c r="G4059" i="1" a="1"/>
  <c r="G4059" i="1" s="1"/>
  <c r="G4049" i="1" a="1"/>
  <c r="G4049" i="1" s="1"/>
  <c r="G4039" i="1" a="1"/>
  <c r="G4039" i="1" s="1"/>
  <c r="G4029" i="1" a="1"/>
  <c r="G4029" i="1" s="1"/>
  <c r="G4019" i="1" a="1"/>
  <c r="G4019" i="1" s="1"/>
  <c r="G4009" i="1" a="1"/>
  <c r="G4009" i="1" s="1"/>
  <c r="G3999" i="1" a="1"/>
  <c r="G3999" i="1" s="1"/>
  <c r="G3989" i="1" a="1"/>
  <c r="G3989" i="1" s="1"/>
  <c r="G3979" i="1" a="1"/>
  <c r="G3979" i="1" s="1"/>
  <c r="G3969" i="1" a="1"/>
  <c r="G3969" i="1" s="1"/>
  <c r="G3959" i="1" a="1"/>
  <c r="G3959" i="1" s="1"/>
  <c r="G3949" i="1" a="1"/>
  <c r="G3949" i="1" s="1"/>
  <c r="G3939" i="1" a="1"/>
  <c r="G3939" i="1" s="1"/>
  <c r="G3929" i="1" a="1"/>
  <c r="G3929" i="1" s="1"/>
  <c r="G3919" i="1" a="1"/>
  <c r="G3919" i="1" s="1"/>
  <c r="G3909" i="1" a="1"/>
  <c r="G3909" i="1" s="1"/>
  <c r="G3899" i="1" a="1"/>
  <c r="G3899" i="1" s="1"/>
  <c r="G3889" i="1" a="1"/>
  <c r="G3889" i="1" s="1"/>
  <c r="G3879" i="1" a="1"/>
  <c r="G3879" i="1" s="1"/>
  <c r="G3869" i="1" a="1"/>
  <c r="G3869" i="1" s="1"/>
  <c r="G3859" i="1" a="1"/>
  <c r="G3859" i="1" s="1"/>
  <c r="G3849" i="1" a="1"/>
  <c r="G3849" i="1" s="1"/>
  <c r="G3839" i="1" a="1"/>
  <c r="G3839" i="1" s="1"/>
  <c r="G3829" i="1" a="1"/>
  <c r="G3829" i="1" s="1"/>
  <c r="G3819" i="1" a="1"/>
  <c r="G3819" i="1" s="1"/>
  <c r="G3809" i="1" a="1"/>
  <c r="G3809" i="1" s="1"/>
  <c r="G3799" i="1" a="1"/>
  <c r="G3799" i="1" s="1"/>
  <c r="G3789" i="1" a="1"/>
  <c r="G3789" i="1" s="1"/>
  <c r="G3779" i="1" a="1"/>
  <c r="G3779" i="1" s="1"/>
  <c r="G3769" i="1" a="1"/>
  <c r="G3769" i="1" s="1"/>
  <c r="G3759" i="1" a="1"/>
  <c r="G3759" i="1" s="1"/>
  <c r="G3749" i="1" a="1"/>
  <c r="G3749" i="1" s="1"/>
  <c r="G3739" i="1" a="1"/>
  <c r="G3739" i="1" s="1"/>
  <c r="G3729" i="1" a="1"/>
  <c r="G3729" i="1" s="1"/>
  <c r="G3719" i="1" a="1"/>
  <c r="G3719" i="1" s="1"/>
  <c r="G3709" i="1" a="1"/>
  <c r="G3709" i="1" s="1"/>
  <c r="G3699" i="1" a="1"/>
  <c r="G3699" i="1" s="1"/>
  <c r="G3689" i="1" a="1"/>
  <c r="G3689" i="1" s="1"/>
  <c r="G3679" i="1" a="1"/>
  <c r="G3679" i="1" s="1"/>
  <c r="G3669" i="1" a="1"/>
  <c r="G3669" i="1" s="1"/>
  <c r="G3659" i="1" a="1"/>
  <c r="G3659" i="1" s="1"/>
  <c r="G3649" i="1" a="1"/>
  <c r="G3649" i="1" s="1"/>
  <c r="G3639" i="1" a="1"/>
  <c r="G3639" i="1" s="1"/>
  <c r="G3629" i="1" a="1"/>
  <c r="G3629" i="1" s="1"/>
  <c r="G3619" i="1" a="1"/>
  <c r="G3619" i="1" s="1"/>
  <c r="G3609" i="1" a="1"/>
  <c r="G3609" i="1" s="1"/>
  <c r="G3599" i="1" a="1"/>
  <c r="G3599" i="1" s="1"/>
  <c r="G3589" i="1" a="1"/>
  <c r="G3589" i="1" s="1"/>
  <c r="G3579" i="1" a="1"/>
  <c r="G3579" i="1" s="1"/>
  <c r="G3569" i="1" a="1"/>
  <c r="G3569" i="1" s="1"/>
  <c r="G3559" i="1" a="1"/>
  <c r="G3559" i="1" s="1"/>
  <c r="G4308" i="1" a="1"/>
  <c r="G4308" i="1" s="1"/>
  <c r="G4298" i="1" a="1"/>
  <c r="G4298" i="1" s="1"/>
  <c r="G4288" i="1" a="1"/>
  <c r="G4288" i="1" s="1"/>
  <c r="G4278" i="1" a="1"/>
  <c r="G4278" i="1" s="1"/>
  <c r="G4268" i="1" a="1"/>
  <c r="G4268" i="1" s="1"/>
  <c r="G4258" i="1" a="1"/>
  <c r="G4258" i="1" s="1"/>
  <c r="G4248" i="1" a="1"/>
  <c r="G4248" i="1" s="1"/>
  <c r="G4238" i="1" a="1"/>
  <c r="G4238" i="1" s="1"/>
  <c r="G4228" i="1" a="1"/>
  <c r="G4228" i="1" s="1"/>
  <c r="G4218" i="1" a="1"/>
  <c r="G4218" i="1" s="1"/>
  <c r="G4208" i="1" a="1"/>
  <c r="G4208" i="1" s="1"/>
  <c r="G4198" i="1" a="1"/>
  <c r="G4198" i="1" s="1"/>
  <c r="G4188" i="1" a="1"/>
  <c r="G4188" i="1" s="1"/>
  <c r="G4178" i="1" a="1"/>
  <c r="G4178" i="1" s="1"/>
  <c r="G4168" i="1" a="1"/>
  <c r="G4168" i="1" s="1"/>
  <c r="G4158" i="1" a="1"/>
  <c r="G4158" i="1" s="1"/>
  <c r="G4148" i="1" a="1"/>
  <c r="G4148" i="1" s="1"/>
  <c r="G4138" i="1" a="1"/>
  <c r="G4138" i="1" s="1"/>
  <c r="G4128" i="1" a="1"/>
  <c r="G4128" i="1" s="1"/>
  <c r="G4118" i="1" a="1"/>
  <c r="G4118" i="1" s="1"/>
  <c r="G4108" i="1" a="1"/>
  <c r="G4108" i="1" s="1"/>
  <c r="G4098" i="1" a="1"/>
  <c r="G4098" i="1" s="1"/>
  <c r="G4088" i="1" a="1"/>
  <c r="G4088" i="1" s="1"/>
  <c r="G4078" i="1" a="1"/>
  <c r="G4078" i="1" s="1"/>
  <c r="G4068" i="1" a="1"/>
  <c r="G4068" i="1" s="1"/>
  <c r="G4058" i="1" a="1"/>
  <c r="G4058" i="1" s="1"/>
  <c r="G4048" i="1" a="1"/>
  <c r="G4048" i="1" s="1"/>
  <c r="G4038" i="1" a="1"/>
  <c r="G4038" i="1" s="1"/>
  <c r="G4028" i="1" a="1"/>
  <c r="G4028" i="1" s="1"/>
  <c r="G4018" i="1" a="1"/>
  <c r="G4018" i="1" s="1"/>
  <c r="G4008" i="1" a="1"/>
  <c r="G4008" i="1" s="1"/>
  <c r="G3998" i="1" a="1"/>
  <c r="G3998" i="1" s="1"/>
  <c r="G3988" i="1" a="1"/>
  <c r="G3988" i="1" s="1"/>
  <c r="G3978" i="1" a="1"/>
  <c r="G3978" i="1" s="1"/>
  <c r="G3968" i="1" a="1"/>
  <c r="G3968" i="1" s="1"/>
  <c r="G3958" i="1" a="1"/>
  <c r="G3958" i="1" s="1"/>
  <c r="G3948" i="1" a="1"/>
  <c r="G3948" i="1" s="1"/>
  <c r="G3938" i="1" a="1"/>
  <c r="G3938" i="1" s="1"/>
  <c r="G3928" i="1" a="1"/>
  <c r="G3928" i="1" s="1"/>
  <c r="G3918" i="1" a="1"/>
  <c r="G3918" i="1" s="1"/>
  <c r="G3908" i="1" a="1"/>
  <c r="G3908" i="1" s="1"/>
  <c r="G3898" i="1" a="1"/>
  <c r="G3898" i="1" s="1"/>
  <c r="G3888" i="1" a="1"/>
  <c r="G3888" i="1" s="1"/>
  <c r="G3878" i="1" a="1"/>
  <c r="G3878" i="1" s="1"/>
  <c r="G3868" i="1" a="1"/>
  <c r="G3868" i="1" s="1"/>
  <c r="G3858" i="1" a="1"/>
  <c r="G3858" i="1" s="1"/>
  <c r="G3848" i="1" a="1"/>
  <c r="G3848" i="1" s="1"/>
  <c r="G3838" i="1" a="1"/>
  <c r="G3838" i="1" s="1"/>
  <c r="G3828" i="1" a="1"/>
  <c r="G3828" i="1" s="1"/>
  <c r="G3818" i="1" a="1"/>
  <c r="G3818" i="1" s="1"/>
  <c r="G3808" i="1" a="1"/>
  <c r="G3808" i="1" s="1"/>
  <c r="G3798" i="1" a="1"/>
  <c r="G3798" i="1" s="1"/>
  <c r="G3788" i="1" a="1"/>
  <c r="G3788" i="1" s="1"/>
  <c r="G3778" i="1" a="1"/>
  <c r="G3778" i="1" s="1"/>
  <c r="G3768" i="1" a="1"/>
  <c r="G3768" i="1" s="1"/>
  <c r="G3758" i="1" a="1"/>
  <c r="G3758" i="1" s="1"/>
  <c r="G3748" i="1" a="1"/>
  <c r="G3748" i="1" s="1"/>
  <c r="G3738" i="1" a="1"/>
  <c r="G3738" i="1" s="1"/>
  <c r="G3728" i="1" a="1"/>
  <c r="G3728" i="1" s="1"/>
  <c r="G3718" i="1" a="1"/>
  <c r="G3718" i="1" s="1"/>
  <c r="G3708" i="1" a="1"/>
  <c r="G3708" i="1" s="1"/>
  <c r="G3698" i="1" a="1"/>
  <c r="G3698" i="1" s="1"/>
  <c r="G3688" i="1" a="1"/>
  <c r="G3688" i="1" s="1"/>
  <c r="G3678" i="1" a="1"/>
  <c r="G3678" i="1" s="1"/>
  <c r="G3668" i="1" a="1"/>
  <c r="G3668" i="1" s="1"/>
  <c r="G3658" i="1" a="1"/>
  <c r="G3658" i="1" s="1"/>
  <c r="G3648" i="1" a="1"/>
  <c r="G3648" i="1" s="1"/>
  <c r="G3638" i="1" a="1"/>
  <c r="G3638" i="1" s="1"/>
  <c r="G3628" i="1" a="1"/>
  <c r="G3628" i="1" s="1"/>
  <c r="G3618" i="1" a="1"/>
  <c r="G3618" i="1" s="1"/>
  <c r="G3608" i="1" a="1"/>
  <c r="G3608" i="1" s="1"/>
  <c r="G3598" i="1" a="1"/>
  <c r="G3598" i="1" s="1"/>
  <c r="G3588" i="1" a="1"/>
  <c r="G3588" i="1" s="1"/>
  <c r="G3578" i="1" a="1"/>
  <c r="G3578" i="1" s="1"/>
  <c r="G3568" i="1" a="1"/>
  <c r="G3568" i="1" s="1"/>
  <c r="G3558" i="1" a="1"/>
  <c r="G3558" i="1" s="1"/>
  <c r="G3548" i="1" a="1"/>
  <c r="G3548" i="1" s="1"/>
  <c r="G3538" i="1" a="1"/>
  <c r="G3538" i="1" s="1"/>
  <c r="G3528" i="1" a="1"/>
  <c r="G3528" i="1" s="1"/>
  <c r="G3518" i="1" a="1"/>
  <c r="G3518" i="1" s="1"/>
  <c r="G4197" i="1" a="1"/>
  <c r="G4197" i="1" s="1"/>
  <c r="G4187" i="1" a="1"/>
  <c r="G4187" i="1" s="1"/>
  <c r="G4177" i="1" a="1"/>
  <c r="G4177" i="1" s="1"/>
  <c r="G4167" i="1" a="1"/>
  <c r="G4167" i="1" s="1"/>
  <c r="G4157" i="1" a="1"/>
  <c r="G4157" i="1" s="1"/>
  <c r="G4147" i="1" a="1"/>
  <c r="G4147" i="1" s="1"/>
  <c r="G4137" i="1" a="1"/>
  <c r="G4137" i="1" s="1"/>
  <c r="G4127" i="1" a="1"/>
  <c r="G4127" i="1" s="1"/>
  <c r="G4117" i="1" a="1"/>
  <c r="G4117" i="1" s="1"/>
  <c r="G4107" i="1" a="1"/>
  <c r="G4107" i="1" s="1"/>
  <c r="G4097" i="1" a="1"/>
  <c r="G4097" i="1" s="1"/>
  <c r="G4087" i="1" a="1"/>
  <c r="G4087" i="1" s="1"/>
  <c r="G4077" i="1" a="1"/>
  <c r="G4077" i="1" s="1"/>
  <c r="G4067" i="1" a="1"/>
  <c r="G4067" i="1" s="1"/>
  <c r="G4057" i="1" a="1"/>
  <c r="G4057" i="1" s="1"/>
  <c r="G4047" i="1" a="1"/>
  <c r="G4047" i="1" s="1"/>
  <c r="G4037" i="1" a="1"/>
  <c r="G4037" i="1" s="1"/>
  <c r="G4027" i="1" a="1"/>
  <c r="G4027" i="1" s="1"/>
  <c r="G4017" i="1" a="1"/>
  <c r="G4017" i="1" s="1"/>
  <c r="G4007" i="1" a="1"/>
  <c r="G4007" i="1" s="1"/>
  <c r="G3997" i="1" a="1"/>
  <c r="G3997" i="1" s="1"/>
  <c r="G3987" i="1" a="1"/>
  <c r="G3987" i="1" s="1"/>
  <c r="G3977" i="1" a="1"/>
  <c r="G3977" i="1" s="1"/>
  <c r="G3967" i="1" a="1"/>
  <c r="G3967" i="1" s="1"/>
  <c r="G3957" i="1" a="1"/>
  <c r="G3957" i="1" s="1"/>
  <c r="G3947" i="1" a="1"/>
  <c r="G3947" i="1" s="1"/>
  <c r="G3937" i="1" a="1"/>
  <c r="G3937" i="1" s="1"/>
  <c r="G3927" i="1" a="1"/>
  <c r="G3927" i="1" s="1"/>
  <c r="G3917" i="1" a="1"/>
  <c r="G3917" i="1" s="1"/>
  <c r="G3907" i="1" a="1"/>
  <c r="G3907" i="1" s="1"/>
  <c r="G3897" i="1" a="1"/>
  <c r="G3897" i="1" s="1"/>
  <c r="G3887" i="1" a="1"/>
  <c r="G3887" i="1" s="1"/>
  <c r="G3877" i="1" a="1"/>
  <c r="G3877" i="1" s="1"/>
  <c r="G3867" i="1" a="1"/>
  <c r="G3867" i="1" s="1"/>
  <c r="G3857" i="1" a="1"/>
  <c r="G3857" i="1" s="1"/>
  <c r="G3847" i="1" a="1"/>
  <c r="G3847" i="1" s="1"/>
  <c r="G3837" i="1" a="1"/>
  <c r="G3837" i="1" s="1"/>
  <c r="G3827" i="1" a="1"/>
  <c r="G3827" i="1" s="1"/>
  <c r="G3817" i="1" a="1"/>
  <c r="G3817" i="1" s="1"/>
  <c r="G3807" i="1" a="1"/>
  <c r="G3807" i="1" s="1"/>
  <c r="G3797" i="1" a="1"/>
  <c r="G3797" i="1" s="1"/>
  <c r="G3787" i="1" a="1"/>
  <c r="G3787" i="1" s="1"/>
  <c r="G3777" i="1" a="1"/>
  <c r="G3777" i="1" s="1"/>
  <c r="G3767" i="1" a="1"/>
  <c r="G3767" i="1" s="1"/>
  <c r="G3757" i="1" a="1"/>
  <c r="G3757" i="1" s="1"/>
  <c r="G3747" i="1" a="1"/>
  <c r="G3747" i="1" s="1"/>
  <c r="G3737" i="1" a="1"/>
  <c r="G3737" i="1" s="1"/>
  <c r="G3727" i="1" a="1"/>
  <c r="G3727" i="1" s="1"/>
  <c r="G3717" i="1" a="1"/>
  <c r="G3717" i="1" s="1"/>
  <c r="G3707" i="1" a="1"/>
  <c r="G3707" i="1" s="1"/>
  <c r="G3697" i="1" a="1"/>
  <c r="G3697" i="1" s="1"/>
  <c r="G3687" i="1" a="1"/>
  <c r="G3687" i="1" s="1"/>
  <c r="G3677" i="1" a="1"/>
  <c r="G3677" i="1" s="1"/>
  <c r="G3667" i="1" a="1"/>
  <c r="G3667" i="1" s="1"/>
  <c r="G3657" i="1" a="1"/>
  <c r="G3657" i="1" s="1"/>
  <c r="G3647" i="1" a="1"/>
  <c r="G3647" i="1" s="1"/>
  <c r="G3637" i="1" a="1"/>
  <c r="G3637" i="1" s="1"/>
  <c r="G3627" i="1" a="1"/>
  <c r="G3627" i="1" s="1"/>
  <c r="G3617" i="1" a="1"/>
  <c r="G3617" i="1" s="1"/>
  <c r="G3607" i="1" a="1"/>
  <c r="G3607" i="1" s="1"/>
  <c r="G3597" i="1" a="1"/>
  <c r="G3597" i="1" s="1"/>
  <c r="G3587" i="1" a="1"/>
  <c r="G3587" i="1" s="1"/>
  <c r="G3577" i="1" a="1"/>
  <c r="G3577" i="1" s="1"/>
  <c r="G3567" i="1" a="1"/>
  <c r="G3567" i="1" s="1"/>
  <c r="G3557" i="1" a="1"/>
  <c r="G3557" i="1" s="1"/>
  <c r="G3547" i="1" a="1"/>
  <c r="G3547" i="1" s="1"/>
  <c r="G3537" i="1" a="1"/>
  <c r="G3537" i="1" s="1"/>
  <c r="G3527" i="1" a="1"/>
  <c r="G3527" i="1" s="1"/>
  <c r="G3517" i="1" a="1"/>
  <c r="G3517" i="1" s="1"/>
  <c r="G3507" i="1" a="1"/>
  <c r="G3507" i="1" s="1"/>
  <c r="G3497" i="1" a="1"/>
  <c r="G3497" i="1" s="1"/>
  <c r="G3487" i="1" a="1"/>
  <c r="G3487" i="1" s="1"/>
  <c r="G3477" i="1" a="1"/>
  <c r="G3477" i="1" s="1"/>
  <c r="G3467" i="1" a="1"/>
  <c r="G3467" i="1" s="1"/>
  <c r="G3457" i="1" a="1"/>
  <c r="G3457" i="1" s="1"/>
  <c r="G3447" i="1" a="1"/>
  <c r="G3447" i="1" s="1"/>
  <c r="G3437" i="1" a="1"/>
  <c r="G3437" i="1" s="1"/>
  <c r="G3427" i="1" a="1"/>
  <c r="G3427" i="1" s="1"/>
  <c r="G3417" i="1" a="1"/>
  <c r="G3417" i="1" s="1"/>
  <c r="G3407" i="1" a="1"/>
  <c r="G3407" i="1" s="1"/>
  <c r="G3397" i="1" a="1"/>
  <c r="G3397" i="1" s="1"/>
  <c r="G3387" i="1" a="1"/>
  <c r="G3387" i="1" s="1"/>
  <c r="G3377" i="1" a="1"/>
  <c r="G3377" i="1" s="1"/>
  <c r="G3367" i="1" a="1"/>
  <c r="G3367" i="1" s="1"/>
  <c r="G3357" i="1" a="1"/>
  <c r="G3357" i="1" s="1"/>
  <c r="G4216" i="1" a="1"/>
  <c r="G4216" i="1" s="1"/>
  <c r="G4206" i="1" a="1"/>
  <c r="G4206" i="1" s="1"/>
  <c r="G4196" i="1" a="1"/>
  <c r="G4196" i="1" s="1"/>
  <c r="G4186" i="1" a="1"/>
  <c r="G4186" i="1" s="1"/>
  <c r="G4176" i="1" a="1"/>
  <c r="G4176" i="1" s="1"/>
  <c r="G4166" i="1" a="1"/>
  <c r="G4166" i="1" s="1"/>
  <c r="G4156" i="1" a="1"/>
  <c r="G4156" i="1" s="1"/>
  <c r="G4146" i="1" a="1"/>
  <c r="G4146" i="1" s="1"/>
  <c r="G4136" i="1" a="1"/>
  <c r="G4136" i="1" s="1"/>
  <c r="G4126" i="1" a="1"/>
  <c r="G4126" i="1" s="1"/>
  <c r="G4116" i="1" a="1"/>
  <c r="G4116" i="1" s="1"/>
  <c r="G4106" i="1" a="1"/>
  <c r="G4106" i="1" s="1"/>
  <c r="G4096" i="1" a="1"/>
  <c r="G4096" i="1" s="1"/>
  <c r="G4086" i="1" a="1"/>
  <c r="G4086" i="1" s="1"/>
  <c r="G4076" i="1" a="1"/>
  <c r="G4076" i="1" s="1"/>
  <c r="G4066" i="1" a="1"/>
  <c r="G4066" i="1" s="1"/>
  <c r="G4056" i="1" a="1"/>
  <c r="G4056" i="1" s="1"/>
  <c r="G4046" i="1" a="1"/>
  <c r="G4046" i="1" s="1"/>
  <c r="G4036" i="1" a="1"/>
  <c r="G4036" i="1" s="1"/>
  <c r="G4026" i="1" a="1"/>
  <c r="G4026" i="1" s="1"/>
  <c r="G4016" i="1" a="1"/>
  <c r="G4016" i="1" s="1"/>
  <c r="G4006" i="1" a="1"/>
  <c r="G4006" i="1" s="1"/>
  <c r="G3996" i="1" a="1"/>
  <c r="G3996" i="1" s="1"/>
  <c r="G3986" i="1" a="1"/>
  <c r="G3986" i="1" s="1"/>
  <c r="G3976" i="1" a="1"/>
  <c r="G3976" i="1" s="1"/>
  <c r="G3966" i="1" a="1"/>
  <c r="G3966" i="1" s="1"/>
  <c r="G3956" i="1" a="1"/>
  <c r="G3956" i="1" s="1"/>
  <c r="G3946" i="1" a="1"/>
  <c r="G3946" i="1" s="1"/>
  <c r="G3936" i="1" a="1"/>
  <c r="G3936" i="1" s="1"/>
  <c r="G3926" i="1" a="1"/>
  <c r="G3926" i="1" s="1"/>
  <c r="G3916" i="1" a="1"/>
  <c r="G3916" i="1" s="1"/>
  <c r="G3906" i="1" a="1"/>
  <c r="G3906" i="1" s="1"/>
  <c r="G3896" i="1" a="1"/>
  <c r="G3896" i="1" s="1"/>
  <c r="G3886" i="1" a="1"/>
  <c r="G3886" i="1" s="1"/>
  <c r="G3876" i="1" a="1"/>
  <c r="G3876" i="1" s="1"/>
  <c r="G3866" i="1" a="1"/>
  <c r="G3866" i="1" s="1"/>
  <c r="G3856" i="1" a="1"/>
  <c r="G3856" i="1" s="1"/>
  <c r="G3846" i="1" a="1"/>
  <c r="G3846" i="1" s="1"/>
  <c r="G3836" i="1" a="1"/>
  <c r="G3836" i="1" s="1"/>
  <c r="G3826" i="1" a="1"/>
  <c r="G3826" i="1" s="1"/>
  <c r="G3816" i="1" a="1"/>
  <c r="G3816" i="1" s="1"/>
  <c r="G3806" i="1" a="1"/>
  <c r="G3806" i="1" s="1"/>
  <c r="G3796" i="1" a="1"/>
  <c r="G3796" i="1" s="1"/>
  <c r="G3786" i="1" a="1"/>
  <c r="G3786" i="1" s="1"/>
  <c r="G3776" i="1" a="1"/>
  <c r="G3776" i="1" s="1"/>
  <c r="G3766" i="1" a="1"/>
  <c r="G3766" i="1" s="1"/>
  <c r="G3756" i="1" a="1"/>
  <c r="G3756" i="1" s="1"/>
  <c r="G3746" i="1" a="1"/>
  <c r="G3746" i="1" s="1"/>
  <c r="G3736" i="1" a="1"/>
  <c r="G3736" i="1" s="1"/>
  <c r="G3726" i="1" a="1"/>
  <c r="G3726" i="1" s="1"/>
  <c r="G3716" i="1" a="1"/>
  <c r="G3716" i="1" s="1"/>
  <c r="G3706" i="1" a="1"/>
  <c r="G3706" i="1" s="1"/>
  <c r="G3696" i="1" a="1"/>
  <c r="G3696" i="1" s="1"/>
  <c r="G3686" i="1" a="1"/>
  <c r="G3686" i="1" s="1"/>
  <c r="G3676" i="1" a="1"/>
  <c r="G3676" i="1" s="1"/>
  <c r="G3666" i="1" a="1"/>
  <c r="G3666" i="1" s="1"/>
  <c r="G3656" i="1" a="1"/>
  <c r="G3656" i="1" s="1"/>
  <c r="G3646" i="1" a="1"/>
  <c r="G3646" i="1" s="1"/>
  <c r="G3636" i="1" a="1"/>
  <c r="G3636" i="1" s="1"/>
  <c r="G3626" i="1" a="1"/>
  <c r="G3626" i="1" s="1"/>
  <c r="G3616" i="1" a="1"/>
  <c r="G3616" i="1" s="1"/>
  <c r="G3606" i="1" a="1"/>
  <c r="G3606" i="1" s="1"/>
  <c r="G3596" i="1" a="1"/>
  <c r="G3596" i="1" s="1"/>
  <c r="G3586" i="1" a="1"/>
  <c r="G3586" i="1" s="1"/>
  <c r="G3576" i="1" a="1"/>
  <c r="G3576" i="1" s="1"/>
  <c r="G3566" i="1" a="1"/>
  <c r="G3566" i="1" s="1"/>
  <c r="G3556" i="1" a="1"/>
  <c r="G3556" i="1" s="1"/>
  <c r="G3546" i="1" a="1"/>
  <c r="G3546" i="1" s="1"/>
  <c r="G3536" i="1" a="1"/>
  <c r="G3536" i="1" s="1"/>
  <c r="G3526" i="1" a="1"/>
  <c r="G3526" i="1" s="1"/>
  <c r="G3516" i="1" a="1"/>
  <c r="G3516" i="1" s="1"/>
  <c r="G3506" i="1" a="1"/>
  <c r="G3506" i="1" s="1"/>
  <c r="G3496" i="1" a="1"/>
  <c r="G3496" i="1" s="1"/>
  <c r="G3486" i="1" a="1"/>
  <c r="G3486" i="1" s="1"/>
  <c r="G3476" i="1" a="1"/>
  <c r="G3476" i="1" s="1"/>
  <c r="G3466" i="1" a="1"/>
  <c r="G3466" i="1" s="1"/>
  <c r="G3456" i="1" a="1"/>
  <c r="G3456" i="1" s="1"/>
  <c r="G3446" i="1" a="1"/>
  <c r="G3446" i="1" s="1"/>
  <c r="G3436" i="1" a="1"/>
  <c r="G3436" i="1" s="1"/>
  <c r="G3426" i="1" a="1"/>
  <c r="G3426" i="1" s="1"/>
  <c r="G3416" i="1" a="1"/>
  <c r="G3416" i="1" s="1"/>
  <c r="G3406" i="1" a="1"/>
  <c r="G3406" i="1" s="1"/>
  <c r="G3396" i="1" a="1"/>
  <c r="G3396" i="1" s="1"/>
  <c r="G4085" i="1" a="1"/>
  <c r="G4085" i="1" s="1"/>
  <c r="G4075" i="1" a="1"/>
  <c r="G4075" i="1" s="1"/>
  <c r="G4065" i="1" a="1"/>
  <c r="G4065" i="1" s="1"/>
  <c r="G4055" i="1" a="1"/>
  <c r="G4055" i="1" s="1"/>
  <c r="G4045" i="1" a="1"/>
  <c r="G4045" i="1" s="1"/>
  <c r="G4035" i="1" a="1"/>
  <c r="G4035" i="1" s="1"/>
  <c r="G4025" i="1" a="1"/>
  <c r="G4025" i="1" s="1"/>
  <c r="G4015" i="1" a="1"/>
  <c r="G4015" i="1" s="1"/>
  <c r="G4005" i="1" a="1"/>
  <c r="G4005" i="1" s="1"/>
  <c r="G3995" i="1" a="1"/>
  <c r="G3995" i="1" s="1"/>
  <c r="G3985" i="1" a="1"/>
  <c r="G3985" i="1" s="1"/>
  <c r="G3975" i="1" a="1"/>
  <c r="G3975" i="1" s="1"/>
  <c r="G3965" i="1" a="1"/>
  <c r="G3965" i="1" s="1"/>
  <c r="G3955" i="1" a="1"/>
  <c r="G3955" i="1" s="1"/>
  <c r="G3945" i="1" a="1"/>
  <c r="G3945" i="1" s="1"/>
  <c r="G3935" i="1" a="1"/>
  <c r="G3935" i="1" s="1"/>
  <c r="G3925" i="1" a="1"/>
  <c r="G3925" i="1" s="1"/>
  <c r="G3915" i="1" a="1"/>
  <c r="G3915" i="1" s="1"/>
  <c r="G3905" i="1" a="1"/>
  <c r="G3905" i="1" s="1"/>
  <c r="G3895" i="1" a="1"/>
  <c r="G3895" i="1" s="1"/>
  <c r="G3885" i="1" a="1"/>
  <c r="G3885" i="1" s="1"/>
  <c r="G3875" i="1" a="1"/>
  <c r="G3875" i="1" s="1"/>
  <c r="G3865" i="1" a="1"/>
  <c r="G3865" i="1" s="1"/>
  <c r="G3855" i="1" a="1"/>
  <c r="G3855" i="1" s="1"/>
  <c r="G3845" i="1" a="1"/>
  <c r="G3845" i="1" s="1"/>
  <c r="G3835" i="1" a="1"/>
  <c r="G3835" i="1" s="1"/>
  <c r="G3825" i="1" a="1"/>
  <c r="G3825" i="1" s="1"/>
  <c r="G3815" i="1" a="1"/>
  <c r="G3815" i="1" s="1"/>
  <c r="G3805" i="1" a="1"/>
  <c r="G3805" i="1" s="1"/>
  <c r="G3795" i="1" a="1"/>
  <c r="G3795" i="1" s="1"/>
  <c r="G3785" i="1" a="1"/>
  <c r="G3785" i="1" s="1"/>
  <c r="G3775" i="1" a="1"/>
  <c r="G3775" i="1" s="1"/>
  <c r="G3765" i="1" a="1"/>
  <c r="G3765" i="1" s="1"/>
  <c r="G3755" i="1" a="1"/>
  <c r="G3755" i="1" s="1"/>
  <c r="G3745" i="1" a="1"/>
  <c r="G3745" i="1" s="1"/>
  <c r="G3735" i="1" a="1"/>
  <c r="G3735" i="1" s="1"/>
  <c r="G3725" i="1" a="1"/>
  <c r="G3725" i="1" s="1"/>
  <c r="G3715" i="1" a="1"/>
  <c r="G3715" i="1" s="1"/>
  <c r="G3705" i="1" a="1"/>
  <c r="G3705" i="1" s="1"/>
  <c r="G3695" i="1" a="1"/>
  <c r="G3695" i="1" s="1"/>
  <c r="G3685" i="1" a="1"/>
  <c r="G3685" i="1" s="1"/>
  <c r="G3675" i="1" a="1"/>
  <c r="G3675" i="1" s="1"/>
  <c r="G3665" i="1" a="1"/>
  <c r="G3665" i="1" s="1"/>
  <c r="G3655" i="1" a="1"/>
  <c r="G3655" i="1" s="1"/>
  <c r="G3645" i="1" a="1"/>
  <c r="G3645" i="1" s="1"/>
  <c r="G3635" i="1" a="1"/>
  <c r="G3635" i="1" s="1"/>
  <c r="G3625" i="1" a="1"/>
  <c r="G3625" i="1" s="1"/>
  <c r="G3615" i="1" a="1"/>
  <c r="G3615" i="1" s="1"/>
  <c r="G3605" i="1" a="1"/>
  <c r="G3605" i="1" s="1"/>
  <c r="G3595" i="1" a="1"/>
  <c r="G3595" i="1" s="1"/>
  <c r="G3585" i="1" a="1"/>
  <c r="G3585" i="1" s="1"/>
  <c r="G3575" i="1" a="1"/>
  <c r="G3575" i="1" s="1"/>
  <c r="G3565" i="1" a="1"/>
  <c r="G3565" i="1" s="1"/>
  <c r="G3555" i="1" a="1"/>
  <c r="G3555" i="1" s="1"/>
  <c r="G3545" i="1" a="1"/>
  <c r="G3545" i="1" s="1"/>
  <c r="G3535" i="1" a="1"/>
  <c r="G3535" i="1" s="1"/>
  <c r="G3525" i="1" a="1"/>
  <c r="G3525" i="1" s="1"/>
  <c r="G3515" i="1" a="1"/>
  <c r="G3515" i="1" s="1"/>
  <c r="G3505" i="1" a="1"/>
  <c r="G3505" i="1" s="1"/>
  <c r="G3495" i="1" a="1"/>
  <c r="G3495" i="1" s="1"/>
  <c r="G3485" i="1" a="1"/>
  <c r="G3485" i="1" s="1"/>
  <c r="G3475" i="1" a="1"/>
  <c r="G3475" i="1" s="1"/>
  <c r="G3465" i="1" a="1"/>
  <c r="G3465" i="1" s="1"/>
  <c r="G3455" i="1" a="1"/>
  <c r="G3455" i="1" s="1"/>
  <c r="G3445" i="1" a="1"/>
  <c r="G3445" i="1" s="1"/>
  <c r="G3435" i="1" a="1"/>
  <c r="G3435" i="1" s="1"/>
  <c r="G3425" i="1" a="1"/>
  <c r="G3425" i="1" s="1"/>
  <c r="G3415" i="1" a="1"/>
  <c r="G3415" i="1" s="1"/>
  <c r="G3405" i="1" a="1"/>
  <c r="G3405" i="1" s="1"/>
  <c r="G3395" i="1" a="1"/>
  <c r="G3395" i="1" s="1"/>
  <c r="G3385" i="1" a="1"/>
  <c r="G3385" i="1" s="1"/>
  <c r="G3375" i="1" a="1"/>
  <c r="G3375" i="1" s="1"/>
  <c r="G3365" i="1" a="1"/>
  <c r="G3365" i="1" s="1"/>
  <c r="G3355" i="1" a="1"/>
  <c r="G3355" i="1" s="1"/>
  <c r="G3345" i="1" a="1"/>
  <c r="G3345" i="1" s="1"/>
  <c r="G3335" i="1" a="1"/>
  <c r="G3335" i="1" s="1"/>
  <c r="G3325" i="1" a="1"/>
  <c r="G3325" i="1" s="1"/>
  <c r="G3315" i="1" a="1"/>
  <c r="G3315" i="1" s="1"/>
  <c r="G4104" i="1" a="1"/>
  <c r="G4104" i="1" s="1"/>
  <c r="G4094" i="1" a="1"/>
  <c r="G4094" i="1" s="1"/>
  <c r="G4084" i="1" a="1"/>
  <c r="G4084" i="1" s="1"/>
  <c r="G4074" i="1" a="1"/>
  <c r="G4074" i="1" s="1"/>
  <c r="G4064" i="1" a="1"/>
  <c r="G4064" i="1" s="1"/>
  <c r="G4054" i="1" a="1"/>
  <c r="G4054" i="1" s="1"/>
  <c r="G4044" i="1" a="1"/>
  <c r="G4044" i="1" s="1"/>
  <c r="G4034" i="1" a="1"/>
  <c r="G4034" i="1" s="1"/>
  <c r="G4024" i="1" a="1"/>
  <c r="G4024" i="1" s="1"/>
  <c r="G4014" i="1" a="1"/>
  <c r="G4014" i="1" s="1"/>
  <c r="G4004" i="1" a="1"/>
  <c r="G4004" i="1" s="1"/>
  <c r="G3994" i="1" a="1"/>
  <c r="G3994" i="1" s="1"/>
  <c r="G3984" i="1" a="1"/>
  <c r="G3984" i="1" s="1"/>
  <c r="G3974" i="1" a="1"/>
  <c r="G3974" i="1" s="1"/>
  <c r="G3964" i="1" a="1"/>
  <c r="G3964" i="1" s="1"/>
  <c r="G3954" i="1" a="1"/>
  <c r="G3954" i="1" s="1"/>
  <c r="G3944" i="1" a="1"/>
  <c r="G3944" i="1" s="1"/>
  <c r="G3934" i="1" a="1"/>
  <c r="G3934" i="1" s="1"/>
  <c r="G3924" i="1" a="1"/>
  <c r="G3924" i="1" s="1"/>
  <c r="G3914" i="1" a="1"/>
  <c r="G3914" i="1" s="1"/>
  <c r="G3904" i="1" a="1"/>
  <c r="G3904" i="1" s="1"/>
  <c r="G3894" i="1" a="1"/>
  <c r="G3894" i="1" s="1"/>
  <c r="G3884" i="1" a="1"/>
  <c r="G3884" i="1" s="1"/>
  <c r="G3874" i="1" a="1"/>
  <c r="G3874" i="1" s="1"/>
  <c r="G3864" i="1" a="1"/>
  <c r="G3864" i="1" s="1"/>
  <c r="G3854" i="1" a="1"/>
  <c r="G3854" i="1" s="1"/>
  <c r="G3844" i="1" a="1"/>
  <c r="G3844" i="1" s="1"/>
  <c r="G3834" i="1" a="1"/>
  <c r="G3834" i="1" s="1"/>
  <c r="G3824" i="1" a="1"/>
  <c r="G3824" i="1" s="1"/>
  <c r="G3814" i="1" a="1"/>
  <c r="G3814" i="1" s="1"/>
  <c r="G3804" i="1" a="1"/>
  <c r="G3804" i="1" s="1"/>
  <c r="G3794" i="1" a="1"/>
  <c r="G3794" i="1" s="1"/>
  <c r="G3784" i="1" a="1"/>
  <c r="G3784" i="1" s="1"/>
  <c r="G3774" i="1" a="1"/>
  <c r="G3774" i="1" s="1"/>
  <c r="G3764" i="1" a="1"/>
  <c r="G3764" i="1" s="1"/>
  <c r="G3754" i="1" a="1"/>
  <c r="G3754" i="1" s="1"/>
  <c r="G3744" i="1" a="1"/>
  <c r="G3744" i="1" s="1"/>
  <c r="G3734" i="1" a="1"/>
  <c r="G3734" i="1" s="1"/>
  <c r="G3724" i="1" a="1"/>
  <c r="G3724" i="1" s="1"/>
  <c r="G3714" i="1" a="1"/>
  <c r="G3714" i="1" s="1"/>
  <c r="G3704" i="1" a="1"/>
  <c r="G3704" i="1" s="1"/>
  <c r="G3694" i="1" a="1"/>
  <c r="G3694" i="1" s="1"/>
  <c r="G3684" i="1" a="1"/>
  <c r="G3684" i="1" s="1"/>
  <c r="G3674" i="1" a="1"/>
  <c r="G3674" i="1" s="1"/>
  <c r="G3664" i="1" a="1"/>
  <c r="G3664" i="1" s="1"/>
  <c r="G3654" i="1" a="1"/>
  <c r="G3654" i="1" s="1"/>
  <c r="G3644" i="1" a="1"/>
  <c r="G3644" i="1" s="1"/>
  <c r="G3634" i="1" a="1"/>
  <c r="G3634" i="1" s="1"/>
  <c r="G3624" i="1" a="1"/>
  <c r="G3624" i="1" s="1"/>
  <c r="G3614" i="1" a="1"/>
  <c r="G3614" i="1" s="1"/>
  <c r="G3604" i="1" a="1"/>
  <c r="G3604" i="1" s="1"/>
  <c r="G3594" i="1" a="1"/>
  <c r="G3594" i="1" s="1"/>
  <c r="G3584" i="1" a="1"/>
  <c r="G3584" i="1" s="1"/>
  <c r="G3574" i="1" a="1"/>
  <c r="G3574" i="1" s="1"/>
  <c r="G3564" i="1" a="1"/>
  <c r="G3564" i="1" s="1"/>
  <c r="G3554" i="1" a="1"/>
  <c r="G3554" i="1" s="1"/>
  <c r="G3544" i="1" a="1"/>
  <c r="G3544" i="1" s="1"/>
  <c r="G3534" i="1" a="1"/>
  <c r="G3534" i="1" s="1"/>
  <c r="G3524" i="1" a="1"/>
  <c r="G3524" i="1" s="1"/>
  <c r="G3514" i="1" a="1"/>
  <c r="G3514" i="1" s="1"/>
  <c r="G3504" i="1" a="1"/>
  <c r="G3504" i="1" s="1"/>
  <c r="G3494" i="1" a="1"/>
  <c r="G3494" i="1" s="1"/>
  <c r="G3484" i="1" a="1"/>
  <c r="G3484" i="1" s="1"/>
  <c r="G3474" i="1" a="1"/>
  <c r="G3474" i="1" s="1"/>
  <c r="G3464" i="1" a="1"/>
  <c r="G3464" i="1" s="1"/>
  <c r="G3454" i="1" a="1"/>
  <c r="G3454" i="1" s="1"/>
  <c r="G3444" i="1" a="1"/>
  <c r="G3444" i="1" s="1"/>
  <c r="G3434" i="1" a="1"/>
  <c r="G3434" i="1" s="1"/>
  <c r="G3424" i="1" a="1"/>
  <c r="G3424" i="1" s="1"/>
  <c r="G3414" i="1" a="1"/>
  <c r="G3414" i="1" s="1"/>
  <c r="G3404" i="1" a="1"/>
  <c r="G3404" i="1" s="1"/>
  <c r="G3394" i="1" a="1"/>
  <c r="G3394" i="1" s="1"/>
  <c r="G3384" i="1" a="1"/>
  <c r="G3384" i="1" s="1"/>
  <c r="G3374" i="1" a="1"/>
  <c r="G3374" i="1" s="1"/>
  <c r="G3364" i="1" a="1"/>
  <c r="G3364" i="1" s="1"/>
  <c r="G3354" i="1" a="1"/>
  <c r="G3354" i="1" s="1"/>
  <c r="G3344" i="1" a="1"/>
  <c r="G3344" i="1" s="1"/>
  <c r="G3334" i="1" a="1"/>
  <c r="G3334" i="1" s="1"/>
  <c r="G3324" i="1" a="1"/>
  <c r="G3324" i="1" s="1"/>
  <c r="G3293" i="1" a="1"/>
  <c r="G3293" i="1" s="1"/>
  <c r="G3283" i="1" a="1"/>
  <c r="G3283" i="1" s="1"/>
  <c r="G3273" i="1" a="1"/>
  <c r="G3273" i="1" s="1"/>
  <c r="G3263" i="1" a="1"/>
  <c r="G3263" i="1" s="1"/>
  <c r="G3253" i="1" a="1"/>
  <c r="G3253" i="1" s="1"/>
  <c r="G3243" i="1" a="1"/>
  <c r="G3243" i="1" s="1"/>
  <c r="G3233" i="1" a="1"/>
  <c r="G3233" i="1" s="1"/>
  <c r="G3223" i="1" a="1"/>
  <c r="G3223" i="1" s="1"/>
  <c r="G3213" i="1" a="1"/>
  <c r="G3213" i="1" s="1"/>
  <c r="G3203" i="1" a="1"/>
  <c r="G3203" i="1" s="1"/>
  <c r="G3193" i="1" a="1"/>
  <c r="G3193" i="1" s="1"/>
  <c r="G3183" i="1" a="1"/>
  <c r="G3183" i="1" s="1"/>
  <c r="G3173" i="1" a="1"/>
  <c r="G3173" i="1" s="1"/>
  <c r="G3163" i="1" a="1"/>
  <c r="G3163" i="1" s="1"/>
  <c r="G3153" i="1" a="1"/>
  <c r="G3153" i="1" s="1"/>
  <c r="G3143" i="1" a="1"/>
  <c r="G3143" i="1" s="1"/>
  <c r="G3133" i="1" a="1"/>
  <c r="G3133" i="1" s="1"/>
  <c r="G3123" i="1" a="1"/>
  <c r="G3123" i="1" s="1"/>
  <c r="G3113" i="1" a="1"/>
  <c r="G3113" i="1" s="1"/>
  <c r="G3103" i="1" a="1"/>
  <c r="G3103" i="1" s="1"/>
  <c r="G3093" i="1" a="1"/>
  <c r="G3093" i="1" s="1"/>
  <c r="G3083" i="1" a="1"/>
  <c r="G3083" i="1" s="1"/>
  <c r="G3073" i="1" a="1"/>
  <c r="G3073" i="1" s="1"/>
  <c r="G3063" i="1" a="1"/>
  <c r="G3063" i="1" s="1"/>
  <c r="G3053" i="1" a="1"/>
  <c r="G3053" i="1" s="1"/>
  <c r="G3043" i="1" a="1"/>
  <c r="G3043" i="1" s="1"/>
  <c r="G3033" i="1" a="1"/>
  <c r="G3033" i="1" s="1"/>
  <c r="G3023" i="1" a="1"/>
  <c r="G3023" i="1" s="1"/>
  <c r="G3013" i="1" a="1"/>
  <c r="G3013" i="1" s="1"/>
  <c r="G3003" i="1" a="1"/>
  <c r="G3003" i="1" s="1"/>
  <c r="G2993" i="1" a="1"/>
  <c r="G2993" i="1" s="1"/>
  <c r="G2983" i="1" a="1"/>
  <c r="G2983" i="1" s="1"/>
  <c r="G2973" i="1" a="1"/>
  <c r="G2973" i="1" s="1"/>
  <c r="G2963" i="1" a="1"/>
  <c r="G2963" i="1" s="1"/>
  <c r="G2953" i="1" a="1"/>
  <c r="G2953" i="1" s="1"/>
  <c r="G2943" i="1" a="1"/>
  <c r="G2943" i="1" s="1"/>
  <c r="G2933" i="1" a="1"/>
  <c r="G2933" i="1" s="1"/>
  <c r="G2923" i="1" a="1"/>
  <c r="G2923" i="1" s="1"/>
  <c r="G2913" i="1" a="1"/>
  <c r="G2913" i="1" s="1"/>
  <c r="G2903" i="1" a="1"/>
  <c r="G2903" i="1" s="1"/>
  <c r="G2893" i="1" a="1"/>
  <c r="G2893" i="1" s="1"/>
  <c r="G2883" i="1" a="1"/>
  <c r="G2883" i="1" s="1"/>
  <c r="G2873" i="1" a="1"/>
  <c r="G2873" i="1" s="1"/>
  <c r="G2863" i="1" a="1"/>
  <c r="G2863" i="1" s="1"/>
  <c r="G2853" i="1" a="1"/>
  <c r="G2853" i="1" s="1"/>
  <c r="G2843" i="1" a="1"/>
  <c r="G2843" i="1" s="1"/>
  <c r="G2833" i="1" a="1"/>
  <c r="G2833" i="1" s="1"/>
  <c r="G2823" i="1" a="1"/>
  <c r="G2823" i="1" s="1"/>
  <c r="G2813" i="1" a="1"/>
  <c r="G2813" i="1" s="1"/>
  <c r="G2803" i="1" a="1"/>
  <c r="G2803" i="1" s="1"/>
  <c r="G2793" i="1" a="1"/>
  <c r="G2793" i="1" s="1"/>
  <c r="G2783" i="1" a="1"/>
  <c r="G2783" i="1" s="1"/>
  <c r="G2773" i="1" a="1"/>
  <c r="G2773" i="1" s="1"/>
  <c r="G2763" i="1" a="1"/>
  <c r="G2763" i="1" s="1"/>
  <c r="G2753" i="1" a="1"/>
  <c r="G2753" i="1" s="1"/>
  <c r="G2743" i="1" a="1"/>
  <c r="G2743" i="1" s="1"/>
  <c r="G2733" i="1" a="1"/>
  <c r="G2733" i="1" s="1"/>
  <c r="G2723" i="1" a="1"/>
  <c r="G2723" i="1" s="1"/>
  <c r="G2713" i="1" a="1"/>
  <c r="G2713" i="1" s="1"/>
  <c r="G2703" i="1" a="1"/>
  <c r="G2703" i="1" s="1"/>
  <c r="G2693" i="1" a="1"/>
  <c r="G2693" i="1" s="1"/>
  <c r="G2683" i="1" a="1"/>
  <c r="G2683" i="1" s="1"/>
  <c r="G2673" i="1" a="1"/>
  <c r="G2673" i="1" s="1"/>
  <c r="G2663" i="1" a="1"/>
  <c r="G2663" i="1" s="1"/>
  <c r="G2653" i="1" a="1"/>
  <c r="G2653" i="1" s="1"/>
  <c r="G2643" i="1" a="1"/>
  <c r="G2643" i="1" s="1"/>
  <c r="G2633" i="1" a="1"/>
  <c r="G2633" i="1" s="1"/>
  <c r="G2623" i="1" a="1"/>
  <c r="G2623" i="1" s="1"/>
  <c r="G2613" i="1" a="1"/>
  <c r="G2613" i="1" s="1"/>
  <c r="G2603" i="1" a="1"/>
  <c r="G2603" i="1" s="1"/>
  <c r="G2593" i="1" a="1"/>
  <c r="G2593" i="1" s="1"/>
  <c r="G2583" i="1" a="1"/>
  <c r="G2583" i="1" s="1"/>
  <c r="G2573" i="1" a="1"/>
  <c r="G2573" i="1" s="1"/>
  <c r="G2563" i="1" a="1"/>
  <c r="G2563" i="1" s="1"/>
  <c r="G2553" i="1" a="1"/>
  <c r="G2553" i="1" s="1"/>
  <c r="G2543" i="1" a="1"/>
  <c r="G2543" i="1" s="1"/>
  <c r="G2533" i="1" a="1"/>
  <c r="G2533" i="1" s="1"/>
  <c r="G2523" i="1" a="1"/>
  <c r="G2523" i="1" s="1"/>
  <c r="G2513" i="1" a="1"/>
  <c r="G2513" i="1" s="1"/>
  <c r="G3272" i="1" a="1"/>
  <c r="G3272" i="1" s="1"/>
  <c r="G3262" i="1" a="1"/>
  <c r="G3262" i="1" s="1"/>
  <c r="G3252" i="1" a="1"/>
  <c r="G3252" i="1" s="1"/>
  <c r="G3242" i="1" a="1"/>
  <c r="G3242" i="1" s="1"/>
  <c r="G3232" i="1" a="1"/>
  <c r="G3232" i="1" s="1"/>
  <c r="G3222" i="1" a="1"/>
  <c r="G3222" i="1" s="1"/>
  <c r="G3212" i="1" a="1"/>
  <c r="G3212" i="1" s="1"/>
  <c r="G3202" i="1" a="1"/>
  <c r="G3202" i="1" s="1"/>
  <c r="G3192" i="1" a="1"/>
  <c r="G3192" i="1" s="1"/>
  <c r="G3182" i="1" a="1"/>
  <c r="G3182" i="1" s="1"/>
  <c r="G3172" i="1" a="1"/>
  <c r="G3172" i="1" s="1"/>
  <c r="G3162" i="1" a="1"/>
  <c r="G3162" i="1" s="1"/>
  <c r="G3152" i="1" a="1"/>
  <c r="G3152" i="1" s="1"/>
  <c r="G3142" i="1" a="1"/>
  <c r="G3142" i="1" s="1"/>
  <c r="G3132" i="1" a="1"/>
  <c r="G3132" i="1" s="1"/>
  <c r="G3122" i="1" a="1"/>
  <c r="G3122" i="1" s="1"/>
  <c r="G3112" i="1" a="1"/>
  <c r="G3112" i="1" s="1"/>
  <c r="G3102" i="1" a="1"/>
  <c r="G3102" i="1" s="1"/>
  <c r="G3092" i="1" a="1"/>
  <c r="G3092" i="1" s="1"/>
  <c r="G3082" i="1" a="1"/>
  <c r="G3082" i="1" s="1"/>
  <c r="G3072" i="1" a="1"/>
  <c r="G3072" i="1" s="1"/>
  <c r="G3062" i="1" a="1"/>
  <c r="G3062" i="1" s="1"/>
  <c r="G3052" i="1" a="1"/>
  <c r="G3052" i="1" s="1"/>
  <c r="G3042" i="1" a="1"/>
  <c r="G3042" i="1" s="1"/>
  <c r="G3032" i="1" a="1"/>
  <c r="G3032" i="1" s="1"/>
  <c r="G3022" i="1" a="1"/>
  <c r="G3022" i="1" s="1"/>
  <c r="G3012" i="1" a="1"/>
  <c r="G3012" i="1" s="1"/>
  <c r="G3002" i="1" a="1"/>
  <c r="G3002" i="1" s="1"/>
  <c r="G2992" i="1" a="1"/>
  <c r="G2992" i="1" s="1"/>
  <c r="G2982" i="1" a="1"/>
  <c r="G2982" i="1" s="1"/>
  <c r="G2972" i="1" a="1"/>
  <c r="G2972" i="1" s="1"/>
  <c r="G2962" i="1" a="1"/>
  <c r="G2962" i="1" s="1"/>
  <c r="G2952" i="1" a="1"/>
  <c r="G2952" i="1" s="1"/>
  <c r="G2942" i="1" a="1"/>
  <c r="G2942" i="1" s="1"/>
  <c r="G2932" i="1" a="1"/>
  <c r="G2932" i="1" s="1"/>
  <c r="G2922" i="1" a="1"/>
  <c r="G2922" i="1" s="1"/>
  <c r="G2912" i="1" a="1"/>
  <c r="G2912" i="1" s="1"/>
  <c r="G2902" i="1" a="1"/>
  <c r="G2902" i="1" s="1"/>
  <c r="G2892" i="1" a="1"/>
  <c r="G2892" i="1" s="1"/>
  <c r="G2882" i="1" a="1"/>
  <c r="G2882" i="1" s="1"/>
  <c r="G2872" i="1" a="1"/>
  <c r="G2872" i="1" s="1"/>
  <c r="G2862" i="1" a="1"/>
  <c r="G2862" i="1" s="1"/>
  <c r="G2852" i="1" a="1"/>
  <c r="G2852" i="1" s="1"/>
  <c r="G2842" i="1" a="1"/>
  <c r="G2842" i="1" s="1"/>
  <c r="G2832" i="1" a="1"/>
  <c r="G2832" i="1" s="1"/>
  <c r="G2822" i="1" a="1"/>
  <c r="G2822" i="1" s="1"/>
  <c r="G2812" i="1" a="1"/>
  <c r="G2812" i="1" s="1"/>
  <c r="G2802" i="1" a="1"/>
  <c r="G2802" i="1" s="1"/>
  <c r="G2792" i="1" a="1"/>
  <c r="G2792" i="1" s="1"/>
  <c r="G2782" i="1" a="1"/>
  <c r="G2782" i="1" s="1"/>
  <c r="G2772" i="1" a="1"/>
  <c r="G2772" i="1" s="1"/>
  <c r="G2762" i="1" a="1"/>
  <c r="G2762" i="1" s="1"/>
  <c r="G2752" i="1" a="1"/>
  <c r="G2752" i="1" s="1"/>
  <c r="G2742" i="1" a="1"/>
  <c r="G2742" i="1" s="1"/>
  <c r="G2732" i="1" a="1"/>
  <c r="G2732" i="1" s="1"/>
  <c r="G2722" i="1" a="1"/>
  <c r="G2722" i="1" s="1"/>
  <c r="G2712" i="1" a="1"/>
  <c r="G2712" i="1" s="1"/>
  <c r="G2702" i="1" a="1"/>
  <c r="G2702" i="1" s="1"/>
  <c r="G2692" i="1" a="1"/>
  <c r="G2692" i="1" s="1"/>
  <c r="G2682" i="1" a="1"/>
  <c r="G2682" i="1" s="1"/>
  <c r="G2672" i="1" a="1"/>
  <c r="G2672" i="1" s="1"/>
  <c r="G2662" i="1" a="1"/>
  <c r="G2662" i="1" s="1"/>
  <c r="G2652" i="1" a="1"/>
  <c r="G2652" i="1" s="1"/>
  <c r="G2642" i="1" a="1"/>
  <c r="G2642" i="1" s="1"/>
  <c r="G2632" i="1" a="1"/>
  <c r="G2632" i="1" s="1"/>
  <c r="G2622" i="1" a="1"/>
  <c r="G2622" i="1" s="1"/>
  <c r="G2612" i="1" a="1"/>
  <c r="G2612" i="1" s="1"/>
  <c r="G2602" i="1" a="1"/>
  <c r="G2602" i="1" s="1"/>
  <c r="G2592" i="1" a="1"/>
  <c r="G2592" i="1" s="1"/>
  <c r="G2582" i="1" a="1"/>
  <c r="G2582" i="1" s="1"/>
  <c r="G2572" i="1" a="1"/>
  <c r="G2572" i="1" s="1"/>
  <c r="G2562" i="1" a="1"/>
  <c r="G2562" i="1" s="1"/>
  <c r="G2552" i="1" a="1"/>
  <c r="G2552" i="1" s="1"/>
  <c r="G2542" i="1" a="1"/>
  <c r="G2542" i="1" s="1"/>
  <c r="G2532" i="1" a="1"/>
  <c r="G2532" i="1" s="1"/>
  <c r="G2522" i="1" a="1"/>
  <c r="G2522" i="1" s="1"/>
  <c r="G2512" i="1" a="1"/>
  <c r="G2512" i="1" s="1"/>
  <c r="G2502" i="1" a="1"/>
  <c r="G2502" i="1" s="1"/>
  <c r="G2492" i="1" a="1"/>
  <c r="G2492" i="1" s="1"/>
  <c r="G2482" i="1" a="1"/>
  <c r="G2482" i="1" s="1"/>
  <c r="G3361" i="1" a="1"/>
  <c r="G3361" i="1" s="1"/>
  <c r="G3351" i="1" a="1"/>
  <c r="G3351" i="1" s="1"/>
  <c r="G3341" i="1" a="1"/>
  <c r="G3341" i="1" s="1"/>
  <c r="G3331" i="1" a="1"/>
  <c r="G3331" i="1" s="1"/>
  <c r="G3321" i="1" a="1"/>
  <c r="G3321" i="1" s="1"/>
  <c r="G3311" i="1" a="1"/>
  <c r="G3311" i="1" s="1"/>
  <c r="G3301" i="1" a="1"/>
  <c r="G3301" i="1" s="1"/>
  <c r="G3291" i="1" a="1"/>
  <c r="G3291" i="1" s="1"/>
  <c r="G3281" i="1" a="1"/>
  <c r="G3281" i="1" s="1"/>
  <c r="G3271" i="1" a="1"/>
  <c r="G3271" i="1" s="1"/>
  <c r="G3261" i="1" a="1"/>
  <c r="G3261" i="1" s="1"/>
  <c r="G3251" i="1" a="1"/>
  <c r="G3251" i="1" s="1"/>
  <c r="G3241" i="1" a="1"/>
  <c r="G3241" i="1" s="1"/>
  <c r="G3231" i="1" a="1"/>
  <c r="G3231" i="1" s="1"/>
  <c r="G3221" i="1" a="1"/>
  <c r="G3221" i="1" s="1"/>
  <c r="G3211" i="1" a="1"/>
  <c r="G3211" i="1" s="1"/>
  <c r="G3201" i="1" a="1"/>
  <c r="G3201" i="1" s="1"/>
  <c r="G3191" i="1" a="1"/>
  <c r="G3191" i="1" s="1"/>
  <c r="G3181" i="1" a="1"/>
  <c r="G3181" i="1" s="1"/>
  <c r="G3171" i="1" a="1"/>
  <c r="G3171" i="1" s="1"/>
  <c r="G3161" i="1" a="1"/>
  <c r="G3161" i="1" s="1"/>
  <c r="G3151" i="1" a="1"/>
  <c r="G3151" i="1" s="1"/>
  <c r="G3141" i="1" a="1"/>
  <c r="G3141" i="1" s="1"/>
  <c r="G3131" i="1" a="1"/>
  <c r="G3131" i="1" s="1"/>
  <c r="G3121" i="1" a="1"/>
  <c r="G3121" i="1" s="1"/>
  <c r="G3111" i="1" a="1"/>
  <c r="G3111" i="1" s="1"/>
  <c r="G3101" i="1" a="1"/>
  <c r="G3101" i="1" s="1"/>
  <c r="G3091" i="1" a="1"/>
  <c r="G3091" i="1" s="1"/>
  <c r="G3081" i="1" a="1"/>
  <c r="G3081" i="1" s="1"/>
  <c r="G3071" i="1" a="1"/>
  <c r="G3071" i="1" s="1"/>
  <c r="G3061" i="1" a="1"/>
  <c r="G3061" i="1" s="1"/>
  <c r="G3051" i="1" a="1"/>
  <c r="G3051" i="1" s="1"/>
  <c r="G3041" i="1" a="1"/>
  <c r="G3041" i="1" s="1"/>
  <c r="G3031" i="1" a="1"/>
  <c r="G3031" i="1" s="1"/>
  <c r="G3021" i="1" a="1"/>
  <c r="G3021" i="1" s="1"/>
  <c r="G3011" i="1" a="1"/>
  <c r="G3011" i="1" s="1"/>
  <c r="G3001" i="1" a="1"/>
  <c r="G3001" i="1" s="1"/>
  <c r="G2991" i="1" a="1"/>
  <c r="G2991" i="1" s="1"/>
  <c r="G2981" i="1" a="1"/>
  <c r="G2981" i="1" s="1"/>
  <c r="G2971" i="1" a="1"/>
  <c r="G2971" i="1" s="1"/>
  <c r="G2961" i="1" a="1"/>
  <c r="G2961" i="1" s="1"/>
  <c r="G2951" i="1" a="1"/>
  <c r="G2951" i="1" s="1"/>
  <c r="G2941" i="1" a="1"/>
  <c r="G2941" i="1" s="1"/>
  <c r="G2931" i="1" a="1"/>
  <c r="G2931" i="1" s="1"/>
  <c r="G2921" i="1" a="1"/>
  <c r="G2921" i="1" s="1"/>
  <c r="G2911" i="1" a="1"/>
  <c r="G2911" i="1" s="1"/>
  <c r="G2901" i="1" a="1"/>
  <c r="G2901" i="1" s="1"/>
  <c r="G2891" i="1" a="1"/>
  <c r="G2891" i="1" s="1"/>
  <c r="G2881" i="1" a="1"/>
  <c r="G2881" i="1" s="1"/>
  <c r="G2871" i="1" a="1"/>
  <c r="G2871" i="1" s="1"/>
  <c r="G2861" i="1" a="1"/>
  <c r="G2861" i="1" s="1"/>
  <c r="G2851" i="1" a="1"/>
  <c r="G2851" i="1" s="1"/>
  <c r="G2841" i="1" a="1"/>
  <c r="G2841" i="1" s="1"/>
  <c r="G2831" i="1" a="1"/>
  <c r="G2831" i="1" s="1"/>
  <c r="G2821" i="1" a="1"/>
  <c r="G2821" i="1" s="1"/>
  <c r="G2811" i="1" a="1"/>
  <c r="G2811" i="1" s="1"/>
  <c r="G2801" i="1" a="1"/>
  <c r="G2801" i="1" s="1"/>
  <c r="G2791" i="1" a="1"/>
  <c r="G2791" i="1" s="1"/>
  <c r="G2781" i="1" a="1"/>
  <c r="G2781" i="1" s="1"/>
  <c r="G2771" i="1" a="1"/>
  <c r="G2771" i="1" s="1"/>
  <c r="G2761" i="1" a="1"/>
  <c r="G2761" i="1" s="1"/>
  <c r="G2751" i="1" a="1"/>
  <c r="G2751" i="1" s="1"/>
  <c r="G2741" i="1" a="1"/>
  <c r="G2741" i="1" s="1"/>
  <c r="G2731" i="1" a="1"/>
  <c r="G2731" i="1" s="1"/>
  <c r="G2721" i="1" a="1"/>
  <c r="G2721" i="1" s="1"/>
  <c r="G2711" i="1" a="1"/>
  <c r="G2711" i="1" s="1"/>
  <c r="G2701" i="1" a="1"/>
  <c r="G2701" i="1" s="1"/>
  <c r="G2691" i="1" a="1"/>
  <c r="G2691" i="1" s="1"/>
  <c r="G2681" i="1" a="1"/>
  <c r="G2681" i="1" s="1"/>
  <c r="G2671" i="1" a="1"/>
  <c r="G2671" i="1" s="1"/>
  <c r="G2661" i="1" a="1"/>
  <c r="G2661" i="1" s="1"/>
  <c r="G2651" i="1" a="1"/>
  <c r="G2651" i="1" s="1"/>
  <c r="G2641" i="1" a="1"/>
  <c r="G2641" i="1" s="1"/>
  <c r="G2631" i="1" a="1"/>
  <c r="G2631" i="1" s="1"/>
  <c r="G2621" i="1" a="1"/>
  <c r="G2621" i="1" s="1"/>
  <c r="G2611" i="1" a="1"/>
  <c r="G2611" i="1" s="1"/>
  <c r="G2601" i="1" a="1"/>
  <c r="G2601" i="1" s="1"/>
  <c r="G2591" i="1" a="1"/>
  <c r="G2591" i="1" s="1"/>
  <c r="G3430" i="1" a="1"/>
  <c r="G3430" i="1" s="1"/>
  <c r="G3420" i="1" a="1"/>
  <c r="G3420" i="1" s="1"/>
  <c r="G3410" i="1" a="1"/>
  <c r="G3410" i="1" s="1"/>
  <c r="G3400" i="1" a="1"/>
  <c r="G3400" i="1" s="1"/>
  <c r="G3390" i="1" a="1"/>
  <c r="G3390" i="1" s="1"/>
  <c r="G3380" i="1" a="1"/>
  <c r="G3380" i="1" s="1"/>
  <c r="G3370" i="1" a="1"/>
  <c r="G3370" i="1" s="1"/>
  <c r="G3360" i="1" a="1"/>
  <c r="G3360" i="1" s="1"/>
  <c r="G3350" i="1" a="1"/>
  <c r="G3350" i="1" s="1"/>
  <c r="G3340" i="1" a="1"/>
  <c r="G3340" i="1" s="1"/>
  <c r="G3330" i="1" a="1"/>
  <c r="G3330" i="1" s="1"/>
  <c r="G3320" i="1" a="1"/>
  <c r="G3320" i="1" s="1"/>
  <c r="G3310" i="1" a="1"/>
  <c r="G3310" i="1" s="1"/>
  <c r="G3300" i="1" a="1"/>
  <c r="G3300" i="1" s="1"/>
  <c r="G3290" i="1" a="1"/>
  <c r="G3290" i="1" s="1"/>
  <c r="G3280" i="1" a="1"/>
  <c r="G3280" i="1" s="1"/>
  <c r="G3270" i="1" a="1"/>
  <c r="G3270" i="1" s="1"/>
  <c r="G3260" i="1" a="1"/>
  <c r="G3260" i="1" s="1"/>
  <c r="G3250" i="1" a="1"/>
  <c r="G3250" i="1" s="1"/>
  <c r="G3240" i="1" a="1"/>
  <c r="G3240" i="1" s="1"/>
  <c r="G3230" i="1" a="1"/>
  <c r="G3230" i="1" s="1"/>
  <c r="G3220" i="1" a="1"/>
  <c r="G3220" i="1" s="1"/>
  <c r="G3210" i="1" a="1"/>
  <c r="G3210" i="1" s="1"/>
  <c r="G3200" i="1" a="1"/>
  <c r="G3200" i="1" s="1"/>
  <c r="G3190" i="1" a="1"/>
  <c r="G3190" i="1" s="1"/>
  <c r="G3180" i="1" a="1"/>
  <c r="G3180" i="1" s="1"/>
  <c r="G3170" i="1" a="1"/>
  <c r="G3170" i="1" s="1"/>
  <c r="G3160" i="1" a="1"/>
  <c r="G3160" i="1" s="1"/>
  <c r="G3150" i="1" a="1"/>
  <c r="G3150" i="1" s="1"/>
  <c r="G3140" i="1" a="1"/>
  <c r="G3140" i="1" s="1"/>
  <c r="G3130" i="1" a="1"/>
  <c r="G3130" i="1" s="1"/>
  <c r="G3120" i="1" a="1"/>
  <c r="G3120" i="1" s="1"/>
  <c r="G3110" i="1" a="1"/>
  <c r="G3110" i="1" s="1"/>
  <c r="G3100" i="1" a="1"/>
  <c r="G3100" i="1" s="1"/>
  <c r="G3090" i="1" a="1"/>
  <c r="G3090" i="1" s="1"/>
  <c r="G3080" i="1" a="1"/>
  <c r="G3080" i="1" s="1"/>
  <c r="G3070" i="1" a="1"/>
  <c r="G3070" i="1" s="1"/>
  <c r="G3060" i="1" a="1"/>
  <c r="G3060" i="1" s="1"/>
  <c r="G3050" i="1" a="1"/>
  <c r="G3050" i="1" s="1"/>
  <c r="G3040" i="1" a="1"/>
  <c r="G3040" i="1" s="1"/>
  <c r="G3030" i="1" a="1"/>
  <c r="G3030" i="1" s="1"/>
  <c r="G3020" i="1" a="1"/>
  <c r="G3020" i="1" s="1"/>
  <c r="G3010" i="1" a="1"/>
  <c r="G3010" i="1" s="1"/>
  <c r="G3000" i="1" a="1"/>
  <c r="G3000" i="1" s="1"/>
  <c r="G2990" i="1" a="1"/>
  <c r="G2990" i="1" s="1"/>
  <c r="G2980" i="1" a="1"/>
  <c r="G2980" i="1" s="1"/>
  <c r="G2970" i="1" a="1"/>
  <c r="G2970" i="1" s="1"/>
  <c r="G2960" i="1" a="1"/>
  <c r="G2960" i="1" s="1"/>
  <c r="G2950" i="1" a="1"/>
  <c r="G2950" i="1" s="1"/>
  <c r="G2940" i="1" a="1"/>
  <c r="G2940" i="1" s="1"/>
  <c r="G2930" i="1" a="1"/>
  <c r="G2930" i="1" s="1"/>
  <c r="G2920" i="1" a="1"/>
  <c r="G2920" i="1" s="1"/>
  <c r="G2910" i="1" a="1"/>
  <c r="G2910" i="1" s="1"/>
  <c r="G2900" i="1" a="1"/>
  <c r="G2900" i="1" s="1"/>
  <c r="G2890" i="1" a="1"/>
  <c r="G2890" i="1" s="1"/>
  <c r="G2880" i="1" a="1"/>
  <c r="G2880" i="1" s="1"/>
  <c r="G2870" i="1" a="1"/>
  <c r="G2870" i="1" s="1"/>
  <c r="G2860" i="1" a="1"/>
  <c r="G2860" i="1" s="1"/>
  <c r="G2850" i="1" a="1"/>
  <c r="G2850" i="1" s="1"/>
  <c r="G2840" i="1" a="1"/>
  <c r="G2840" i="1" s="1"/>
  <c r="G2830" i="1" a="1"/>
  <c r="G2830" i="1" s="1"/>
  <c r="G2820" i="1" a="1"/>
  <c r="G2820" i="1" s="1"/>
  <c r="G2810" i="1" a="1"/>
  <c r="G2810" i="1" s="1"/>
  <c r="G2800" i="1" a="1"/>
  <c r="G2800" i="1" s="1"/>
  <c r="G2790" i="1" a="1"/>
  <c r="G2790" i="1" s="1"/>
  <c r="G2780" i="1" a="1"/>
  <c r="G2780" i="1" s="1"/>
  <c r="G2770" i="1" a="1"/>
  <c r="G2770" i="1" s="1"/>
  <c r="G2760" i="1" a="1"/>
  <c r="G2760" i="1" s="1"/>
  <c r="G2750" i="1" a="1"/>
  <c r="G2750" i="1" s="1"/>
  <c r="G2740" i="1" a="1"/>
  <c r="G2740" i="1" s="1"/>
  <c r="G2730" i="1" a="1"/>
  <c r="G2730" i="1" s="1"/>
  <c r="G2720" i="1" a="1"/>
  <c r="G2720" i="1" s="1"/>
  <c r="G2710" i="1" a="1"/>
  <c r="G2710" i="1" s="1"/>
  <c r="G2700" i="1" a="1"/>
  <c r="G2700" i="1" s="1"/>
  <c r="G2690" i="1" a="1"/>
  <c r="G2690" i="1" s="1"/>
  <c r="G2680" i="1" a="1"/>
  <c r="G2680" i="1" s="1"/>
  <c r="G2670" i="1" a="1"/>
  <c r="G2670" i="1" s="1"/>
  <c r="G2660" i="1" a="1"/>
  <c r="G2660" i="1" s="1"/>
  <c r="G2650" i="1" a="1"/>
  <c r="G2650" i="1" s="1"/>
  <c r="G2640" i="1" a="1"/>
  <c r="G2640" i="1" s="1"/>
  <c r="G2630" i="1" a="1"/>
  <c r="G2630" i="1" s="1"/>
  <c r="G2620" i="1" a="1"/>
  <c r="G2620" i="1" s="1"/>
  <c r="G2610" i="1" a="1"/>
  <c r="G2610" i="1" s="1"/>
  <c r="G2600" i="1" a="1"/>
  <c r="G2600" i="1" s="1"/>
  <c r="G2590" i="1" a="1"/>
  <c r="G2590" i="1" s="1"/>
  <c r="G3549" i="1" a="1"/>
  <c r="G3549" i="1" s="1"/>
  <c r="G3539" i="1" a="1"/>
  <c r="G3539" i="1" s="1"/>
  <c r="G3529" i="1" a="1"/>
  <c r="G3529" i="1" s="1"/>
  <c r="G3519" i="1" a="1"/>
  <c r="G3519" i="1" s="1"/>
  <c r="G3509" i="1" a="1"/>
  <c r="G3509" i="1" s="1"/>
  <c r="G3499" i="1" a="1"/>
  <c r="G3499" i="1" s="1"/>
  <c r="G3489" i="1" a="1"/>
  <c r="G3489" i="1" s="1"/>
  <c r="G3479" i="1" a="1"/>
  <c r="G3479" i="1" s="1"/>
  <c r="G3469" i="1" a="1"/>
  <c r="G3469" i="1" s="1"/>
  <c r="G3459" i="1" a="1"/>
  <c r="G3459" i="1" s="1"/>
  <c r="G3449" i="1" a="1"/>
  <c r="G3449" i="1" s="1"/>
  <c r="G3439" i="1" a="1"/>
  <c r="G3439" i="1" s="1"/>
  <c r="G3429" i="1" a="1"/>
  <c r="G3429" i="1" s="1"/>
  <c r="G3419" i="1" a="1"/>
  <c r="G3419" i="1" s="1"/>
  <c r="G3409" i="1" a="1"/>
  <c r="G3409" i="1" s="1"/>
  <c r="G3399" i="1" a="1"/>
  <c r="G3399" i="1" s="1"/>
  <c r="G3389" i="1" a="1"/>
  <c r="G3389" i="1" s="1"/>
  <c r="G3379" i="1" a="1"/>
  <c r="G3379" i="1" s="1"/>
  <c r="G3369" i="1" a="1"/>
  <c r="G3369" i="1" s="1"/>
  <c r="G3359" i="1" a="1"/>
  <c r="G3359" i="1" s="1"/>
  <c r="G3349" i="1" a="1"/>
  <c r="G3349" i="1" s="1"/>
  <c r="G3339" i="1" a="1"/>
  <c r="G3339" i="1" s="1"/>
  <c r="G3329" i="1" a="1"/>
  <c r="G3329" i="1" s="1"/>
  <c r="G3319" i="1" a="1"/>
  <c r="G3319" i="1" s="1"/>
  <c r="G3309" i="1" a="1"/>
  <c r="G3309" i="1" s="1"/>
  <c r="G3299" i="1" a="1"/>
  <c r="G3299" i="1" s="1"/>
  <c r="G3289" i="1" a="1"/>
  <c r="G3289" i="1" s="1"/>
  <c r="G3279" i="1" a="1"/>
  <c r="G3279" i="1" s="1"/>
  <c r="G3269" i="1" a="1"/>
  <c r="G3269" i="1" s="1"/>
  <c r="G3259" i="1" a="1"/>
  <c r="G3259" i="1" s="1"/>
  <c r="G3249" i="1" a="1"/>
  <c r="G3249" i="1" s="1"/>
  <c r="G3239" i="1" a="1"/>
  <c r="G3239" i="1" s="1"/>
  <c r="G3229" i="1" a="1"/>
  <c r="G3229" i="1" s="1"/>
  <c r="G3219" i="1" a="1"/>
  <c r="G3219" i="1" s="1"/>
  <c r="G3209" i="1" a="1"/>
  <c r="G3209" i="1" s="1"/>
  <c r="G3199" i="1" a="1"/>
  <c r="G3199" i="1" s="1"/>
  <c r="G3189" i="1" a="1"/>
  <c r="G3189" i="1" s="1"/>
  <c r="G3179" i="1" a="1"/>
  <c r="G3179" i="1" s="1"/>
  <c r="G3169" i="1" a="1"/>
  <c r="G3169" i="1" s="1"/>
  <c r="G3159" i="1" a="1"/>
  <c r="G3159" i="1" s="1"/>
  <c r="G3149" i="1" a="1"/>
  <c r="G3149" i="1" s="1"/>
  <c r="G3139" i="1" a="1"/>
  <c r="G3139" i="1" s="1"/>
  <c r="G3129" i="1" a="1"/>
  <c r="G3129" i="1" s="1"/>
  <c r="G3119" i="1" a="1"/>
  <c r="G3119" i="1" s="1"/>
  <c r="G3109" i="1" a="1"/>
  <c r="G3109" i="1" s="1"/>
  <c r="G3099" i="1" a="1"/>
  <c r="G3099" i="1" s="1"/>
  <c r="G3089" i="1" a="1"/>
  <c r="G3089" i="1" s="1"/>
  <c r="G3079" i="1" a="1"/>
  <c r="G3079" i="1" s="1"/>
  <c r="G3069" i="1" a="1"/>
  <c r="G3069" i="1" s="1"/>
  <c r="G3059" i="1" a="1"/>
  <c r="G3059" i="1" s="1"/>
  <c r="G3049" i="1" a="1"/>
  <c r="G3049" i="1" s="1"/>
  <c r="G3039" i="1" a="1"/>
  <c r="G3039" i="1" s="1"/>
  <c r="G3029" i="1" a="1"/>
  <c r="G3029" i="1" s="1"/>
  <c r="G3019" i="1" a="1"/>
  <c r="G3019" i="1" s="1"/>
  <c r="G3009" i="1" a="1"/>
  <c r="G3009" i="1" s="1"/>
  <c r="G2999" i="1" a="1"/>
  <c r="G2999" i="1" s="1"/>
  <c r="G2989" i="1" a="1"/>
  <c r="G2989" i="1" s="1"/>
  <c r="G2979" i="1" a="1"/>
  <c r="G2979" i="1" s="1"/>
  <c r="G2969" i="1" a="1"/>
  <c r="G2969" i="1" s="1"/>
  <c r="G2959" i="1" a="1"/>
  <c r="G2959" i="1" s="1"/>
  <c r="G2949" i="1" a="1"/>
  <c r="G2949" i="1" s="1"/>
  <c r="G2939" i="1" a="1"/>
  <c r="G2939" i="1" s="1"/>
  <c r="G2929" i="1" a="1"/>
  <c r="G2929" i="1" s="1"/>
  <c r="G2919" i="1" a="1"/>
  <c r="G2919" i="1" s="1"/>
  <c r="G2909" i="1" a="1"/>
  <c r="G2909" i="1" s="1"/>
  <c r="G2899" i="1" a="1"/>
  <c r="G2899" i="1" s="1"/>
  <c r="G2889" i="1" a="1"/>
  <c r="G2889" i="1" s="1"/>
  <c r="G2879" i="1" a="1"/>
  <c r="G2879" i="1" s="1"/>
  <c r="G2869" i="1" a="1"/>
  <c r="G2869" i="1" s="1"/>
  <c r="G2859" i="1" a="1"/>
  <c r="G2859" i="1" s="1"/>
  <c r="G2849" i="1" a="1"/>
  <c r="G2849" i="1" s="1"/>
  <c r="G2839" i="1" a="1"/>
  <c r="G2839" i="1" s="1"/>
  <c r="G2829" i="1" a="1"/>
  <c r="G2829" i="1" s="1"/>
  <c r="G2819" i="1" a="1"/>
  <c r="G2819" i="1" s="1"/>
  <c r="G2809" i="1" a="1"/>
  <c r="G2809" i="1" s="1"/>
  <c r="G2799" i="1" a="1"/>
  <c r="G2799" i="1" s="1"/>
  <c r="G2789" i="1" a="1"/>
  <c r="G2789" i="1" s="1"/>
  <c r="G2779" i="1" a="1"/>
  <c r="G2779" i="1" s="1"/>
  <c r="G2769" i="1" a="1"/>
  <c r="G2769" i="1" s="1"/>
  <c r="G2759" i="1" a="1"/>
  <c r="G2759" i="1" s="1"/>
  <c r="G2749" i="1" a="1"/>
  <c r="G2749" i="1" s="1"/>
  <c r="G2739" i="1" a="1"/>
  <c r="G2739" i="1" s="1"/>
  <c r="G2729" i="1" a="1"/>
  <c r="G2729" i="1" s="1"/>
  <c r="G2719" i="1" a="1"/>
  <c r="G2719" i="1" s="1"/>
  <c r="G2709" i="1" a="1"/>
  <c r="G2709" i="1" s="1"/>
  <c r="G2699" i="1" a="1"/>
  <c r="G2699" i="1" s="1"/>
  <c r="G2689" i="1" a="1"/>
  <c r="G2689" i="1" s="1"/>
  <c r="G3508" i="1" a="1"/>
  <c r="G3508" i="1" s="1"/>
  <c r="G3498" i="1" a="1"/>
  <c r="G3498" i="1" s="1"/>
  <c r="G3488" i="1" a="1"/>
  <c r="G3488" i="1" s="1"/>
  <c r="G3478" i="1" a="1"/>
  <c r="G3478" i="1" s="1"/>
  <c r="G3468" i="1" a="1"/>
  <c r="G3468" i="1" s="1"/>
  <c r="G3458" i="1" a="1"/>
  <c r="G3458" i="1" s="1"/>
  <c r="G3448" i="1" a="1"/>
  <c r="G3448" i="1" s="1"/>
  <c r="G3438" i="1" a="1"/>
  <c r="G3438" i="1" s="1"/>
  <c r="G3428" i="1" a="1"/>
  <c r="G3428" i="1" s="1"/>
  <c r="G3418" i="1" a="1"/>
  <c r="G3418" i="1" s="1"/>
  <c r="G3408" i="1" a="1"/>
  <c r="G3408" i="1" s="1"/>
  <c r="G3398" i="1" a="1"/>
  <c r="G3398" i="1" s="1"/>
  <c r="G3388" i="1" a="1"/>
  <c r="G3388" i="1" s="1"/>
  <c r="G3378" i="1" a="1"/>
  <c r="G3378" i="1" s="1"/>
  <c r="G3368" i="1" a="1"/>
  <c r="G3368" i="1" s="1"/>
  <c r="G3358" i="1" a="1"/>
  <c r="G3358" i="1" s="1"/>
  <c r="G3348" i="1" a="1"/>
  <c r="G3348" i="1" s="1"/>
  <c r="G3338" i="1" a="1"/>
  <c r="G3338" i="1" s="1"/>
  <c r="G3328" i="1" a="1"/>
  <c r="G3328" i="1" s="1"/>
  <c r="G3318" i="1" a="1"/>
  <c r="G3318" i="1" s="1"/>
  <c r="G3308" i="1" a="1"/>
  <c r="G3308" i="1" s="1"/>
  <c r="G3298" i="1" a="1"/>
  <c r="G3298" i="1" s="1"/>
  <c r="G3288" i="1" a="1"/>
  <c r="G3288" i="1" s="1"/>
  <c r="G3278" i="1" a="1"/>
  <c r="G3278" i="1" s="1"/>
  <c r="G3268" i="1" a="1"/>
  <c r="G3268" i="1" s="1"/>
  <c r="G3258" i="1" a="1"/>
  <c r="G3258" i="1" s="1"/>
  <c r="G3248" i="1" a="1"/>
  <c r="G3248" i="1" s="1"/>
  <c r="G3238" i="1" a="1"/>
  <c r="G3238" i="1" s="1"/>
  <c r="G3228" i="1" a="1"/>
  <c r="G3228" i="1" s="1"/>
  <c r="G3218" i="1" a="1"/>
  <c r="G3218" i="1" s="1"/>
  <c r="G3208" i="1" a="1"/>
  <c r="G3208" i="1" s="1"/>
  <c r="G3198" i="1" a="1"/>
  <c r="G3198" i="1" s="1"/>
  <c r="G3188" i="1" a="1"/>
  <c r="G3188" i="1" s="1"/>
  <c r="G3178" i="1" a="1"/>
  <c r="G3178" i="1" s="1"/>
  <c r="G3168" i="1" a="1"/>
  <c r="G3168" i="1" s="1"/>
  <c r="G3158" i="1" a="1"/>
  <c r="G3158" i="1" s="1"/>
  <c r="G3148" i="1" a="1"/>
  <c r="G3148" i="1" s="1"/>
  <c r="G3138" i="1" a="1"/>
  <c r="G3138" i="1" s="1"/>
  <c r="G3128" i="1" a="1"/>
  <c r="G3128" i="1" s="1"/>
  <c r="G3118" i="1" a="1"/>
  <c r="G3118" i="1" s="1"/>
  <c r="G3108" i="1" a="1"/>
  <c r="G3108" i="1" s="1"/>
  <c r="G3098" i="1" a="1"/>
  <c r="G3098" i="1" s="1"/>
  <c r="G3088" i="1" a="1"/>
  <c r="G3088" i="1" s="1"/>
  <c r="G3078" i="1" a="1"/>
  <c r="G3078" i="1" s="1"/>
  <c r="G3068" i="1" a="1"/>
  <c r="G3068" i="1" s="1"/>
  <c r="G3058" i="1" a="1"/>
  <c r="G3058" i="1" s="1"/>
  <c r="G3048" i="1" a="1"/>
  <c r="G3048" i="1" s="1"/>
  <c r="G3038" i="1" a="1"/>
  <c r="G3038" i="1" s="1"/>
  <c r="G3028" i="1" a="1"/>
  <c r="G3028" i="1" s="1"/>
  <c r="G3018" i="1" a="1"/>
  <c r="G3018" i="1" s="1"/>
  <c r="G3008" i="1" a="1"/>
  <c r="G3008" i="1" s="1"/>
  <c r="G2998" i="1" a="1"/>
  <c r="G2998" i="1" s="1"/>
  <c r="G2988" i="1" a="1"/>
  <c r="G2988" i="1" s="1"/>
  <c r="G2978" i="1" a="1"/>
  <c r="G2978" i="1" s="1"/>
  <c r="G2968" i="1" a="1"/>
  <c r="G2968" i="1" s="1"/>
  <c r="G2958" i="1" a="1"/>
  <c r="G2958" i="1" s="1"/>
  <c r="G2948" i="1" a="1"/>
  <c r="G2948" i="1" s="1"/>
  <c r="G2938" i="1" a="1"/>
  <c r="G2938" i="1" s="1"/>
  <c r="G2928" i="1" a="1"/>
  <c r="G2928" i="1" s="1"/>
  <c r="G2918" i="1" a="1"/>
  <c r="G2918" i="1" s="1"/>
  <c r="G2908" i="1" a="1"/>
  <c r="G2908" i="1" s="1"/>
  <c r="G2898" i="1" a="1"/>
  <c r="G2898" i="1" s="1"/>
  <c r="G2888" i="1" a="1"/>
  <c r="G2888" i="1" s="1"/>
  <c r="G2878" i="1" a="1"/>
  <c r="G2878" i="1" s="1"/>
  <c r="G2868" i="1" a="1"/>
  <c r="G2868" i="1" s="1"/>
  <c r="G2858" i="1" a="1"/>
  <c r="G2858" i="1" s="1"/>
  <c r="G2848" i="1" a="1"/>
  <c r="G2848" i="1" s="1"/>
  <c r="G2838" i="1" a="1"/>
  <c r="G2838" i="1" s="1"/>
  <c r="G2828" i="1" a="1"/>
  <c r="G2828" i="1" s="1"/>
  <c r="G2818" i="1" a="1"/>
  <c r="G2818" i="1" s="1"/>
  <c r="G2808" i="1" a="1"/>
  <c r="G2808" i="1" s="1"/>
  <c r="G2798" i="1" a="1"/>
  <c r="G2798" i="1" s="1"/>
  <c r="G2788" i="1" a="1"/>
  <c r="G2788" i="1" s="1"/>
  <c r="G2778" i="1" a="1"/>
  <c r="G2778" i="1" s="1"/>
  <c r="G2768" i="1" a="1"/>
  <c r="G2768" i="1" s="1"/>
  <c r="G2758" i="1" a="1"/>
  <c r="G2758" i="1" s="1"/>
  <c r="G2748" i="1" a="1"/>
  <c r="G2748" i="1" s="1"/>
  <c r="G2738" i="1" a="1"/>
  <c r="G2738" i="1" s="1"/>
  <c r="G2728" i="1" a="1"/>
  <c r="G2728" i="1" s="1"/>
  <c r="G2718" i="1" a="1"/>
  <c r="G2718" i="1" s="1"/>
  <c r="G2708" i="1" a="1"/>
  <c r="G2708" i="1" s="1"/>
  <c r="G3347" i="1" a="1"/>
  <c r="G3347" i="1" s="1"/>
  <c r="G3337" i="1" a="1"/>
  <c r="G3337" i="1" s="1"/>
  <c r="G3327" i="1" a="1"/>
  <c r="G3327" i="1" s="1"/>
  <c r="G3317" i="1" a="1"/>
  <c r="G3317" i="1" s="1"/>
  <c r="G3307" i="1" a="1"/>
  <c r="G3307" i="1" s="1"/>
  <c r="G3297" i="1" a="1"/>
  <c r="G3297" i="1" s="1"/>
  <c r="G3287" i="1" a="1"/>
  <c r="G3287" i="1" s="1"/>
  <c r="G3277" i="1" a="1"/>
  <c r="G3277" i="1" s="1"/>
  <c r="G3267" i="1" a="1"/>
  <c r="G3267" i="1" s="1"/>
  <c r="G3257" i="1" a="1"/>
  <c r="G3257" i="1" s="1"/>
  <c r="G3247" i="1" a="1"/>
  <c r="G3247" i="1" s="1"/>
  <c r="G3237" i="1" a="1"/>
  <c r="G3237" i="1" s="1"/>
  <c r="G3227" i="1" a="1"/>
  <c r="G3227" i="1" s="1"/>
  <c r="G3217" i="1" a="1"/>
  <c r="G3217" i="1" s="1"/>
  <c r="G3207" i="1" a="1"/>
  <c r="G3207" i="1" s="1"/>
  <c r="G3197" i="1" a="1"/>
  <c r="G3197" i="1" s="1"/>
  <c r="G3187" i="1" a="1"/>
  <c r="G3187" i="1" s="1"/>
  <c r="G3177" i="1" a="1"/>
  <c r="G3177" i="1" s="1"/>
  <c r="G3167" i="1" a="1"/>
  <c r="G3167" i="1" s="1"/>
  <c r="G3157" i="1" a="1"/>
  <c r="G3157" i="1" s="1"/>
  <c r="G3147" i="1" a="1"/>
  <c r="G3147" i="1" s="1"/>
  <c r="G3137" i="1" a="1"/>
  <c r="G3137" i="1" s="1"/>
  <c r="G3127" i="1" a="1"/>
  <c r="G3127" i="1" s="1"/>
  <c r="G3117" i="1" a="1"/>
  <c r="G3117" i="1" s="1"/>
  <c r="G3107" i="1" a="1"/>
  <c r="G3107" i="1" s="1"/>
  <c r="G3097" i="1" a="1"/>
  <c r="G3097" i="1" s="1"/>
  <c r="G3087" i="1" a="1"/>
  <c r="G3087" i="1" s="1"/>
  <c r="G3077" i="1" a="1"/>
  <c r="G3077" i="1" s="1"/>
  <c r="G3067" i="1" a="1"/>
  <c r="G3067" i="1" s="1"/>
  <c r="G3057" i="1" a="1"/>
  <c r="G3057" i="1" s="1"/>
  <c r="G3047" i="1" a="1"/>
  <c r="G3047" i="1" s="1"/>
  <c r="G3037" i="1" a="1"/>
  <c r="G3037" i="1" s="1"/>
  <c r="G3027" i="1" a="1"/>
  <c r="G3027" i="1" s="1"/>
  <c r="G3017" i="1" a="1"/>
  <c r="G3017" i="1" s="1"/>
  <c r="G3007" i="1" a="1"/>
  <c r="G3007" i="1" s="1"/>
  <c r="G2997" i="1" a="1"/>
  <c r="G2997" i="1" s="1"/>
  <c r="G2987" i="1" a="1"/>
  <c r="G2987" i="1" s="1"/>
  <c r="G2977" i="1" a="1"/>
  <c r="G2977" i="1" s="1"/>
  <c r="G2967" i="1" a="1"/>
  <c r="G2967" i="1" s="1"/>
  <c r="G2957" i="1" a="1"/>
  <c r="G2957" i="1" s="1"/>
  <c r="G2947" i="1" a="1"/>
  <c r="G2947" i="1" s="1"/>
  <c r="G2937" i="1" a="1"/>
  <c r="G2937" i="1" s="1"/>
  <c r="G2927" i="1" a="1"/>
  <c r="G2927" i="1" s="1"/>
  <c r="G2917" i="1" a="1"/>
  <c r="G2917" i="1" s="1"/>
  <c r="G2907" i="1" a="1"/>
  <c r="G2907" i="1" s="1"/>
  <c r="G2897" i="1" a="1"/>
  <c r="G2897" i="1" s="1"/>
  <c r="G2887" i="1" a="1"/>
  <c r="G2887" i="1" s="1"/>
  <c r="G2877" i="1" a="1"/>
  <c r="G2877" i="1" s="1"/>
  <c r="G2867" i="1" a="1"/>
  <c r="G2867" i="1" s="1"/>
  <c r="G2857" i="1" a="1"/>
  <c r="G2857" i="1" s="1"/>
  <c r="G2847" i="1" a="1"/>
  <c r="G2847" i="1" s="1"/>
  <c r="G2837" i="1" a="1"/>
  <c r="G2837" i="1" s="1"/>
  <c r="G2827" i="1" a="1"/>
  <c r="G2827" i="1" s="1"/>
  <c r="G2817" i="1" a="1"/>
  <c r="G2817" i="1" s="1"/>
  <c r="G2807" i="1" a="1"/>
  <c r="G2807" i="1" s="1"/>
  <c r="G2797" i="1" a="1"/>
  <c r="G2797" i="1" s="1"/>
  <c r="G2787" i="1" a="1"/>
  <c r="G2787" i="1" s="1"/>
  <c r="G2777" i="1" a="1"/>
  <c r="G2777" i="1" s="1"/>
  <c r="G2767" i="1" a="1"/>
  <c r="G2767" i="1" s="1"/>
  <c r="G2757" i="1" a="1"/>
  <c r="G2757" i="1" s="1"/>
  <c r="G2747" i="1" a="1"/>
  <c r="G2747" i="1" s="1"/>
  <c r="G2737" i="1" a="1"/>
  <c r="G2737" i="1" s="1"/>
  <c r="G2727" i="1" a="1"/>
  <c r="G2727" i="1" s="1"/>
  <c r="G2717" i="1" a="1"/>
  <c r="G2717" i="1" s="1"/>
  <c r="G2707" i="1" a="1"/>
  <c r="G2707" i="1" s="1"/>
  <c r="G2697" i="1" a="1"/>
  <c r="G2697" i="1" s="1"/>
  <c r="G2687" i="1" a="1"/>
  <c r="G2687" i="1" s="1"/>
  <c r="G2677" i="1" a="1"/>
  <c r="G2677" i="1" s="1"/>
  <c r="G2667" i="1" a="1"/>
  <c r="G2667" i="1" s="1"/>
  <c r="G2657" i="1" a="1"/>
  <c r="G2657" i="1" s="1"/>
  <c r="G2647" i="1" a="1"/>
  <c r="G2647" i="1" s="1"/>
  <c r="G2637" i="1" a="1"/>
  <c r="G2637" i="1" s="1"/>
  <c r="G2627" i="1" a="1"/>
  <c r="G2627" i="1" s="1"/>
  <c r="G2617" i="1" a="1"/>
  <c r="G2617" i="1" s="1"/>
  <c r="G2607" i="1" a="1"/>
  <c r="G2607" i="1" s="1"/>
  <c r="G2597" i="1" a="1"/>
  <c r="G2597" i="1" s="1"/>
  <c r="G2587" i="1" a="1"/>
  <c r="G2587" i="1" s="1"/>
  <c r="G2577" i="1" a="1"/>
  <c r="G2577" i="1" s="1"/>
  <c r="G2567" i="1" a="1"/>
  <c r="G2567" i="1" s="1"/>
  <c r="G2557" i="1" a="1"/>
  <c r="G2557" i="1" s="1"/>
  <c r="G2547" i="1" a="1"/>
  <c r="G2547" i="1" s="1"/>
  <c r="G3386" i="1" a="1"/>
  <c r="G3386" i="1" s="1"/>
  <c r="G3376" i="1" a="1"/>
  <c r="G3376" i="1" s="1"/>
  <c r="G3366" i="1" a="1"/>
  <c r="G3366" i="1" s="1"/>
  <c r="G3356" i="1" a="1"/>
  <c r="G3356" i="1" s="1"/>
  <c r="G3346" i="1" a="1"/>
  <c r="G3346" i="1" s="1"/>
  <c r="G3336" i="1" a="1"/>
  <c r="G3336" i="1" s="1"/>
  <c r="G3326" i="1" a="1"/>
  <c r="G3326" i="1" s="1"/>
  <c r="G3316" i="1" a="1"/>
  <c r="G3316" i="1" s="1"/>
  <c r="G3306" i="1" a="1"/>
  <c r="G3306" i="1" s="1"/>
  <c r="G3296" i="1" a="1"/>
  <c r="G3296" i="1" s="1"/>
  <c r="G3286" i="1" a="1"/>
  <c r="G3286" i="1" s="1"/>
  <c r="G3276" i="1" a="1"/>
  <c r="G3276" i="1" s="1"/>
  <c r="G3266" i="1" a="1"/>
  <c r="G3266" i="1" s="1"/>
  <c r="G3256" i="1" a="1"/>
  <c r="G3256" i="1" s="1"/>
  <c r="G3246" i="1" a="1"/>
  <c r="G3246" i="1" s="1"/>
  <c r="G3236" i="1" a="1"/>
  <c r="G3236" i="1" s="1"/>
  <c r="G3226" i="1" a="1"/>
  <c r="G3226" i="1" s="1"/>
  <c r="G3216" i="1" a="1"/>
  <c r="G3216" i="1" s="1"/>
  <c r="G3206" i="1" a="1"/>
  <c r="G3206" i="1" s="1"/>
  <c r="G3196" i="1" a="1"/>
  <c r="G3196" i="1" s="1"/>
  <c r="G3186" i="1" a="1"/>
  <c r="G3186" i="1" s="1"/>
  <c r="G3176" i="1" a="1"/>
  <c r="G3176" i="1" s="1"/>
  <c r="G3166" i="1" a="1"/>
  <c r="G3166" i="1" s="1"/>
  <c r="G3156" i="1" a="1"/>
  <c r="G3156" i="1" s="1"/>
  <c r="G3146" i="1" a="1"/>
  <c r="G3146" i="1" s="1"/>
  <c r="G3136" i="1" a="1"/>
  <c r="G3136" i="1" s="1"/>
  <c r="G3126" i="1" a="1"/>
  <c r="G3126" i="1" s="1"/>
  <c r="G3116" i="1" a="1"/>
  <c r="G3116" i="1" s="1"/>
  <c r="G3106" i="1" a="1"/>
  <c r="G3106" i="1" s="1"/>
  <c r="G3096" i="1" a="1"/>
  <c r="G3096" i="1" s="1"/>
  <c r="G3086" i="1" a="1"/>
  <c r="G3086" i="1" s="1"/>
  <c r="G3076" i="1" a="1"/>
  <c r="G3076" i="1" s="1"/>
  <c r="G3066" i="1" a="1"/>
  <c r="G3066" i="1" s="1"/>
  <c r="G3056" i="1" a="1"/>
  <c r="G3056" i="1" s="1"/>
  <c r="G3046" i="1" a="1"/>
  <c r="G3046" i="1" s="1"/>
  <c r="G3036" i="1" a="1"/>
  <c r="G3036" i="1" s="1"/>
  <c r="G3026" i="1" a="1"/>
  <c r="G3026" i="1" s="1"/>
  <c r="G3016" i="1" a="1"/>
  <c r="G3016" i="1" s="1"/>
  <c r="G3006" i="1" a="1"/>
  <c r="G3006" i="1" s="1"/>
  <c r="G2996" i="1" a="1"/>
  <c r="G2996" i="1" s="1"/>
  <c r="G2986" i="1" a="1"/>
  <c r="G2986" i="1" s="1"/>
  <c r="G2976" i="1" a="1"/>
  <c r="G2976" i="1" s="1"/>
  <c r="G2966" i="1" a="1"/>
  <c r="G2966" i="1" s="1"/>
  <c r="G2956" i="1" a="1"/>
  <c r="G2956" i="1" s="1"/>
  <c r="G2946" i="1" a="1"/>
  <c r="G2946" i="1" s="1"/>
  <c r="G2936" i="1" a="1"/>
  <c r="G2936" i="1" s="1"/>
  <c r="G2926" i="1" a="1"/>
  <c r="G2926" i="1" s="1"/>
  <c r="G2916" i="1" a="1"/>
  <c r="G2916" i="1" s="1"/>
  <c r="G2906" i="1" a="1"/>
  <c r="G2906" i="1" s="1"/>
  <c r="G2896" i="1" a="1"/>
  <c r="G2896" i="1" s="1"/>
  <c r="G2886" i="1" a="1"/>
  <c r="G2886" i="1" s="1"/>
  <c r="G2876" i="1" a="1"/>
  <c r="G2876" i="1" s="1"/>
  <c r="G2866" i="1" a="1"/>
  <c r="G2866" i="1" s="1"/>
  <c r="G2856" i="1" a="1"/>
  <c r="G2856" i="1" s="1"/>
  <c r="G2846" i="1" a="1"/>
  <c r="G2846" i="1" s="1"/>
  <c r="G2836" i="1" a="1"/>
  <c r="G2836" i="1" s="1"/>
  <c r="G2826" i="1" a="1"/>
  <c r="G2826" i="1" s="1"/>
  <c r="G2816" i="1" a="1"/>
  <c r="G2816" i="1" s="1"/>
  <c r="G2806" i="1" a="1"/>
  <c r="G2806" i="1" s="1"/>
  <c r="G2796" i="1" a="1"/>
  <c r="G2796" i="1" s="1"/>
  <c r="G2786" i="1" a="1"/>
  <c r="G2786" i="1" s="1"/>
  <c r="G2776" i="1" a="1"/>
  <c r="G2776" i="1" s="1"/>
  <c r="G2766" i="1" a="1"/>
  <c r="G2766" i="1" s="1"/>
  <c r="G2756" i="1" a="1"/>
  <c r="G2756" i="1" s="1"/>
  <c r="G2746" i="1" a="1"/>
  <c r="G2746" i="1" s="1"/>
  <c r="G2736" i="1" a="1"/>
  <c r="G2736" i="1" s="1"/>
  <c r="G2726" i="1" a="1"/>
  <c r="G2726" i="1" s="1"/>
  <c r="G2716" i="1" a="1"/>
  <c r="G2716" i="1" s="1"/>
  <c r="G2706" i="1" a="1"/>
  <c r="G2706" i="1" s="1"/>
  <c r="G2696" i="1" a="1"/>
  <c r="G2696" i="1" s="1"/>
  <c r="G2686" i="1" a="1"/>
  <c r="G2686" i="1" s="1"/>
  <c r="G2676" i="1" a="1"/>
  <c r="G2676" i="1" s="1"/>
  <c r="G2666" i="1" a="1"/>
  <c r="G2666" i="1" s="1"/>
  <c r="G2656" i="1" a="1"/>
  <c r="G2656" i="1" s="1"/>
  <c r="G2646" i="1" a="1"/>
  <c r="G2646" i="1" s="1"/>
  <c r="G2636" i="1" a="1"/>
  <c r="G2636" i="1" s="1"/>
  <c r="G2626" i="1" a="1"/>
  <c r="G2626" i="1" s="1"/>
  <c r="G3305" i="1" a="1"/>
  <c r="G3305" i="1" s="1"/>
  <c r="G3295" i="1" a="1"/>
  <c r="G3295" i="1" s="1"/>
  <c r="G3285" i="1" a="1"/>
  <c r="G3285" i="1" s="1"/>
  <c r="G3275" i="1" a="1"/>
  <c r="G3275" i="1" s="1"/>
  <c r="G3265" i="1" a="1"/>
  <c r="G3265" i="1" s="1"/>
  <c r="G3255" i="1" a="1"/>
  <c r="G3255" i="1" s="1"/>
  <c r="G3245" i="1" a="1"/>
  <c r="G3245" i="1" s="1"/>
  <c r="G3235" i="1" a="1"/>
  <c r="G3235" i="1" s="1"/>
  <c r="G3225" i="1" a="1"/>
  <c r="G3225" i="1" s="1"/>
  <c r="G3215" i="1" a="1"/>
  <c r="G3215" i="1" s="1"/>
  <c r="G3205" i="1" a="1"/>
  <c r="G3205" i="1" s="1"/>
  <c r="G3195" i="1" a="1"/>
  <c r="G3195" i="1" s="1"/>
  <c r="G3185" i="1" a="1"/>
  <c r="G3185" i="1" s="1"/>
  <c r="G3175" i="1" a="1"/>
  <c r="G3175" i="1" s="1"/>
  <c r="G3165" i="1" a="1"/>
  <c r="G3165" i="1" s="1"/>
  <c r="G3155" i="1" a="1"/>
  <c r="G3155" i="1" s="1"/>
  <c r="G3145" i="1" a="1"/>
  <c r="G3145" i="1" s="1"/>
  <c r="G3135" i="1" a="1"/>
  <c r="G3135" i="1" s="1"/>
  <c r="G3125" i="1" a="1"/>
  <c r="G3125" i="1" s="1"/>
  <c r="G3115" i="1" a="1"/>
  <c r="G3115" i="1" s="1"/>
  <c r="G3105" i="1" a="1"/>
  <c r="G3105" i="1" s="1"/>
  <c r="G3095" i="1" a="1"/>
  <c r="G3095" i="1" s="1"/>
  <c r="G3085" i="1" a="1"/>
  <c r="G3085" i="1" s="1"/>
  <c r="G3075" i="1" a="1"/>
  <c r="G3075" i="1" s="1"/>
  <c r="G3065" i="1" a="1"/>
  <c r="G3065" i="1" s="1"/>
  <c r="G3055" i="1" a="1"/>
  <c r="G3055" i="1" s="1"/>
  <c r="G3045" i="1" a="1"/>
  <c r="G3045" i="1" s="1"/>
  <c r="G3035" i="1" a="1"/>
  <c r="G3035" i="1" s="1"/>
  <c r="G3025" i="1" a="1"/>
  <c r="G3025" i="1" s="1"/>
  <c r="G3015" i="1" a="1"/>
  <c r="G3015" i="1" s="1"/>
  <c r="G3005" i="1" a="1"/>
  <c r="G3005" i="1" s="1"/>
  <c r="G2995" i="1" a="1"/>
  <c r="G2995" i="1" s="1"/>
  <c r="G2985" i="1" a="1"/>
  <c r="G2985" i="1" s="1"/>
  <c r="G2975" i="1" a="1"/>
  <c r="G2975" i="1" s="1"/>
  <c r="G2965" i="1" a="1"/>
  <c r="G2965" i="1" s="1"/>
  <c r="G2955" i="1" a="1"/>
  <c r="G2955" i="1" s="1"/>
  <c r="G2945" i="1" a="1"/>
  <c r="G2945" i="1" s="1"/>
  <c r="G2935" i="1" a="1"/>
  <c r="G2935" i="1" s="1"/>
  <c r="G2925" i="1" a="1"/>
  <c r="G2925" i="1" s="1"/>
  <c r="G2915" i="1" a="1"/>
  <c r="G2915" i="1" s="1"/>
  <c r="G2905" i="1" a="1"/>
  <c r="G2905" i="1" s="1"/>
  <c r="G2895" i="1" a="1"/>
  <c r="G2895" i="1" s="1"/>
  <c r="G2885" i="1" a="1"/>
  <c r="G2885" i="1" s="1"/>
  <c r="G2875" i="1" a="1"/>
  <c r="G2875" i="1" s="1"/>
  <c r="G2865" i="1" a="1"/>
  <c r="G2865" i="1" s="1"/>
  <c r="G2855" i="1" a="1"/>
  <c r="G2855" i="1" s="1"/>
  <c r="G2845" i="1" a="1"/>
  <c r="G2845" i="1" s="1"/>
  <c r="G2835" i="1" a="1"/>
  <c r="G2835" i="1" s="1"/>
  <c r="G2825" i="1" a="1"/>
  <c r="G2825" i="1" s="1"/>
  <c r="G2815" i="1" a="1"/>
  <c r="G2815" i="1" s="1"/>
  <c r="G2805" i="1" a="1"/>
  <c r="G2805" i="1" s="1"/>
  <c r="G2795" i="1" a="1"/>
  <c r="G2795" i="1" s="1"/>
  <c r="G2785" i="1" a="1"/>
  <c r="G2785" i="1" s="1"/>
  <c r="G2775" i="1" a="1"/>
  <c r="G2775" i="1" s="1"/>
  <c r="G2765" i="1" a="1"/>
  <c r="G2765" i="1" s="1"/>
  <c r="G2755" i="1" a="1"/>
  <c r="G2755" i="1" s="1"/>
  <c r="G2745" i="1" a="1"/>
  <c r="G2745" i="1" s="1"/>
  <c r="G2735" i="1" a="1"/>
  <c r="G2735" i="1" s="1"/>
  <c r="G2725" i="1" a="1"/>
  <c r="G2725" i="1" s="1"/>
  <c r="G2715" i="1" a="1"/>
  <c r="G2715" i="1" s="1"/>
  <c r="G2705" i="1" a="1"/>
  <c r="G2705" i="1" s="1"/>
  <c r="G2695" i="1" a="1"/>
  <c r="G2695" i="1" s="1"/>
  <c r="G2685" i="1" a="1"/>
  <c r="G2685" i="1" s="1"/>
  <c r="G2675" i="1" a="1"/>
  <c r="G2675" i="1" s="1"/>
  <c r="G2665" i="1" a="1"/>
  <c r="G2665" i="1" s="1"/>
  <c r="G2655" i="1" a="1"/>
  <c r="G2655" i="1" s="1"/>
  <c r="G2645" i="1" a="1"/>
  <c r="G2645" i="1" s="1"/>
  <c r="G2635" i="1" a="1"/>
  <c r="G2635" i="1" s="1"/>
  <c r="G2625" i="1" a="1"/>
  <c r="G2625" i="1" s="1"/>
  <c r="G2615" i="1" a="1"/>
  <c r="G2615" i="1" s="1"/>
  <c r="G2605" i="1" a="1"/>
  <c r="G2605" i="1" s="1"/>
  <c r="G2595" i="1" a="1"/>
  <c r="G2595" i="1" s="1"/>
  <c r="G2585" i="1" a="1"/>
  <c r="G2585" i="1" s="1"/>
  <c r="G2575" i="1" a="1"/>
  <c r="G2575" i="1" s="1"/>
  <c r="G2565" i="1" a="1"/>
  <c r="G2565" i="1" s="1"/>
  <c r="G2555" i="1" a="1"/>
  <c r="G2555" i="1" s="1"/>
  <c r="G2545" i="1" a="1"/>
  <c r="G2545" i="1" s="1"/>
  <c r="G2535" i="1" a="1"/>
  <c r="G2535" i="1" s="1"/>
  <c r="G2525" i="1" a="1"/>
  <c r="G2525" i="1" s="1"/>
  <c r="G2515" i="1" a="1"/>
  <c r="G2515" i="1" s="1"/>
  <c r="G2505" i="1" a="1"/>
  <c r="G2505" i="1" s="1"/>
  <c r="G3314" i="1" a="1"/>
  <c r="G3314" i="1" s="1"/>
  <c r="G3304" i="1" a="1"/>
  <c r="G3304" i="1" s="1"/>
  <c r="G3294" i="1" a="1"/>
  <c r="G3294" i="1" s="1"/>
  <c r="G3284" i="1" a="1"/>
  <c r="G3284" i="1" s="1"/>
  <c r="G3274" i="1" a="1"/>
  <c r="G3274" i="1" s="1"/>
  <c r="G3264" i="1" a="1"/>
  <c r="G3264" i="1" s="1"/>
  <c r="G3254" i="1" a="1"/>
  <c r="G3254" i="1" s="1"/>
  <c r="G3244" i="1" a="1"/>
  <c r="G3244" i="1" s="1"/>
  <c r="G3234" i="1" a="1"/>
  <c r="G3234" i="1" s="1"/>
  <c r="G3224" i="1" a="1"/>
  <c r="G3224" i="1" s="1"/>
  <c r="G3214" i="1" a="1"/>
  <c r="G3214" i="1" s="1"/>
  <c r="G3204" i="1" a="1"/>
  <c r="G3204" i="1" s="1"/>
  <c r="G3194" i="1" a="1"/>
  <c r="G3194" i="1" s="1"/>
  <c r="G3184" i="1" a="1"/>
  <c r="G3184" i="1" s="1"/>
  <c r="G3174" i="1" a="1"/>
  <c r="G3174" i="1" s="1"/>
  <c r="G3164" i="1" a="1"/>
  <c r="G3164" i="1" s="1"/>
  <c r="G3154" i="1" a="1"/>
  <c r="G3154" i="1" s="1"/>
  <c r="G3144" i="1" a="1"/>
  <c r="G3144" i="1" s="1"/>
  <c r="G3134" i="1" a="1"/>
  <c r="G3134" i="1" s="1"/>
  <c r="G3124" i="1" a="1"/>
  <c r="G3124" i="1" s="1"/>
  <c r="G3114" i="1" a="1"/>
  <c r="G3114" i="1" s="1"/>
  <c r="G3104" i="1" a="1"/>
  <c r="G3104" i="1" s="1"/>
  <c r="G3094" i="1" a="1"/>
  <c r="G3094" i="1" s="1"/>
  <c r="G3084" i="1" a="1"/>
  <c r="G3084" i="1" s="1"/>
  <c r="G3074" i="1" a="1"/>
  <c r="G3074" i="1" s="1"/>
  <c r="G3064" i="1" a="1"/>
  <c r="G3064" i="1" s="1"/>
  <c r="G3054" i="1" a="1"/>
  <c r="G3054" i="1" s="1"/>
  <c r="G3044" i="1" a="1"/>
  <c r="G3044" i="1" s="1"/>
  <c r="G3034" i="1" a="1"/>
  <c r="G3034" i="1" s="1"/>
  <c r="G3024" i="1" a="1"/>
  <c r="G3024" i="1" s="1"/>
  <c r="G3014" i="1" a="1"/>
  <c r="G3014" i="1" s="1"/>
  <c r="G3004" i="1" a="1"/>
  <c r="G3004" i="1" s="1"/>
  <c r="G2994" i="1" a="1"/>
  <c r="G2994" i="1" s="1"/>
  <c r="G2984" i="1" a="1"/>
  <c r="G2984" i="1" s="1"/>
  <c r="G2974" i="1" a="1"/>
  <c r="G2974" i="1" s="1"/>
  <c r="G2964" i="1" a="1"/>
  <c r="G2964" i="1" s="1"/>
  <c r="G2954" i="1" a="1"/>
  <c r="G2954" i="1" s="1"/>
  <c r="G2944" i="1" a="1"/>
  <c r="G2944" i="1" s="1"/>
  <c r="G2934" i="1" a="1"/>
  <c r="G2934" i="1" s="1"/>
  <c r="G2924" i="1" a="1"/>
  <c r="G2924" i="1" s="1"/>
  <c r="G2914" i="1" a="1"/>
  <c r="G2914" i="1" s="1"/>
  <c r="G2904" i="1" a="1"/>
  <c r="G2904" i="1" s="1"/>
  <c r="G2894" i="1" a="1"/>
  <c r="G2894" i="1" s="1"/>
  <c r="G2884" i="1" a="1"/>
  <c r="G2884" i="1" s="1"/>
  <c r="G2874" i="1" a="1"/>
  <c r="G2874" i="1" s="1"/>
  <c r="G2864" i="1" a="1"/>
  <c r="G2864" i="1" s="1"/>
  <c r="G2854" i="1" a="1"/>
  <c r="G2854" i="1" s="1"/>
  <c r="G2844" i="1" a="1"/>
  <c r="G2844" i="1" s="1"/>
  <c r="G2834" i="1" a="1"/>
  <c r="G2834" i="1" s="1"/>
  <c r="G2824" i="1" a="1"/>
  <c r="G2824" i="1" s="1"/>
  <c r="G2814" i="1" a="1"/>
  <c r="G2814" i="1" s="1"/>
  <c r="G2804" i="1" a="1"/>
  <c r="G2804" i="1" s="1"/>
  <c r="G2794" i="1" a="1"/>
  <c r="G2794" i="1" s="1"/>
  <c r="G2784" i="1" a="1"/>
  <c r="G2784" i="1" s="1"/>
  <c r="G2774" i="1" a="1"/>
  <c r="G2774" i="1" s="1"/>
  <c r="G2764" i="1" a="1"/>
  <c r="G2764" i="1" s="1"/>
  <c r="G2754" i="1" a="1"/>
  <c r="G2754" i="1" s="1"/>
  <c r="G2744" i="1" a="1"/>
  <c r="G2744" i="1" s="1"/>
  <c r="G2734" i="1" a="1"/>
  <c r="G2734" i="1" s="1"/>
  <c r="G2724" i="1" a="1"/>
  <c r="G2724" i="1" s="1"/>
  <c r="G2714" i="1" a="1"/>
  <c r="G2714" i="1" s="1"/>
  <c r="G2704" i="1" a="1"/>
  <c r="G2704" i="1" s="1"/>
  <c r="G2694" i="1" a="1"/>
  <c r="G2694" i="1" s="1"/>
  <c r="G2684" i="1" a="1"/>
  <c r="G2684" i="1" s="1"/>
  <c r="G2674" i="1" a="1"/>
  <c r="G2674" i="1" s="1"/>
  <c r="G2664" i="1" a="1"/>
  <c r="G2664" i="1" s="1"/>
  <c r="G2654" i="1" a="1"/>
  <c r="G2654" i="1" s="1"/>
  <c r="G2644" i="1" a="1"/>
  <c r="G2644" i="1" s="1"/>
  <c r="G2634" i="1" a="1"/>
  <c r="G2634" i="1" s="1"/>
  <c r="G2624" i="1" a="1"/>
  <c r="G2624" i="1" s="1"/>
  <c r="G2614" i="1" a="1"/>
  <c r="G2614" i="1" s="1"/>
  <c r="G2604" i="1" a="1"/>
  <c r="G2604" i="1" s="1"/>
  <c r="G2594" i="1" a="1"/>
  <c r="G2594" i="1" s="1"/>
  <c r="G2584" i="1" a="1"/>
  <c r="G2584" i="1" s="1"/>
  <c r="G2574" i="1" a="1"/>
  <c r="G2574" i="1" s="1"/>
  <c r="G2564" i="1" a="1"/>
  <c r="G2564" i="1" s="1"/>
  <c r="G2554" i="1" a="1"/>
  <c r="G2554" i="1" s="1"/>
  <c r="G2544" i="1" a="1"/>
  <c r="G2544" i="1" s="1"/>
  <c r="G2534" i="1" a="1"/>
  <c r="G2534" i="1" s="1"/>
  <c r="G2524" i="1" a="1"/>
  <c r="G2524" i="1" s="1"/>
  <c r="G2503" i="1" a="1"/>
  <c r="G2503" i="1" s="1"/>
  <c r="G2493" i="1" a="1"/>
  <c r="G2493" i="1" s="1"/>
  <c r="G2483" i="1" a="1"/>
  <c r="G2483" i="1" s="1"/>
  <c r="G2473" i="1" a="1"/>
  <c r="G2473" i="1" s="1"/>
  <c r="G2463" i="1" a="1"/>
  <c r="G2463" i="1" s="1"/>
  <c r="G2453" i="1" a="1"/>
  <c r="G2453" i="1" s="1"/>
  <c r="G2443" i="1" a="1"/>
  <c r="G2443" i="1" s="1"/>
  <c r="G2433" i="1" a="1"/>
  <c r="G2433" i="1" s="1"/>
  <c r="G2423" i="1" a="1"/>
  <c r="G2423" i="1" s="1"/>
  <c r="G2413" i="1" a="1"/>
  <c r="G2413" i="1" s="1"/>
  <c r="G2403" i="1" a="1"/>
  <c r="G2403" i="1" s="1"/>
  <c r="G2393" i="1" a="1"/>
  <c r="G2393" i="1" s="1"/>
  <c r="G2383" i="1" a="1"/>
  <c r="G2383" i="1" s="1"/>
  <c r="G2373" i="1" a="1"/>
  <c r="G2373" i="1" s="1"/>
  <c r="G2363" i="1" a="1"/>
  <c r="G2363" i="1" s="1"/>
  <c r="G2353" i="1" a="1"/>
  <c r="G2353" i="1" s="1"/>
  <c r="G2343" i="1" a="1"/>
  <c r="G2343" i="1" s="1"/>
  <c r="G2333" i="1" a="1"/>
  <c r="G2333" i="1" s="1"/>
  <c r="G2323" i="1" a="1"/>
  <c r="G2323" i="1" s="1"/>
  <c r="G2313" i="1" a="1"/>
  <c r="G2313" i="1" s="1"/>
  <c r="G2303" i="1" a="1"/>
  <c r="G2303" i="1" s="1"/>
  <c r="G2293" i="1" a="1"/>
  <c r="G2293" i="1" s="1"/>
  <c r="G2283" i="1" a="1"/>
  <c r="G2283" i="1" s="1"/>
  <c r="G2273" i="1" a="1"/>
  <c r="G2273" i="1" s="1"/>
  <c r="G2263" i="1" a="1"/>
  <c r="G2263" i="1" s="1"/>
  <c r="G2253" i="1" a="1"/>
  <c r="G2253" i="1" s="1"/>
  <c r="G2243" i="1" a="1"/>
  <c r="G2243" i="1" s="1"/>
  <c r="G2233" i="1" a="1"/>
  <c r="G2233" i="1" s="1"/>
  <c r="G2223" i="1" a="1"/>
  <c r="G2223" i="1" s="1"/>
  <c r="G2213" i="1" a="1"/>
  <c r="G2213" i="1" s="1"/>
  <c r="G2203" i="1" a="1"/>
  <c r="G2203" i="1" s="1"/>
  <c r="G2193" i="1" a="1"/>
  <c r="G2193" i="1" s="1"/>
  <c r="G2183" i="1" a="1"/>
  <c r="G2183" i="1" s="1"/>
  <c r="G2173" i="1" a="1"/>
  <c r="G2173" i="1" s="1"/>
  <c r="G2163" i="1" a="1"/>
  <c r="G2163" i="1" s="1"/>
  <c r="G2153" i="1" a="1"/>
  <c r="G2153" i="1" s="1"/>
  <c r="G2143" i="1" a="1"/>
  <c r="G2143" i="1" s="1"/>
  <c r="G2133" i="1" a="1"/>
  <c r="G2133" i="1" s="1"/>
  <c r="G2123" i="1" a="1"/>
  <c r="G2123" i="1" s="1"/>
  <c r="G2113" i="1" a="1"/>
  <c r="G2113" i="1" s="1"/>
  <c r="G2103" i="1" a="1"/>
  <c r="G2103" i="1" s="1"/>
  <c r="G2093" i="1" a="1"/>
  <c r="G2093" i="1" s="1"/>
  <c r="G2083" i="1" a="1"/>
  <c r="G2083" i="1" s="1"/>
  <c r="G2073" i="1" a="1"/>
  <c r="G2073" i="1" s="1"/>
  <c r="G2063" i="1" a="1"/>
  <c r="G2063" i="1" s="1"/>
  <c r="G2053" i="1" a="1"/>
  <c r="G2053" i="1" s="1"/>
  <c r="G2043" i="1" a="1"/>
  <c r="G2043" i="1" s="1"/>
  <c r="G2033" i="1" a="1"/>
  <c r="G2033" i="1" s="1"/>
  <c r="G2023" i="1" a="1"/>
  <c r="G2023" i="1" s="1"/>
  <c r="G2013" i="1" a="1"/>
  <c r="G2013" i="1" s="1"/>
  <c r="G2003" i="1" a="1"/>
  <c r="G2003" i="1" s="1"/>
  <c r="G1993" i="1" a="1"/>
  <c r="G1993" i="1" s="1"/>
  <c r="G1983" i="1" a="1"/>
  <c r="G1983" i="1" s="1"/>
  <c r="G1973" i="1" a="1"/>
  <c r="G1973" i="1" s="1"/>
  <c r="G1963" i="1" a="1"/>
  <c r="G1963" i="1" s="1"/>
  <c r="G1953" i="1" a="1"/>
  <c r="G1953" i="1" s="1"/>
  <c r="G1943" i="1" a="1"/>
  <c r="G1943" i="1" s="1"/>
  <c r="G1933" i="1" a="1"/>
  <c r="G1933" i="1" s="1"/>
  <c r="G1923" i="1" a="1"/>
  <c r="G1923" i="1" s="1"/>
  <c r="G1913" i="1" a="1"/>
  <c r="G1913" i="1" s="1"/>
  <c r="G1903" i="1" a="1"/>
  <c r="G1903" i="1" s="1"/>
  <c r="G1893" i="1" a="1"/>
  <c r="G1893" i="1" s="1"/>
  <c r="G1883" i="1" a="1"/>
  <c r="G1883" i="1" s="1"/>
  <c r="G1873" i="1" a="1"/>
  <c r="G1873" i="1" s="1"/>
  <c r="G1863" i="1" a="1"/>
  <c r="G1863" i="1" s="1"/>
  <c r="G1853" i="1" a="1"/>
  <c r="G1853" i="1" s="1"/>
  <c r="G1843" i="1" a="1"/>
  <c r="G1843" i="1" s="1"/>
  <c r="G1833" i="1" a="1"/>
  <c r="G1833" i="1" s="1"/>
  <c r="G1823" i="1" a="1"/>
  <c r="G1823" i="1" s="1"/>
  <c r="G1813" i="1" a="1"/>
  <c r="G1813" i="1" s="1"/>
  <c r="G1803" i="1" a="1"/>
  <c r="G1803" i="1" s="1"/>
  <c r="G1793" i="1" a="1"/>
  <c r="G1793" i="1" s="1"/>
  <c r="G2472" i="1" a="1"/>
  <c r="G2472" i="1" s="1"/>
  <c r="G2462" i="1" a="1"/>
  <c r="G2462" i="1" s="1"/>
  <c r="G2452" i="1" a="1"/>
  <c r="G2452" i="1" s="1"/>
  <c r="G2442" i="1" a="1"/>
  <c r="G2442" i="1" s="1"/>
  <c r="G2432" i="1" a="1"/>
  <c r="G2432" i="1" s="1"/>
  <c r="G2422" i="1" a="1"/>
  <c r="G2422" i="1" s="1"/>
  <c r="G2412" i="1" a="1"/>
  <c r="G2412" i="1" s="1"/>
  <c r="G2402" i="1" a="1"/>
  <c r="G2402" i="1" s="1"/>
  <c r="G2392" i="1" a="1"/>
  <c r="G2392" i="1" s="1"/>
  <c r="G2382" i="1" a="1"/>
  <c r="G2382" i="1" s="1"/>
  <c r="G2372" i="1" a="1"/>
  <c r="G2372" i="1" s="1"/>
  <c r="G2362" i="1" a="1"/>
  <c r="G2362" i="1" s="1"/>
  <c r="G2352" i="1" a="1"/>
  <c r="G2352" i="1" s="1"/>
  <c r="G2342" i="1" a="1"/>
  <c r="G2342" i="1" s="1"/>
  <c r="G2332" i="1" a="1"/>
  <c r="G2332" i="1" s="1"/>
  <c r="G2322" i="1" a="1"/>
  <c r="G2322" i="1" s="1"/>
  <c r="G2312" i="1" a="1"/>
  <c r="G2312" i="1" s="1"/>
  <c r="G2302" i="1" a="1"/>
  <c r="G2302" i="1" s="1"/>
  <c r="G2292" i="1" a="1"/>
  <c r="G2292" i="1" s="1"/>
  <c r="G2282" i="1" a="1"/>
  <c r="G2282" i="1" s="1"/>
  <c r="G2272" i="1" a="1"/>
  <c r="G2272" i="1" s="1"/>
  <c r="G2262" i="1" a="1"/>
  <c r="G2262" i="1" s="1"/>
  <c r="G2252" i="1" a="1"/>
  <c r="G2252" i="1" s="1"/>
  <c r="G2242" i="1" a="1"/>
  <c r="G2242" i="1" s="1"/>
  <c r="G2232" i="1" a="1"/>
  <c r="G2232" i="1" s="1"/>
  <c r="G2222" i="1" a="1"/>
  <c r="G2222" i="1" s="1"/>
  <c r="G2212" i="1" a="1"/>
  <c r="G2212" i="1" s="1"/>
  <c r="G2202" i="1" a="1"/>
  <c r="G2202" i="1" s="1"/>
  <c r="G2192" i="1" a="1"/>
  <c r="G2192" i="1" s="1"/>
  <c r="G2182" i="1" a="1"/>
  <c r="G2182" i="1" s="1"/>
  <c r="G2172" i="1" a="1"/>
  <c r="G2172" i="1" s="1"/>
  <c r="G2162" i="1" a="1"/>
  <c r="G2162" i="1" s="1"/>
  <c r="G2152" i="1" a="1"/>
  <c r="G2152" i="1" s="1"/>
  <c r="G2142" i="1" a="1"/>
  <c r="G2142" i="1" s="1"/>
  <c r="G2132" i="1" a="1"/>
  <c r="G2132" i="1" s="1"/>
  <c r="G2122" i="1" a="1"/>
  <c r="G2122" i="1" s="1"/>
  <c r="G2112" i="1" a="1"/>
  <c r="G2112" i="1" s="1"/>
  <c r="G2102" i="1" a="1"/>
  <c r="G2102" i="1" s="1"/>
  <c r="G2092" i="1" a="1"/>
  <c r="G2092" i="1" s="1"/>
  <c r="G2082" i="1" a="1"/>
  <c r="G2082" i="1" s="1"/>
  <c r="G2072" i="1" a="1"/>
  <c r="G2072" i="1" s="1"/>
  <c r="G2062" i="1" a="1"/>
  <c r="G2062" i="1" s="1"/>
  <c r="G2052" i="1" a="1"/>
  <c r="G2052" i="1" s="1"/>
  <c r="G2042" i="1" a="1"/>
  <c r="G2042" i="1" s="1"/>
  <c r="G2032" i="1" a="1"/>
  <c r="G2032" i="1" s="1"/>
  <c r="G2022" i="1" a="1"/>
  <c r="G2022" i="1" s="1"/>
  <c r="G2012" i="1" a="1"/>
  <c r="G2012" i="1" s="1"/>
  <c r="G2002" i="1" a="1"/>
  <c r="G2002" i="1" s="1"/>
  <c r="G1992" i="1" a="1"/>
  <c r="G1992" i="1" s="1"/>
  <c r="G1982" i="1" a="1"/>
  <c r="G1982" i="1" s="1"/>
  <c r="G1972" i="1" a="1"/>
  <c r="G1972" i="1" s="1"/>
  <c r="G1962" i="1" a="1"/>
  <c r="G1962" i="1" s="1"/>
  <c r="G1952" i="1" a="1"/>
  <c r="G1952" i="1" s="1"/>
  <c r="G1942" i="1" a="1"/>
  <c r="G1942" i="1" s="1"/>
  <c r="G1932" i="1" a="1"/>
  <c r="G1932" i="1" s="1"/>
  <c r="G1922" i="1" a="1"/>
  <c r="G1922" i="1" s="1"/>
  <c r="G1912" i="1" a="1"/>
  <c r="G1912" i="1" s="1"/>
  <c r="G1902" i="1" a="1"/>
  <c r="G1902" i="1" s="1"/>
  <c r="G1892" i="1" a="1"/>
  <c r="G1892" i="1" s="1"/>
  <c r="G1882" i="1" a="1"/>
  <c r="G1882" i="1" s="1"/>
  <c r="G1872" i="1" a="1"/>
  <c r="G1872" i="1" s="1"/>
  <c r="G1862" i="1" a="1"/>
  <c r="G1862" i="1" s="1"/>
  <c r="G1852" i="1" a="1"/>
  <c r="G1852" i="1" s="1"/>
  <c r="G1842" i="1" a="1"/>
  <c r="G1842" i="1" s="1"/>
  <c r="G1832" i="1" a="1"/>
  <c r="G1832" i="1" s="1"/>
  <c r="G1822" i="1" a="1"/>
  <c r="G1822" i="1" s="1"/>
  <c r="G1812" i="1" a="1"/>
  <c r="G1812" i="1" s="1"/>
  <c r="G1802" i="1" a="1"/>
  <c r="G1802" i="1" s="1"/>
  <c r="G1792" i="1" a="1"/>
  <c r="G1792" i="1" s="1"/>
  <c r="G1782" i="1" a="1"/>
  <c r="G1782" i="1" s="1"/>
  <c r="G1772" i="1" a="1"/>
  <c r="G1772" i="1" s="1"/>
  <c r="G1762" i="1" a="1"/>
  <c r="G1762" i="1" s="1"/>
  <c r="G1752" i="1" a="1"/>
  <c r="G1752" i="1" s="1"/>
  <c r="G2581" i="1" a="1"/>
  <c r="G2581" i="1" s="1"/>
  <c r="G2571" i="1" a="1"/>
  <c r="G2571" i="1" s="1"/>
  <c r="G2561" i="1" a="1"/>
  <c r="G2561" i="1" s="1"/>
  <c r="G2551" i="1" a="1"/>
  <c r="G2551" i="1" s="1"/>
  <c r="G2541" i="1" a="1"/>
  <c r="G2541" i="1" s="1"/>
  <c r="G2531" i="1" a="1"/>
  <c r="G2531" i="1" s="1"/>
  <c r="G2521" i="1" a="1"/>
  <c r="G2521" i="1" s="1"/>
  <c r="G2511" i="1" a="1"/>
  <c r="G2511" i="1" s="1"/>
  <c r="G2501" i="1" a="1"/>
  <c r="G2501" i="1" s="1"/>
  <c r="G2491" i="1" a="1"/>
  <c r="G2491" i="1" s="1"/>
  <c r="G2481" i="1" a="1"/>
  <c r="G2481" i="1" s="1"/>
  <c r="G2471" i="1" a="1"/>
  <c r="G2471" i="1" s="1"/>
  <c r="G2461" i="1" a="1"/>
  <c r="G2461" i="1" s="1"/>
  <c r="G2451" i="1" a="1"/>
  <c r="G2451" i="1" s="1"/>
  <c r="G2441" i="1" a="1"/>
  <c r="G2441" i="1" s="1"/>
  <c r="G2431" i="1" a="1"/>
  <c r="G2431" i="1" s="1"/>
  <c r="G2421" i="1" a="1"/>
  <c r="G2421" i="1" s="1"/>
  <c r="G2411" i="1" a="1"/>
  <c r="G2411" i="1" s="1"/>
  <c r="G2401" i="1" a="1"/>
  <c r="G2401" i="1" s="1"/>
  <c r="G2391" i="1" a="1"/>
  <c r="G2391" i="1" s="1"/>
  <c r="G2381" i="1" a="1"/>
  <c r="G2381" i="1" s="1"/>
  <c r="G2371" i="1" a="1"/>
  <c r="G2371" i="1" s="1"/>
  <c r="G2361" i="1" a="1"/>
  <c r="G2361" i="1" s="1"/>
  <c r="G2351" i="1" a="1"/>
  <c r="G2351" i="1" s="1"/>
  <c r="G2341" i="1" a="1"/>
  <c r="G2341" i="1" s="1"/>
  <c r="G2331" i="1" a="1"/>
  <c r="G2331" i="1" s="1"/>
  <c r="G2321" i="1" a="1"/>
  <c r="G2321" i="1" s="1"/>
  <c r="G2311" i="1" a="1"/>
  <c r="G2311" i="1" s="1"/>
  <c r="G2301" i="1" a="1"/>
  <c r="G2301" i="1" s="1"/>
  <c r="G2291" i="1" a="1"/>
  <c r="G2291" i="1" s="1"/>
  <c r="G2281" i="1" a="1"/>
  <c r="G2281" i="1" s="1"/>
  <c r="G2271" i="1" a="1"/>
  <c r="G2271" i="1" s="1"/>
  <c r="G2261" i="1" a="1"/>
  <c r="G2261" i="1" s="1"/>
  <c r="G2251" i="1" a="1"/>
  <c r="G2251" i="1" s="1"/>
  <c r="G2241" i="1" a="1"/>
  <c r="G2241" i="1" s="1"/>
  <c r="G2231" i="1" a="1"/>
  <c r="G2231" i="1" s="1"/>
  <c r="G2221" i="1" a="1"/>
  <c r="G2221" i="1" s="1"/>
  <c r="G2211" i="1" a="1"/>
  <c r="G2211" i="1" s="1"/>
  <c r="G2201" i="1" a="1"/>
  <c r="G2201" i="1" s="1"/>
  <c r="G2191" i="1" a="1"/>
  <c r="G2191" i="1" s="1"/>
  <c r="G2181" i="1" a="1"/>
  <c r="G2181" i="1" s="1"/>
  <c r="G2171" i="1" a="1"/>
  <c r="G2171" i="1" s="1"/>
  <c r="G2161" i="1" a="1"/>
  <c r="G2161" i="1" s="1"/>
  <c r="G2151" i="1" a="1"/>
  <c r="G2151" i="1" s="1"/>
  <c r="G2141" i="1" a="1"/>
  <c r="G2141" i="1" s="1"/>
  <c r="G2131" i="1" a="1"/>
  <c r="G2131" i="1" s="1"/>
  <c r="G2121" i="1" a="1"/>
  <c r="G2121" i="1" s="1"/>
  <c r="G2111" i="1" a="1"/>
  <c r="G2111" i="1" s="1"/>
  <c r="G2101" i="1" a="1"/>
  <c r="G2101" i="1" s="1"/>
  <c r="G2091" i="1" a="1"/>
  <c r="G2091" i="1" s="1"/>
  <c r="G2081" i="1" a="1"/>
  <c r="G2081" i="1" s="1"/>
  <c r="G2071" i="1" a="1"/>
  <c r="G2071" i="1" s="1"/>
  <c r="G2061" i="1" a="1"/>
  <c r="G2061" i="1" s="1"/>
  <c r="G2051" i="1" a="1"/>
  <c r="G2051" i="1" s="1"/>
  <c r="G2041" i="1" a="1"/>
  <c r="G2041" i="1" s="1"/>
  <c r="G2031" i="1" a="1"/>
  <c r="G2031" i="1" s="1"/>
  <c r="G2021" i="1" a="1"/>
  <c r="G2021" i="1" s="1"/>
  <c r="G2011" i="1" a="1"/>
  <c r="G2011" i="1" s="1"/>
  <c r="G2001" i="1" a="1"/>
  <c r="G2001" i="1" s="1"/>
  <c r="G1991" i="1" a="1"/>
  <c r="G1991" i="1" s="1"/>
  <c r="G1981" i="1" a="1"/>
  <c r="G1981" i="1" s="1"/>
  <c r="G1971" i="1" a="1"/>
  <c r="G1971" i="1" s="1"/>
  <c r="G1961" i="1" a="1"/>
  <c r="G1961" i="1" s="1"/>
  <c r="G1951" i="1" a="1"/>
  <c r="G1951" i="1" s="1"/>
  <c r="G1941" i="1" a="1"/>
  <c r="G1941" i="1" s="1"/>
  <c r="G1931" i="1" a="1"/>
  <c r="G1931" i="1" s="1"/>
  <c r="G1921" i="1" a="1"/>
  <c r="G1921" i="1" s="1"/>
  <c r="G1911" i="1" a="1"/>
  <c r="G1911" i="1" s="1"/>
  <c r="G1901" i="1" a="1"/>
  <c r="G1901" i="1" s="1"/>
  <c r="G1891" i="1" a="1"/>
  <c r="G1891" i="1" s="1"/>
  <c r="G1881" i="1" a="1"/>
  <c r="G1881" i="1" s="1"/>
  <c r="G1871" i="1" a="1"/>
  <c r="G1871" i="1" s="1"/>
  <c r="G1861" i="1" a="1"/>
  <c r="G1861" i="1" s="1"/>
  <c r="G1851" i="1" a="1"/>
  <c r="G1851" i="1" s="1"/>
  <c r="G1841" i="1" a="1"/>
  <c r="G1841" i="1" s="1"/>
  <c r="G1831" i="1" a="1"/>
  <c r="G1831" i="1" s="1"/>
  <c r="G1821" i="1" a="1"/>
  <c r="G1821" i="1" s="1"/>
  <c r="G1811" i="1" a="1"/>
  <c r="G1811" i="1" s="1"/>
  <c r="G1801" i="1" a="1"/>
  <c r="G1801" i="1" s="1"/>
  <c r="G1791" i="1" a="1"/>
  <c r="G1791" i="1" s="1"/>
  <c r="G1781" i="1" a="1"/>
  <c r="G1781" i="1" s="1"/>
  <c r="G2580" i="1" a="1"/>
  <c r="G2580" i="1" s="1"/>
  <c r="G2570" i="1" a="1"/>
  <c r="G2570" i="1" s="1"/>
  <c r="G2560" i="1" a="1"/>
  <c r="G2560" i="1" s="1"/>
  <c r="G2550" i="1" a="1"/>
  <c r="G2550" i="1" s="1"/>
  <c r="G2540" i="1" a="1"/>
  <c r="G2540" i="1" s="1"/>
  <c r="G2530" i="1" a="1"/>
  <c r="G2530" i="1" s="1"/>
  <c r="G2520" i="1" a="1"/>
  <c r="G2520" i="1" s="1"/>
  <c r="G2510" i="1" a="1"/>
  <c r="G2510" i="1" s="1"/>
  <c r="G2500" i="1" a="1"/>
  <c r="G2500" i="1" s="1"/>
  <c r="G2490" i="1" a="1"/>
  <c r="G2490" i="1" s="1"/>
  <c r="G2480" i="1" a="1"/>
  <c r="G2480" i="1" s="1"/>
  <c r="G2470" i="1" a="1"/>
  <c r="G2470" i="1" s="1"/>
  <c r="G2460" i="1" a="1"/>
  <c r="G2460" i="1" s="1"/>
  <c r="G2450" i="1" a="1"/>
  <c r="G2450" i="1" s="1"/>
  <c r="G2440" i="1" a="1"/>
  <c r="G2440" i="1" s="1"/>
  <c r="G2430" i="1" a="1"/>
  <c r="G2430" i="1" s="1"/>
  <c r="G2420" i="1" a="1"/>
  <c r="G2420" i="1" s="1"/>
  <c r="G2410" i="1" a="1"/>
  <c r="G2410" i="1" s="1"/>
  <c r="G2400" i="1" a="1"/>
  <c r="G2400" i="1" s="1"/>
  <c r="G2390" i="1" a="1"/>
  <c r="G2390" i="1" s="1"/>
  <c r="G2380" i="1" a="1"/>
  <c r="G2380" i="1" s="1"/>
  <c r="G2370" i="1" a="1"/>
  <c r="G2370" i="1" s="1"/>
  <c r="G2360" i="1" a="1"/>
  <c r="G2360" i="1" s="1"/>
  <c r="G2350" i="1" a="1"/>
  <c r="G2350" i="1" s="1"/>
  <c r="G2340" i="1" a="1"/>
  <c r="G2340" i="1" s="1"/>
  <c r="G2330" i="1" a="1"/>
  <c r="G2330" i="1" s="1"/>
  <c r="G2320" i="1" a="1"/>
  <c r="G2320" i="1" s="1"/>
  <c r="G2310" i="1" a="1"/>
  <c r="G2310" i="1" s="1"/>
  <c r="G2300" i="1" a="1"/>
  <c r="G2300" i="1" s="1"/>
  <c r="G2290" i="1" a="1"/>
  <c r="G2290" i="1" s="1"/>
  <c r="G2280" i="1" a="1"/>
  <c r="G2280" i="1" s="1"/>
  <c r="G2270" i="1" a="1"/>
  <c r="G2270" i="1" s="1"/>
  <c r="G2260" i="1" a="1"/>
  <c r="G2260" i="1" s="1"/>
  <c r="G2250" i="1" a="1"/>
  <c r="G2250" i="1" s="1"/>
  <c r="G2240" i="1" a="1"/>
  <c r="G2240" i="1" s="1"/>
  <c r="G2230" i="1" a="1"/>
  <c r="G2230" i="1" s="1"/>
  <c r="G2220" i="1" a="1"/>
  <c r="G2220" i="1" s="1"/>
  <c r="G2210" i="1" a="1"/>
  <c r="G2210" i="1" s="1"/>
  <c r="G2200" i="1" a="1"/>
  <c r="G2200" i="1" s="1"/>
  <c r="G2190" i="1" a="1"/>
  <c r="G2190" i="1" s="1"/>
  <c r="G2180" i="1" a="1"/>
  <c r="G2180" i="1" s="1"/>
  <c r="G2170" i="1" a="1"/>
  <c r="G2170" i="1" s="1"/>
  <c r="G2160" i="1" a="1"/>
  <c r="G2160" i="1" s="1"/>
  <c r="G2150" i="1" a="1"/>
  <c r="G2150" i="1" s="1"/>
  <c r="G2140" i="1" a="1"/>
  <c r="G2140" i="1" s="1"/>
  <c r="G2130" i="1" a="1"/>
  <c r="G2130" i="1" s="1"/>
  <c r="G2120" i="1" a="1"/>
  <c r="G2120" i="1" s="1"/>
  <c r="G2110" i="1" a="1"/>
  <c r="G2110" i="1" s="1"/>
  <c r="G2100" i="1" a="1"/>
  <c r="G2100" i="1" s="1"/>
  <c r="G2090" i="1" a="1"/>
  <c r="G2090" i="1" s="1"/>
  <c r="G2080" i="1" a="1"/>
  <c r="G2080" i="1" s="1"/>
  <c r="G2070" i="1" a="1"/>
  <c r="G2070" i="1" s="1"/>
  <c r="G2060" i="1" a="1"/>
  <c r="G2060" i="1" s="1"/>
  <c r="G2050" i="1" a="1"/>
  <c r="G2050" i="1" s="1"/>
  <c r="G2040" i="1" a="1"/>
  <c r="G2040" i="1" s="1"/>
  <c r="G2030" i="1" a="1"/>
  <c r="G2030" i="1" s="1"/>
  <c r="G2020" i="1" a="1"/>
  <c r="G2020" i="1" s="1"/>
  <c r="G2010" i="1" a="1"/>
  <c r="G2010" i="1" s="1"/>
  <c r="G2000" i="1" a="1"/>
  <c r="G2000" i="1" s="1"/>
  <c r="G1990" i="1" a="1"/>
  <c r="G1990" i="1" s="1"/>
  <c r="G1980" i="1" a="1"/>
  <c r="G1980" i="1" s="1"/>
  <c r="G1970" i="1" a="1"/>
  <c r="G1970" i="1" s="1"/>
  <c r="G1960" i="1" a="1"/>
  <c r="G1960" i="1" s="1"/>
  <c r="G1950" i="1" a="1"/>
  <c r="G1950" i="1" s="1"/>
  <c r="G1940" i="1" a="1"/>
  <c r="G1940" i="1" s="1"/>
  <c r="G1930" i="1" a="1"/>
  <c r="G1930" i="1" s="1"/>
  <c r="G1920" i="1" a="1"/>
  <c r="G1920" i="1" s="1"/>
  <c r="G1910" i="1" a="1"/>
  <c r="G1910" i="1" s="1"/>
  <c r="G1900" i="1" a="1"/>
  <c r="G1900" i="1" s="1"/>
  <c r="G1890" i="1" a="1"/>
  <c r="G1890" i="1" s="1"/>
  <c r="G1880" i="1" a="1"/>
  <c r="G1880" i="1" s="1"/>
  <c r="G1870" i="1" a="1"/>
  <c r="G1870" i="1" s="1"/>
  <c r="G1860" i="1" a="1"/>
  <c r="G1860" i="1" s="1"/>
  <c r="G1850" i="1" a="1"/>
  <c r="G1850" i="1" s="1"/>
  <c r="G1840" i="1" a="1"/>
  <c r="G1840" i="1" s="1"/>
  <c r="G1830" i="1" a="1"/>
  <c r="G1830" i="1" s="1"/>
  <c r="G1820" i="1" a="1"/>
  <c r="G1820" i="1" s="1"/>
  <c r="G1810" i="1" a="1"/>
  <c r="G1810" i="1" s="1"/>
  <c r="G1800" i="1" a="1"/>
  <c r="G1800" i="1" s="1"/>
  <c r="G2679" i="1" a="1"/>
  <c r="G2679" i="1" s="1"/>
  <c r="G2669" i="1" a="1"/>
  <c r="G2669" i="1" s="1"/>
  <c r="G2659" i="1" a="1"/>
  <c r="G2659" i="1" s="1"/>
  <c r="G2649" i="1" a="1"/>
  <c r="G2649" i="1" s="1"/>
  <c r="G2639" i="1" a="1"/>
  <c r="G2639" i="1" s="1"/>
  <c r="G2629" i="1" a="1"/>
  <c r="G2629" i="1" s="1"/>
  <c r="G2619" i="1" a="1"/>
  <c r="G2619" i="1" s="1"/>
  <c r="G2609" i="1" a="1"/>
  <c r="G2609" i="1" s="1"/>
  <c r="G2599" i="1" a="1"/>
  <c r="G2599" i="1" s="1"/>
  <c r="G2589" i="1" a="1"/>
  <c r="G2589" i="1" s="1"/>
  <c r="G2579" i="1" a="1"/>
  <c r="G2579" i="1" s="1"/>
  <c r="G2569" i="1" a="1"/>
  <c r="G2569" i="1" s="1"/>
  <c r="G2559" i="1" a="1"/>
  <c r="G2559" i="1" s="1"/>
  <c r="G2549" i="1" a="1"/>
  <c r="G2549" i="1" s="1"/>
  <c r="G2539" i="1" a="1"/>
  <c r="G2539" i="1" s="1"/>
  <c r="G2529" i="1" a="1"/>
  <c r="G2529" i="1" s="1"/>
  <c r="G2519" i="1" a="1"/>
  <c r="G2519" i="1" s="1"/>
  <c r="G2509" i="1" a="1"/>
  <c r="G2509" i="1" s="1"/>
  <c r="G2499" i="1" a="1"/>
  <c r="G2499" i="1" s="1"/>
  <c r="G2489" i="1" a="1"/>
  <c r="G2489" i="1" s="1"/>
  <c r="G2479" i="1" a="1"/>
  <c r="G2479" i="1" s="1"/>
  <c r="G2469" i="1" a="1"/>
  <c r="G2469" i="1" s="1"/>
  <c r="G2459" i="1" a="1"/>
  <c r="G2459" i="1" s="1"/>
  <c r="G2449" i="1" a="1"/>
  <c r="G2449" i="1" s="1"/>
  <c r="G2439" i="1" a="1"/>
  <c r="G2439" i="1" s="1"/>
  <c r="G2429" i="1" a="1"/>
  <c r="G2429" i="1" s="1"/>
  <c r="G2419" i="1" a="1"/>
  <c r="G2419" i="1" s="1"/>
  <c r="G2409" i="1" a="1"/>
  <c r="G2409" i="1" s="1"/>
  <c r="G2399" i="1" a="1"/>
  <c r="G2399" i="1" s="1"/>
  <c r="G2389" i="1" a="1"/>
  <c r="G2389" i="1" s="1"/>
  <c r="G2379" i="1" a="1"/>
  <c r="G2379" i="1" s="1"/>
  <c r="G2369" i="1" a="1"/>
  <c r="G2369" i="1" s="1"/>
  <c r="G2359" i="1" a="1"/>
  <c r="G2359" i="1" s="1"/>
  <c r="G2349" i="1" a="1"/>
  <c r="G2349" i="1" s="1"/>
  <c r="G2339" i="1" a="1"/>
  <c r="G2339" i="1" s="1"/>
  <c r="G2329" i="1" a="1"/>
  <c r="G2329" i="1" s="1"/>
  <c r="G2319" i="1" a="1"/>
  <c r="G2319" i="1" s="1"/>
  <c r="G2309" i="1" a="1"/>
  <c r="G2309" i="1" s="1"/>
  <c r="G2299" i="1" a="1"/>
  <c r="G2299" i="1" s="1"/>
  <c r="G2289" i="1" a="1"/>
  <c r="G2289" i="1" s="1"/>
  <c r="G2279" i="1" a="1"/>
  <c r="G2279" i="1" s="1"/>
  <c r="G2269" i="1" a="1"/>
  <c r="G2269" i="1" s="1"/>
  <c r="G2259" i="1" a="1"/>
  <c r="G2259" i="1" s="1"/>
  <c r="G2249" i="1" a="1"/>
  <c r="G2249" i="1" s="1"/>
  <c r="G2239" i="1" a="1"/>
  <c r="G2239" i="1" s="1"/>
  <c r="G2229" i="1" a="1"/>
  <c r="G2229" i="1" s="1"/>
  <c r="G2219" i="1" a="1"/>
  <c r="G2219" i="1" s="1"/>
  <c r="G2209" i="1" a="1"/>
  <c r="G2209" i="1" s="1"/>
  <c r="G2199" i="1" a="1"/>
  <c r="G2199" i="1" s="1"/>
  <c r="G2189" i="1" a="1"/>
  <c r="G2189" i="1" s="1"/>
  <c r="G2179" i="1" a="1"/>
  <c r="G2179" i="1" s="1"/>
  <c r="G2169" i="1" a="1"/>
  <c r="G2169" i="1" s="1"/>
  <c r="G2159" i="1" a="1"/>
  <c r="G2159" i="1" s="1"/>
  <c r="G2149" i="1" a="1"/>
  <c r="G2149" i="1" s="1"/>
  <c r="G2139" i="1" a="1"/>
  <c r="G2139" i="1" s="1"/>
  <c r="G2129" i="1" a="1"/>
  <c r="G2129" i="1" s="1"/>
  <c r="G2119" i="1" a="1"/>
  <c r="G2119" i="1" s="1"/>
  <c r="G2109" i="1" a="1"/>
  <c r="G2109" i="1" s="1"/>
  <c r="G2099" i="1" a="1"/>
  <c r="G2099" i="1" s="1"/>
  <c r="G2089" i="1" a="1"/>
  <c r="G2089" i="1" s="1"/>
  <c r="G2079" i="1" a="1"/>
  <c r="G2079" i="1" s="1"/>
  <c r="G2069" i="1" a="1"/>
  <c r="G2069" i="1" s="1"/>
  <c r="G2059" i="1" a="1"/>
  <c r="G2059" i="1" s="1"/>
  <c r="G2049" i="1" a="1"/>
  <c r="G2049" i="1" s="1"/>
  <c r="G2039" i="1" a="1"/>
  <c r="G2039" i="1" s="1"/>
  <c r="G2029" i="1" a="1"/>
  <c r="G2029" i="1" s="1"/>
  <c r="G2019" i="1" a="1"/>
  <c r="G2019" i="1" s="1"/>
  <c r="G2009" i="1" a="1"/>
  <c r="G2009" i="1" s="1"/>
  <c r="G1999" i="1" a="1"/>
  <c r="G1999" i="1" s="1"/>
  <c r="G1989" i="1" a="1"/>
  <c r="G1989" i="1" s="1"/>
  <c r="G1979" i="1" a="1"/>
  <c r="G1979" i="1" s="1"/>
  <c r="G1969" i="1" a="1"/>
  <c r="G1969" i="1" s="1"/>
  <c r="G1959" i="1" a="1"/>
  <c r="G1959" i="1" s="1"/>
  <c r="G1949" i="1" a="1"/>
  <c r="G1949" i="1" s="1"/>
  <c r="G1939" i="1" a="1"/>
  <c r="G1939" i="1" s="1"/>
  <c r="G1929" i="1" a="1"/>
  <c r="G1929" i="1" s="1"/>
  <c r="G1919" i="1" a="1"/>
  <c r="G1919" i="1" s="1"/>
  <c r="G1909" i="1" a="1"/>
  <c r="G1909" i="1" s="1"/>
  <c r="G1899" i="1" a="1"/>
  <c r="G1899" i="1" s="1"/>
  <c r="G2698" i="1" a="1"/>
  <c r="G2698" i="1" s="1"/>
  <c r="G2688" i="1" a="1"/>
  <c r="G2688" i="1" s="1"/>
  <c r="G2678" i="1" a="1"/>
  <c r="G2678" i="1" s="1"/>
  <c r="G2668" i="1" a="1"/>
  <c r="G2668" i="1" s="1"/>
  <c r="G2658" i="1" a="1"/>
  <c r="G2658" i="1" s="1"/>
  <c r="G2648" i="1" a="1"/>
  <c r="G2648" i="1" s="1"/>
  <c r="G2638" i="1" a="1"/>
  <c r="G2638" i="1" s="1"/>
  <c r="G2628" i="1" a="1"/>
  <c r="G2628" i="1" s="1"/>
  <c r="G2618" i="1" a="1"/>
  <c r="G2618" i="1" s="1"/>
  <c r="G2608" i="1" a="1"/>
  <c r="G2608" i="1" s="1"/>
  <c r="G2598" i="1" a="1"/>
  <c r="G2598" i="1" s="1"/>
  <c r="G2588" i="1" a="1"/>
  <c r="G2588" i="1" s="1"/>
  <c r="G2578" i="1" a="1"/>
  <c r="G2578" i="1" s="1"/>
  <c r="G2568" i="1" a="1"/>
  <c r="G2568" i="1" s="1"/>
  <c r="G2558" i="1" a="1"/>
  <c r="G2558" i="1" s="1"/>
  <c r="G2548" i="1" a="1"/>
  <c r="G2548" i="1" s="1"/>
  <c r="G2538" i="1" a="1"/>
  <c r="G2538" i="1" s="1"/>
  <c r="G2528" i="1" a="1"/>
  <c r="G2528" i="1" s="1"/>
  <c r="G2518" i="1" a="1"/>
  <c r="G2518" i="1" s="1"/>
  <c r="G2508" i="1" a="1"/>
  <c r="G2508" i="1" s="1"/>
  <c r="G2498" i="1" a="1"/>
  <c r="G2498" i="1" s="1"/>
  <c r="G2488" i="1" a="1"/>
  <c r="G2488" i="1" s="1"/>
  <c r="G2478" i="1" a="1"/>
  <c r="G2478" i="1" s="1"/>
  <c r="G2468" i="1" a="1"/>
  <c r="G2468" i="1" s="1"/>
  <c r="G2458" i="1" a="1"/>
  <c r="G2458" i="1" s="1"/>
  <c r="G2448" i="1" a="1"/>
  <c r="G2448" i="1" s="1"/>
  <c r="G2438" i="1" a="1"/>
  <c r="G2438" i="1" s="1"/>
  <c r="G2428" i="1" a="1"/>
  <c r="G2428" i="1" s="1"/>
  <c r="G2418" i="1" a="1"/>
  <c r="G2418" i="1" s="1"/>
  <c r="G2408" i="1" a="1"/>
  <c r="G2408" i="1" s="1"/>
  <c r="G2398" i="1" a="1"/>
  <c r="G2398" i="1" s="1"/>
  <c r="G2388" i="1" a="1"/>
  <c r="G2388" i="1" s="1"/>
  <c r="G2378" i="1" a="1"/>
  <c r="G2378" i="1" s="1"/>
  <c r="G2368" i="1" a="1"/>
  <c r="G2368" i="1" s="1"/>
  <c r="G2358" i="1" a="1"/>
  <c r="G2358" i="1" s="1"/>
  <c r="G2348" i="1" a="1"/>
  <c r="G2348" i="1" s="1"/>
  <c r="G2338" i="1" a="1"/>
  <c r="G2338" i="1" s="1"/>
  <c r="G2328" i="1" a="1"/>
  <c r="G2328" i="1" s="1"/>
  <c r="G2318" i="1" a="1"/>
  <c r="G2318" i="1" s="1"/>
  <c r="G2308" i="1" a="1"/>
  <c r="G2308" i="1" s="1"/>
  <c r="G2298" i="1" a="1"/>
  <c r="G2298" i="1" s="1"/>
  <c r="G2288" i="1" a="1"/>
  <c r="G2288" i="1" s="1"/>
  <c r="G2278" i="1" a="1"/>
  <c r="G2278" i="1" s="1"/>
  <c r="G2268" i="1" a="1"/>
  <c r="G2268" i="1" s="1"/>
  <c r="G2258" i="1" a="1"/>
  <c r="G2258" i="1" s="1"/>
  <c r="G2248" i="1" a="1"/>
  <c r="G2248" i="1" s="1"/>
  <c r="G2238" i="1" a="1"/>
  <c r="G2238" i="1" s="1"/>
  <c r="G2228" i="1" a="1"/>
  <c r="G2228" i="1" s="1"/>
  <c r="G2218" i="1" a="1"/>
  <c r="G2218" i="1" s="1"/>
  <c r="G2208" i="1" a="1"/>
  <c r="G2208" i="1" s="1"/>
  <c r="G2198" i="1" a="1"/>
  <c r="G2198" i="1" s="1"/>
  <c r="G2188" i="1" a="1"/>
  <c r="G2188" i="1" s="1"/>
  <c r="G2178" i="1" a="1"/>
  <c r="G2178" i="1" s="1"/>
  <c r="G2168" i="1" a="1"/>
  <c r="G2168" i="1" s="1"/>
  <c r="G2158" i="1" a="1"/>
  <c r="G2158" i="1" s="1"/>
  <c r="G2148" i="1" a="1"/>
  <c r="G2148" i="1" s="1"/>
  <c r="G2138" i="1" a="1"/>
  <c r="G2138" i="1" s="1"/>
  <c r="G2128" i="1" a="1"/>
  <c r="G2128" i="1" s="1"/>
  <c r="G2118" i="1" a="1"/>
  <c r="G2118" i="1" s="1"/>
  <c r="G2108" i="1" a="1"/>
  <c r="G2108" i="1" s="1"/>
  <c r="G2098" i="1" a="1"/>
  <c r="G2098" i="1" s="1"/>
  <c r="G2088" i="1" a="1"/>
  <c r="G2088" i="1" s="1"/>
  <c r="G2078" i="1" a="1"/>
  <c r="G2078" i="1" s="1"/>
  <c r="G2068" i="1" a="1"/>
  <c r="G2068" i="1" s="1"/>
  <c r="G2058" i="1" a="1"/>
  <c r="G2058" i="1" s="1"/>
  <c r="G2048" i="1" a="1"/>
  <c r="G2048" i="1" s="1"/>
  <c r="G2038" i="1" a="1"/>
  <c r="G2038" i="1" s="1"/>
  <c r="G2028" i="1" a="1"/>
  <c r="G2028" i="1" s="1"/>
  <c r="G2018" i="1" a="1"/>
  <c r="G2018" i="1" s="1"/>
  <c r="G2008" i="1" a="1"/>
  <c r="G2008" i="1" s="1"/>
  <c r="G1998" i="1" a="1"/>
  <c r="G1998" i="1" s="1"/>
  <c r="G1988" i="1" a="1"/>
  <c r="G1988" i="1" s="1"/>
  <c r="G1978" i="1" a="1"/>
  <c r="G1978" i="1" s="1"/>
  <c r="G1968" i="1" a="1"/>
  <c r="G1968" i="1" s="1"/>
  <c r="G1958" i="1" a="1"/>
  <c r="G1958" i="1" s="1"/>
  <c r="G1948" i="1" a="1"/>
  <c r="G1948" i="1" s="1"/>
  <c r="G1938" i="1" a="1"/>
  <c r="G1938" i="1" s="1"/>
  <c r="G1928" i="1" a="1"/>
  <c r="G1928" i="1" s="1"/>
  <c r="G1918" i="1" a="1"/>
  <c r="G1918" i="1" s="1"/>
  <c r="G1908" i="1" a="1"/>
  <c r="G1908" i="1" s="1"/>
  <c r="G1898" i="1" a="1"/>
  <c r="G1898" i="1" s="1"/>
  <c r="G1888" i="1" a="1"/>
  <c r="G1888" i="1" s="1"/>
  <c r="G1878" i="1" a="1"/>
  <c r="G1878" i="1" s="1"/>
  <c r="G1868" i="1" a="1"/>
  <c r="G1868" i="1" s="1"/>
  <c r="G1858" i="1" a="1"/>
  <c r="G1858" i="1" s="1"/>
  <c r="G2537" i="1" a="1"/>
  <c r="G2537" i="1" s="1"/>
  <c r="G2527" i="1" a="1"/>
  <c r="G2527" i="1" s="1"/>
  <c r="G2517" i="1" a="1"/>
  <c r="G2517" i="1" s="1"/>
  <c r="G2507" i="1" a="1"/>
  <c r="G2507" i="1" s="1"/>
  <c r="G2497" i="1" a="1"/>
  <c r="G2497" i="1" s="1"/>
  <c r="G2487" i="1" a="1"/>
  <c r="G2487" i="1" s="1"/>
  <c r="G2477" i="1" a="1"/>
  <c r="G2477" i="1" s="1"/>
  <c r="G2467" i="1" a="1"/>
  <c r="G2467" i="1" s="1"/>
  <c r="G2457" i="1" a="1"/>
  <c r="G2457" i="1" s="1"/>
  <c r="G2447" i="1" a="1"/>
  <c r="G2447" i="1" s="1"/>
  <c r="G2437" i="1" a="1"/>
  <c r="G2437" i="1" s="1"/>
  <c r="G2427" i="1" a="1"/>
  <c r="G2427" i="1" s="1"/>
  <c r="G2417" i="1" a="1"/>
  <c r="G2417" i="1" s="1"/>
  <c r="G2407" i="1" a="1"/>
  <c r="G2407" i="1" s="1"/>
  <c r="G2397" i="1" a="1"/>
  <c r="G2397" i="1" s="1"/>
  <c r="G2387" i="1" a="1"/>
  <c r="G2387" i="1" s="1"/>
  <c r="G2377" i="1" a="1"/>
  <c r="G2377" i="1" s="1"/>
  <c r="G2367" i="1" a="1"/>
  <c r="G2367" i="1" s="1"/>
  <c r="G2357" i="1" a="1"/>
  <c r="G2357" i="1" s="1"/>
  <c r="G2347" i="1" a="1"/>
  <c r="G2347" i="1" s="1"/>
  <c r="G2337" i="1" a="1"/>
  <c r="G2337" i="1" s="1"/>
  <c r="G2327" i="1" a="1"/>
  <c r="G2327" i="1" s="1"/>
  <c r="G2317" i="1" a="1"/>
  <c r="G2317" i="1" s="1"/>
  <c r="G2307" i="1" a="1"/>
  <c r="G2307" i="1" s="1"/>
  <c r="G2297" i="1" a="1"/>
  <c r="G2297" i="1" s="1"/>
  <c r="G2287" i="1" a="1"/>
  <c r="G2287" i="1" s="1"/>
  <c r="G2277" i="1" a="1"/>
  <c r="G2277" i="1" s="1"/>
  <c r="G2267" i="1" a="1"/>
  <c r="G2267" i="1" s="1"/>
  <c r="G2257" i="1" a="1"/>
  <c r="G2257" i="1" s="1"/>
  <c r="G2247" i="1" a="1"/>
  <c r="G2247" i="1" s="1"/>
  <c r="G2237" i="1" a="1"/>
  <c r="G2237" i="1" s="1"/>
  <c r="G2227" i="1" a="1"/>
  <c r="G2227" i="1" s="1"/>
  <c r="G2217" i="1" a="1"/>
  <c r="G2217" i="1" s="1"/>
  <c r="G2207" i="1" a="1"/>
  <c r="G2207" i="1" s="1"/>
  <c r="G2197" i="1" a="1"/>
  <c r="G2197" i="1" s="1"/>
  <c r="G2187" i="1" a="1"/>
  <c r="G2187" i="1" s="1"/>
  <c r="G2177" i="1" a="1"/>
  <c r="G2177" i="1" s="1"/>
  <c r="G2167" i="1" a="1"/>
  <c r="G2167" i="1" s="1"/>
  <c r="G2157" i="1" a="1"/>
  <c r="G2157" i="1" s="1"/>
  <c r="G2147" i="1" a="1"/>
  <c r="G2147" i="1" s="1"/>
  <c r="G2137" i="1" a="1"/>
  <c r="G2137" i="1" s="1"/>
  <c r="G2127" i="1" a="1"/>
  <c r="G2127" i="1" s="1"/>
  <c r="G2117" i="1" a="1"/>
  <c r="G2117" i="1" s="1"/>
  <c r="G2107" i="1" a="1"/>
  <c r="G2107" i="1" s="1"/>
  <c r="G2097" i="1" a="1"/>
  <c r="G2097" i="1" s="1"/>
  <c r="G2087" i="1" a="1"/>
  <c r="G2087" i="1" s="1"/>
  <c r="G2077" i="1" a="1"/>
  <c r="G2077" i="1" s="1"/>
  <c r="G2067" i="1" a="1"/>
  <c r="G2067" i="1" s="1"/>
  <c r="G2057" i="1" a="1"/>
  <c r="G2057" i="1" s="1"/>
  <c r="G2047" i="1" a="1"/>
  <c r="G2047" i="1" s="1"/>
  <c r="G2037" i="1" a="1"/>
  <c r="G2037" i="1" s="1"/>
  <c r="G2027" i="1" a="1"/>
  <c r="G2027" i="1" s="1"/>
  <c r="G2017" i="1" a="1"/>
  <c r="G2017" i="1" s="1"/>
  <c r="G2007" i="1" a="1"/>
  <c r="G2007" i="1" s="1"/>
  <c r="G1997" i="1" a="1"/>
  <c r="G1997" i="1" s="1"/>
  <c r="G1987" i="1" a="1"/>
  <c r="G1987" i="1" s="1"/>
  <c r="G1977" i="1" a="1"/>
  <c r="G1977" i="1" s="1"/>
  <c r="G1967" i="1" a="1"/>
  <c r="G1967" i="1" s="1"/>
  <c r="G1957" i="1" a="1"/>
  <c r="G1957" i="1" s="1"/>
  <c r="G1947" i="1" a="1"/>
  <c r="G1947" i="1" s="1"/>
  <c r="G1937" i="1" a="1"/>
  <c r="G1937" i="1" s="1"/>
  <c r="G1927" i="1" a="1"/>
  <c r="G1927" i="1" s="1"/>
  <c r="G1917" i="1" a="1"/>
  <c r="G1917" i="1" s="1"/>
  <c r="G1907" i="1" a="1"/>
  <c r="G1907" i="1" s="1"/>
  <c r="G1897" i="1" a="1"/>
  <c r="G1897" i="1" s="1"/>
  <c r="G1887" i="1" a="1"/>
  <c r="G1887" i="1" s="1"/>
  <c r="G1877" i="1" a="1"/>
  <c r="G1877" i="1" s="1"/>
  <c r="G1867" i="1" a="1"/>
  <c r="G1867" i="1" s="1"/>
  <c r="G1857" i="1" a="1"/>
  <c r="G1857" i="1" s="1"/>
  <c r="G1847" i="1" a="1"/>
  <c r="G1847" i="1" s="1"/>
  <c r="G1837" i="1" a="1"/>
  <c r="G1837" i="1" s="1"/>
  <c r="G1827" i="1" a="1"/>
  <c r="G1827" i="1" s="1"/>
  <c r="G1817" i="1" a="1"/>
  <c r="G1817" i="1" s="1"/>
  <c r="G1807" i="1" a="1"/>
  <c r="G1807" i="1" s="1"/>
  <c r="G1797" i="1" a="1"/>
  <c r="G1797" i="1" s="1"/>
  <c r="G1787" i="1" a="1"/>
  <c r="G1787" i="1" s="1"/>
  <c r="G1777" i="1" a="1"/>
  <c r="G1777" i="1" s="1"/>
  <c r="G1767" i="1" a="1"/>
  <c r="G1767" i="1" s="1"/>
  <c r="G1757" i="1" a="1"/>
  <c r="G1757" i="1" s="1"/>
  <c r="G1747" i="1" a="1"/>
  <c r="G1747" i="1" s="1"/>
  <c r="G2616" i="1" a="1"/>
  <c r="G2616" i="1" s="1"/>
  <c r="G2606" i="1" a="1"/>
  <c r="G2606" i="1" s="1"/>
  <c r="G2596" i="1" a="1"/>
  <c r="G2596" i="1" s="1"/>
  <c r="G2586" i="1" a="1"/>
  <c r="G2586" i="1" s="1"/>
  <c r="G2576" i="1" a="1"/>
  <c r="G2576" i="1" s="1"/>
  <c r="G2566" i="1" a="1"/>
  <c r="G2566" i="1" s="1"/>
  <c r="G2556" i="1" a="1"/>
  <c r="G2556" i="1" s="1"/>
  <c r="G2546" i="1" a="1"/>
  <c r="G2546" i="1" s="1"/>
  <c r="G2536" i="1" a="1"/>
  <c r="G2536" i="1" s="1"/>
  <c r="G2526" i="1" a="1"/>
  <c r="G2526" i="1" s="1"/>
  <c r="G2516" i="1" a="1"/>
  <c r="G2516" i="1" s="1"/>
  <c r="G2506" i="1" a="1"/>
  <c r="G2506" i="1" s="1"/>
  <c r="G2496" i="1" a="1"/>
  <c r="G2496" i="1" s="1"/>
  <c r="G2486" i="1" a="1"/>
  <c r="G2486" i="1" s="1"/>
  <c r="G2476" i="1" a="1"/>
  <c r="G2476" i="1" s="1"/>
  <c r="G2466" i="1" a="1"/>
  <c r="G2466" i="1" s="1"/>
  <c r="G2456" i="1" a="1"/>
  <c r="G2456" i="1" s="1"/>
  <c r="G2446" i="1" a="1"/>
  <c r="G2446" i="1" s="1"/>
  <c r="G2436" i="1" a="1"/>
  <c r="G2436" i="1" s="1"/>
  <c r="G2426" i="1" a="1"/>
  <c r="G2426" i="1" s="1"/>
  <c r="G2416" i="1" a="1"/>
  <c r="G2416" i="1" s="1"/>
  <c r="G2406" i="1" a="1"/>
  <c r="G2406" i="1" s="1"/>
  <c r="G2396" i="1" a="1"/>
  <c r="G2396" i="1" s="1"/>
  <c r="G2386" i="1" a="1"/>
  <c r="G2386" i="1" s="1"/>
  <c r="G2376" i="1" a="1"/>
  <c r="G2376" i="1" s="1"/>
  <c r="G2366" i="1" a="1"/>
  <c r="G2366" i="1" s="1"/>
  <c r="G2356" i="1" a="1"/>
  <c r="G2356" i="1" s="1"/>
  <c r="G2346" i="1" a="1"/>
  <c r="G2346" i="1" s="1"/>
  <c r="G2336" i="1" a="1"/>
  <c r="G2336" i="1" s="1"/>
  <c r="G2326" i="1" a="1"/>
  <c r="G2326" i="1" s="1"/>
  <c r="G2316" i="1" a="1"/>
  <c r="G2316" i="1" s="1"/>
  <c r="G2306" i="1" a="1"/>
  <c r="G2306" i="1" s="1"/>
  <c r="G2296" i="1" a="1"/>
  <c r="G2296" i="1" s="1"/>
  <c r="G2286" i="1" a="1"/>
  <c r="G2286" i="1" s="1"/>
  <c r="G2276" i="1" a="1"/>
  <c r="G2276" i="1" s="1"/>
  <c r="G2266" i="1" a="1"/>
  <c r="G2266" i="1" s="1"/>
  <c r="G2256" i="1" a="1"/>
  <c r="G2256" i="1" s="1"/>
  <c r="G2246" i="1" a="1"/>
  <c r="G2246" i="1" s="1"/>
  <c r="G2236" i="1" a="1"/>
  <c r="G2236" i="1" s="1"/>
  <c r="G2226" i="1" a="1"/>
  <c r="G2226" i="1" s="1"/>
  <c r="G2216" i="1" a="1"/>
  <c r="G2216" i="1" s="1"/>
  <c r="G2206" i="1" a="1"/>
  <c r="G2206" i="1" s="1"/>
  <c r="G2196" i="1" a="1"/>
  <c r="G2196" i="1" s="1"/>
  <c r="G2186" i="1" a="1"/>
  <c r="G2186" i="1" s="1"/>
  <c r="G2176" i="1" a="1"/>
  <c r="G2176" i="1" s="1"/>
  <c r="G2166" i="1" a="1"/>
  <c r="G2166" i="1" s="1"/>
  <c r="G2156" i="1" a="1"/>
  <c r="G2156" i="1" s="1"/>
  <c r="G2146" i="1" a="1"/>
  <c r="G2146" i="1" s="1"/>
  <c r="G2136" i="1" a="1"/>
  <c r="G2136" i="1" s="1"/>
  <c r="G2126" i="1" a="1"/>
  <c r="G2126" i="1" s="1"/>
  <c r="G2116" i="1" a="1"/>
  <c r="G2116" i="1" s="1"/>
  <c r="G2106" i="1" a="1"/>
  <c r="G2106" i="1" s="1"/>
  <c r="G2096" i="1" a="1"/>
  <c r="G2096" i="1" s="1"/>
  <c r="G2086" i="1" a="1"/>
  <c r="G2086" i="1" s="1"/>
  <c r="G2076" i="1" a="1"/>
  <c r="G2076" i="1" s="1"/>
  <c r="G2066" i="1" a="1"/>
  <c r="G2066" i="1" s="1"/>
  <c r="G2056" i="1" a="1"/>
  <c r="G2056" i="1" s="1"/>
  <c r="G2046" i="1" a="1"/>
  <c r="G2046" i="1" s="1"/>
  <c r="G2036" i="1" a="1"/>
  <c r="G2036" i="1" s="1"/>
  <c r="G2026" i="1" a="1"/>
  <c r="G2026" i="1" s="1"/>
  <c r="G2016" i="1" a="1"/>
  <c r="G2016" i="1" s="1"/>
  <c r="G2006" i="1" a="1"/>
  <c r="G2006" i="1" s="1"/>
  <c r="G1996" i="1" a="1"/>
  <c r="G1996" i="1" s="1"/>
  <c r="G1986" i="1" a="1"/>
  <c r="G1986" i="1" s="1"/>
  <c r="G1976" i="1" a="1"/>
  <c r="G1976" i="1" s="1"/>
  <c r="G1966" i="1" a="1"/>
  <c r="G1966" i="1" s="1"/>
  <c r="G1956" i="1" a="1"/>
  <c r="G1956" i="1" s="1"/>
  <c r="G1946" i="1" a="1"/>
  <c r="G1946" i="1" s="1"/>
  <c r="G1936" i="1" a="1"/>
  <c r="G1936" i="1" s="1"/>
  <c r="G1926" i="1" a="1"/>
  <c r="G1926" i="1" s="1"/>
  <c r="G1916" i="1" a="1"/>
  <c r="G1916" i="1" s="1"/>
  <c r="G1906" i="1" a="1"/>
  <c r="G1906" i="1" s="1"/>
  <c r="G1896" i="1" a="1"/>
  <c r="G1896" i="1" s="1"/>
  <c r="G1886" i="1" a="1"/>
  <c r="G1886" i="1" s="1"/>
  <c r="G1876" i="1" a="1"/>
  <c r="G1876" i="1" s="1"/>
  <c r="G1866" i="1" a="1"/>
  <c r="G1866" i="1" s="1"/>
  <c r="G1856" i="1" a="1"/>
  <c r="G1856" i="1" s="1"/>
  <c r="G1846" i="1" a="1"/>
  <c r="G1846" i="1" s="1"/>
  <c r="G1836" i="1" a="1"/>
  <c r="G1836" i="1" s="1"/>
  <c r="G1826" i="1" a="1"/>
  <c r="G1826" i="1" s="1"/>
  <c r="G2495" i="1" a="1"/>
  <c r="G2495" i="1" s="1"/>
  <c r="G2485" i="1" a="1"/>
  <c r="G2485" i="1" s="1"/>
  <c r="G2475" i="1" a="1"/>
  <c r="G2475" i="1" s="1"/>
  <c r="G2465" i="1" a="1"/>
  <c r="G2465" i="1" s="1"/>
  <c r="G2455" i="1" a="1"/>
  <c r="G2455" i="1" s="1"/>
  <c r="G2445" i="1" a="1"/>
  <c r="G2445" i="1" s="1"/>
  <c r="G2435" i="1" a="1"/>
  <c r="G2435" i="1" s="1"/>
  <c r="G2425" i="1" a="1"/>
  <c r="G2425" i="1" s="1"/>
  <c r="G2415" i="1" a="1"/>
  <c r="G2415" i="1" s="1"/>
  <c r="G2405" i="1" a="1"/>
  <c r="G2405" i="1" s="1"/>
  <c r="G2395" i="1" a="1"/>
  <c r="G2395" i="1" s="1"/>
  <c r="G2385" i="1" a="1"/>
  <c r="G2385" i="1" s="1"/>
  <c r="G2375" i="1" a="1"/>
  <c r="G2375" i="1" s="1"/>
  <c r="G2365" i="1" a="1"/>
  <c r="G2365" i="1" s="1"/>
  <c r="G2355" i="1" a="1"/>
  <c r="G2355" i="1" s="1"/>
  <c r="G2345" i="1" a="1"/>
  <c r="G2345" i="1" s="1"/>
  <c r="G2335" i="1" a="1"/>
  <c r="G2335" i="1" s="1"/>
  <c r="G2325" i="1" a="1"/>
  <c r="G2325" i="1" s="1"/>
  <c r="G2315" i="1" a="1"/>
  <c r="G2315" i="1" s="1"/>
  <c r="G2305" i="1" a="1"/>
  <c r="G2305" i="1" s="1"/>
  <c r="G2295" i="1" a="1"/>
  <c r="G2295" i="1" s="1"/>
  <c r="G2285" i="1" a="1"/>
  <c r="G2285" i="1" s="1"/>
  <c r="G2275" i="1" a="1"/>
  <c r="G2275" i="1" s="1"/>
  <c r="G2265" i="1" a="1"/>
  <c r="G2265" i="1" s="1"/>
  <c r="G2255" i="1" a="1"/>
  <c r="G2255" i="1" s="1"/>
  <c r="G2245" i="1" a="1"/>
  <c r="G2245" i="1" s="1"/>
  <c r="G2235" i="1" a="1"/>
  <c r="G2235" i="1" s="1"/>
  <c r="G2225" i="1" a="1"/>
  <c r="G2225" i="1" s="1"/>
  <c r="G2215" i="1" a="1"/>
  <c r="G2215" i="1" s="1"/>
  <c r="G2205" i="1" a="1"/>
  <c r="G2205" i="1" s="1"/>
  <c r="G2195" i="1" a="1"/>
  <c r="G2195" i="1" s="1"/>
  <c r="G2185" i="1" a="1"/>
  <c r="G2185" i="1" s="1"/>
  <c r="G2175" i="1" a="1"/>
  <c r="G2175" i="1" s="1"/>
  <c r="G2165" i="1" a="1"/>
  <c r="G2165" i="1" s="1"/>
  <c r="G2155" i="1" a="1"/>
  <c r="G2155" i="1" s="1"/>
  <c r="G2145" i="1" a="1"/>
  <c r="G2145" i="1" s="1"/>
  <c r="G2135" i="1" a="1"/>
  <c r="G2135" i="1" s="1"/>
  <c r="G2125" i="1" a="1"/>
  <c r="G2125" i="1" s="1"/>
  <c r="G2115" i="1" a="1"/>
  <c r="G2115" i="1" s="1"/>
  <c r="G2105" i="1" a="1"/>
  <c r="G2105" i="1" s="1"/>
  <c r="G2095" i="1" a="1"/>
  <c r="G2095" i="1" s="1"/>
  <c r="G2085" i="1" a="1"/>
  <c r="G2085" i="1" s="1"/>
  <c r="G2075" i="1" a="1"/>
  <c r="G2075" i="1" s="1"/>
  <c r="G2065" i="1" a="1"/>
  <c r="G2065" i="1" s="1"/>
  <c r="G2055" i="1" a="1"/>
  <c r="G2055" i="1" s="1"/>
  <c r="G2045" i="1" a="1"/>
  <c r="G2045" i="1" s="1"/>
  <c r="G2035" i="1" a="1"/>
  <c r="G2035" i="1" s="1"/>
  <c r="G2025" i="1" a="1"/>
  <c r="G2025" i="1" s="1"/>
  <c r="G2015" i="1" a="1"/>
  <c r="G2015" i="1" s="1"/>
  <c r="G2005" i="1" a="1"/>
  <c r="G2005" i="1" s="1"/>
  <c r="G1995" i="1" a="1"/>
  <c r="G1995" i="1" s="1"/>
  <c r="G1985" i="1" a="1"/>
  <c r="G1985" i="1" s="1"/>
  <c r="G1975" i="1" a="1"/>
  <c r="G1975" i="1" s="1"/>
  <c r="G1965" i="1" a="1"/>
  <c r="G1965" i="1" s="1"/>
  <c r="G1955" i="1" a="1"/>
  <c r="G1955" i="1" s="1"/>
  <c r="G1945" i="1" a="1"/>
  <c r="G1945" i="1" s="1"/>
  <c r="G1935" i="1" a="1"/>
  <c r="G1935" i="1" s="1"/>
  <c r="G1925" i="1" a="1"/>
  <c r="G1925" i="1" s="1"/>
  <c r="G1915" i="1" a="1"/>
  <c r="G1915" i="1" s="1"/>
  <c r="G1905" i="1" a="1"/>
  <c r="G1905" i="1" s="1"/>
  <c r="G1895" i="1" a="1"/>
  <c r="G1895" i="1" s="1"/>
  <c r="G1885" i="1" a="1"/>
  <c r="G1885" i="1" s="1"/>
  <c r="G1875" i="1" a="1"/>
  <c r="G1875" i="1" s="1"/>
  <c r="G1865" i="1" a="1"/>
  <c r="G1865" i="1" s="1"/>
  <c r="G1855" i="1" a="1"/>
  <c r="G1855" i="1" s="1"/>
  <c r="G1845" i="1" a="1"/>
  <c r="G1845" i="1" s="1"/>
  <c r="G1835" i="1" a="1"/>
  <c r="G1835" i="1" s="1"/>
  <c r="G1825" i="1" a="1"/>
  <c r="G1825" i="1" s="1"/>
  <c r="G1815" i="1" a="1"/>
  <c r="G1815" i="1" s="1"/>
  <c r="G1805" i="1" a="1"/>
  <c r="G1805" i="1" s="1"/>
  <c r="G1795" i="1" a="1"/>
  <c r="G1795" i="1" s="1"/>
  <c r="G1785" i="1" a="1"/>
  <c r="G1785" i="1" s="1"/>
  <c r="G1775" i="1" a="1"/>
  <c r="G1775" i="1" s="1"/>
  <c r="G1765" i="1" a="1"/>
  <c r="G1765" i="1" s="1"/>
  <c r="G2514" i="1" a="1"/>
  <c r="G2514" i="1" s="1"/>
  <c r="G2504" i="1" a="1"/>
  <c r="G2504" i="1" s="1"/>
  <c r="G2494" i="1" a="1"/>
  <c r="G2494" i="1" s="1"/>
  <c r="G2484" i="1" a="1"/>
  <c r="G2484" i="1" s="1"/>
  <c r="G2474" i="1" a="1"/>
  <c r="G2474" i="1" s="1"/>
  <c r="G2464" i="1" a="1"/>
  <c r="G2464" i="1" s="1"/>
  <c r="G2454" i="1" a="1"/>
  <c r="G2454" i="1" s="1"/>
  <c r="G2444" i="1" a="1"/>
  <c r="G2444" i="1" s="1"/>
  <c r="G2434" i="1" a="1"/>
  <c r="G2434" i="1" s="1"/>
  <c r="G2424" i="1" a="1"/>
  <c r="G2424" i="1" s="1"/>
  <c r="G2414" i="1" a="1"/>
  <c r="G2414" i="1" s="1"/>
  <c r="G2404" i="1" a="1"/>
  <c r="G2404" i="1" s="1"/>
  <c r="G2394" i="1" a="1"/>
  <c r="G2394" i="1" s="1"/>
  <c r="G2384" i="1" a="1"/>
  <c r="G2384" i="1" s="1"/>
  <c r="G2374" i="1" a="1"/>
  <c r="G2374" i="1" s="1"/>
  <c r="G2364" i="1" a="1"/>
  <c r="G2364" i="1" s="1"/>
  <c r="G2354" i="1" a="1"/>
  <c r="G2354" i="1" s="1"/>
  <c r="G2344" i="1" a="1"/>
  <c r="G2344" i="1" s="1"/>
  <c r="G2334" i="1" a="1"/>
  <c r="G2334" i="1" s="1"/>
  <c r="G2324" i="1" a="1"/>
  <c r="G2324" i="1" s="1"/>
  <c r="G2314" i="1" a="1"/>
  <c r="G2314" i="1" s="1"/>
  <c r="G2304" i="1" a="1"/>
  <c r="G2304" i="1" s="1"/>
  <c r="G2294" i="1" a="1"/>
  <c r="G2294" i="1" s="1"/>
  <c r="G2284" i="1" a="1"/>
  <c r="G2284" i="1" s="1"/>
  <c r="G2274" i="1" a="1"/>
  <c r="G2274" i="1" s="1"/>
  <c r="G2264" i="1" a="1"/>
  <c r="G2264" i="1" s="1"/>
  <c r="G2254" i="1" a="1"/>
  <c r="G2254" i="1" s="1"/>
  <c r="G2244" i="1" a="1"/>
  <c r="G2244" i="1" s="1"/>
  <c r="G2234" i="1" a="1"/>
  <c r="G2234" i="1" s="1"/>
  <c r="G2224" i="1" a="1"/>
  <c r="G2224" i="1" s="1"/>
  <c r="G2214" i="1" a="1"/>
  <c r="G2214" i="1" s="1"/>
  <c r="G2204" i="1" a="1"/>
  <c r="G2204" i="1" s="1"/>
  <c r="G2194" i="1" a="1"/>
  <c r="G2194" i="1" s="1"/>
  <c r="G2184" i="1" a="1"/>
  <c r="G2184" i="1" s="1"/>
  <c r="G2174" i="1" a="1"/>
  <c r="G2174" i="1" s="1"/>
  <c r="G2164" i="1" a="1"/>
  <c r="G2164" i="1" s="1"/>
  <c r="G2154" i="1" a="1"/>
  <c r="G2154" i="1" s="1"/>
  <c r="G2144" i="1" a="1"/>
  <c r="G2144" i="1" s="1"/>
  <c r="G2134" i="1" a="1"/>
  <c r="G2134" i="1" s="1"/>
  <c r="G2124" i="1" a="1"/>
  <c r="G2124" i="1" s="1"/>
  <c r="G2114" i="1" a="1"/>
  <c r="G2114" i="1" s="1"/>
  <c r="G2104" i="1" a="1"/>
  <c r="G2104" i="1" s="1"/>
  <c r="G2094" i="1" a="1"/>
  <c r="G2094" i="1" s="1"/>
  <c r="G2084" i="1" a="1"/>
  <c r="G2084" i="1" s="1"/>
  <c r="G2074" i="1" a="1"/>
  <c r="G2074" i="1" s="1"/>
  <c r="G2064" i="1" a="1"/>
  <c r="G2064" i="1" s="1"/>
  <c r="G2054" i="1" a="1"/>
  <c r="G2054" i="1" s="1"/>
  <c r="G2044" i="1" a="1"/>
  <c r="G2044" i="1" s="1"/>
  <c r="G2034" i="1" a="1"/>
  <c r="G2034" i="1" s="1"/>
  <c r="G2024" i="1" a="1"/>
  <c r="G2024" i="1" s="1"/>
  <c r="G2014" i="1" a="1"/>
  <c r="G2014" i="1" s="1"/>
  <c r="G2004" i="1" a="1"/>
  <c r="G2004" i="1" s="1"/>
  <c r="G1994" i="1" a="1"/>
  <c r="G1994" i="1" s="1"/>
  <c r="G1984" i="1" a="1"/>
  <c r="G1984" i="1" s="1"/>
  <c r="G1974" i="1" a="1"/>
  <c r="G1974" i="1" s="1"/>
  <c r="G1964" i="1" a="1"/>
  <c r="G1964" i="1" s="1"/>
  <c r="G1954" i="1" a="1"/>
  <c r="G1954" i="1" s="1"/>
  <c r="G1944" i="1" a="1"/>
  <c r="G1944" i="1" s="1"/>
  <c r="G1934" i="1" a="1"/>
  <c r="G1934" i="1" s="1"/>
  <c r="G1924" i="1" a="1"/>
  <c r="G1924" i="1" s="1"/>
  <c r="G1914" i="1" a="1"/>
  <c r="G1914" i="1" s="1"/>
  <c r="G1904" i="1" a="1"/>
  <c r="G1904" i="1" s="1"/>
  <c r="G1894" i="1" a="1"/>
  <c r="G1894" i="1" s="1"/>
  <c r="G1884" i="1" a="1"/>
  <c r="G1884" i="1" s="1"/>
  <c r="G1874" i="1" a="1"/>
  <c r="G1874" i="1" s="1"/>
  <c r="G1864" i="1" a="1"/>
  <c r="G1864" i="1" s="1"/>
  <c r="G1854" i="1" a="1"/>
  <c r="G1854" i="1" s="1"/>
  <c r="G1844" i="1" a="1"/>
  <c r="G1844" i="1" s="1"/>
  <c r="G1834" i="1" a="1"/>
  <c r="G1834" i="1" s="1"/>
  <c r="G1824" i="1" a="1"/>
  <c r="G1824" i="1" s="1"/>
  <c r="G1814" i="1" a="1"/>
  <c r="G1814" i="1" s="1"/>
  <c r="G1804" i="1" a="1"/>
  <c r="G1804" i="1" s="1"/>
  <c r="G1783" i="1" a="1"/>
  <c r="G1783" i="1" s="1"/>
  <c r="G1773" i="1" a="1"/>
  <c r="G1773" i="1" s="1"/>
  <c r="G1763" i="1" a="1"/>
  <c r="G1763" i="1" s="1"/>
  <c r="G1753" i="1" a="1"/>
  <c r="G1753" i="1" s="1"/>
  <c r="G1743" i="1" a="1"/>
  <c r="G1743" i="1" s="1"/>
  <c r="G1733" i="1" a="1"/>
  <c r="G1733" i="1" s="1"/>
  <c r="G1723" i="1" a="1"/>
  <c r="G1723" i="1" s="1"/>
  <c r="G1713" i="1" a="1"/>
  <c r="G1713" i="1" s="1"/>
  <c r="G1703" i="1" a="1"/>
  <c r="G1703" i="1" s="1"/>
  <c r="G1693" i="1" a="1"/>
  <c r="G1693" i="1" s="1"/>
  <c r="G1683" i="1" a="1"/>
  <c r="G1683" i="1" s="1"/>
  <c r="G1673" i="1" a="1"/>
  <c r="G1673" i="1" s="1"/>
  <c r="G1663" i="1" a="1"/>
  <c r="G1663" i="1" s="1"/>
  <c r="G1653" i="1" a="1"/>
  <c r="G1653" i="1" s="1"/>
  <c r="G1643" i="1" a="1"/>
  <c r="G1643" i="1" s="1"/>
  <c r="G1633" i="1" a="1"/>
  <c r="G1633" i="1" s="1"/>
  <c r="G1623" i="1" a="1"/>
  <c r="G1623" i="1" s="1"/>
  <c r="G1613" i="1" a="1"/>
  <c r="G1613" i="1" s="1"/>
  <c r="G1603" i="1" a="1"/>
  <c r="G1603" i="1" s="1"/>
  <c r="G1593" i="1" a="1"/>
  <c r="G1593" i="1" s="1"/>
  <c r="G1583" i="1" a="1"/>
  <c r="G1583" i="1" s="1"/>
  <c r="G1573" i="1" a="1"/>
  <c r="G1573" i="1" s="1"/>
  <c r="G1563" i="1" a="1"/>
  <c r="G1563" i="1" s="1"/>
  <c r="G1553" i="1" a="1"/>
  <c r="G1553" i="1" s="1"/>
  <c r="G1543" i="1" a="1"/>
  <c r="G1543" i="1" s="1"/>
  <c r="G1533" i="1" a="1"/>
  <c r="G1533" i="1" s="1"/>
  <c r="G1523" i="1" a="1"/>
  <c r="G1523" i="1" s="1"/>
  <c r="G1513" i="1" a="1"/>
  <c r="G1513" i="1" s="1"/>
  <c r="G1503" i="1" a="1"/>
  <c r="G1503" i="1" s="1"/>
  <c r="G1493" i="1" a="1"/>
  <c r="G1493" i="1" s="1"/>
  <c r="G1483" i="1" a="1"/>
  <c r="G1483" i="1" s="1"/>
  <c r="G1473" i="1" a="1"/>
  <c r="G1473" i="1" s="1"/>
  <c r="G1463" i="1" a="1"/>
  <c r="G1463" i="1" s="1"/>
  <c r="G1453" i="1" a="1"/>
  <c r="G1453" i="1" s="1"/>
  <c r="G1443" i="1" a="1"/>
  <c r="G1443" i="1" s="1"/>
  <c r="G1433" i="1" a="1"/>
  <c r="G1433" i="1" s="1"/>
  <c r="G1423" i="1" a="1"/>
  <c r="G1423" i="1" s="1"/>
  <c r="G1413" i="1" a="1"/>
  <c r="G1413" i="1" s="1"/>
  <c r="G1403" i="1" a="1"/>
  <c r="G1403" i="1" s="1"/>
  <c r="G1393" i="1" a="1"/>
  <c r="G1393" i="1" s="1"/>
  <c r="G1383" i="1" a="1"/>
  <c r="G1383" i="1" s="1"/>
  <c r="G1373" i="1" a="1"/>
  <c r="G1373" i="1" s="1"/>
  <c r="G1363" i="1" a="1"/>
  <c r="G1363" i="1" s="1"/>
  <c r="G1353" i="1" a="1"/>
  <c r="G1353" i="1" s="1"/>
  <c r="G1343" i="1" a="1"/>
  <c r="G1343" i="1" s="1"/>
  <c r="G1333" i="1" a="1"/>
  <c r="G1333" i="1" s="1"/>
  <c r="G1323" i="1" a="1"/>
  <c r="G1323" i="1" s="1"/>
  <c r="G1313" i="1" a="1"/>
  <c r="G1313" i="1" s="1"/>
  <c r="G1303" i="1" a="1"/>
  <c r="G1303" i="1" s="1"/>
  <c r="G1293" i="1" a="1"/>
  <c r="G1293" i="1" s="1"/>
  <c r="G1283" i="1" a="1"/>
  <c r="G1283" i="1" s="1"/>
  <c r="G1273" i="1" a="1"/>
  <c r="G1273" i="1" s="1"/>
  <c r="G1263" i="1" a="1"/>
  <c r="G1263" i="1" s="1"/>
  <c r="G1253" i="1" a="1"/>
  <c r="G1253" i="1" s="1"/>
  <c r="G1243" i="1" a="1"/>
  <c r="G1243" i="1" s="1"/>
  <c r="G1233" i="1" a="1"/>
  <c r="G1233" i="1" s="1"/>
  <c r="G1223" i="1" a="1"/>
  <c r="G1223" i="1" s="1"/>
  <c r="G1213" i="1" a="1"/>
  <c r="G1213" i="1" s="1"/>
  <c r="G1203" i="1" a="1"/>
  <c r="G1203" i="1" s="1"/>
  <c r="G1193" i="1" a="1"/>
  <c r="G1193" i="1" s="1"/>
  <c r="G1183" i="1" a="1"/>
  <c r="G1183" i="1" s="1"/>
  <c r="G1173" i="1" a="1"/>
  <c r="G1173" i="1" s="1"/>
  <c r="G1163" i="1" a="1"/>
  <c r="G1163" i="1" s="1"/>
  <c r="G1153" i="1" a="1"/>
  <c r="G1153" i="1" s="1"/>
  <c r="G1143" i="1" a="1"/>
  <c r="G1143" i="1" s="1"/>
  <c r="G1133" i="1" a="1"/>
  <c r="G1133" i="1" s="1"/>
  <c r="G1123" i="1" a="1"/>
  <c r="G1123" i="1" s="1"/>
  <c r="G1113" i="1" a="1"/>
  <c r="G1113" i="1" s="1"/>
  <c r="G1103" i="1" a="1"/>
  <c r="G1103" i="1" s="1"/>
  <c r="G1093" i="1" a="1"/>
  <c r="G1093" i="1" s="1"/>
  <c r="G1083" i="1" a="1"/>
  <c r="G1083" i="1" s="1"/>
  <c r="G1073" i="1" a="1"/>
  <c r="G1073" i="1" s="1"/>
  <c r="G1063" i="1" a="1"/>
  <c r="G1063" i="1" s="1"/>
  <c r="G1053" i="1" a="1"/>
  <c r="G1053" i="1" s="1"/>
  <c r="G1043" i="1" a="1"/>
  <c r="G1043" i="1" s="1"/>
  <c r="G1033" i="1" a="1"/>
  <c r="G1033" i="1" s="1"/>
  <c r="G1023" i="1" a="1"/>
  <c r="G1023" i="1" s="1"/>
  <c r="G1013" i="1" a="1"/>
  <c r="G1013" i="1" s="1"/>
  <c r="G1003" i="1" a="1"/>
  <c r="G1003" i="1" s="1"/>
  <c r="G993" i="1" a="1"/>
  <c r="G993" i="1" s="1"/>
  <c r="G1742" i="1" a="1"/>
  <c r="G1742" i="1" s="1"/>
  <c r="G1732" i="1" a="1"/>
  <c r="G1732" i="1" s="1"/>
  <c r="G1722" i="1" a="1"/>
  <c r="G1722" i="1" s="1"/>
  <c r="G1712" i="1" a="1"/>
  <c r="G1712" i="1" s="1"/>
  <c r="G1702" i="1" a="1"/>
  <c r="G1702" i="1" s="1"/>
  <c r="G1692" i="1" a="1"/>
  <c r="G1692" i="1" s="1"/>
  <c r="G1682" i="1" a="1"/>
  <c r="G1682" i="1" s="1"/>
  <c r="G1672" i="1" a="1"/>
  <c r="G1672" i="1" s="1"/>
  <c r="G1662" i="1" a="1"/>
  <c r="G1662" i="1" s="1"/>
  <c r="G1652" i="1" a="1"/>
  <c r="G1652" i="1" s="1"/>
  <c r="G1642" i="1" a="1"/>
  <c r="G1642" i="1" s="1"/>
  <c r="G1632" i="1" a="1"/>
  <c r="G1632" i="1" s="1"/>
  <c r="G1622" i="1" a="1"/>
  <c r="G1622" i="1" s="1"/>
  <c r="G1612" i="1" a="1"/>
  <c r="G1612" i="1" s="1"/>
  <c r="G1602" i="1" a="1"/>
  <c r="G1602" i="1" s="1"/>
  <c r="G1592" i="1" a="1"/>
  <c r="G1592" i="1" s="1"/>
  <c r="G1582" i="1" a="1"/>
  <c r="G1582" i="1" s="1"/>
  <c r="G1572" i="1" a="1"/>
  <c r="G1572" i="1" s="1"/>
  <c r="G1562" i="1" a="1"/>
  <c r="G1562" i="1" s="1"/>
  <c r="G1552" i="1" a="1"/>
  <c r="G1552" i="1" s="1"/>
  <c r="G1542" i="1" a="1"/>
  <c r="G1542" i="1" s="1"/>
  <c r="G1532" i="1" a="1"/>
  <c r="G1532" i="1" s="1"/>
  <c r="G1522" i="1" a="1"/>
  <c r="G1522" i="1" s="1"/>
  <c r="G1512" i="1" a="1"/>
  <c r="G1512" i="1" s="1"/>
  <c r="G1502" i="1" a="1"/>
  <c r="G1502" i="1" s="1"/>
  <c r="G1492" i="1" a="1"/>
  <c r="G1492" i="1" s="1"/>
  <c r="G1482" i="1" a="1"/>
  <c r="G1482" i="1" s="1"/>
  <c r="G1472" i="1" a="1"/>
  <c r="G1472" i="1" s="1"/>
  <c r="G1462" i="1" a="1"/>
  <c r="G1462" i="1" s="1"/>
  <c r="G1452" i="1" a="1"/>
  <c r="G1452" i="1" s="1"/>
  <c r="G1442" i="1" a="1"/>
  <c r="G1442" i="1" s="1"/>
  <c r="G1432" i="1" a="1"/>
  <c r="G1432" i="1" s="1"/>
  <c r="G1422" i="1" a="1"/>
  <c r="G1422" i="1" s="1"/>
  <c r="G1412" i="1" a="1"/>
  <c r="G1412" i="1" s="1"/>
  <c r="G1402" i="1" a="1"/>
  <c r="G1402" i="1" s="1"/>
  <c r="G1392" i="1" a="1"/>
  <c r="G1392" i="1" s="1"/>
  <c r="G1382" i="1" a="1"/>
  <c r="G1382" i="1" s="1"/>
  <c r="G1372" i="1" a="1"/>
  <c r="G1372" i="1" s="1"/>
  <c r="G1362" i="1" a="1"/>
  <c r="G1362" i="1" s="1"/>
  <c r="G1352" i="1" a="1"/>
  <c r="G1352" i="1" s="1"/>
  <c r="G1342" i="1" a="1"/>
  <c r="G1342" i="1" s="1"/>
  <c r="G1332" i="1" a="1"/>
  <c r="G1332" i="1" s="1"/>
  <c r="G1322" i="1" a="1"/>
  <c r="G1322" i="1" s="1"/>
  <c r="G1312" i="1" a="1"/>
  <c r="G1312" i="1" s="1"/>
  <c r="G1302" i="1" a="1"/>
  <c r="G1302" i="1" s="1"/>
  <c r="G1292" i="1" a="1"/>
  <c r="G1292" i="1" s="1"/>
  <c r="G1282" i="1" a="1"/>
  <c r="G1282" i="1" s="1"/>
  <c r="G1272" i="1" a="1"/>
  <c r="G1272" i="1" s="1"/>
  <c r="G1262" i="1" a="1"/>
  <c r="G1262" i="1" s="1"/>
  <c r="G1252" i="1" a="1"/>
  <c r="G1252" i="1" s="1"/>
  <c r="G1242" i="1" a="1"/>
  <c r="G1242" i="1" s="1"/>
  <c r="G1232" i="1" a="1"/>
  <c r="G1232" i="1" s="1"/>
  <c r="G1222" i="1" a="1"/>
  <c r="G1222" i="1" s="1"/>
  <c r="G1212" i="1" a="1"/>
  <c r="G1212" i="1" s="1"/>
  <c r="G1202" i="1" a="1"/>
  <c r="G1202" i="1" s="1"/>
  <c r="G1192" i="1" a="1"/>
  <c r="G1192" i="1" s="1"/>
  <c r="G1182" i="1" a="1"/>
  <c r="G1182" i="1" s="1"/>
  <c r="G1172" i="1" a="1"/>
  <c r="G1172" i="1" s="1"/>
  <c r="G1162" i="1" a="1"/>
  <c r="G1162" i="1" s="1"/>
  <c r="G1152" i="1" a="1"/>
  <c r="G1152" i="1" s="1"/>
  <c r="G1142" i="1" a="1"/>
  <c r="G1142" i="1" s="1"/>
  <c r="G1132" i="1" a="1"/>
  <c r="G1132" i="1" s="1"/>
  <c r="G1122" i="1" a="1"/>
  <c r="G1122" i="1" s="1"/>
  <c r="G1112" i="1" a="1"/>
  <c r="G1112" i="1" s="1"/>
  <c r="G1102" i="1" a="1"/>
  <c r="G1102" i="1" s="1"/>
  <c r="G1092" i="1" a="1"/>
  <c r="G1092" i="1" s="1"/>
  <c r="G1082" i="1" a="1"/>
  <c r="G1082" i="1" s="1"/>
  <c r="G1072" i="1" a="1"/>
  <c r="G1072" i="1" s="1"/>
  <c r="G1062" i="1" a="1"/>
  <c r="G1062" i="1" s="1"/>
  <c r="G1052" i="1" a="1"/>
  <c r="G1052" i="1" s="1"/>
  <c r="G1042" i="1" a="1"/>
  <c r="G1042" i="1" s="1"/>
  <c r="G1032" i="1" a="1"/>
  <c r="G1032" i="1" s="1"/>
  <c r="G1022" i="1" a="1"/>
  <c r="G1022" i="1" s="1"/>
  <c r="G1012" i="1" a="1"/>
  <c r="G1012" i="1" s="1"/>
  <c r="G1771" i="1" a="1"/>
  <c r="G1771" i="1" s="1"/>
  <c r="G1761" i="1" a="1"/>
  <c r="G1761" i="1" s="1"/>
  <c r="G1751" i="1" a="1"/>
  <c r="G1751" i="1" s="1"/>
  <c r="G1741" i="1" a="1"/>
  <c r="G1741" i="1" s="1"/>
  <c r="G1731" i="1" a="1"/>
  <c r="G1731" i="1" s="1"/>
  <c r="G1721" i="1" a="1"/>
  <c r="G1721" i="1" s="1"/>
  <c r="G1711" i="1" a="1"/>
  <c r="G1711" i="1" s="1"/>
  <c r="G1701" i="1" a="1"/>
  <c r="G1701" i="1" s="1"/>
  <c r="G1691" i="1" a="1"/>
  <c r="G1691" i="1" s="1"/>
  <c r="G1681" i="1" a="1"/>
  <c r="G1681" i="1" s="1"/>
  <c r="G1671" i="1" a="1"/>
  <c r="G1671" i="1" s="1"/>
  <c r="G1661" i="1" a="1"/>
  <c r="G1661" i="1" s="1"/>
  <c r="G1651" i="1" a="1"/>
  <c r="G1651" i="1" s="1"/>
  <c r="G1641" i="1" a="1"/>
  <c r="G1641" i="1" s="1"/>
  <c r="G1631" i="1" a="1"/>
  <c r="G1631" i="1" s="1"/>
  <c r="G1621" i="1" a="1"/>
  <c r="G1621" i="1" s="1"/>
  <c r="G1611" i="1" a="1"/>
  <c r="G1611" i="1" s="1"/>
  <c r="G1601" i="1" a="1"/>
  <c r="G1601" i="1" s="1"/>
  <c r="G1591" i="1" a="1"/>
  <c r="G1591" i="1" s="1"/>
  <c r="G1581" i="1" a="1"/>
  <c r="G1581" i="1" s="1"/>
  <c r="G1571" i="1" a="1"/>
  <c r="G1571" i="1" s="1"/>
  <c r="G1561" i="1" a="1"/>
  <c r="G1561" i="1" s="1"/>
  <c r="G1551" i="1" a="1"/>
  <c r="G1551" i="1" s="1"/>
  <c r="G1541" i="1" a="1"/>
  <c r="G1541" i="1" s="1"/>
  <c r="G1531" i="1" a="1"/>
  <c r="G1531" i="1" s="1"/>
  <c r="G1521" i="1" a="1"/>
  <c r="G1521" i="1" s="1"/>
  <c r="G1511" i="1" a="1"/>
  <c r="G1511" i="1" s="1"/>
  <c r="G1501" i="1" a="1"/>
  <c r="G1501" i="1" s="1"/>
  <c r="G1491" i="1" a="1"/>
  <c r="G1491" i="1" s="1"/>
  <c r="G1481" i="1" a="1"/>
  <c r="G1481" i="1" s="1"/>
  <c r="G1471" i="1" a="1"/>
  <c r="G1471" i="1" s="1"/>
  <c r="G1461" i="1" a="1"/>
  <c r="G1461" i="1" s="1"/>
  <c r="G1451" i="1" a="1"/>
  <c r="G1451" i="1" s="1"/>
  <c r="G1441" i="1" a="1"/>
  <c r="G1441" i="1" s="1"/>
  <c r="G1431" i="1" a="1"/>
  <c r="G1431" i="1" s="1"/>
  <c r="G1421" i="1" a="1"/>
  <c r="G1421" i="1" s="1"/>
  <c r="G1411" i="1" a="1"/>
  <c r="G1411" i="1" s="1"/>
  <c r="G1401" i="1" a="1"/>
  <c r="G1401" i="1" s="1"/>
  <c r="G1391" i="1" a="1"/>
  <c r="G1391" i="1" s="1"/>
  <c r="G1381" i="1" a="1"/>
  <c r="G1381" i="1" s="1"/>
  <c r="G1371" i="1" a="1"/>
  <c r="G1371" i="1" s="1"/>
  <c r="G1361" i="1" a="1"/>
  <c r="G1361" i="1" s="1"/>
  <c r="G1351" i="1" a="1"/>
  <c r="G1351" i="1" s="1"/>
  <c r="G1341" i="1" a="1"/>
  <c r="G1341" i="1" s="1"/>
  <c r="G1331" i="1" a="1"/>
  <c r="G1331" i="1" s="1"/>
  <c r="G1321" i="1" a="1"/>
  <c r="G1321" i="1" s="1"/>
  <c r="G1311" i="1" a="1"/>
  <c r="G1311" i="1" s="1"/>
  <c r="G1301" i="1" a="1"/>
  <c r="G1301" i="1" s="1"/>
  <c r="G1291" i="1" a="1"/>
  <c r="G1291" i="1" s="1"/>
  <c r="G1281" i="1" a="1"/>
  <c r="G1281" i="1" s="1"/>
  <c r="G1271" i="1" a="1"/>
  <c r="G1271" i="1" s="1"/>
  <c r="G1261" i="1" a="1"/>
  <c r="G1261" i="1" s="1"/>
  <c r="G1251" i="1" a="1"/>
  <c r="G1251" i="1" s="1"/>
  <c r="G1241" i="1" a="1"/>
  <c r="G1241" i="1" s="1"/>
  <c r="G1231" i="1" a="1"/>
  <c r="G1231" i="1" s="1"/>
  <c r="G1221" i="1" a="1"/>
  <c r="G1221" i="1" s="1"/>
  <c r="G1211" i="1" a="1"/>
  <c r="G1211" i="1" s="1"/>
  <c r="G1201" i="1" a="1"/>
  <c r="G1201" i="1" s="1"/>
  <c r="G1191" i="1" a="1"/>
  <c r="G1191" i="1" s="1"/>
  <c r="G1181" i="1" a="1"/>
  <c r="G1181" i="1" s="1"/>
  <c r="G1171" i="1" a="1"/>
  <c r="G1171" i="1" s="1"/>
  <c r="G1161" i="1" a="1"/>
  <c r="G1161" i="1" s="1"/>
  <c r="G1151" i="1" a="1"/>
  <c r="G1151" i="1" s="1"/>
  <c r="G1141" i="1" a="1"/>
  <c r="G1141" i="1" s="1"/>
  <c r="G1131" i="1" a="1"/>
  <c r="G1131" i="1" s="1"/>
  <c r="G1121" i="1" a="1"/>
  <c r="G1121" i="1" s="1"/>
  <c r="G1111" i="1" a="1"/>
  <c r="G1111" i="1" s="1"/>
  <c r="G1101" i="1" a="1"/>
  <c r="G1101" i="1" s="1"/>
  <c r="G1091" i="1" a="1"/>
  <c r="G1091" i="1" s="1"/>
  <c r="G1081" i="1" a="1"/>
  <c r="G1081" i="1" s="1"/>
  <c r="G1071" i="1" a="1"/>
  <c r="G1071" i="1" s="1"/>
  <c r="G1061" i="1" a="1"/>
  <c r="G1061" i="1" s="1"/>
  <c r="G1051" i="1" a="1"/>
  <c r="G1051" i="1" s="1"/>
  <c r="G1041" i="1" a="1"/>
  <c r="G1041" i="1" s="1"/>
  <c r="G1031" i="1" a="1"/>
  <c r="G1031" i="1" s="1"/>
  <c r="G1021" i="1" a="1"/>
  <c r="G1021" i="1" s="1"/>
  <c r="G1011" i="1" a="1"/>
  <c r="G1011" i="1" s="1"/>
  <c r="G1001" i="1" a="1"/>
  <c r="G1001" i="1" s="1"/>
  <c r="G991" i="1" a="1"/>
  <c r="G991" i="1" s="1"/>
  <c r="G981" i="1" a="1"/>
  <c r="G981" i="1" s="1"/>
  <c r="G1790" i="1" a="1"/>
  <c r="G1790" i="1" s="1"/>
  <c r="G1780" i="1" a="1"/>
  <c r="G1780" i="1" s="1"/>
  <c r="G1770" i="1" a="1"/>
  <c r="G1770" i="1" s="1"/>
  <c r="G1760" i="1" a="1"/>
  <c r="G1760" i="1" s="1"/>
  <c r="G1750" i="1" a="1"/>
  <c r="G1750" i="1" s="1"/>
  <c r="G1740" i="1" a="1"/>
  <c r="G1740" i="1" s="1"/>
  <c r="G1730" i="1" a="1"/>
  <c r="G1730" i="1" s="1"/>
  <c r="G1720" i="1" a="1"/>
  <c r="G1720" i="1" s="1"/>
  <c r="G1710" i="1" a="1"/>
  <c r="G1710" i="1" s="1"/>
  <c r="G1700" i="1" a="1"/>
  <c r="G1700" i="1" s="1"/>
  <c r="G1690" i="1" a="1"/>
  <c r="G1690" i="1" s="1"/>
  <c r="G1680" i="1" a="1"/>
  <c r="G1680" i="1" s="1"/>
  <c r="G1670" i="1" a="1"/>
  <c r="G1670" i="1" s="1"/>
  <c r="G1660" i="1" a="1"/>
  <c r="G1660" i="1" s="1"/>
  <c r="G1650" i="1" a="1"/>
  <c r="G1650" i="1" s="1"/>
  <c r="G1640" i="1" a="1"/>
  <c r="G1640" i="1" s="1"/>
  <c r="G1630" i="1" a="1"/>
  <c r="G1630" i="1" s="1"/>
  <c r="G1620" i="1" a="1"/>
  <c r="G1620" i="1" s="1"/>
  <c r="G1610" i="1" a="1"/>
  <c r="G1610" i="1" s="1"/>
  <c r="G1600" i="1" a="1"/>
  <c r="G1600" i="1" s="1"/>
  <c r="G1590" i="1" a="1"/>
  <c r="G1590" i="1" s="1"/>
  <c r="G1580" i="1" a="1"/>
  <c r="G1580" i="1" s="1"/>
  <c r="G1570" i="1" a="1"/>
  <c r="G1570" i="1" s="1"/>
  <c r="G1560" i="1" a="1"/>
  <c r="G1560" i="1" s="1"/>
  <c r="G1550" i="1" a="1"/>
  <c r="G1550" i="1" s="1"/>
  <c r="G1540" i="1" a="1"/>
  <c r="G1540" i="1" s="1"/>
  <c r="G1530" i="1" a="1"/>
  <c r="G1530" i="1" s="1"/>
  <c r="G1520" i="1" a="1"/>
  <c r="G1520" i="1" s="1"/>
  <c r="G1510" i="1" a="1"/>
  <c r="G1510" i="1" s="1"/>
  <c r="G1500" i="1" a="1"/>
  <c r="G1500" i="1" s="1"/>
  <c r="G1490" i="1" a="1"/>
  <c r="G1490" i="1" s="1"/>
  <c r="G1480" i="1" a="1"/>
  <c r="G1480" i="1" s="1"/>
  <c r="G1470" i="1" a="1"/>
  <c r="G1470" i="1" s="1"/>
  <c r="G1460" i="1" a="1"/>
  <c r="G1460" i="1" s="1"/>
  <c r="G1450" i="1" a="1"/>
  <c r="G1450" i="1" s="1"/>
  <c r="G1440" i="1" a="1"/>
  <c r="G1440" i="1" s="1"/>
  <c r="G1430" i="1" a="1"/>
  <c r="G1430" i="1" s="1"/>
  <c r="G1420" i="1" a="1"/>
  <c r="G1420" i="1" s="1"/>
  <c r="G1410" i="1" a="1"/>
  <c r="G1410" i="1" s="1"/>
  <c r="G1400" i="1" a="1"/>
  <c r="G1400" i="1" s="1"/>
  <c r="G1390" i="1" a="1"/>
  <c r="G1390" i="1" s="1"/>
  <c r="G1380" i="1" a="1"/>
  <c r="G1380" i="1" s="1"/>
  <c r="G1370" i="1" a="1"/>
  <c r="G1370" i="1" s="1"/>
  <c r="G1360" i="1" a="1"/>
  <c r="G1360" i="1" s="1"/>
  <c r="G1350" i="1" a="1"/>
  <c r="G1350" i="1" s="1"/>
  <c r="G1340" i="1" a="1"/>
  <c r="G1340" i="1" s="1"/>
  <c r="G1330" i="1" a="1"/>
  <c r="G1330" i="1" s="1"/>
  <c r="G1320" i="1" a="1"/>
  <c r="G1320" i="1" s="1"/>
  <c r="G1310" i="1" a="1"/>
  <c r="G1310" i="1" s="1"/>
  <c r="G1300" i="1" a="1"/>
  <c r="G1300" i="1" s="1"/>
  <c r="G1290" i="1" a="1"/>
  <c r="G1290" i="1" s="1"/>
  <c r="G1280" i="1" a="1"/>
  <c r="G1280" i="1" s="1"/>
  <c r="G1270" i="1" a="1"/>
  <c r="G1270" i="1" s="1"/>
  <c r="G1260" i="1" a="1"/>
  <c r="G1260" i="1" s="1"/>
  <c r="G1250" i="1" a="1"/>
  <c r="G1250" i="1" s="1"/>
  <c r="G1240" i="1" a="1"/>
  <c r="G1240" i="1" s="1"/>
  <c r="G1230" i="1" a="1"/>
  <c r="G1230" i="1" s="1"/>
  <c r="G1220" i="1" a="1"/>
  <c r="G1220" i="1" s="1"/>
  <c r="G1210" i="1" a="1"/>
  <c r="G1210" i="1" s="1"/>
  <c r="G1200" i="1" a="1"/>
  <c r="G1200" i="1" s="1"/>
  <c r="G1190" i="1" a="1"/>
  <c r="G1190" i="1" s="1"/>
  <c r="G1180" i="1" a="1"/>
  <c r="G1180" i="1" s="1"/>
  <c r="G1170" i="1" a="1"/>
  <c r="G1170" i="1" s="1"/>
  <c r="G1160" i="1" a="1"/>
  <c r="G1160" i="1" s="1"/>
  <c r="G1150" i="1" a="1"/>
  <c r="G1150" i="1" s="1"/>
  <c r="G1140" i="1" a="1"/>
  <c r="G1140" i="1" s="1"/>
  <c r="G1130" i="1" a="1"/>
  <c r="G1130" i="1" s="1"/>
  <c r="G1120" i="1" a="1"/>
  <c r="G1120" i="1" s="1"/>
  <c r="G1110" i="1" a="1"/>
  <c r="G1110" i="1" s="1"/>
  <c r="G1100" i="1" a="1"/>
  <c r="G1100" i="1" s="1"/>
  <c r="G1090" i="1" a="1"/>
  <c r="G1090" i="1" s="1"/>
  <c r="G1080" i="1" a="1"/>
  <c r="G1080" i="1" s="1"/>
  <c r="G1070" i="1" a="1"/>
  <c r="G1070" i="1" s="1"/>
  <c r="G1060" i="1" a="1"/>
  <c r="G1060" i="1" s="1"/>
  <c r="G1050" i="1" a="1"/>
  <c r="G1050" i="1" s="1"/>
  <c r="G1040" i="1" a="1"/>
  <c r="G1040" i="1" s="1"/>
  <c r="G1030" i="1" a="1"/>
  <c r="G1030" i="1" s="1"/>
  <c r="G1020" i="1" a="1"/>
  <c r="G1020" i="1" s="1"/>
  <c r="G1010" i="1" a="1"/>
  <c r="G1010" i="1" s="1"/>
  <c r="G1889" i="1" a="1"/>
  <c r="G1889" i="1" s="1"/>
  <c r="G1879" i="1" a="1"/>
  <c r="G1879" i="1" s="1"/>
  <c r="G1869" i="1" a="1"/>
  <c r="G1869" i="1" s="1"/>
  <c r="G1859" i="1" a="1"/>
  <c r="G1859" i="1" s="1"/>
  <c r="G1849" i="1" a="1"/>
  <c r="G1849" i="1" s="1"/>
  <c r="G1839" i="1" a="1"/>
  <c r="G1839" i="1" s="1"/>
  <c r="G1829" i="1" a="1"/>
  <c r="G1829" i="1" s="1"/>
  <c r="G1819" i="1" a="1"/>
  <c r="G1819" i="1" s="1"/>
  <c r="G1809" i="1" a="1"/>
  <c r="G1809" i="1" s="1"/>
  <c r="G1799" i="1" a="1"/>
  <c r="G1799" i="1" s="1"/>
  <c r="G1789" i="1" a="1"/>
  <c r="G1789" i="1" s="1"/>
  <c r="G1779" i="1" a="1"/>
  <c r="G1779" i="1" s="1"/>
  <c r="G1769" i="1" a="1"/>
  <c r="G1769" i="1" s="1"/>
  <c r="G1759" i="1" a="1"/>
  <c r="G1759" i="1" s="1"/>
  <c r="G1749" i="1" a="1"/>
  <c r="G1749" i="1" s="1"/>
  <c r="G1739" i="1" a="1"/>
  <c r="G1739" i="1" s="1"/>
  <c r="G1729" i="1" a="1"/>
  <c r="G1729" i="1" s="1"/>
  <c r="G1719" i="1" a="1"/>
  <c r="G1719" i="1" s="1"/>
  <c r="G1709" i="1" a="1"/>
  <c r="G1709" i="1" s="1"/>
  <c r="G1699" i="1" a="1"/>
  <c r="G1699" i="1" s="1"/>
  <c r="G1689" i="1" a="1"/>
  <c r="G1689" i="1" s="1"/>
  <c r="G1679" i="1" a="1"/>
  <c r="G1679" i="1" s="1"/>
  <c r="G1669" i="1" a="1"/>
  <c r="G1669" i="1" s="1"/>
  <c r="G1659" i="1" a="1"/>
  <c r="G1659" i="1" s="1"/>
  <c r="G1649" i="1" a="1"/>
  <c r="G1649" i="1" s="1"/>
  <c r="G1639" i="1" a="1"/>
  <c r="G1639" i="1" s="1"/>
  <c r="G1629" i="1" a="1"/>
  <c r="G1629" i="1" s="1"/>
  <c r="G1619" i="1" a="1"/>
  <c r="G1619" i="1" s="1"/>
  <c r="G1609" i="1" a="1"/>
  <c r="G1609" i="1" s="1"/>
  <c r="G1599" i="1" a="1"/>
  <c r="G1599" i="1" s="1"/>
  <c r="G1589" i="1" a="1"/>
  <c r="G1589" i="1" s="1"/>
  <c r="G1579" i="1" a="1"/>
  <c r="G1579" i="1" s="1"/>
  <c r="G1569" i="1" a="1"/>
  <c r="G1569" i="1" s="1"/>
  <c r="G1559" i="1" a="1"/>
  <c r="G1559" i="1" s="1"/>
  <c r="G1549" i="1" a="1"/>
  <c r="G1549" i="1" s="1"/>
  <c r="G1539" i="1" a="1"/>
  <c r="G1539" i="1" s="1"/>
  <c r="G1529" i="1" a="1"/>
  <c r="G1529" i="1" s="1"/>
  <c r="G1519" i="1" a="1"/>
  <c r="G1519" i="1" s="1"/>
  <c r="G1509" i="1" a="1"/>
  <c r="G1509" i="1" s="1"/>
  <c r="G1499" i="1" a="1"/>
  <c r="G1499" i="1" s="1"/>
  <c r="G1489" i="1" a="1"/>
  <c r="G1489" i="1" s="1"/>
  <c r="G1479" i="1" a="1"/>
  <c r="G1479" i="1" s="1"/>
  <c r="G1469" i="1" a="1"/>
  <c r="G1469" i="1" s="1"/>
  <c r="G1459" i="1" a="1"/>
  <c r="G1459" i="1" s="1"/>
  <c r="G1449" i="1" a="1"/>
  <c r="G1449" i="1" s="1"/>
  <c r="G1439" i="1" a="1"/>
  <c r="G1439" i="1" s="1"/>
  <c r="G1429" i="1" a="1"/>
  <c r="G1429" i="1" s="1"/>
  <c r="G1419" i="1" a="1"/>
  <c r="G1419" i="1" s="1"/>
  <c r="G1409" i="1" a="1"/>
  <c r="G1409" i="1" s="1"/>
  <c r="G1399" i="1" a="1"/>
  <c r="G1399" i="1" s="1"/>
  <c r="G1389" i="1" a="1"/>
  <c r="G1389" i="1" s="1"/>
  <c r="G1379" i="1" a="1"/>
  <c r="G1379" i="1" s="1"/>
  <c r="G1369" i="1" a="1"/>
  <c r="G1369" i="1" s="1"/>
  <c r="G1359" i="1" a="1"/>
  <c r="G1359" i="1" s="1"/>
  <c r="G1349" i="1" a="1"/>
  <c r="G1349" i="1" s="1"/>
  <c r="G1339" i="1" a="1"/>
  <c r="G1339" i="1" s="1"/>
  <c r="G1329" i="1" a="1"/>
  <c r="G1329" i="1" s="1"/>
  <c r="G1319" i="1" a="1"/>
  <c r="G1319" i="1" s="1"/>
  <c r="G1309" i="1" a="1"/>
  <c r="G1309" i="1" s="1"/>
  <c r="G1299" i="1" a="1"/>
  <c r="G1299" i="1" s="1"/>
  <c r="G1289" i="1" a="1"/>
  <c r="G1289" i="1" s="1"/>
  <c r="G1279" i="1" a="1"/>
  <c r="G1279" i="1" s="1"/>
  <c r="G1269" i="1" a="1"/>
  <c r="G1269" i="1" s="1"/>
  <c r="G1259" i="1" a="1"/>
  <c r="G1259" i="1" s="1"/>
  <c r="G1249" i="1" a="1"/>
  <c r="G1249" i="1" s="1"/>
  <c r="G1239" i="1" a="1"/>
  <c r="G1239" i="1" s="1"/>
  <c r="G1229" i="1" a="1"/>
  <c r="G1229" i="1" s="1"/>
  <c r="G1219" i="1" a="1"/>
  <c r="G1219" i="1" s="1"/>
  <c r="G1209" i="1" a="1"/>
  <c r="G1209" i="1" s="1"/>
  <c r="G1199" i="1" a="1"/>
  <c r="G1199" i="1" s="1"/>
  <c r="G1189" i="1" a="1"/>
  <c r="G1189" i="1" s="1"/>
  <c r="G1179" i="1" a="1"/>
  <c r="G1179" i="1" s="1"/>
  <c r="G1169" i="1" a="1"/>
  <c r="G1169" i="1" s="1"/>
  <c r="G1159" i="1" a="1"/>
  <c r="G1159" i="1" s="1"/>
  <c r="G1149" i="1" a="1"/>
  <c r="G1149" i="1" s="1"/>
  <c r="G1139" i="1" a="1"/>
  <c r="G1139" i="1" s="1"/>
  <c r="G1129" i="1" a="1"/>
  <c r="G1129" i="1" s="1"/>
  <c r="G1119" i="1" a="1"/>
  <c r="G1119" i="1" s="1"/>
  <c r="G1109" i="1" a="1"/>
  <c r="G1109" i="1" s="1"/>
  <c r="G1099" i="1" a="1"/>
  <c r="G1099" i="1" s="1"/>
  <c r="G1089" i="1" a="1"/>
  <c r="G1089" i="1" s="1"/>
  <c r="G1079" i="1" a="1"/>
  <c r="G1079" i="1" s="1"/>
  <c r="G1069" i="1" a="1"/>
  <c r="G1069" i="1" s="1"/>
  <c r="G1059" i="1" a="1"/>
  <c r="G1059" i="1" s="1"/>
  <c r="G1049" i="1" a="1"/>
  <c r="G1049" i="1" s="1"/>
  <c r="G1848" i="1" a="1"/>
  <c r="G1848" i="1" s="1"/>
  <c r="G1838" i="1" a="1"/>
  <c r="G1838" i="1" s="1"/>
  <c r="G1828" i="1" a="1"/>
  <c r="G1828" i="1" s="1"/>
  <c r="G1818" i="1" a="1"/>
  <c r="G1818" i="1" s="1"/>
  <c r="G1808" i="1" a="1"/>
  <c r="G1808" i="1" s="1"/>
  <c r="G1798" i="1" a="1"/>
  <c r="G1798" i="1" s="1"/>
  <c r="G1788" i="1" a="1"/>
  <c r="G1788" i="1" s="1"/>
  <c r="G1778" i="1" a="1"/>
  <c r="G1778" i="1" s="1"/>
  <c r="G1768" i="1" a="1"/>
  <c r="G1768" i="1" s="1"/>
  <c r="G1758" i="1" a="1"/>
  <c r="G1758" i="1" s="1"/>
  <c r="G1748" i="1" a="1"/>
  <c r="G1748" i="1" s="1"/>
  <c r="G1738" i="1" a="1"/>
  <c r="G1738" i="1" s="1"/>
  <c r="G1728" i="1" a="1"/>
  <c r="G1728" i="1" s="1"/>
  <c r="G1718" i="1" a="1"/>
  <c r="G1718" i="1" s="1"/>
  <c r="G1708" i="1" a="1"/>
  <c r="G1708" i="1" s="1"/>
  <c r="G1698" i="1" a="1"/>
  <c r="G1698" i="1" s="1"/>
  <c r="G1688" i="1" a="1"/>
  <c r="G1688" i="1" s="1"/>
  <c r="G1678" i="1" a="1"/>
  <c r="G1678" i="1" s="1"/>
  <c r="G1668" i="1" a="1"/>
  <c r="G1668" i="1" s="1"/>
  <c r="G1658" i="1" a="1"/>
  <c r="G1658" i="1" s="1"/>
  <c r="G1648" i="1" a="1"/>
  <c r="G1648" i="1" s="1"/>
  <c r="G1638" i="1" a="1"/>
  <c r="G1638" i="1" s="1"/>
  <c r="G1628" i="1" a="1"/>
  <c r="G1628" i="1" s="1"/>
  <c r="G1618" i="1" a="1"/>
  <c r="G1618" i="1" s="1"/>
  <c r="G1608" i="1" a="1"/>
  <c r="G1608" i="1" s="1"/>
  <c r="G1598" i="1" a="1"/>
  <c r="G1598" i="1" s="1"/>
  <c r="G1588" i="1" a="1"/>
  <c r="G1588" i="1" s="1"/>
  <c r="G1578" i="1" a="1"/>
  <c r="G1578" i="1" s="1"/>
  <c r="G1568" i="1" a="1"/>
  <c r="G1568" i="1" s="1"/>
  <c r="G1558" i="1" a="1"/>
  <c r="G1558" i="1" s="1"/>
  <c r="G1548" i="1" a="1"/>
  <c r="G1548" i="1" s="1"/>
  <c r="G1538" i="1" a="1"/>
  <c r="G1538" i="1" s="1"/>
  <c r="G1528" i="1" a="1"/>
  <c r="G1528" i="1" s="1"/>
  <c r="G1518" i="1" a="1"/>
  <c r="G1518" i="1" s="1"/>
  <c r="G1508" i="1" a="1"/>
  <c r="G1508" i="1" s="1"/>
  <c r="G1498" i="1" a="1"/>
  <c r="G1498" i="1" s="1"/>
  <c r="G1488" i="1" a="1"/>
  <c r="G1488" i="1" s="1"/>
  <c r="G1478" i="1" a="1"/>
  <c r="G1478" i="1" s="1"/>
  <c r="G1468" i="1" a="1"/>
  <c r="G1468" i="1" s="1"/>
  <c r="G1458" i="1" a="1"/>
  <c r="G1458" i="1" s="1"/>
  <c r="G1448" i="1" a="1"/>
  <c r="G1448" i="1" s="1"/>
  <c r="G1438" i="1" a="1"/>
  <c r="G1438" i="1" s="1"/>
  <c r="G1428" i="1" a="1"/>
  <c r="G1428" i="1" s="1"/>
  <c r="G1418" i="1" a="1"/>
  <c r="G1418" i="1" s="1"/>
  <c r="G1408" i="1" a="1"/>
  <c r="G1408" i="1" s="1"/>
  <c r="G1398" i="1" a="1"/>
  <c r="G1398" i="1" s="1"/>
  <c r="G1388" i="1" a="1"/>
  <c r="G1388" i="1" s="1"/>
  <c r="G1378" i="1" a="1"/>
  <c r="G1378" i="1" s="1"/>
  <c r="G1368" i="1" a="1"/>
  <c r="G1368" i="1" s="1"/>
  <c r="G1358" i="1" a="1"/>
  <c r="G1358" i="1" s="1"/>
  <c r="G1348" i="1" a="1"/>
  <c r="G1348" i="1" s="1"/>
  <c r="G1338" i="1" a="1"/>
  <c r="G1338" i="1" s="1"/>
  <c r="G1328" i="1" a="1"/>
  <c r="G1328" i="1" s="1"/>
  <c r="G1318" i="1" a="1"/>
  <c r="G1318" i="1" s="1"/>
  <c r="G1308" i="1" a="1"/>
  <c r="G1308" i="1" s="1"/>
  <c r="G1298" i="1" a="1"/>
  <c r="G1298" i="1" s="1"/>
  <c r="G1288" i="1" a="1"/>
  <c r="G1288" i="1" s="1"/>
  <c r="G1278" i="1" a="1"/>
  <c r="G1278" i="1" s="1"/>
  <c r="G1268" i="1" a="1"/>
  <c r="G1268" i="1" s="1"/>
  <c r="G1258" i="1" a="1"/>
  <c r="G1258" i="1" s="1"/>
  <c r="G1248" i="1" a="1"/>
  <c r="G1248" i="1" s="1"/>
  <c r="G1238" i="1" a="1"/>
  <c r="G1238" i="1" s="1"/>
  <c r="G1228" i="1" a="1"/>
  <c r="G1228" i="1" s="1"/>
  <c r="G1218" i="1" a="1"/>
  <c r="G1218" i="1" s="1"/>
  <c r="G1208" i="1" a="1"/>
  <c r="G1208" i="1" s="1"/>
  <c r="G1198" i="1" a="1"/>
  <c r="G1198" i="1" s="1"/>
  <c r="G1188" i="1" a="1"/>
  <c r="G1188" i="1" s="1"/>
  <c r="G1178" i="1" a="1"/>
  <c r="G1178" i="1" s="1"/>
  <c r="G1168" i="1" a="1"/>
  <c r="G1168" i="1" s="1"/>
  <c r="G1158" i="1" a="1"/>
  <c r="G1158" i="1" s="1"/>
  <c r="G1148" i="1" a="1"/>
  <c r="G1148" i="1" s="1"/>
  <c r="G1138" i="1" a="1"/>
  <c r="G1138" i="1" s="1"/>
  <c r="G1128" i="1" a="1"/>
  <c r="G1128" i="1" s="1"/>
  <c r="G1118" i="1" a="1"/>
  <c r="G1118" i="1" s="1"/>
  <c r="G1108" i="1" a="1"/>
  <c r="G1108" i="1" s="1"/>
  <c r="G1098" i="1" a="1"/>
  <c r="G1098" i="1" s="1"/>
  <c r="G1088" i="1" a="1"/>
  <c r="G1088" i="1" s="1"/>
  <c r="G1078" i="1" a="1"/>
  <c r="G1078" i="1" s="1"/>
  <c r="G1068" i="1" a="1"/>
  <c r="G1068" i="1" s="1"/>
  <c r="G1737" i="1" a="1"/>
  <c r="G1737" i="1" s="1"/>
  <c r="G1727" i="1" a="1"/>
  <c r="G1727" i="1" s="1"/>
  <c r="G1717" i="1" a="1"/>
  <c r="G1717" i="1" s="1"/>
  <c r="G1707" i="1" a="1"/>
  <c r="G1707" i="1" s="1"/>
  <c r="G1697" i="1" a="1"/>
  <c r="G1697" i="1" s="1"/>
  <c r="G1687" i="1" a="1"/>
  <c r="G1687" i="1" s="1"/>
  <c r="G1677" i="1" a="1"/>
  <c r="G1677" i="1" s="1"/>
  <c r="G1667" i="1" a="1"/>
  <c r="G1667" i="1" s="1"/>
  <c r="G1657" i="1" a="1"/>
  <c r="G1657" i="1" s="1"/>
  <c r="G1647" i="1" a="1"/>
  <c r="G1647" i="1" s="1"/>
  <c r="G1637" i="1" a="1"/>
  <c r="G1637" i="1" s="1"/>
  <c r="G1627" i="1" a="1"/>
  <c r="G1627" i="1" s="1"/>
  <c r="G1617" i="1" a="1"/>
  <c r="G1617" i="1" s="1"/>
  <c r="G1607" i="1" a="1"/>
  <c r="G1607" i="1" s="1"/>
  <c r="G1597" i="1" a="1"/>
  <c r="G1597" i="1" s="1"/>
  <c r="G1587" i="1" a="1"/>
  <c r="G1587" i="1" s="1"/>
  <c r="G1577" i="1" a="1"/>
  <c r="G1577" i="1" s="1"/>
  <c r="G1567" i="1" a="1"/>
  <c r="G1567" i="1" s="1"/>
  <c r="G1557" i="1" a="1"/>
  <c r="G1557" i="1" s="1"/>
  <c r="G1547" i="1" a="1"/>
  <c r="G1547" i="1" s="1"/>
  <c r="G1537" i="1" a="1"/>
  <c r="G1537" i="1" s="1"/>
  <c r="G1527" i="1" a="1"/>
  <c r="G1527" i="1" s="1"/>
  <c r="G1517" i="1" a="1"/>
  <c r="G1517" i="1" s="1"/>
  <c r="G1507" i="1" a="1"/>
  <c r="G1507" i="1" s="1"/>
  <c r="G1497" i="1" a="1"/>
  <c r="G1497" i="1" s="1"/>
  <c r="G1487" i="1" a="1"/>
  <c r="G1487" i="1" s="1"/>
  <c r="G1477" i="1" a="1"/>
  <c r="G1477" i="1" s="1"/>
  <c r="G1467" i="1" a="1"/>
  <c r="G1467" i="1" s="1"/>
  <c r="G1457" i="1" a="1"/>
  <c r="G1457" i="1" s="1"/>
  <c r="G1447" i="1" a="1"/>
  <c r="G1447" i="1" s="1"/>
  <c r="G1437" i="1" a="1"/>
  <c r="G1437" i="1" s="1"/>
  <c r="G1427" i="1" a="1"/>
  <c r="G1427" i="1" s="1"/>
  <c r="G1417" i="1" a="1"/>
  <c r="G1417" i="1" s="1"/>
  <c r="G1407" i="1" a="1"/>
  <c r="G1407" i="1" s="1"/>
  <c r="G1397" i="1" a="1"/>
  <c r="G1397" i="1" s="1"/>
  <c r="G1387" i="1" a="1"/>
  <c r="G1387" i="1" s="1"/>
  <c r="G1377" i="1" a="1"/>
  <c r="G1377" i="1" s="1"/>
  <c r="G1367" i="1" a="1"/>
  <c r="G1367" i="1" s="1"/>
  <c r="G1357" i="1" a="1"/>
  <c r="G1357" i="1" s="1"/>
  <c r="G1347" i="1" a="1"/>
  <c r="G1347" i="1" s="1"/>
  <c r="G1337" i="1" a="1"/>
  <c r="G1337" i="1" s="1"/>
  <c r="G1327" i="1" a="1"/>
  <c r="G1327" i="1" s="1"/>
  <c r="G1317" i="1" a="1"/>
  <c r="G1317" i="1" s="1"/>
  <c r="G1307" i="1" a="1"/>
  <c r="G1307" i="1" s="1"/>
  <c r="G1297" i="1" a="1"/>
  <c r="G1297" i="1" s="1"/>
  <c r="G1287" i="1" a="1"/>
  <c r="G1287" i="1" s="1"/>
  <c r="G1277" i="1" a="1"/>
  <c r="G1277" i="1" s="1"/>
  <c r="G1267" i="1" a="1"/>
  <c r="G1267" i="1" s="1"/>
  <c r="G1257" i="1" a="1"/>
  <c r="G1257" i="1" s="1"/>
  <c r="G1247" i="1" a="1"/>
  <c r="G1247" i="1" s="1"/>
  <c r="G1237" i="1" a="1"/>
  <c r="G1237" i="1" s="1"/>
  <c r="G1227" i="1" a="1"/>
  <c r="G1227" i="1" s="1"/>
  <c r="G1217" i="1" a="1"/>
  <c r="G1217" i="1" s="1"/>
  <c r="G1207" i="1" a="1"/>
  <c r="G1207" i="1" s="1"/>
  <c r="G1197" i="1" a="1"/>
  <c r="G1197" i="1" s="1"/>
  <c r="G1187" i="1" a="1"/>
  <c r="G1187" i="1" s="1"/>
  <c r="G1177" i="1" a="1"/>
  <c r="G1177" i="1" s="1"/>
  <c r="G1167" i="1" a="1"/>
  <c r="G1167" i="1" s="1"/>
  <c r="G1157" i="1" a="1"/>
  <c r="G1157" i="1" s="1"/>
  <c r="G1147" i="1" a="1"/>
  <c r="G1147" i="1" s="1"/>
  <c r="G1137" i="1" a="1"/>
  <c r="G1137" i="1" s="1"/>
  <c r="G1127" i="1" a="1"/>
  <c r="G1127" i="1" s="1"/>
  <c r="G1117" i="1" a="1"/>
  <c r="G1117" i="1" s="1"/>
  <c r="G1107" i="1" a="1"/>
  <c r="G1107" i="1" s="1"/>
  <c r="G1097" i="1" a="1"/>
  <c r="G1097" i="1" s="1"/>
  <c r="G1087" i="1" a="1"/>
  <c r="G1087" i="1" s="1"/>
  <c r="G1077" i="1" a="1"/>
  <c r="G1077" i="1" s="1"/>
  <c r="G1067" i="1" a="1"/>
  <c r="G1067" i="1" s="1"/>
  <c r="G1057" i="1" a="1"/>
  <c r="G1057" i="1" s="1"/>
  <c r="G1047" i="1" a="1"/>
  <c r="G1047" i="1" s="1"/>
  <c r="G1037" i="1" a="1"/>
  <c r="G1037" i="1" s="1"/>
  <c r="G1027" i="1" a="1"/>
  <c r="G1027" i="1" s="1"/>
  <c r="G1017" i="1" a="1"/>
  <c r="G1017" i="1" s="1"/>
  <c r="G1007" i="1" a="1"/>
  <c r="G1007" i="1" s="1"/>
  <c r="G997" i="1" a="1"/>
  <c r="G997" i="1" s="1"/>
  <c r="G987" i="1" a="1"/>
  <c r="G987" i="1" s="1"/>
  <c r="G977" i="1" a="1"/>
  <c r="G977" i="1" s="1"/>
  <c r="G967" i="1" a="1"/>
  <c r="G967" i="1" s="1"/>
  <c r="G1816" i="1" a="1"/>
  <c r="G1816" i="1" s="1"/>
  <c r="G1806" i="1" a="1"/>
  <c r="G1806" i="1" s="1"/>
  <c r="G1796" i="1" a="1"/>
  <c r="G1796" i="1" s="1"/>
  <c r="G1786" i="1" a="1"/>
  <c r="G1786" i="1" s="1"/>
  <c r="G1776" i="1" a="1"/>
  <c r="G1776" i="1" s="1"/>
  <c r="G1766" i="1" a="1"/>
  <c r="G1766" i="1" s="1"/>
  <c r="G1756" i="1" a="1"/>
  <c r="G1756" i="1" s="1"/>
  <c r="G1746" i="1" a="1"/>
  <c r="G1746" i="1" s="1"/>
  <c r="G1736" i="1" a="1"/>
  <c r="G1736" i="1" s="1"/>
  <c r="G1726" i="1" a="1"/>
  <c r="G1726" i="1" s="1"/>
  <c r="G1716" i="1" a="1"/>
  <c r="G1716" i="1" s="1"/>
  <c r="G1706" i="1" a="1"/>
  <c r="G1706" i="1" s="1"/>
  <c r="G1696" i="1" a="1"/>
  <c r="G1696" i="1" s="1"/>
  <c r="G1686" i="1" a="1"/>
  <c r="G1686" i="1" s="1"/>
  <c r="G1676" i="1" a="1"/>
  <c r="G1676" i="1" s="1"/>
  <c r="G1666" i="1" a="1"/>
  <c r="G1666" i="1" s="1"/>
  <c r="G1656" i="1" a="1"/>
  <c r="G1656" i="1" s="1"/>
  <c r="G1646" i="1" a="1"/>
  <c r="G1646" i="1" s="1"/>
  <c r="G1636" i="1" a="1"/>
  <c r="G1636" i="1" s="1"/>
  <c r="G1626" i="1" a="1"/>
  <c r="G1626" i="1" s="1"/>
  <c r="G1616" i="1" a="1"/>
  <c r="G1616" i="1" s="1"/>
  <c r="G1606" i="1" a="1"/>
  <c r="G1606" i="1" s="1"/>
  <c r="G1596" i="1" a="1"/>
  <c r="G1596" i="1" s="1"/>
  <c r="G1586" i="1" a="1"/>
  <c r="G1586" i="1" s="1"/>
  <c r="G1576" i="1" a="1"/>
  <c r="G1576" i="1" s="1"/>
  <c r="G1566" i="1" a="1"/>
  <c r="G1566" i="1" s="1"/>
  <c r="G1556" i="1" a="1"/>
  <c r="G1556" i="1" s="1"/>
  <c r="G1546" i="1" a="1"/>
  <c r="G1546" i="1" s="1"/>
  <c r="G1536" i="1" a="1"/>
  <c r="G1536" i="1" s="1"/>
  <c r="G1526" i="1" a="1"/>
  <c r="G1526" i="1" s="1"/>
  <c r="G1516" i="1" a="1"/>
  <c r="G1516" i="1" s="1"/>
  <c r="G1506" i="1" a="1"/>
  <c r="G1506" i="1" s="1"/>
  <c r="G1496" i="1" a="1"/>
  <c r="G1496" i="1" s="1"/>
  <c r="G1486" i="1" a="1"/>
  <c r="G1486" i="1" s="1"/>
  <c r="G1476" i="1" a="1"/>
  <c r="G1476" i="1" s="1"/>
  <c r="G1466" i="1" a="1"/>
  <c r="G1466" i="1" s="1"/>
  <c r="G1456" i="1" a="1"/>
  <c r="G1456" i="1" s="1"/>
  <c r="G1446" i="1" a="1"/>
  <c r="G1446" i="1" s="1"/>
  <c r="G1436" i="1" a="1"/>
  <c r="G1436" i="1" s="1"/>
  <c r="G1426" i="1" a="1"/>
  <c r="G1426" i="1" s="1"/>
  <c r="G1416" i="1" a="1"/>
  <c r="G1416" i="1" s="1"/>
  <c r="G1406" i="1" a="1"/>
  <c r="G1406" i="1" s="1"/>
  <c r="G1396" i="1" a="1"/>
  <c r="G1396" i="1" s="1"/>
  <c r="G1386" i="1" a="1"/>
  <c r="G1386" i="1" s="1"/>
  <c r="G1376" i="1" a="1"/>
  <c r="G1376" i="1" s="1"/>
  <c r="G1366" i="1" a="1"/>
  <c r="G1366" i="1" s="1"/>
  <c r="G1356" i="1" a="1"/>
  <c r="G1356" i="1" s="1"/>
  <c r="G1346" i="1" a="1"/>
  <c r="G1346" i="1" s="1"/>
  <c r="G1336" i="1" a="1"/>
  <c r="G1336" i="1" s="1"/>
  <c r="G1326" i="1" a="1"/>
  <c r="G1326" i="1" s="1"/>
  <c r="G1316" i="1" a="1"/>
  <c r="G1316" i="1" s="1"/>
  <c r="G1306" i="1" a="1"/>
  <c r="G1306" i="1" s="1"/>
  <c r="G1296" i="1" a="1"/>
  <c r="G1296" i="1" s="1"/>
  <c r="G1286" i="1" a="1"/>
  <c r="G1286" i="1" s="1"/>
  <c r="G1276" i="1" a="1"/>
  <c r="G1276" i="1" s="1"/>
  <c r="G1266" i="1" a="1"/>
  <c r="G1266" i="1" s="1"/>
  <c r="G1256" i="1" a="1"/>
  <c r="G1256" i="1" s="1"/>
  <c r="G1246" i="1" a="1"/>
  <c r="G1246" i="1" s="1"/>
  <c r="G1236" i="1" a="1"/>
  <c r="G1236" i="1" s="1"/>
  <c r="G1226" i="1" a="1"/>
  <c r="G1226" i="1" s="1"/>
  <c r="G1216" i="1" a="1"/>
  <c r="G1216" i="1" s="1"/>
  <c r="G1206" i="1" a="1"/>
  <c r="G1206" i="1" s="1"/>
  <c r="G1196" i="1" a="1"/>
  <c r="G1196" i="1" s="1"/>
  <c r="G1186" i="1" a="1"/>
  <c r="G1186" i="1" s="1"/>
  <c r="G1176" i="1" a="1"/>
  <c r="G1176" i="1" s="1"/>
  <c r="G1166" i="1" a="1"/>
  <c r="G1166" i="1" s="1"/>
  <c r="G1156" i="1" a="1"/>
  <c r="G1156" i="1" s="1"/>
  <c r="G1146" i="1" a="1"/>
  <c r="G1146" i="1" s="1"/>
  <c r="G1136" i="1" a="1"/>
  <c r="G1136" i="1" s="1"/>
  <c r="G1126" i="1" a="1"/>
  <c r="G1126" i="1" s="1"/>
  <c r="G1116" i="1" a="1"/>
  <c r="G1116" i="1" s="1"/>
  <c r="G1106" i="1" a="1"/>
  <c r="G1106" i="1" s="1"/>
  <c r="G1096" i="1" a="1"/>
  <c r="G1096" i="1" s="1"/>
  <c r="G1086" i="1" a="1"/>
  <c r="G1086" i="1" s="1"/>
  <c r="G1076" i="1" a="1"/>
  <c r="G1076" i="1" s="1"/>
  <c r="G1066" i="1" a="1"/>
  <c r="G1066" i="1" s="1"/>
  <c r="G1056" i="1" a="1"/>
  <c r="G1056" i="1" s="1"/>
  <c r="G1046" i="1" a="1"/>
  <c r="G1046" i="1" s="1"/>
  <c r="G1036" i="1" a="1"/>
  <c r="G1036" i="1" s="1"/>
  <c r="G1026" i="1" a="1"/>
  <c r="G1026" i="1" s="1"/>
  <c r="G1755" i="1" a="1"/>
  <c r="G1755" i="1" s="1"/>
  <c r="G1745" i="1" a="1"/>
  <c r="G1745" i="1" s="1"/>
  <c r="G1735" i="1" a="1"/>
  <c r="G1735" i="1" s="1"/>
  <c r="G1725" i="1" a="1"/>
  <c r="G1725" i="1" s="1"/>
  <c r="G1715" i="1" a="1"/>
  <c r="G1715" i="1" s="1"/>
  <c r="G1705" i="1" a="1"/>
  <c r="G1705" i="1" s="1"/>
  <c r="G1695" i="1" a="1"/>
  <c r="G1695" i="1" s="1"/>
  <c r="G1685" i="1" a="1"/>
  <c r="G1685" i="1" s="1"/>
  <c r="G1675" i="1" a="1"/>
  <c r="G1675" i="1" s="1"/>
  <c r="G1665" i="1" a="1"/>
  <c r="G1665" i="1" s="1"/>
  <c r="G1655" i="1" a="1"/>
  <c r="G1655" i="1" s="1"/>
  <c r="G1645" i="1" a="1"/>
  <c r="G1645" i="1" s="1"/>
  <c r="G1635" i="1" a="1"/>
  <c r="G1635" i="1" s="1"/>
  <c r="G1625" i="1" a="1"/>
  <c r="G1625" i="1" s="1"/>
  <c r="G1615" i="1" a="1"/>
  <c r="G1615" i="1" s="1"/>
  <c r="G1605" i="1" a="1"/>
  <c r="G1605" i="1" s="1"/>
  <c r="G1595" i="1" a="1"/>
  <c r="G1595" i="1" s="1"/>
  <c r="G1585" i="1" a="1"/>
  <c r="G1585" i="1" s="1"/>
  <c r="G1575" i="1" a="1"/>
  <c r="G1575" i="1" s="1"/>
  <c r="G1565" i="1" a="1"/>
  <c r="G1565" i="1" s="1"/>
  <c r="G1555" i="1" a="1"/>
  <c r="G1555" i="1" s="1"/>
  <c r="G1545" i="1" a="1"/>
  <c r="G1545" i="1" s="1"/>
  <c r="G1535" i="1" a="1"/>
  <c r="G1535" i="1" s="1"/>
  <c r="G1525" i="1" a="1"/>
  <c r="G1525" i="1" s="1"/>
  <c r="G1515" i="1" a="1"/>
  <c r="G1515" i="1" s="1"/>
  <c r="G1505" i="1" a="1"/>
  <c r="G1505" i="1" s="1"/>
  <c r="G1495" i="1" a="1"/>
  <c r="G1495" i="1" s="1"/>
  <c r="G1485" i="1" a="1"/>
  <c r="G1485" i="1" s="1"/>
  <c r="G1475" i="1" a="1"/>
  <c r="G1475" i="1" s="1"/>
  <c r="G1465" i="1" a="1"/>
  <c r="G1465" i="1" s="1"/>
  <c r="G1455" i="1" a="1"/>
  <c r="G1455" i="1" s="1"/>
  <c r="G1445" i="1" a="1"/>
  <c r="G1445" i="1" s="1"/>
  <c r="G1435" i="1" a="1"/>
  <c r="G1435" i="1" s="1"/>
  <c r="G1425" i="1" a="1"/>
  <c r="G1425" i="1" s="1"/>
  <c r="G1415" i="1" a="1"/>
  <c r="G1415" i="1" s="1"/>
  <c r="G1405" i="1" a="1"/>
  <c r="G1405" i="1" s="1"/>
  <c r="G1395" i="1" a="1"/>
  <c r="G1395" i="1" s="1"/>
  <c r="G1385" i="1" a="1"/>
  <c r="G1385" i="1" s="1"/>
  <c r="G1375" i="1" a="1"/>
  <c r="G1375" i="1" s="1"/>
  <c r="G1365" i="1" a="1"/>
  <c r="G1365" i="1" s="1"/>
  <c r="G1355" i="1" a="1"/>
  <c r="G1355" i="1" s="1"/>
  <c r="G1345" i="1" a="1"/>
  <c r="G1345" i="1" s="1"/>
  <c r="G1335" i="1" a="1"/>
  <c r="G1335" i="1" s="1"/>
  <c r="G1325" i="1" a="1"/>
  <c r="G1325" i="1" s="1"/>
  <c r="G1315" i="1" a="1"/>
  <c r="G1315" i="1" s="1"/>
  <c r="G1305" i="1" a="1"/>
  <c r="G1305" i="1" s="1"/>
  <c r="G1295" i="1" a="1"/>
  <c r="G1295" i="1" s="1"/>
  <c r="G1285" i="1" a="1"/>
  <c r="G1285" i="1" s="1"/>
  <c r="G1275" i="1" a="1"/>
  <c r="G1275" i="1" s="1"/>
  <c r="G1265" i="1" a="1"/>
  <c r="G1265" i="1" s="1"/>
  <c r="G1255" i="1" a="1"/>
  <c r="G1255" i="1" s="1"/>
  <c r="G1245" i="1" a="1"/>
  <c r="G1245" i="1" s="1"/>
  <c r="G1235" i="1" a="1"/>
  <c r="G1235" i="1" s="1"/>
  <c r="G1225" i="1" a="1"/>
  <c r="G1225" i="1" s="1"/>
  <c r="G1215" i="1" a="1"/>
  <c r="G1215" i="1" s="1"/>
  <c r="G1205" i="1" a="1"/>
  <c r="G1205" i="1" s="1"/>
  <c r="G1195" i="1" a="1"/>
  <c r="G1195" i="1" s="1"/>
  <c r="G1185" i="1" a="1"/>
  <c r="G1185" i="1" s="1"/>
  <c r="G1175" i="1" a="1"/>
  <c r="G1175" i="1" s="1"/>
  <c r="G1165" i="1" a="1"/>
  <c r="G1165" i="1" s="1"/>
  <c r="G1155" i="1" a="1"/>
  <c r="G1155" i="1" s="1"/>
  <c r="G1145" i="1" a="1"/>
  <c r="G1145" i="1" s="1"/>
  <c r="G1135" i="1" a="1"/>
  <c r="G1135" i="1" s="1"/>
  <c r="G1125" i="1" a="1"/>
  <c r="G1125" i="1" s="1"/>
  <c r="G1115" i="1" a="1"/>
  <c r="G1115" i="1" s="1"/>
  <c r="G1105" i="1" a="1"/>
  <c r="G1105" i="1" s="1"/>
  <c r="G1095" i="1" a="1"/>
  <c r="G1095" i="1" s="1"/>
  <c r="G1085" i="1" a="1"/>
  <c r="G1085" i="1" s="1"/>
  <c r="G1075" i="1" a="1"/>
  <c r="G1075" i="1" s="1"/>
  <c r="G1065" i="1" a="1"/>
  <c r="G1065" i="1" s="1"/>
  <c r="G1055" i="1" a="1"/>
  <c r="G1055" i="1" s="1"/>
  <c r="G1045" i="1" a="1"/>
  <c r="G1045" i="1" s="1"/>
  <c r="G1035" i="1" a="1"/>
  <c r="G1035" i="1" s="1"/>
  <c r="G1025" i="1" a="1"/>
  <c r="G1025" i="1" s="1"/>
  <c r="G1794" i="1" a="1"/>
  <c r="G1794" i="1" s="1"/>
  <c r="G1784" i="1" a="1"/>
  <c r="G1784" i="1" s="1"/>
  <c r="G1774" i="1" a="1"/>
  <c r="G1774" i="1" s="1"/>
  <c r="G1764" i="1" a="1"/>
  <c r="G1764" i="1" s="1"/>
  <c r="G1754" i="1" a="1"/>
  <c r="G1754" i="1" s="1"/>
  <c r="G1744" i="1" a="1"/>
  <c r="G1744" i="1" s="1"/>
  <c r="G1734" i="1" a="1"/>
  <c r="G1734" i="1" s="1"/>
  <c r="G1724" i="1" a="1"/>
  <c r="G1724" i="1" s="1"/>
  <c r="G1714" i="1" a="1"/>
  <c r="G1714" i="1" s="1"/>
  <c r="G1704" i="1" a="1"/>
  <c r="G1704" i="1" s="1"/>
  <c r="G1694" i="1" a="1"/>
  <c r="G1694" i="1" s="1"/>
  <c r="G1684" i="1" a="1"/>
  <c r="G1684" i="1" s="1"/>
  <c r="G1674" i="1" a="1"/>
  <c r="G1674" i="1" s="1"/>
  <c r="G1664" i="1" a="1"/>
  <c r="G1664" i="1" s="1"/>
  <c r="G1654" i="1" a="1"/>
  <c r="G1654" i="1" s="1"/>
  <c r="G1644" i="1" a="1"/>
  <c r="G1644" i="1" s="1"/>
  <c r="G1634" i="1" a="1"/>
  <c r="G1634" i="1" s="1"/>
  <c r="G1624" i="1" a="1"/>
  <c r="G1624" i="1" s="1"/>
  <c r="G1614" i="1" a="1"/>
  <c r="G1614" i="1" s="1"/>
  <c r="G1604" i="1" a="1"/>
  <c r="G1604" i="1" s="1"/>
  <c r="G1594" i="1" a="1"/>
  <c r="G1594" i="1" s="1"/>
  <c r="G1584" i="1" a="1"/>
  <c r="G1584" i="1" s="1"/>
  <c r="G1574" i="1" a="1"/>
  <c r="G1574" i="1" s="1"/>
  <c r="G1564" i="1" a="1"/>
  <c r="G1564" i="1" s="1"/>
  <c r="G1554" i="1" a="1"/>
  <c r="G1554" i="1" s="1"/>
  <c r="G1544" i="1" a="1"/>
  <c r="G1544" i="1" s="1"/>
  <c r="G1534" i="1" a="1"/>
  <c r="G1534" i="1" s="1"/>
  <c r="G1524" i="1" a="1"/>
  <c r="G1524" i="1" s="1"/>
  <c r="G1514" i="1" a="1"/>
  <c r="G1514" i="1" s="1"/>
  <c r="G1504" i="1" a="1"/>
  <c r="G1504" i="1" s="1"/>
  <c r="G1494" i="1" a="1"/>
  <c r="G1494" i="1" s="1"/>
  <c r="G1484" i="1" a="1"/>
  <c r="G1484" i="1" s="1"/>
  <c r="G1474" i="1" a="1"/>
  <c r="G1474" i="1" s="1"/>
  <c r="G1464" i="1" a="1"/>
  <c r="G1464" i="1" s="1"/>
  <c r="G1454" i="1" a="1"/>
  <c r="G1454" i="1" s="1"/>
  <c r="G1444" i="1" a="1"/>
  <c r="G1444" i="1" s="1"/>
  <c r="G1434" i="1" a="1"/>
  <c r="G1434" i="1" s="1"/>
  <c r="G1424" i="1" a="1"/>
  <c r="G1424" i="1" s="1"/>
  <c r="G1414" i="1" a="1"/>
  <c r="G1414" i="1" s="1"/>
  <c r="G1404" i="1" a="1"/>
  <c r="G1404" i="1" s="1"/>
  <c r="G1394" i="1" a="1"/>
  <c r="G1394" i="1" s="1"/>
  <c r="G1384" i="1" a="1"/>
  <c r="G1384" i="1" s="1"/>
  <c r="G1374" i="1" a="1"/>
  <c r="G1374" i="1" s="1"/>
  <c r="G1364" i="1" a="1"/>
  <c r="G1364" i="1" s="1"/>
  <c r="G1354" i="1" a="1"/>
  <c r="G1354" i="1" s="1"/>
  <c r="G1344" i="1" a="1"/>
  <c r="G1344" i="1" s="1"/>
  <c r="G1334" i="1" a="1"/>
  <c r="G1334" i="1" s="1"/>
  <c r="G1324" i="1" a="1"/>
  <c r="G1324" i="1" s="1"/>
  <c r="G1314" i="1" a="1"/>
  <c r="G1314" i="1" s="1"/>
  <c r="G1304" i="1" a="1"/>
  <c r="G1304" i="1" s="1"/>
  <c r="G1294" i="1" a="1"/>
  <c r="G1294" i="1" s="1"/>
  <c r="G1284" i="1" a="1"/>
  <c r="G1284" i="1" s="1"/>
  <c r="G1274" i="1" a="1"/>
  <c r="G1274" i="1" s="1"/>
  <c r="G1264" i="1" a="1"/>
  <c r="G1264" i="1" s="1"/>
  <c r="G1254" i="1" a="1"/>
  <c r="G1254" i="1" s="1"/>
  <c r="G1244" i="1" a="1"/>
  <c r="G1244" i="1" s="1"/>
  <c r="G1234" i="1" a="1"/>
  <c r="G1234" i="1" s="1"/>
  <c r="G1224" i="1" a="1"/>
  <c r="G1224" i="1" s="1"/>
  <c r="G1214" i="1" a="1"/>
  <c r="G1214" i="1" s="1"/>
  <c r="G1204" i="1" a="1"/>
  <c r="G1204" i="1" s="1"/>
  <c r="G1194" i="1" a="1"/>
  <c r="G1194" i="1" s="1"/>
  <c r="G1184" i="1" a="1"/>
  <c r="G1184" i="1" s="1"/>
  <c r="G1174" i="1" a="1"/>
  <c r="G1174" i="1" s="1"/>
  <c r="G1164" i="1" a="1"/>
  <c r="G1164" i="1" s="1"/>
  <c r="G1154" i="1" a="1"/>
  <c r="G1154" i="1" s="1"/>
  <c r="G1144" i="1" a="1"/>
  <c r="G1144" i="1" s="1"/>
  <c r="G1134" i="1" a="1"/>
  <c r="G1134" i="1" s="1"/>
  <c r="G1124" i="1" a="1"/>
  <c r="G1124" i="1" s="1"/>
  <c r="G1114" i="1" a="1"/>
  <c r="G1114" i="1" s="1"/>
  <c r="G1104" i="1" a="1"/>
  <c r="G1104" i="1" s="1"/>
  <c r="G1094" i="1" a="1"/>
  <c r="G1094" i="1" s="1"/>
  <c r="G1084" i="1" a="1"/>
  <c r="G1084" i="1" s="1"/>
  <c r="G1074" i="1" a="1"/>
  <c r="G1074" i="1" s="1"/>
  <c r="G1064" i="1" a="1"/>
  <c r="G1064" i="1" s="1"/>
  <c r="G983" i="1" a="1"/>
  <c r="G983" i="1" s="1"/>
  <c r="G973" i="1" a="1"/>
  <c r="G973" i="1" s="1"/>
  <c r="G963" i="1" a="1"/>
  <c r="G963" i="1" s="1"/>
  <c r="G953" i="1" a="1"/>
  <c r="G953" i="1" s="1"/>
  <c r="G943" i="1" a="1"/>
  <c r="G943" i="1" s="1"/>
  <c r="G933" i="1" a="1"/>
  <c r="G933" i="1" s="1"/>
  <c r="G923" i="1" a="1"/>
  <c r="G923" i="1" s="1"/>
  <c r="G913" i="1" a="1"/>
  <c r="G913" i="1" s="1"/>
  <c r="G903" i="1" a="1"/>
  <c r="G903" i="1" s="1"/>
  <c r="G893" i="1" a="1"/>
  <c r="G893" i="1" s="1"/>
  <c r="G883" i="1" a="1"/>
  <c r="G883" i="1" s="1"/>
  <c r="G873" i="1" a="1"/>
  <c r="G873" i="1" s="1"/>
  <c r="G863" i="1" a="1"/>
  <c r="G863" i="1" s="1"/>
  <c r="G853" i="1" a="1"/>
  <c r="G853" i="1" s="1"/>
  <c r="G843" i="1" a="1"/>
  <c r="G843" i="1" s="1"/>
  <c r="G833" i="1" a="1"/>
  <c r="G833" i="1" s="1"/>
  <c r="G823" i="1" a="1"/>
  <c r="G823" i="1" s="1"/>
  <c r="G813" i="1" a="1"/>
  <c r="G813" i="1" s="1"/>
  <c r="G803" i="1" a="1"/>
  <c r="G803" i="1" s="1"/>
  <c r="G793" i="1" a="1"/>
  <c r="G793" i="1" s="1"/>
  <c r="G783" i="1" a="1"/>
  <c r="G783" i="1" s="1"/>
  <c r="G773" i="1" a="1"/>
  <c r="G773" i="1" s="1"/>
  <c r="G763" i="1" a="1"/>
  <c r="G763" i="1" s="1"/>
  <c r="G753" i="1" a="1"/>
  <c r="G753" i="1" s="1"/>
  <c r="G743" i="1" a="1"/>
  <c r="G743" i="1" s="1"/>
  <c r="G733" i="1" a="1"/>
  <c r="G733" i="1" s="1"/>
  <c r="G723" i="1" a="1"/>
  <c r="G723" i="1" s="1"/>
  <c r="G713" i="1" a="1"/>
  <c r="G713" i="1" s="1"/>
  <c r="G703" i="1" a="1"/>
  <c r="G703" i="1" s="1"/>
  <c r="G693" i="1" a="1"/>
  <c r="G693" i="1" s="1"/>
  <c r="G683" i="1" a="1"/>
  <c r="G683" i="1" s="1"/>
  <c r="G673" i="1" a="1"/>
  <c r="G673" i="1" s="1"/>
  <c r="G663" i="1" a="1"/>
  <c r="G663" i="1" s="1"/>
  <c r="G653" i="1" a="1"/>
  <c r="G653" i="1" s="1"/>
  <c r="G643" i="1" a="1"/>
  <c r="G643" i="1" s="1"/>
  <c r="G633" i="1" a="1"/>
  <c r="G633" i="1" s="1"/>
  <c r="G623" i="1" a="1"/>
  <c r="G623" i="1" s="1"/>
  <c r="G613" i="1" a="1"/>
  <c r="G613" i="1" s="1"/>
  <c r="G603" i="1" a="1"/>
  <c r="G603" i="1" s="1"/>
  <c r="G593" i="1" a="1"/>
  <c r="G593" i="1" s="1"/>
  <c r="G583" i="1" a="1"/>
  <c r="G583" i="1" s="1"/>
  <c r="G573" i="1" a="1"/>
  <c r="G573" i="1" s="1"/>
  <c r="G563" i="1" a="1"/>
  <c r="G563" i="1" s="1"/>
  <c r="G553" i="1" a="1"/>
  <c r="G553" i="1" s="1"/>
  <c r="G543" i="1" a="1"/>
  <c r="G543" i="1" s="1"/>
  <c r="G533" i="1" a="1"/>
  <c r="G533" i="1" s="1"/>
  <c r="G523" i="1" a="1"/>
  <c r="G523" i="1" s="1"/>
  <c r="G513" i="1" a="1"/>
  <c r="G513" i="1" s="1"/>
  <c r="G503" i="1" a="1"/>
  <c r="G503" i="1" s="1"/>
  <c r="G493" i="1" a="1"/>
  <c r="G493" i="1" s="1"/>
  <c r="G483" i="1" a="1"/>
  <c r="G483" i="1" s="1"/>
  <c r="G473" i="1" a="1"/>
  <c r="G473" i="1" s="1"/>
  <c r="G463" i="1" a="1"/>
  <c r="G463" i="1" s="1"/>
  <c r="G453" i="1" a="1"/>
  <c r="G453" i="1" s="1"/>
  <c r="G443" i="1" a="1"/>
  <c r="G443" i="1" s="1"/>
  <c r="G433" i="1" a="1"/>
  <c r="G433" i="1" s="1"/>
  <c r="G423" i="1" a="1"/>
  <c r="G423" i="1" s="1"/>
  <c r="G413" i="1" a="1"/>
  <c r="G413" i="1" s="1"/>
  <c r="G403" i="1" a="1"/>
  <c r="G403" i="1" s="1"/>
  <c r="G393" i="1" a="1"/>
  <c r="G393" i="1" s="1"/>
  <c r="G383" i="1" a="1"/>
  <c r="G383" i="1" s="1"/>
  <c r="G373" i="1" a="1"/>
  <c r="G373" i="1" s="1"/>
  <c r="G363" i="1" a="1"/>
  <c r="G363" i="1" s="1"/>
  <c r="G353" i="1" a="1"/>
  <c r="G353" i="1" s="1"/>
  <c r="G343" i="1" a="1"/>
  <c r="G343" i="1" s="1"/>
  <c r="G333" i="1" a="1"/>
  <c r="G333" i="1" s="1"/>
  <c r="G323" i="1" a="1"/>
  <c r="G323" i="1" s="1"/>
  <c r="G313" i="1" a="1"/>
  <c r="G313" i="1" s="1"/>
  <c r="G303" i="1" a="1"/>
  <c r="G303" i="1" s="1"/>
  <c r="G293" i="1" a="1"/>
  <c r="G293" i="1" s="1"/>
  <c r="G283" i="1" a="1"/>
  <c r="G283" i="1" s="1"/>
  <c r="G273" i="1" a="1"/>
  <c r="G273" i="1" s="1"/>
  <c r="G263" i="1" a="1"/>
  <c r="G263" i="1" s="1"/>
  <c r="G253" i="1" a="1"/>
  <c r="G253" i="1" s="1"/>
  <c r="G243" i="1" a="1"/>
  <c r="G243" i="1" s="1"/>
  <c r="G233" i="1" a="1"/>
  <c r="G233" i="1" s="1"/>
  <c r="G223" i="1" a="1"/>
  <c r="G223" i="1" s="1"/>
  <c r="G1002" i="1" a="1"/>
  <c r="G1002" i="1" s="1"/>
  <c r="G992" i="1" a="1"/>
  <c r="G992" i="1" s="1"/>
  <c r="G982" i="1" a="1"/>
  <c r="G982" i="1" s="1"/>
  <c r="G972" i="1" a="1"/>
  <c r="G972" i="1" s="1"/>
  <c r="G962" i="1" a="1"/>
  <c r="G962" i="1" s="1"/>
  <c r="G952" i="1" a="1"/>
  <c r="G952" i="1" s="1"/>
  <c r="G942" i="1" a="1"/>
  <c r="G942" i="1" s="1"/>
  <c r="G932" i="1" a="1"/>
  <c r="G932" i="1" s="1"/>
  <c r="G922" i="1" a="1"/>
  <c r="G922" i="1" s="1"/>
  <c r="G912" i="1" a="1"/>
  <c r="G912" i="1" s="1"/>
  <c r="G902" i="1" a="1"/>
  <c r="G902" i="1" s="1"/>
  <c r="G892" i="1" a="1"/>
  <c r="G892" i="1" s="1"/>
  <c r="G882" i="1" a="1"/>
  <c r="G882" i="1" s="1"/>
  <c r="G872" i="1" a="1"/>
  <c r="G872" i="1" s="1"/>
  <c r="G862" i="1" a="1"/>
  <c r="G862" i="1" s="1"/>
  <c r="G852" i="1" a="1"/>
  <c r="G852" i="1" s="1"/>
  <c r="G842" i="1" a="1"/>
  <c r="G842" i="1" s="1"/>
  <c r="G832" i="1" a="1"/>
  <c r="G832" i="1" s="1"/>
  <c r="G822" i="1" a="1"/>
  <c r="G822" i="1" s="1"/>
  <c r="G812" i="1" a="1"/>
  <c r="G812" i="1" s="1"/>
  <c r="G802" i="1" a="1"/>
  <c r="G802" i="1" s="1"/>
  <c r="G792" i="1" a="1"/>
  <c r="G792" i="1" s="1"/>
  <c r="G782" i="1" a="1"/>
  <c r="G782" i="1" s="1"/>
  <c r="G772" i="1" a="1"/>
  <c r="G772" i="1" s="1"/>
  <c r="G762" i="1" a="1"/>
  <c r="G762" i="1" s="1"/>
  <c r="G752" i="1" a="1"/>
  <c r="G752" i="1" s="1"/>
  <c r="G742" i="1" a="1"/>
  <c r="G742" i="1" s="1"/>
  <c r="G732" i="1" a="1"/>
  <c r="G732" i="1" s="1"/>
  <c r="G722" i="1" a="1"/>
  <c r="G722" i="1" s="1"/>
  <c r="G712" i="1" a="1"/>
  <c r="G712" i="1" s="1"/>
  <c r="G702" i="1" a="1"/>
  <c r="G702" i="1" s="1"/>
  <c r="G692" i="1" a="1"/>
  <c r="G692" i="1" s="1"/>
  <c r="G682" i="1" a="1"/>
  <c r="G682" i="1" s="1"/>
  <c r="G672" i="1" a="1"/>
  <c r="G672" i="1" s="1"/>
  <c r="G662" i="1" a="1"/>
  <c r="G662" i="1" s="1"/>
  <c r="G652" i="1" a="1"/>
  <c r="G652" i="1" s="1"/>
  <c r="G642" i="1" a="1"/>
  <c r="G642" i="1" s="1"/>
  <c r="G632" i="1" a="1"/>
  <c r="G632" i="1" s="1"/>
  <c r="G622" i="1" a="1"/>
  <c r="G622" i="1" s="1"/>
  <c r="G612" i="1" a="1"/>
  <c r="G612" i="1" s="1"/>
  <c r="G602" i="1" a="1"/>
  <c r="G602" i="1" s="1"/>
  <c r="G592" i="1" a="1"/>
  <c r="G592" i="1" s="1"/>
  <c r="G582" i="1" a="1"/>
  <c r="G582" i="1" s="1"/>
  <c r="G572" i="1" a="1"/>
  <c r="G572" i="1" s="1"/>
  <c r="G562" i="1" a="1"/>
  <c r="G562" i="1" s="1"/>
  <c r="G552" i="1" a="1"/>
  <c r="G552" i="1" s="1"/>
  <c r="G542" i="1" a="1"/>
  <c r="G542" i="1" s="1"/>
  <c r="G532" i="1" a="1"/>
  <c r="G532" i="1" s="1"/>
  <c r="G522" i="1" a="1"/>
  <c r="G522" i="1" s="1"/>
  <c r="G512" i="1" a="1"/>
  <c r="G512" i="1" s="1"/>
  <c r="G502" i="1" a="1"/>
  <c r="G502" i="1" s="1"/>
  <c r="G492" i="1" a="1"/>
  <c r="G492" i="1" s="1"/>
  <c r="G482" i="1" a="1"/>
  <c r="G482" i="1" s="1"/>
  <c r="G472" i="1" a="1"/>
  <c r="G472" i="1" s="1"/>
  <c r="G462" i="1" a="1"/>
  <c r="G462" i="1" s="1"/>
  <c r="G452" i="1" a="1"/>
  <c r="G452" i="1" s="1"/>
  <c r="G442" i="1" a="1"/>
  <c r="G442" i="1" s="1"/>
  <c r="G432" i="1" a="1"/>
  <c r="G432" i="1" s="1"/>
  <c r="G422" i="1" a="1"/>
  <c r="G422" i="1" s="1"/>
  <c r="G412" i="1" a="1"/>
  <c r="G412" i="1" s="1"/>
  <c r="G402" i="1" a="1"/>
  <c r="G402" i="1" s="1"/>
  <c r="G392" i="1" a="1"/>
  <c r="G392" i="1" s="1"/>
  <c r="G382" i="1" a="1"/>
  <c r="G382" i="1" s="1"/>
  <c r="G372" i="1" a="1"/>
  <c r="G372" i="1" s="1"/>
  <c r="G362" i="1" a="1"/>
  <c r="G362" i="1" s="1"/>
  <c r="G352" i="1" a="1"/>
  <c r="G352" i="1" s="1"/>
  <c r="G342" i="1" a="1"/>
  <c r="G342" i="1" s="1"/>
  <c r="G332" i="1" a="1"/>
  <c r="G332" i="1" s="1"/>
  <c r="G322" i="1" a="1"/>
  <c r="G322" i="1" s="1"/>
  <c r="G312" i="1" a="1"/>
  <c r="G312" i="1" s="1"/>
  <c r="G302" i="1" a="1"/>
  <c r="G302" i="1" s="1"/>
  <c r="G292" i="1" a="1"/>
  <c r="G292" i="1" s="1"/>
  <c r="G282" i="1" a="1"/>
  <c r="G282" i="1" s="1"/>
  <c r="G272" i="1" a="1"/>
  <c r="G272" i="1" s="1"/>
  <c r="G262" i="1" a="1"/>
  <c r="G262" i="1" s="1"/>
  <c r="G252" i="1" a="1"/>
  <c r="G252" i="1" s="1"/>
  <c r="G242" i="1" a="1"/>
  <c r="G242" i="1" s="1"/>
  <c r="G971" i="1" a="1"/>
  <c r="G971" i="1" s="1"/>
  <c r="G961" i="1" a="1"/>
  <c r="G961" i="1" s="1"/>
  <c r="G951" i="1" a="1"/>
  <c r="G951" i="1" s="1"/>
  <c r="G941" i="1" a="1"/>
  <c r="G941" i="1" s="1"/>
  <c r="G931" i="1" a="1"/>
  <c r="G931" i="1" s="1"/>
  <c r="G921" i="1" a="1"/>
  <c r="G921" i="1" s="1"/>
  <c r="G911" i="1" a="1"/>
  <c r="G911" i="1" s="1"/>
  <c r="G901" i="1" a="1"/>
  <c r="G901" i="1" s="1"/>
  <c r="G891" i="1" a="1"/>
  <c r="G891" i="1" s="1"/>
  <c r="G881" i="1" a="1"/>
  <c r="G881" i="1" s="1"/>
  <c r="G871" i="1" a="1"/>
  <c r="G871" i="1" s="1"/>
  <c r="G861" i="1" a="1"/>
  <c r="G861" i="1" s="1"/>
  <c r="G851" i="1" a="1"/>
  <c r="G851" i="1" s="1"/>
  <c r="G841" i="1" a="1"/>
  <c r="G841" i="1" s="1"/>
  <c r="G831" i="1" a="1"/>
  <c r="G831" i="1" s="1"/>
  <c r="G821" i="1" a="1"/>
  <c r="G821" i="1" s="1"/>
  <c r="G811" i="1" a="1"/>
  <c r="G811" i="1" s="1"/>
  <c r="G801" i="1" a="1"/>
  <c r="G801" i="1" s="1"/>
  <c r="G791" i="1" a="1"/>
  <c r="G791" i="1" s="1"/>
  <c r="G781" i="1" a="1"/>
  <c r="G781" i="1" s="1"/>
  <c r="G771" i="1" a="1"/>
  <c r="G771" i="1" s="1"/>
  <c r="G761" i="1" a="1"/>
  <c r="G761" i="1" s="1"/>
  <c r="G751" i="1" a="1"/>
  <c r="G751" i="1" s="1"/>
  <c r="G741" i="1" a="1"/>
  <c r="G741" i="1" s="1"/>
  <c r="G731" i="1" a="1"/>
  <c r="G731" i="1" s="1"/>
  <c r="G721" i="1" a="1"/>
  <c r="G721" i="1" s="1"/>
  <c r="G711" i="1" a="1"/>
  <c r="G711" i="1" s="1"/>
  <c r="G701" i="1" a="1"/>
  <c r="G701" i="1" s="1"/>
  <c r="G691" i="1" a="1"/>
  <c r="G691" i="1" s="1"/>
  <c r="G681" i="1" a="1"/>
  <c r="G681" i="1" s="1"/>
  <c r="G671" i="1" a="1"/>
  <c r="G671" i="1" s="1"/>
  <c r="G661" i="1" a="1"/>
  <c r="G661" i="1" s="1"/>
  <c r="G651" i="1" a="1"/>
  <c r="G651" i="1" s="1"/>
  <c r="G641" i="1" a="1"/>
  <c r="G641" i="1" s="1"/>
  <c r="G631" i="1" a="1"/>
  <c r="G631" i="1" s="1"/>
  <c r="G621" i="1" a="1"/>
  <c r="G621" i="1" s="1"/>
  <c r="G611" i="1" a="1"/>
  <c r="G611" i="1" s="1"/>
  <c r="G601" i="1" a="1"/>
  <c r="G601" i="1" s="1"/>
  <c r="G591" i="1" a="1"/>
  <c r="G591" i="1" s="1"/>
  <c r="G581" i="1" a="1"/>
  <c r="G581" i="1" s="1"/>
  <c r="G571" i="1" a="1"/>
  <c r="G571" i="1" s="1"/>
  <c r="G561" i="1" a="1"/>
  <c r="G561" i="1" s="1"/>
  <c r="G551" i="1" a="1"/>
  <c r="G551" i="1" s="1"/>
  <c r="G541" i="1" a="1"/>
  <c r="G541" i="1" s="1"/>
  <c r="G531" i="1" a="1"/>
  <c r="G531" i="1" s="1"/>
  <c r="G521" i="1" a="1"/>
  <c r="G521" i="1" s="1"/>
  <c r="G511" i="1" a="1"/>
  <c r="G511" i="1" s="1"/>
  <c r="G501" i="1" a="1"/>
  <c r="G501" i="1" s="1"/>
  <c r="G491" i="1" a="1"/>
  <c r="G491" i="1" s="1"/>
  <c r="G481" i="1" a="1"/>
  <c r="G481" i="1" s="1"/>
  <c r="G471" i="1" a="1"/>
  <c r="G471" i="1" s="1"/>
  <c r="G461" i="1" a="1"/>
  <c r="G461" i="1" s="1"/>
  <c r="G451" i="1" a="1"/>
  <c r="G451" i="1" s="1"/>
  <c r="G441" i="1" a="1"/>
  <c r="G441" i="1" s="1"/>
  <c r="G431" i="1" a="1"/>
  <c r="G431" i="1" s="1"/>
  <c r="G421" i="1" a="1"/>
  <c r="G421" i="1" s="1"/>
  <c r="G411" i="1" a="1"/>
  <c r="G411" i="1" s="1"/>
  <c r="G401" i="1" a="1"/>
  <c r="G401" i="1" s="1"/>
  <c r="G391" i="1" a="1"/>
  <c r="G391" i="1" s="1"/>
  <c r="G381" i="1" a="1"/>
  <c r="G381" i="1" s="1"/>
  <c r="G371" i="1" a="1"/>
  <c r="G371" i="1" s="1"/>
  <c r="G361" i="1" a="1"/>
  <c r="G361" i="1" s="1"/>
  <c r="G351" i="1" a="1"/>
  <c r="G351" i="1" s="1"/>
  <c r="G341" i="1" a="1"/>
  <c r="G341" i="1" s="1"/>
  <c r="G331" i="1" a="1"/>
  <c r="G331" i="1" s="1"/>
  <c r="G321" i="1" a="1"/>
  <c r="G321" i="1" s="1"/>
  <c r="G311" i="1" a="1"/>
  <c r="G311" i="1" s="1"/>
  <c r="G301" i="1" a="1"/>
  <c r="G301" i="1" s="1"/>
  <c r="G291" i="1" a="1"/>
  <c r="G291" i="1" s="1"/>
  <c r="G281" i="1" a="1"/>
  <c r="G281" i="1" s="1"/>
  <c r="G271" i="1" a="1"/>
  <c r="G271" i="1" s="1"/>
  <c r="G261" i="1" a="1"/>
  <c r="G261" i="1" s="1"/>
  <c r="G251" i="1" a="1"/>
  <c r="G251" i="1" s="1"/>
  <c r="G241" i="1" a="1"/>
  <c r="G241" i="1" s="1"/>
  <c r="G231" i="1" a="1"/>
  <c r="G231" i="1" s="1"/>
  <c r="G221" i="1" a="1"/>
  <c r="G221" i="1" s="1"/>
  <c r="G211" i="1" a="1"/>
  <c r="G211" i="1" s="1"/>
  <c r="G1000" i="1" a="1"/>
  <c r="G1000" i="1" s="1"/>
  <c r="G990" i="1" a="1"/>
  <c r="G990" i="1" s="1"/>
  <c r="G980" i="1" a="1"/>
  <c r="G980" i="1" s="1"/>
  <c r="G970" i="1" a="1"/>
  <c r="G970" i="1" s="1"/>
  <c r="G960" i="1" a="1"/>
  <c r="G960" i="1" s="1"/>
  <c r="G950" i="1" a="1"/>
  <c r="G950" i="1" s="1"/>
  <c r="G940" i="1" a="1"/>
  <c r="G940" i="1" s="1"/>
  <c r="G930" i="1" a="1"/>
  <c r="G930" i="1" s="1"/>
  <c r="G920" i="1" a="1"/>
  <c r="G920" i="1" s="1"/>
  <c r="G910" i="1" a="1"/>
  <c r="G910" i="1" s="1"/>
  <c r="G900" i="1" a="1"/>
  <c r="G900" i="1" s="1"/>
  <c r="G890" i="1" a="1"/>
  <c r="G890" i="1" s="1"/>
  <c r="G880" i="1" a="1"/>
  <c r="G880" i="1" s="1"/>
  <c r="G870" i="1" a="1"/>
  <c r="G870" i="1" s="1"/>
  <c r="G860" i="1" a="1"/>
  <c r="G860" i="1" s="1"/>
  <c r="G850" i="1" a="1"/>
  <c r="G850" i="1" s="1"/>
  <c r="G840" i="1" a="1"/>
  <c r="G840" i="1" s="1"/>
  <c r="G830" i="1" a="1"/>
  <c r="G830" i="1" s="1"/>
  <c r="G820" i="1" a="1"/>
  <c r="G820" i="1" s="1"/>
  <c r="G810" i="1" a="1"/>
  <c r="G810" i="1" s="1"/>
  <c r="G800" i="1" a="1"/>
  <c r="G800" i="1" s="1"/>
  <c r="G790" i="1" a="1"/>
  <c r="G790" i="1" s="1"/>
  <c r="G780" i="1" a="1"/>
  <c r="G780" i="1" s="1"/>
  <c r="G770" i="1" a="1"/>
  <c r="G770" i="1" s="1"/>
  <c r="G760" i="1" a="1"/>
  <c r="G760" i="1" s="1"/>
  <c r="G750" i="1" a="1"/>
  <c r="G750" i="1" s="1"/>
  <c r="G740" i="1" a="1"/>
  <c r="G740" i="1" s="1"/>
  <c r="G730" i="1" a="1"/>
  <c r="G730" i="1" s="1"/>
  <c r="G720" i="1" a="1"/>
  <c r="G720" i="1" s="1"/>
  <c r="G710" i="1" a="1"/>
  <c r="G710" i="1" s="1"/>
  <c r="G700" i="1" a="1"/>
  <c r="G700" i="1" s="1"/>
  <c r="G690" i="1" a="1"/>
  <c r="G690" i="1" s="1"/>
  <c r="G680" i="1" a="1"/>
  <c r="G680" i="1" s="1"/>
  <c r="G670" i="1" a="1"/>
  <c r="G670" i="1" s="1"/>
  <c r="G660" i="1" a="1"/>
  <c r="G660" i="1" s="1"/>
  <c r="G650" i="1" a="1"/>
  <c r="G650" i="1" s="1"/>
  <c r="G640" i="1" a="1"/>
  <c r="G640" i="1" s="1"/>
  <c r="G630" i="1" a="1"/>
  <c r="G630" i="1" s="1"/>
  <c r="G620" i="1" a="1"/>
  <c r="G620" i="1" s="1"/>
  <c r="G610" i="1" a="1"/>
  <c r="G610" i="1" s="1"/>
  <c r="G600" i="1" a="1"/>
  <c r="G600" i="1" s="1"/>
  <c r="G590" i="1" a="1"/>
  <c r="G590" i="1" s="1"/>
  <c r="G580" i="1" a="1"/>
  <c r="G580" i="1" s="1"/>
  <c r="G570" i="1" a="1"/>
  <c r="G570" i="1" s="1"/>
  <c r="G560" i="1" a="1"/>
  <c r="G560" i="1" s="1"/>
  <c r="G550" i="1" a="1"/>
  <c r="G550" i="1" s="1"/>
  <c r="G540" i="1" a="1"/>
  <c r="G540" i="1" s="1"/>
  <c r="G530" i="1" a="1"/>
  <c r="G530" i="1" s="1"/>
  <c r="G520" i="1" a="1"/>
  <c r="G520" i="1" s="1"/>
  <c r="G510" i="1" a="1"/>
  <c r="G510" i="1" s="1"/>
  <c r="G500" i="1" a="1"/>
  <c r="G500" i="1" s="1"/>
  <c r="G490" i="1" a="1"/>
  <c r="G490" i="1" s="1"/>
  <c r="G480" i="1" a="1"/>
  <c r="G480" i="1" s="1"/>
  <c r="G470" i="1" a="1"/>
  <c r="G470" i="1" s="1"/>
  <c r="G460" i="1" a="1"/>
  <c r="G460" i="1" s="1"/>
  <c r="G450" i="1" a="1"/>
  <c r="G450" i="1" s="1"/>
  <c r="G440" i="1" a="1"/>
  <c r="G440" i="1" s="1"/>
  <c r="G430" i="1" a="1"/>
  <c r="G430" i="1" s="1"/>
  <c r="G420" i="1" a="1"/>
  <c r="G420" i="1" s="1"/>
  <c r="G410" i="1" a="1"/>
  <c r="G410" i="1" s="1"/>
  <c r="G400" i="1" a="1"/>
  <c r="G400" i="1" s="1"/>
  <c r="G390" i="1" a="1"/>
  <c r="G390" i="1" s="1"/>
  <c r="G380" i="1" a="1"/>
  <c r="G380" i="1" s="1"/>
  <c r="G370" i="1" a="1"/>
  <c r="G370" i="1" s="1"/>
  <c r="G360" i="1" a="1"/>
  <c r="G360" i="1" s="1"/>
  <c r="G350" i="1" a="1"/>
  <c r="G350" i="1" s="1"/>
  <c r="G340" i="1" a="1"/>
  <c r="G340" i="1" s="1"/>
  <c r="G330" i="1" a="1"/>
  <c r="G330" i="1" s="1"/>
  <c r="G320" i="1" a="1"/>
  <c r="G320" i="1" s="1"/>
  <c r="G310" i="1" a="1"/>
  <c r="G310" i="1" s="1"/>
  <c r="G300" i="1" a="1"/>
  <c r="G300" i="1" s="1"/>
  <c r="G290" i="1" a="1"/>
  <c r="G290" i="1" s="1"/>
  <c r="G280" i="1" a="1"/>
  <c r="G280" i="1" s="1"/>
  <c r="G270" i="1" a="1"/>
  <c r="G270" i="1" s="1"/>
  <c r="G260" i="1" a="1"/>
  <c r="G260" i="1" s="1"/>
  <c r="G250" i="1" a="1"/>
  <c r="G250" i="1" s="1"/>
  <c r="G240" i="1" a="1"/>
  <c r="G240" i="1" s="1"/>
  <c r="G230" i="1" a="1"/>
  <c r="G230" i="1" s="1"/>
  <c r="G220" i="1" a="1"/>
  <c r="G220" i="1" s="1"/>
  <c r="G1039" i="1" a="1"/>
  <c r="G1039" i="1" s="1"/>
  <c r="G1029" i="1" a="1"/>
  <c r="G1029" i="1" s="1"/>
  <c r="G1019" i="1" a="1"/>
  <c r="G1019" i="1" s="1"/>
  <c r="G1009" i="1" a="1"/>
  <c r="G1009" i="1" s="1"/>
  <c r="G999" i="1" a="1"/>
  <c r="G999" i="1" s="1"/>
  <c r="G989" i="1" a="1"/>
  <c r="G989" i="1" s="1"/>
  <c r="G979" i="1" a="1"/>
  <c r="G979" i="1" s="1"/>
  <c r="G969" i="1" a="1"/>
  <c r="G969" i="1" s="1"/>
  <c r="G959" i="1" a="1"/>
  <c r="G959" i="1" s="1"/>
  <c r="G949" i="1" a="1"/>
  <c r="G949" i="1" s="1"/>
  <c r="G939" i="1" a="1"/>
  <c r="G939" i="1" s="1"/>
  <c r="G929" i="1" a="1"/>
  <c r="G929" i="1" s="1"/>
  <c r="G919" i="1" a="1"/>
  <c r="G919" i="1" s="1"/>
  <c r="G909" i="1" a="1"/>
  <c r="G909" i="1" s="1"/>
  <c r="G899" i="1" a="1"/>
  <c r="G899" i="1" s="1"/>
  <c r="G889" i="1" a="1"/>
  <c r="G889" i="1" s="1"/>
  <c r="G879" i="1" a="1"/>
  <c r="G879" i="1" s="1"/>
  <c r="G869" i="1" a="1"/>
  <c r="G869" i="1" s="1"/>
  <c r="G859" i="1" a="1"/>
  <c r="G859" i="1" s="1"/>
  <c r="G849" i="1" a="1"/>
  <c r="G849" i="1" s="1"/>
  <c r="G839" i="1" a="1"/>
  <c r="G839" i="1" s="1"/>
  <c r="G829" i="1" a="1"/>
  <c r="G829" i="1" s="1"/>
  <c r="G819" i="1" a="1"/>
  <c r="G819" i="1" s="1"/>
  <c r="G809" i="1" a="1"/>
  <c r="G809" i="1" s="1"/>
  <c r="G799" i="1" a="1"/>
  <c r="G799" i="1" s="1"/>
  <c r="G789" i="1" a="1"/>
  <c r="G789" i="1" s="1"/>
  <c r="G779" i="1" a="1"/>
  <c r="G779" i="1" s="1"/>
  <c r="G769" i="1" a="1"/>
  <c r="G769" i="1" s="1"/>
  <c r="G759" i="1" a="1"/>
  <c r="G759" i="1" s="1"/>
  <c r="G749" i="1" a="1"/>
  <c r="G749" i="1" s="1"/>
  <c r="G739" i="1" a="1"/>
  <c r="G739" i="1" s="1"/>
  <c r="G729" i="1" a="1"/>
  <c r="G729" i="1" s="1"/>
  <c r="G719" i="1" a="1"/>
  <c r="G719" i="1" s="1"/>
  <c r="G709" i="1" a="1"/>
  <c r="G709" i="1" s="1"/>
  <c r="G699" i="1" a="1"/>
  <c r="G699" i="1" s="1"/>
  <c r="G689" i="1" a="1"/>
  <c r="G689" i="1" s="1"/>
  <c r="G679" i="1" a="1"/>
  <c r="G679" i="1" s="1"/>
  <c r="G669" i="1" a="1"/>
  <c r="G669" i="1" s="1"/>
  <c r="G659" i="1" a="1"/>
  <c r="G659" i="1" s="1"/>
  <c r="G649" i="1" a="1"/>
  <c r="G649" i="1" s="1"/>
  <c r="G639" i="1" a="1"/>
  <c r="G639" i="1" s="1"/>
  <c r="G629" i="1" a="1"/>
  <c r="G629" i="1" s="1"/>
  <c r="G619" i="1" a="1"/>
  <c r="G619" i="1" s="1"/>
  <c r="G609" i="1" a="1"/>
  <c r="G609" i="1" s="1"/>
  <c r="G599" i="1" a="1"/>
  <c r="G599" i="1" s="1"/>
  <c r="G589" i="1" a="1"/>
  <c r="G589" i="1" s="1"/>
  <c r="G579" i="1" a="1"/>
  <c r="G579" i="1" s="1"/>
  <c r="G569" i="1" a="1"/>
  <c r="G569" i="1" s="1"/>
  <c r="G559" i="1" a="1"/>
  <c r="G559" i="1" s="1"/>
  <c r="G549" i="1" a="1"/>
  <c r="G549" i="1" s="1"/>
  <c r="G539" i="1" a="1"/>
  <c r="G539" i="1" s="1"/>
  <c r="G529" i="1" a="1"/>
  <c r="G529" i="1" s="1"/>
  <c r="G519" i="1" a="1"/>
  <c r="G519" i="1" s="1"/>
  <c r="G509" i="1" a="1"/>
  <c r="G509" i="1" s="1"/>
  <c r="G499" i="1" a="1"/>
  <c r="G499" i="1" s="1"/>
  <c r="G489" i="1" a="1"/>
  <c r="G489" i="1" s="1"/>
  <c r="G479" i="1" a="1"/>
  <c r="G479" i="1" s="1"/>
  <c r="G469" i="1" a="1"/>
  <c r="G469" i="1" s="1"/>
  <c r="G459" i="1" a="1"/>
  <c r="G459" i="1" s="1"/>
  <c r="G449" i="1" a="1"/>
  <c r="G449" i="1" s="1"/>
  <c r="G439" i="1" a="1"/>
  <c r="G439" i="1" s="1"/>
  <c r="G429" i="1" a="1"/>
  <c r="G429" i="1" s="1"/>
  <c r="G419" i="1" a="1"/>
  <c r="G419" i="1" s="1"/>
  <c r="G409" i="1" a="1"/>
  <c r="G409" i="1" s="1"/>
  <c r="G399" i="1" a="1"/>
  <c r="G399" i="1" s="1"/>
  <c r="G389" i="1" a="1"/>
  <c r="G389" i="1" s="1"/>
  <c r="G379" i="1" a="1"/>
  <c r="G379" i="1" s="1"/>
  <c r="G369" i="1" a="1"/>
  <c r="G369" i="1" s="1"/>
  <c r="G359" i="1" a="1"/>
  <c r="G359" i="1" s="1"/>
  <c r="G349" i="1" a="1"/>
  <c r="G349" i="1" s="1"/>
  <c r="G339" i="1" a="1"/>
  <c r="G339" i="1" s="1"/>
  <c r="G329" i="1" a="1"/>
  <c r="G329" i="1" s="1"/>
  <c r="G319" i="1" a="1"/>
  <c r="G319" i="1" s="1"/>
  <c r="G309" i="1" a="1"/>
  <c r="G309" i="1" s="1"/>
  <c r="G299" i="1" a="1"/>
  <c r="G299" i="1" s="1"/>
  <c r="G289" i="1" a="1"/>
  <c r="G289" i="1" s="1"/>
  <c r="G279" i="1" a="1"/>
  <c r="G279" i="1" s="1"/>
  <c r="G269" i="1" a="1"/>
  <c r="G269" i="1" s="1"/>
  <c r="G259" i="1" a="1"/>
  <c r="G259" i="1" s="1"/>
  <c r="G1058" i="1" a="1"/>
  <c r="G1058" i="1" s="1"/>
  <c r="G1048" i="1" a="1"/>
  <c r="G1048" i="1" s="1"/>
  <c r="G1038" i="1" a="1"/>
  <c r="G1038" i="1" s="1"/>
  <c r="G1028" i="1" a="1"/>
  <c r="G1028" i="1" s="1"/>
  <c r="G1018" i="1" a="1"/>
  <c r="G1018" i="1" s="1"/>
  <c r="G1008" i="1" a="1"/>
  <c r="G1008" i="1" s="1"/>
  <c r="G998" i="1" a="1"/>
  <c r="G998" i="1" s="1"/>
  <c r="G988" i="1" a="1"/>
  <c r="G988" i="1" s="1"/>
  <c r="G978" i="1" a="1"/>
  <c r="G978" i="1" s="1"/>
  <c r="G968" i="1" a="1"/>
  <c r="G968" i="1" s="1"/>
  <c r="G958" i="1" a="1"/>
  <c r="G958" i="1" s="1"/>
  <c r="G948" i="1" a="1"/>
  <c r="G948" i="1" s="1"/>
  <c r="G938" i="1" a="1"/>
  <c r="G938" i="1" s="1"/>
  <c r="G928" i="1" a="1"/>
  <c r="G928" i="1" s="1"/>
  <c r="G918" i="1" a="1"/>
  <c r="G918" i="1" s="1"/>
  <c r="G908" i="1" a="1"/>
  <c r="G908" i="1" s="1"/>
  <c r="G898" i="1" a="1"/>
  <c r="G898" i="1" s="1"/>
  <c r="G888" i="1" a="1"/>
  <c r="G888" i="1" s="1"/>
  <c r="G878" i="1" a="1"/>
  <c r="G878" i="1" s="1"/>
  <c r="G868" i="1" a="1"/>
  <c r="G868" i="1" s="1"/>
  <c r="G858" i="1" a="1"/>
  <c r="G858" i="1" s="1"/>
  <c r="G848" i="1" a="1"/>
  <c r="G848" i="1" s="1"/>
  <c r="G838" i="1" a="1"/>
  <c r="G838" i="1" s="1"/>
  <c r="G828" i="1" a="1"/>
  <c r="G828" i="1" s="1"/>
  <c r="G818" i="1" a="1"/>
  <c r="G818" i="1" s="1"/>
  <c r="G808" i="1" a="1"/>
  <c r="G808" i="1" s="1"/>
  <c r="G798" i="1" a="1"/>
  <c r="G798" i="1" s="1"/>
  <c r="G788" i="1" a="1"/>
  <c r="G788" i="1" s="1"/>
  <c r="G778" i="1" a="1"/>
  <c r="G778" i="1" s="1"/>
  <c r="G768" i="1" a="1"/>
  <c r="G768" i="1" s="1"/>
  <c r="G758" i="1" a="1"/>
  <c r="G758" i="1" s="1"/>
  <c r="G748" i="1" a="1"/>
  <c r="G748" i="1" s="1"/>
  <c r="G738" i="1" a="1"/>
  <c r="G738" i="1" s="1"/>
  <c r="G728" i="1" a="1"/>
  <c r="G728" i="1" s="1"/>
  <c r="G718" i="1" a="1"/>
  <c r="G718" i="1" s="1"/>
  <c r="G708" i="1" a="1"/>
  <c r="G708" i="1" s="1"/>
  <c r="G698" i="1" a="1"/>
  <c r="G698" i="1" s="1"/>
  <c r="G688" i="1" a="1"/>
  <c r="G688" i="1" s="1"/>
  <c r="G678" i="1" a="1"/>
  <c r="G678" i="1" s="1"/>
  <c r="G668" i="1" a="1"/>
  <c r="G668" i="1" s="1"/>
  <c r="G658" i="1" a="1"/>
  <c r="G658" i="1" s="1"/>
  <c r="G648" i="1" a="1"/>
  <c r="G648" i="1" s="1"/>
  <c r="G638" i="1" a="1"/>
  <c r="G638" i="1" s="1"/>
  <c r="G628" i="1" a="1"/>
  <c r="G628" i="1" s="1"/>
  <c r="G618" i="1" a="1"/>
  <c r="G618" i="1" s="1"/>
  <c r="G608" i="1" a="1"/>
  <c r="G608" i="1" s="1"/>
  <c r="G598" i="1" a="1"/>
  <c r="G598" i="1" s="1"/>
  <c r="G588" i="1" a="1"/>
  <c r="G588" i="1" s="1"/>
  <c r="G578" i="1" a="1"/>
  <c r="G578" i="1" s="1"/>
  <c r="G568" i="1" a="1"/>
  <c r="G568" i="1" s="1"/>
  <c r="G558" i="1" a="1"/>
  <c r="G558" i="1" s="1"/>
  <c r="G548" i="1" a="1"/>
  <c r="G548" i="1" s="1"/>
  <c r="G538" i="1" a="1"/>
  <c r="G538" i="1" s="1"/>
  <c r="G528" i="1" a="1"/>
  <c r="G528" i="1" s="1"/>
  <c r="G518" i="1" a="1"/>
  <c r="G518" i="1" s="1"/>
  <c r="G508" i="1" a="1"/>
  <c r="G508" i="1" s="1"/>
  <c r="G498" i="1" a="1"/>
  <c r="G498" i="1" s="1"/>
  <c r="G488" i="1" a="1"/>
  <c r="G488" i="1" s="1"/>
  <c r="G478" i="1" a="1"/>
  <c r="G478" i="1" s="1"/>
  <c r="G468" i="1" a="1"/>
  <c r="G468" i="1" s="1"/>
  <c r="G458" i="1" a="1"/>
  <c r="G458" i="1" s="1"/>
  <c r="G448" i="1" a="1"/>
  <c r="G448" i="1" s="1"/>
  <c r="G438" i="1" a="1"/>
  <c r="G438" i="1" s="1"/>
  <c r="G428" i="1" a="1"/>
  <c r="G428" i="1" s="1"/>
  <c r="G418" i="1" a="1"/>
  <c r="G418" i="1" s="1"/>
  <c r="G408" i="1" a="1"/>
  <c r="G408" i="1" s="1"/>
  <c r="G398" i="1" a="1"/>
  <c r="G398" i="1" s="1"/>
  <c r="G388" i="1" a="1"/>
  <c r="G388" i="1" s="1"/>
  <c r="G378" i="1" a="1"/>
  <c r="G378" i="1" s="1"/>
  <c r="G368" i="1" a="1"/>
  <c r="G368" i="1" s="1"/>
  <c r="G358" i="1" a="1"/>
  <c r="G358" i="1" s="1"/>
  <c r="G348" i="1" a="1"/>
  <c r="G348" i="1" s="1"/>
  <c r="G338" i="1" a="1"/>
  <c r="G338" i="1" s="1"/>
  <c r="G328" i="1" a="1"/>
  <c r="G328" i="1" s="1"/>
  <c r="G318" i="1" a="1"/>
  <c r="G318" i="1" s="1"/>
  <c r="G308" i="1" a="1"/>
  <c r="G308" i="1" s="1"/>
  <c r="G298" i="1" a="1"/>
  <c r="G298" i="1" s="1"/>
  <c r="G288" i="1" a="1"/>
  <c r="G288" i="1" s="1"/>
  <c r="G278" i="1" a="1"/>
  <c r="G278" i="1" s="1"/>
  <c r="G268" i="1" a="1"/>
  <c r="G268" i="1" s="1"/>
  <c r="G258" i="1" a="1"/>
  <c r="G258" i="1" s="1"/>
  <c r="G248" i="1" a="1"/>
  <c r="G248" i="1" s="1"/>
  <c r="G957" i="1" a="1"/>
  <c r="G957" i="1" s="1"/>
  <c r="G947" i="1" a="1"/>
  <c r="G947" i="1" s="1"/>
  <c r="G937" i="1" a="1"/>
  <c r="G937" i="1" s="1"/>
  <c r="G927" i="1" a="1"/>
  <c r="G927" i="1" s="1"/>
  <c r="G917" i="1" a="1"/>
  <c r="G917" i="1" s="1"/>
  <c r="G907" i="1" a="1"/>
  <c r="G907" i="1" s="1"/>
  <c r="G897" i="1" a="1"/>
  <c r="G897" i="1" s="1"/>
  <c r="G887" i="1" a="1"/>
  <c r="G887" i="1" s="1"/>
  <c r="G877" i="1" a="1"/>
  <c r="G877" i="1" s="1"/>
  <c r="G867" i="1" a="1"/>
  <c r="G867" i="1" s="1"/>
  <c r="G857" i="1" a="1"/>
  <c r="G857" i="1" s="1"/>
  <c r="G847" i="1" a="1"/>
  <c r="G847" i="1" s="1"/>
  <c r="G837" i="1" a="1"/>
  <c r="G837" i="1" s="1"/>
  <c r="G827" i="1" a="1"/>
  <c r="G827" i="1" s="1"/>
  <c r="G817" i="1" a="1"/>
  <c r="G817" i="1" s="1"/>
  <c r="G807" i="1" a="1"/>
  <c r="G807" i="1" s="1"/>
  <c r="G797" i="1" a="1"/>
  <c r="G797" i="1" s="1"/>
  <c r="G787" i="1" a="1"/>
  <c r="G787" i="1" s="1"/>
  <c r="G777" i="1" a="1"/>
  <c r="G777" i="1" s="1"/>
  <c r="G767" i="1" a="1"/>
  <c r="G767" i="1" s="1"/>
  <c r="G757" i="1" a="1"/>
  <c r="G757" i="1" s="1"/>
  <c r="G747" i="1" a="1"/>
  <c r="G747" i="1" s="1"/>
  <c r="G737" i="1" a="1"/>
  <c r="G737" i="1" s="1"/>
  <c r="G727" i="1" a="1"/>
  <c r="G727" i="1" s="1"/>
  <c r="G717" i="1" a="1"/>
  <c r="G717" i="1" s="1"/>
  <c r="G707" i="1" a="1"/>
  <c r="G707" i="1" s="1"/>
  <c r="G697" i="1" a="1"/>
  <c r="G697" i="1" s="1"/>
  <c r="G687" i="1" a="1"/>
  <c r="G687" i="1" s="1"/>
  <c r="G677" i="1" a="1"/>
  <c r="G677" i="1" s="1"/>
  <c r="G667" i="1" a="1"/>
  <c r="G667" i="1" s="1"/>
  <c r="G657" i="1" a="1"/>
  <c r="G657" i="1" s="1"/>
  <c r="G647" i="1" a="1"/>
  <c r="G647" i="1" s="1"/>
  <c r="G637" i="1" a="1"/>
  <c r="G637" i="1" s="1"/>
  <c r="G627" i="1" a="1"/>
  <c r="G627" i="1" s="1"/>
  <c r="G617" i="1" a="1"/>
  <c r="G617" i="1" s="1"/>
  <c r="G607" i="1" a="1"/>
  <c r="G607" i="1" s="1"/>
  <c r="G597" i="1" a="1"/>
  <c r="G597" i="1" s="1"/>
  <c r="G587" i="1" a="1"/>
  <c r="G587" i="1" s="1"/>
  <c r="G577" i="1" a="1"/>
  <c r="G577" i="1" s="1"/>
  <c r="G567" i="1" a="1"/>
  <c r="G567" i="1" s="1"/>
  <c r="G557" i="1" a="1"/>
  <c r="G557" i="1" s="1"/>
  <c r="G547" i="1" a="1"/>
  <c r="G547" i="1" s="1"/>
  <c r="G537" i="1" a="1"/>
  <c r="G537" i="1" s="1"/>
  <c r="G527" i="1" a="1"/>
  <c r="G527" i="1" s="1"/>
  <c r="G517" i="1" a="1"/>
  <c r="G517" i="1" s="1"/>
  <c r="G507" i="1" a="1"/>
  <c r="G507" i="1" s="1"/>
  <c r="G497" i="1" a="1"/>
  <c r="G497" i="1" s="1"/>
  <c r="G487" i="1" a="1"/>
  <c r="G487" i="1" s="1"/>
  <c r="G477" i="1" a="1"/>
  <c r="G477" i="1" s="1"/>
  <c r="G467" i="1" a="1"/>
  <c r="G467" i="1" s="1"/>
  <c r="G457" i="1" a="1"/>
  <c r="G457" i="1" s="1"/>
  <c r="G447" i="1" a="1"/>
  <c r="G447" i="1" s="1"/>
  <c r="G437" i="1" a="1"/>
  <c r="G437" i="1" s="1"/>
  <c r="G427" i="1" a="1"/>
  <c r="G427" i="1" s="1"/>
  <c r="G417" i="1" a="1"/>
  <c r="G417" i="1" s="1"/>
  <c r="G407" i="1" a="1"/>
  <c r="G407" i="1" s="1"/>
  <c r="G397" i="1" a="1"/>
  <c r="G397" i="1" s="1"/>
  <c r="G387" i="1" a="1"/>
  <c r="G387" i="1" s="1"/>
  <c r="G377" i="1" a="1"/>
  <c r="G377" i="1" s="1"/>
  <c r="G367" i="1" a="1"/>
  <c r="G367" i="1" s="1"/>
  <c r="G357" i="1" a="1"/>
  <c r="G357" i="1" s="1"/>
  <c r="G347" i="1" a="1"/>
  <c r="G347" i="1" s="1"/>
  <c r="G337" i="1" a="1"/>
  <c r="G337" i="1" s="1"/>
  <c r="G327" i="1" a="1"/>
  <c r="G327" i="1" s="1"/>
  <c r="G317" i="1" a="1"/>
  <c r="G317" i="1" s="1"/>
  <c r="G307" i="1" a="1"/>
  <c r="G307" i="1" s="1"/>
  <c r="G297" i="1" a="1"/>
  <c r="G297" i="1" s="1"/>
  <c r="G287" i="1" a="1"/>
  <c r="G287" i="1" s="1"/>
  <c r="G277" i="1" a="1"/>
  <c r="G277" i="1" s="1"/>
  <c r="G267" i="1" a="1"/>
  <c r="G267" i="1" s="1"/>
  <c r="G257" i="1" a="1"/>
  <c r="G257" i="1" s="1"/>
  <c r="G247" i="1" a="1"/>
  <c r="G247" i="1" s="1"/>
  <c r="G237" i="1" a="1"/>
  <c r="G237" i="1" s="1"/>
  <c r="G227" i="1" a="1"/>
  <c r="G227" i="1" s="1"/>
  <c r="G217" i="1" a="1"/>
  <c r="G217" i="1" s="1"/>
  <c r="G207" i="1" a="1"/>
  <c r="G207" i="1" s="1"/>
  <c r="G197" i="1" a="1"/>
  <c r="G197" i="1" s="1"/>
  <c r="G1016" i="1" a="1"/>
  <c r="G1016" i="1" s="1"/>
  <c r="G1006" i="1" a="1"/>
  <c r="G1006" i="1" s="1"/>
  <c r="G996" i="1" a="1"/>
  <c r="G996" i="1" s="1"/>
  <c r="G986" i="1" a="1"/>
  <c r="G986" i="1" s="1"/>
  <c r="G976" i="1" a="1"/>
  <c r="G976" i="1" s="1"/>
  <c r="G966" i="1" a="1"/>
  <c r="G966" i="1" s="1"/>
  <c r="G956" i="1" a="1"/>
  <c r="G956" i="1" s="1"/>
  <c r="G946" i="1" a="1"/>
  <c r="G946" i="1" s="1"/>
  <c r="G936" i="1" a="1"/>
  <c r="G936" i="1" s="1"/>
  <c r="G926" i="1" a="1"/>
  <c r="G926" i="1" s="1"/>
  <c r="G916" i="1" a="1"/>
  <c r="G916" i="1" s="1"/>
  <c r="G906" i="1" a="1"/>
  <c r="G906" i="1" s="1"/>
  <c r="G896" i="1" a="1"/>
  <c r="G896" i="1" s="1"/>
  <c r="G886" i="1" a="1"/>
  <c r="G886" i="1" s="1"/>
  <c r="G876" i="1" a="1"/>
  <c r="G876" i="1" s="1"/>
  <c r="G866" i="1" a="1"/>
  <c r="G866" i="1" s="1"/>
  <c r="G856" i="1" a="1"/>
  <c r="G856" i="1" s="1"/>
  <c r="G846" i="1" a="1"/>
  <c r="G846" i="1" s="1"/>
  <c r="G836" i="1" a="1"/>
  <c r="G836" i="1" s="1"/>
  <c r="G826" i="1" a="1"/>
  <c r="G826" i="1" s="1"/>
  <c r="G816" i="1" a="1"/>
  <c r="G816" i="1" s="1"/>
  <c r="G806" i="1" a="1"/>
  <c r="G806" i="1" s="1"/>
  <c r="G796" i="1" a="1"/>
  <c r="G796" i="1" s="1"/>
  <c r="G786" i="1" a="1"/>
  <c r="G786" i="1" s="1"/>
  <c r="G776" i="1" a="1"/>
  <c r="G776" i="1" s="1"/>
  <c r="G766" i="1" a="1"/>
  <c r="G766" i="1" s="1"/>
  <c r="G756" i="1" a="1"/>
  <c r="G756" i="1" s="1"/>
  <c r="G746" i="1" a="1"/>
  <c r="G746" i="1" s="1"/>
  <c r="G736" i="1" a="1"/>
  <c r="G736" i="1" s="1"/>
  <c r="G726" i="1" a="1"/>
  <c r="G726" i="1" s="1"/>
  <c r="G716" i="1" a="1"/>
  <c r="G716" i="1" s="1"/>
  <c r="G706" i="1" a="1"/>
  <c r="G706" i="1" s="1"/>
  <c r="G696" i="1" a="1"/>
  <c r="G696" i="1" s="1"/>
  <c r="G686" i="1" a="1"/>
  <c r="G686" i="1" s="1"/>
  <c r="G676" i="1" a="1"/>
  <c r="G676" i="1" s="1"/>
  <c r="G666" i="1" a="1"/>
  <c r="G666" i="1" s="1"/>
  <c r="G656" i="1" a="1"/>
  <c r="G656" i="1" s="1"/>
  <c r="G646" i="1" a="1"/>
  <c r="G646" i="1" s="1"/>
  <c r="G636" i="1" a="1"/>
  <c r="G636" i="1" s="1"/>
  <c r="G626" i="1" a="1"/>
  <c r="G626" i="1" s="1"/>
  <c r="G616" i="1" a="1"/>
  <c r="G616" i="1" s="1"/>
  <c r="G606" i="1" a="1"/>
  <c r="G606" i="1" s="1"/>
  <c r="G596" i="1" a="1"/>
  <c r="G596" i="1" s="1"/>
  <c r="G586" i="1" a="1"/>
  <c r="G586" i="1" s="1"/>
  <c r="G576" i="1" a="1"/>
  <c r="G576" i="1" s="1"/>
  <c r="G566" i="1" a="1"/>
  <c r="G566" i="1" s="1"/>
  <c r="G556" i="1" a="1"/>
  <c r="G556" i="1" s="1"/>
  <c r="G546" i="1" a="1"/>
  <c r="G546" i="1" s="1"/>
  <c r="G536" i="1" a="1"/>
  <c r="G536" i="1" s="1"/>
  <c r="G526" i="1" a="1"/>
  <c r="G526" i="1" s="1"/>
  <c r="G516" i="1" a="1"/>
  <c r="G516" i="1" s="1"/>
  <c r="G506" i="1" a="1"/>
  <c r="G506" i="1" s="1"/>
  <c r="G496" i="1" a="1"/>
  <c r="G496" i="1" s="1"/>
  <c r="G486" i="1" a="1"/>
  <c r="G486" i="1" s="1"/>
  <c r="G476" i="1" a="1"/>
  <c r="G476" i="1" s="1"/>
  <c r="G466" i="1" a="1"/>
  <c r="G466" i="1" s="1"/>
  <c r="G456" i="1" a="1"/>
  <c r="G456" i="1" s="1"/>
  <c r="G446" i="1" a="1"/>
  <c r="G446" i="1" s="1"/>
  <c r="G436" i="1" a="1"/>
  <c r="G436" i="1" s="1"/>
  <c r="G426" i="1" a="1"/>
  <c r="G426" i="1" s="1"/>
  <c r="G416" i="1" a="1"/>
  <c r="G416" i="1" s="1"/>
  <c r="G406" i="1" a="1"/>
  <c r="G406" i="1" s="1"/>
  <c r="G396" i="1" a="1"/>
  <c r="G396" i="1" s="1"/>
  <c r="G386" i="1" a="1"/>
  <c r="G386" i="1" s="1"/>
  <c r="G376" i="1" a="1"/>
  <c r="G376" i="1" s="1"/>
  <c r="G366" i="1" a="1"/>
  <c r="G366" i="1" s="1"/>
  <c r="G356" i="1" a="1"/>
  <c r="G356" i="1" s="1"/>
  <c r="G346" i="1" a="1"/>
  <c r="G346" i="1" s="1"/>
  <c r="G336" i="1" a="1"/>
  <c r="G336" i="1" s="1"/>
  <c r="G326" i="1" a="1"/>
  <c r="G326" i="1" s="1"/>
  <c r="G316" i="1" a="1"/>
  <c r="G316" i="1" s="1"/>
  <c r="G306" i="1" a="1"/>
  <c r="G306" i="1" s="1"/>
  <c r="G296" i="1" a="1"/>
  <c r="G296" i="1" s="1"/>
  <c r="G286" i="1" a="1"/>
  <c r="G286" i="1" s="1"/>
  <c r="G276" i="1" a="1"/>
  <c r="G276" i="1" s="1"/>
  <c r="G266" i="1" a="1"/>
  <c r="G266" i="1" s="1"/>
  <c r="G256" i="1" a="1"/>
  <c r="G256" i="1" s="1"/>
  <c r="G246" i="1" a="1"/>
  <c r="G246" i="1" s="1"/>
  <c r="G236" i="1" a="1"/>
  <c r="G236" i="1" s="1"/>
  <c r="G226" i="1" a="1"/>
  <c r="G226" i="1" s="1"/>
  <c r="G1015" i="1" a="1"/>
  <c r="G1015" i="1" s="1"/>
  <c r="G1005" i="1" a="1"/>
  <c r="G1005" i="1" s="1"/>
  <c r="G995" i="1" a="1"/>
  <c r="G995" i="1" s="1"/>
  <c r="G985" i="1" a="1"/>
  <c r="G985" i="1" s="1"/>
  <c r="G975" i="1" a="1"/>
  <c r="G975" i="1" s="1"/>
  <c r="G965" i="1" a="1"/>
  <c r="G965" i="1" s="1"/>
  <c r="G955" i="1" a="1"/>
  <c r="G955" i="1" s="1"/>
  <c r="G945" i="1" a="1"/>
  <c r="G945" i="1" s="1"/>
  <c r="G935" i="1" a="1"/>
  <c r="G935" i="1" s="1"/>
  <c r="G925" i="1" a="1"/>
  <c r="G925" i="1" s="1"/>
  <c r="G915" i="1" a="1"/>
  <c r="G915" i="1" s="1"/>
  <c r="G905" i="1" a="1"/>
  <c r="G905" i="1" s="1"/>
  <c r="G895" i="1" a="1"/>
  <c r="G895" i="1" s="1"/>
  <c r="G885" i="1" a="1"/>
  <c r="G885" i="1" s="1"/>
  <c r="G875" i="1" a="1"/>
  <c r="G875" i="1" s="1"/>
  <c r="G865" i="1" a="1"/>
  <c r="G865" i="1" s="1"/>
  <c r="G855" i="1" a="1"/>
  <c r="G855" i="1" s="1"/>
  <c r="G845" i="1" a="1"/>
  <c r="G845" i="1" s="1"/>
  <c r="G835" i="1" a="1"/>
  <c r="G835" i="1" s="1"/>
  <c r="G825" i="1" a="1"/>
  <c r="G825" i="1" s="1"/>
  <c r="G815" i="1" a="1"/>
  <c r="G815" i="1" s="1"/>
  <c r="G805" i="1" a="1"/>
  <c r="G805" i="1" s="1"/>
  <c r="G795" i="1" a="1"/>
  <c r="G795" i="1" s="1"/>
  <c r="G785" i="1" a="1"/>
  <c r="G785" i="1" s="1"/>
  <c r="G775" i="1" a="1"/>
  <c r="G775" i="1" s="1"/>
  <c r="G765" i="1" a="1"/>
  <c r="G765" i="1" s="1"/>
  <c r="G755" i="1" a="1"/>
  <c r="G755" i="1" s="1"/>
  <c r="G745" i="1" a="1"/>
  <c r="G745" i="1" s="1"/>
  <c r="G735" i="1" a="1"/>
  <c r="G735" i="1" s="1"/>
  <c r="G725" i="1" a="1"/>
  <c r="G725" i="1" s="1"/>
  <c r="G715" i="1" a="1"/>
  <c r="G715" i="1" s="1"/>
  <c r="G705" i="1" a="1"/>
  <c r="G705" i="1" s="1"/>
  <c r="G695" i="1" a="1"/>
  <c r="G695" i="1" s="1"/>
  <c r="G685" i="1" a="1"/>
  <c r="G685" i="1" s="1"/>
  <c r="G675" i="1" a="1"/>
  <c r="G675" i="1" s="1"/>
  <c r="G665" i="1" a="1"/>
  <c r="G665" i="1" s="1"/>
  <c r="G655" i="1" a="1"/>
  <c r="G655" i="1" s="1"/>
  <c r="G645" i="1" a="1"/>
  <c r="G645" i="1" s="1"/>
  <c r="G635" i="1" a="1"/>
  <c r="G635" i="1" s="1"/>
  <c r="G625" i="1" a="1"/>
  <c r="G625" i="1" s="1"/>
  <c r="G615" i="1" a="1"/>
  <c r="G615" i="1" s="1"/>
  <c r="G605" i="1" a="1"/>
  <c r="G605" i="1" s="1"/>
  <c r="G595" i="1" a="1"/>
  <c r="G595" i="1" s="1"/>
  <c r="G585" i="1" a="1"/>
  <c r="G585" i="1" s="1"/>
  <c r="G575" i="1" a="1"/>
  <c r="G575" i="1" s="1"/>
  <c r="G565" i="1" a="1"/>
  <c r="G565" i="1" s="1"/>
  <c r="G555" i="1" a="1"/>
  <c r="G555" i="1" s="1"/>
  <c r="G545" i="1" a="1"/>
  <c r="G545" i="1" s="1"/>
  <c r="G535" i="1" a="1"/>
  <c r="G535" i="1" s="1"/>
  <c r="G525" i="1" a="1"/>
  <c r="G525" i="1" s="1"/>
  <c r="G515" i="1" a="1"/>
  <c r="G515" i="1" s="1"/>
  <c r="G505" i="1" a="1"/>
  <c r="G505" i="1" s="1"/>
  <c r="G495" i="1" a="1"/>
  <c r="G495" i="1" s="1"/>
  <c r="G485" i="1" a="1"/>
  <c r="G485" i="1" s="1"/>
  <c r="G475" i="1" a="1"/>
  <c r="G475" i="1" s="1"/>
  <c r="G465" i="1" a="1"/>
  <c r="G465" i="1" s="1"/>
  <c r="G455" i="1" a="1"/>
  <c r="G455" i="1" s="1"/>
  <c r="G445" i="1" a="1"/>
  <c r="G445" i="1" s="1"/>
  <c r="G435" i="1" a="1"/>
  <c r="G435" i="1" s="1"/>
  <c r="G425" i="1" a="1"/>
  <c r="G425" i="1" s="1"/>
  <c r="G415" i="1" a="1"/>
  <c r="G415" i="1" s="1"/>
  <c r="G405" i="1" a="1"/>
  <c r="G405" i="1" s="1"/>
  <c r="G395" i="1" a="1"/>
  <c r="G395" i="1" s="1"/>
  <c r="G385" i="1" a="1"/>
  <c r="G385" i="1" s="1"/>
  <c r="G375" i="1" a="1"/>
  <c r="G375" i="1" s="1"/>
  <c r="G365" i="1" a="1"/>
  <c r="G365" i="1" s="1"/>
  <c r="G355" i="1" a="1"/>
  <c r="G355" i="1" s="1"/>
  <c r="G345" i="1" a="1"/>
  <c r="G345" i="1" s="1"/>
  <c r="G335" i="1" a="1"/>
  <c r="G335" i="1" s="1"/>
  <c r="G325" i="1" a="1"/>
  <c r="G325" i="1" s="1"/>
  <c r="G315" i="1" a="1"/>
  <c r="G315" i="1" s="1"/>
  <c r="G305" i="1" a="1"/>
  <c r="G305" i="1" s="1"/>
  <c r="G295" i="1" a="1"/>
  <c r="G295" i="1" s="1"/>
  <c r="G285" i="1" a="1"/>
  <c r="G285" i="1" s="1"/>
  <c r="G275" i="1" a="1"/>
  <c r="G275" i="1" s="1"/>
  <c r="G265" i="1" a="1"/>
  <c r="G265" i="1" s="1"/>
  <c r="G255" i="1" a="1"/>
  <c r="G255" i="1" s="1"/>
  <c r="G245" i="1" a="1"/>
  <c r="G245" i="1" s="1"/>
  <c r="G235" i="1" a="1"/>
  <c r="G235" i="1" s="1"/>
  <c r="G225" i="1" a="1"/>
  <c r="G225" i="1" s="1"/>
  <c r="G215" i="1" a="1"/>
  <c r="G215" i="1" s="1"/>
  <c r="G1054" i="1" a="1"/>
  <c r="G1054" i="1" s="1"/>
  <c r="G1044" i="1" a="1"/>
  <c r="G1044" i="1" s="1"/>
  <c r="G1034" i="1" a="1"/>
  <c r="G1034" i="1" s="1"/>
  <c r="G1024" i="1" a="1"/>
  <c r="G1024" i="1" s="1"/>
  <c r="G1014" i="1" a="1"/>
  <c r="G1014" i="1" s="1"/>
  <c r="G1004" i="1" a="1"/>
  <c r="G1004" i="1" s="1"/>
  <c r="G994" i="1" a="1"/>
  <c r="G994" i="1" s="1"/>
  <c r="G984" i="1" a="1"/>
  <c r="G984" i="1" s="1"/>
  <c r="G974" i="1" a="1"/>
  <c r="G974" i="1" s="1"/>
  <c r="G964" i="1" a="1"/>
  <c r="G964" i="1" s="1"/>
  <c r="G954" i="1" a="1"/>
  <c r="G954" i="1" s="1"/>
  <c r="G944" i="1" a="1"/>
  <c r="G944" i="1" s="1"/>
  <c r="G934" i="1" a="1"/>
  <c r="G934" i="1" s="1"/>
  <c r="G924" i="1" a="1"/>
  <c r="G924" i="1" s="1"/>
  <c r="G914" i="1" a="1"/>
  <c r="G914" i="1" s="1"/>
  <c r="G904" i="1" a="1"/>
  <c r="G904" i="1" s="1"/>
  <c r="G894" i="1" a="1"/>
  <c r="G894" i="1" s="1"/>
  <c r="G884" i="1" a="1"/>
  <c r="G884" i="1" s="1"/>
  <c r="G874" i="1" a="1"/>
  <c r="G874" i="1" s="1"/>
  <c r="G864" i="1" a="1"/>
  <c r="G864" i="1" s="1"/>
  <c r="G854" i="1" a="1"/>
  <c r="G854" i="1" s="1"/>
  <c r="G844" i="1" a="1"/>
  <c r="G844" i="1" s="1"/>
  <c r="G834" i="1" a="1"/>
  <c r="G834" i="1" s="1"/>
  <c r="G824" i="1" a="1"/>
  <c r="G824" i="1" s="1"/>
  <c r="G814" i="1" a="1"/>
  <c r="G814" i="1" s="1"/>
  <c r="G804" i="1" a="1"/>
  <c r="G804" i="1" s="1"/>
  <c r="G794" i="1" a="1"/>
  <c r="G794" i="1" s="1"/>
  <c r="G784" i="1" a="1"/>
  <c r="G784" i="1" s="1"/>
  <c r="G774" i="1" a="1"/>
  <c r="G774" i="1" s="1"/>
  <c r="G764" i="1" a="1"/>
  <c r="G764" i="1" s="1"/>
  <c r="G754" i="1" a="1"/>
  <c r="G754" i="1" s="1"/>
  <c r="G744" i="1" a="1"/>
  <c r="G744" i="1" s="1"/>
  <c r="G734" i="1" a="1"/>
  <c r="G734" i="1" s="1"/>
  <c r="G724" i="1" a="1"/>
  <c r="G724" i="1" s="1"/>
  <c r="G714" i="1" a="1"/>
  <c r="G714" i="1" s="1"/>
  <c r="G704" i="1" a="1"/>
  <c r="G704" i="1" s="1"/>
  <c r="G694" i="1" a="1"/>
  <c r="G694" i="1" s="1"/>
  <c r="G684" i="1" a="1"/>
  <c r="G684" i="1" s="1"/>
  <c r="G674" i="1" a="1"/>
  <c r="G674" i="1" s="1"/>
  <c r="G664" i="1" a="1"/>
  <c r="G664" i="1" s="1"/>
  <c r="G654" i="1" a="1"/>
  <c r="G654" i="1" s="1"/>
  <c r="G644" i="1" a="1"/>
  <c r="G644" i="1" s="1"/>
  <c r="G634" i="1" a="1"/>
  <c r="G634" i="1" s="1"/>
  <c r="G624" i="1" a="1"/>
  <c r="G624" i="1" s="1"/>
  <c r="G614" i="1" a="1"/>
  <c r="G614" i="1" s="1"/>
  <c r="G604" i="1" a="1"/>
  <c r="G604" i="1" s="1"/>
  <c r="G594" i="1" a="1"/>
  <c r="G594" i="1" s="1"/>
  <c r="G584" i="1" a="1"/>
  <c r="G584" i="1" s="1"/>
  <c r="G574" i="1" a="1"/>
  <c r="G574" i="1" s="1"/>
  <c r="G564" i="1" a="1"/>
  <c r="G564" i="1" s="1"/>
  <c r="G554" i="1" a="1"/>
  <c r="G554" i="1" s="1"/>
  <c r="G544" i="1" a="1"/>
  <c r="G544" i="1" s="1"/>
  <c r="G534" i="1" a="1"/>
  <c r="G534" i="1" s="1"/>
  <c r="G524" i="1" a="1"/>
  <c r="G524" i="1" s="1"/>
  <c r="G514" i="1" a="1"/>
  <c r="G514" i="1" s="1"/>
  <c r="G504" i="1" a="1"/>
  <c r="G504" i="1" s="1"/>
  <c r="G494" i="1" a="1"/>
  <c r="G494" i="1" s="1"/>
  <c r="G484" i="1" a="1"/>
  <c r="G484" i="1" s="1"/>
  <c r="G474" i="1" a="1"/>
  <c r="G474" i="1" s="1"/>
  <c r="G464" i="1" a="1"/>
  <c r="G464" i="1" s="1"/>
  <c r="G454" i="1" a="1"/>
  <c r="G454" i="1" s="1"/>
  <c r="G444" i="1" a="1"/>
  <c r="G444" i="1" s="1"/>
  <c r="G434" i="1" a="1"/>
  <c r="G434" i="1" s="1"/>
  <c r="G424" i="1" a="1"/>
  <c r="G424" i="1" s="1"/>
  <c r="G414" i="1" a="1"/>
  <c r="G414" i="1" s="1"/>
  <c r="G404" i="1" a="1"/>
  <c r="G404" i="1" s="1"/>
  <c r="G394" i="1" a="1"/>
  <c r="G394" i="1" s="1"/>
  <c r="G384" i="1" a="1"/>
  <c r="G384" i="1" s="1"/>
  <c r="G374" i="1" a="1"/>
  <c r="G374" i="1" s="1"/>
  <c r="G364" i="1" a="1"/>
  <c r="G364" i="1" s="1"/>
  <c r="G354" i="1" a="1"/>
  <c r="G354" i="1" s="1"/>
  <c r="G344" i="1" a="1"/>
  <c r="G344" i="1" s="1"/>
  <c r="G334" i="1" a="1"/>
  <c r="G334" i="1" s="1"/>
  <c r="G324" i="1" a="1"/>
  <c r="G324" i="1" s="1"/>
  <c r="G314" i="1" a="1"/>
  <c r="G314" i="1" s="1"/>
  <c r="G304" i="1" a="1"/>
  <c r="G304" i="1" s="1"/>
  <c r="G294" i="1" a="1"/>
  <c r="G294" i="1" s="1"/>
  <c r="G284" i="1" a="1"/>
  <c r="G284" i="1" s="1"/>
  <c r="G274" i="1" a="1"/>
  <c r="G274" i="1" s="1"/>
  <c r="G264" i="1" a="1"/>
  <c r="G264" i="1" s="1"/>
  <c r="G254" i="1" a="1"/>
  <c r="G254" i="1" s="1"/>
  <c r="G244" i="1" a="1"/>
  <c r="G244" i="1" s="1"/>
  <c r="G234" i="1" a="1"/>
  <c r="G234" i="1" s="1"/>
  <c r="G224" i="1" a="1"/>
  <c r="G224" i="1" s="1"/>
  <c r="G214" i="1" a="1"/>
  <c r="G214" i="1" s="1"/>
  <c r="G216" i="1" a="1"/>
  <c r="G216" i="1" s="1"/>
  <c r="G206" i="1" a="1"/>
  <c r="G206" i="1" s="1"/>
  <c r="G196" i="1" a="1"/>
  <c r="G196" i="1" s="1"/>
  <c r="G186" i="1" a="1"/>
  <c r="G186" i="1" s="1"/>
  <c r="G176" i="1" a="1"/>
  <c r="G176" i="1" s="1"/>
  <c r="G166" i="1" a="1"/>
  <c r="G166" i="1" s="1"/>
  <c r="G156" i="1" a="1"/>
  <c r="G156" i="1" s="1"/>
  <c r="G146" i="1" a="1"/>
  <c r="G146" i="1" s="1"/>
  <c r="G136" i="1" a="1"/>
  <c r="G136" i="1" s="1"/>
  <c r="G126" i="1" a="1"/>
  <c r="G126" i="1" s="1"/>
  <c r="G116" i="1" a="1"/>
  <c r="G116" i="1" s="1"/>
  <c r="G106" i="1" a="1"/>
  <c r="G106" i="1" s="1"/>
  <c r="G96" i="1" a="1"/>
  <c r="G96" i="1" s="1"/>
  <c r="G86" i="1" a="1"/>
  <c r="G86" i="1" s="1"/>
  <c r="G76" i="1" a="1"/>
  <c r="G76" i="1" s="1"/>
  <c r="G66" i="1" a="1"/>
  <c r="G66" i="1" s="1"/>
  <c r="G56" i="1" a="1"/>
  <c r="G56" i="1" s="1"/>
  <c r="G46" i="1" a="1"/>
  <c r="G46" i="1" s="1"/>
  <c r="G36" i="1" a="1"/>
  <c r="G36" i="1" s="1"/>
  <c r="G26" i="1" a="1"/>
  <c r="G26" i="1" s="1"/>
  <c r="G16" i="1" a="1"/>
  <c r="G16" i="1" s="1"/>
  <c r="G6" i="1" a="1"/>
  <c r="G6" i="1" s="1"/>
  <c r="G205" i="1" a="1"/>
  <c r="G205" i="1" s="1"/>
  <c r="G195" i="1" a="1"/>
  <c r="G195" i="1" s="1"/>
  <c r="G185" i="1" a="1"/>
  <c r="G185" i="1" s="1"/>
  <c r="G175" i="1" a="1"/>
  <c r="G175" i="1" s="1"/>
  <c r="G165" i="1" a="1"/>
  <c r="G165" i="1" s="1"/>
  <c r="G155" i="1" a="1"/>
  <c r="G155" i="1" s="1"/>
  <c r="G145" i="1" a="1"/>
  <c r="G145" i="1" s="1"/>
  <c r="G135" i="1" a="1"/>
  <c r="G135" i="1" s="1"/>
  <c r="G125" i="1" a="1"/>
  <c r="G125" i="1" s="1"/>
  <c r="G115" i="1" a="1"/>
  <c r="G115" i="1" s="1"/>
  <c r="G105" i="1" a="1"/>
  <c r="G105" i="1" s="1"/>
  <c r="G95" i="1" a="1"/>
  <c r="G95" i="1" s="1"/>
  <c r="G85" i="1" a="1"/>
  <c r="G85" i="1" s="1"/>
  <c r="G75" i="1" a="1"/>
  <c r="G75" i="1" s="1"/>
  <c r="G65" i="1" a="1"/>
  <c r="G65" i="1" s="1"/>
  <c r="G55" i="1" a="1"/>
  <c r="G55" i="1" s="1"/>
  <c r="G45" i="1" a="1"/>
  <c r="G45" i="1" s="1"/>
  <c r="G35" i="1" a="1"/>
  <c r="G35" i="1" s="1"/>
  <c r="G25" i="1" a="1"/>
  <c r="G25" i="1" s="1"/>
  <c r="G15" i="1" a="1"/>
  <c r="G15" i="1" s="1"/>
  <c r="G5" i="1" a="1"/>
  <c r="G5" i="1" s="1"/>
  <c r="G204" i="1" a="1"/>
  <c r="G204" i="1" s="1"/>
  <c r="G194" i="1" a="1"/>
  <c r="G194" i="1" s="1"/>
  <c r="G184" i="1" a="1"/>
  <c r="G184" i="1" s="1"/>
  <c r="G174" i="1" a="1"/>
  <c r="G174" i="1" s="1"/>
  <c r="G164" i="1" a="1"/>
  <c r="G164" i="1" s="1"/>
  <c r="G154" i="1" a="1"/>
  <c r="G154" i="1" s="1"/>
  <c r="G144" i="1" a="1"/>
  <c r="G144" i="1" s="1"/>
  <c r="G134" i="1" a="1"/>
  <c r="G134" i="1" s="1"/>
  <c r="G124" i="1" a="1"/>
  <c r="G124" i="1" s="1"/>
  <c r="G114" i="1" a="1"/>
  <c r="G114" i="1" s="1"/>
  <c r="G104" i="1" a="1"/>
  <c r="G104" i="1" s="1"/>
  <c r="G94" i="1" a="1"/>
  <c r="G94" i="1" s="1"/>
  <c r="G84" i="1" a="1"/>
  <c r="G84" i="1" s="1"/>
  <c r="G74" i="1" a="1"/>
  <c r="G74" i="1" s="1"/>
  <c r="G64" i="1" a="1"/>
  <c r="G64" i="1" s="1"/>
  <c r="G54" i="1" a="1"/>
  <c r="G54" i="1" s="1"/>
  <c r="G44" i="1" a="1"/>
  <c r="G44" i="1" s="1"/>
  <c r="G34" i="1" a="1"/>
  <c r="G34" i="1" s="1"/>
  <c r="G24" i="1" a="1"/>
  <c r="G24" i="1" s="1"/>
  <c r="G14" i="1" a="1"/>
  <c r="G14" i="1" s="1"/>
  <c r="G4" i="1" a="1"/>
  <c r="G4" i="1" s="1"/>
  <c r="G213" i="1" a="1"/>
  <c r="G213" i="1" s="1"/>
  <c r="G203" i="1" a="1"/>
  <c r="G203" i="1" s="1"/>
  <c r="G193" i="1" a="1"/>
  <c r="G193" i="1" s="1"/>
  <c r="G183" i="1" a="1"/>
  <c r="G183" i="1" s="1"/>
  <c r="G173" i="1" a="1"/>
  <c r="G173" i="1" s="1"/>
  <c r="G163" i="1" a="1"/>
  <c r="G163" i="1" s="1"/>
  <c r="G153" i="1" a="1"/>
  <c r="G153" i="1" s="1"/>
  <c r="G143" i="1" a="1"/>
  <c r="G143" i="1" s="1"/>
  <c r="G133" i="1" a="1"/>
  <c r="G133" i="1" s="1"/>
  <c r="G123" i="1" a="1"/>
  <c r="G123" i="1" s="1"/>
  <c r="G113" i="1" a="1"/>
  <c r="G113" i="1" s="1"/>
  <c r="G103" i="1" a="1"/>
  <c r="G103" i="1" s="1"/>
  <c r="G93" i="1" a="1"/>
  <c r="G93" i="1" s="1"/>
  <c r="G83" i="1" a="1"/>
  <c r="G83" i="1" s="1"/>
  <c r="G73" i="1" a="1"/>
  <c r="G73" i="1" s="1"/>
  <c r="G63" i="1" a="1"/>
  <c r="G63" i="1" s="1"/>
  <c r="G53" i="1" a="1"/>
  <c r="G53" i="1" s="1"/>
  <c r="G43" i="1" a="1"/>
  <c r="G43" i="1" s="1"/>
  <c r="G33" i="1" a="1"/>
  <c r="G33" i="1" s="1"/>
  <c r="G23" i="1" a="1"/>
  <c r="G23" i="1" s="1"/>
  <c r="G13" i="1" a="1"/>
  <c r="G13" i="1" s="1"/>
  <c r="G232" i="1" a="1"/>
  <c r="G232" i="1" s="1"/>
  <c r="G222" i="1" a="1"/>
  <c r="G222" i="1" s="1"/>
  <c r="G212" i="1" a="1"/>
  <c r="G212" i="1" s="1"/>
  <c r="G202" i="1" a="1"/>
  <c r="G202" i="1" s="1"/>
  <c r="G192" i="1" a="1"/>
  <c r="G192" i="1" s="1"/>
  <c r="G182" i="1" a="1"/>
  <c r="G182" i="1" s="1"/>
  <c r="G172" i="1" a="1"/>
  <c r="G172" i="1" s="1"/>
  <c r="G162" i="1" a="1"/>
  <c r="G162" i="1" s="1"/>
  <c r="G152" i="1" a="1"/>
  <c r="G152" i="1" s="1"/>
  <c r="G142" i="1" a="1"/>
  <c r="G142" i="1" s="1"/>
  <c r="G132" i="1" a="1"/>
  <c r="G132" i="1" s="1"/>
  <c r="G122" i="1" a="1"/>
  <c r="G122" i="1" s="1"/>
  <c r="G112" i="1" a="1"/>
  <c r="G112" i="1" s="1"/>
  <c r="G102" i="1" a="1"/>
  <c r="G102" i="1" s="1"/>
  <c r="G92" i="1" a="1"/>
  <c r="G92" i="1" s="1"/>
  <c r="G82" i="1" a="1"/>
  <c r="G82" i="1" s="1"/>
  <c r="G72" i="1" a="1"/>
  <c r="G72" i="1" s="1"/>
  <c r="G62" i="1" a="1"/>
  <c r="G62" i="1" s="1"/>
  <c r="G52" i="1" a="1"/>
  <c r="G52" i="1" s="1"/>
  <c r="G42" i="1" a="1"/>
  <c r="G42" i="1" s="1"/>
  <c r="G32" i="1" a="1"/>
  <c r="G32" i="1" s="1"/>
  <c r="G22" i="1" a="1"/>
  <c r="G22" i="1" s="1"/>
  <c r="G12" i="1" a="1"/>
  <c r="G12" i="1" s="1"/>
  <c r="G201" i="1" a="1"/>
  <c r="G201" i="1" s="1"/>
  <c r="G191" i="1" a="1"/>
  <c r="G191" i="1" s="1"/>
  <c r="G181" i="1" a="1"/>
  <c r="G181" i="1" s="1"/>
  <c r="G171" i="1" a="1"/>
  <c r="G171" i="1" s="1"/>
  <c r="G161" i="1" a="1"/>
  <c r="G161" i="1" s="1"/>
  <c r="G151" i="1" a="1"/>
  <c r="G151" i="1" s="1"/>
  <c r="G141" i="1" a="1"/>
  <c r="G141" i="1" s="1"/>
  <c r="G131" i="1" a="1"/>
  <c r="G131" i="1" s="1"/>
  <c r="G121" i="1" a="1"/>
  <c r="G121" i="1" s="1"/>
  <c r="G111" i="1" a="1"/>
  <c r="G111" i="1" s="1"/>
  <c r="G101" i="1" a="1"/>
  <c r="G101" i="1" s="1"/>
  <c r="G91" i="1" a="1"/>
  <c r="G91" i="1" s="1"/>
  <c r="G81" i="1" a="1"/>
  <c r="G81" i="1" s="1"/>
  <c r="G71" i="1" a="1"/>
  <c r="G71" i="1" s="1"/>
  <c r="G61" i="1" a="1"/>
  <c r="G61" i="1" s="1"/>
  <c r="G51" i="1" a="1"/>
  <c r="G51" i="1" s="1"/>
  <c r="G41" i="1" a="1"/>
  <c r="G41" i="1" s="1"/>
  <c r="G31" i="1" a="1"/>
  <c r="G31" i="1" s="1"/>
  <c r="G21" i="1" a="1"/>
  <c r="G21" i="1" s="1"/>
  <c r="G11" i="1" a="1"/>
  <c r="G11" i="1" s="1"/>
  <c r="G210" i="1" a="1"/>
  <c r="G210" i="1" s="1"/>
  <c r="G200" i="1" a="1"/>
  <c r="G200" i="1" s="1"/>
  <c r="G190" i="1" a="1"/>
  <c r="G190" i="1" s="1"/>
  <c r="G180" i="1" a="1"/>
  <c r="G180" i="1" s="1"/>
  <c r="G170" i="1" a="1"/>
  <c r="G170" i="1" s="1"/>
  <c r="G160" i="1" a="1"/>
  <c r="G160" i="1" s="1"/>
  <c r="G150" i="1" a="1"/>
  <c r="G150" i="1" s="1"/>
  <c r="G140" i="1" a="1"/>
  <c r="G140" i="1" s="1"/>
  <c r="G130" i="1" a="1"/>
  <c r="G130" i="1" s="1"/>
  <c r="G120" i="1" a="1"/>
  <c r="G120" i="1" s="1"/>
  <c r="G110" i="1" a="1"/>
  <c r="G110" i="1" s="1"/>
  <c r="G100" i="1" a="1"/>
  <c r="G100" i="1" s="1"/>
  <c r="G90" i="1" a="1"/>
  <c r="G90" i="1" s="1"/>
  <c r="G80" i="1" a="1"/>
  <c r="G80" i="1" s="1"/>
  <c r="G70" i="1" a="1"/>
  <c r="G70" i="1" s="1"/>
  <c r="G60" i="1" a="1"/>
  <c r="G60" i="1" s="1"/>
  <c r="G50" i="1" a="1"/>
  <c r="G50" i="1" s="1"/>
  <c r="G40" i="1" a="1"/>
  <c r="G40" i="1" s="1"/>
  <c r="G30" i="1" a="1"/>
  <c r="G30" i="1" s="1"/>
  <c r="G20" i="1" a="1"/>
  <c r="G20" i="1" s="1"/>
  <c r="G10" i="1" a="1"/>
  <c r="G10" i="1" s="1"/>
  <c r="G249" i="1" a="1"/>
  <c r="G249" i="1" s="1"/>
  <c r="G239" i="1" a="1"/>
  <c r="G239" i="1" s="1"/>
  <c r="G229" i="1" a="1"/>
  <c r="G229" i="1" s="1"/>
  <c r="G219" i="1" a="1"/>
  <c r="G219" i="1" s="1"/>
  <c r="G209" i="1" a="1"/>
  <c r="G209" i="1" s="1"/>
  <c r="G199" i="1" a="1"/>
  <c r="G199" i="1" s="1"/>
  <c r="G189" i="1" a="1"/>
  <c r="G189" i="1" s="1"/>
  <c r="G179" i="1" a="1"/>
  <c r="G179" i="1" s="1"/>
  <c r="G169" i="1" a="1"/>
  <c r="G169" i="1" s="1"/>
  <c r="G159" i="1" a="1"/>
  <c r="G159" i="1" s="1"/>
  <c r="G149" i="1" a="1"/>
  <c r="G149" i="1" s="1"/>
  <c r="G139" i="1" a="1"/>
  <c r="G139" i="1" s="1"/>
  <c r="G129" i="1" a="1"/>
  <c r="G129" i="1" s="1"/>
  <c r="G119" i="1" a="1"/>
  <c r="G119" i="1" s="1"/>
  <c r="G109" i="1" a="1"/>
  <c r="G109" i="1" s="1"/>
  <c r="G99" i="1" a="1"/>
  <c r="G99" i="1" s="1"/>
  <c r="G89" i="1" a="1"/>
  <c r="G89" i="1" s="1"/>
  <c r="G79" i="1" a="1"/>
  <c r="G79" i="1" s="1"/>
  <c r="G69" i="1" a="1"/>
  <c r="G69" i="1" s="1"/>
  <c r="G59" i="1" a="1"/>
  <c r="G59" i="1" s="1"/>
  <c r="G49" i="1" a="1"/>
  <c r="G49" i="1" s="1"/>
  <c r="G39" i="1" a="1"/>
  <c r="G39" i="1" s="1"/>
  <c r="G29" i="1" a="1"/>
  <c r="G29" i="1" s="1"/>
  <c r="G19" i="1" a="1"/>
  <c r="G19" i="1" s="1"/>
  <c r="G9" i="1" a="1"/>
  <c r="G9" i="1" s="1"/>
  <c r="G238" i="1" a="1"/>
  <c r="G238" i="1" s="1"/>
  <c r="G228" i="1" a="1"/>
  <c r="G228" i="1" s="1"/>
  <c r="G218" i="1" a="1"/>
  <c r="G218" i="1" s="1"/>
  <c r="G208" i="1" a="1"/>
  <c r="G208" i="1" s="1"/>
  <c r="G198" i="1" a="1"/>
  <c r="G198" i="1" s="1"/>
  <c r="G188" i="1" a="1"/>
  <c r="G188" i="1" s="1"/>
  <c r="G178" i="1" a="1"/>
  <c r="G178" i="1" s="1"/>
  <c r="G168" i="1" a="1"/>
  <c r="G168" i="1" s="1"/>
  <c r="G158" i="1" a="1"/>
  <c r="G158" i="1" s="1"/>
  <c r="G148" i="1" a="1"/>
  <c r="G148" i="1" s="1"/>
  <c r="G138" i="1" a="1"/>
  <c r="G138" i="1" s="1"/>
  <c r="G128" i="1" a="1"/>
  <c r="G128" i="1" s="1"/>
  <c r="G118" i="1" a="1"/>
  <c r="G118" i="1" s="1"/>
  <c r="G108" i="1" a="1"/>
  <c r="G108" i="1" s="1"/>
  <c r="G98" i="1" a="1"/>
  <c r="G98" i="1" s="1"/>
  <c r="G88" i="1" a="1"/>
  <c r="G88" i="1" s="1"/>
  <c r="G78" i="1" a="1"/>
  <c r="G78" i="1" s="1"/>
  <c r="G68" i="1" a="1"/>
  <c r="G68" i="1" s="1"/>
  <c r="G58" i="1" a="1"/>
  <c r="G58" i="1" s="1"/>
  <c r="G48" i="1" a="1"/>
  <c r="G48" i="1" s="1"/>
  <c r="G38" i="1" a="1"/>
  <c r="G38" i="1" s="1"/>
  <c r="G28" i="1" a="1"/>
  <c r="G28" i="1" s="1"/>
  <c r="G18" i="1" a="1"/>
  <c r="G18" i="1" s="1"/>
  <c r="G8" i="1" a="1"/>
  <c r="G8" i="1" s="1"/>
  <c r="G187" i="1" a="1"/>
  <c r="G187" i="1" s="1"/>
  <c r="G177" i="1" a="1"/>
  <c r="G177" i="1" s="1"/>
  <c r="G167" i="1" a="1"/>
  <c r="G167" i="1" s="1"/>
  <c r="G157" i="1" a="1"/>
  <c r="G157" i="1" s="1"/>
  <c r="G147" i="1" a="1"/>
  <c r="G147" i="1" s="1"/>
  <c r="G137" i="1" a="1"/>
  <c r="G137" i="1" s="1"/>
  <c r="G127" i="1" a="1"/>
  <c r="G127" i="1" s="1"/>
  <c r="G117" i="1" a="1"/>
  <c r="G117" i="1" s="1"/>
  <c r="G107" i="1" a="1"/>
  <c r="G107" i="1" s="1"/>
  <c r="G97" i="1" a="1"/>
  <c r="G97" i="1" s="1"/>
  <c r="G87" i="1" a="1"/>
  <c r="G87" i="1" s="1"/>
  <c r="G77" i="1" a="1"/>
  <c r="G77" i="1" s="1"/>
  <c r="G67" i="1" a="1"/>
  <c r="G67" i="1" s="1"/>
  <c r="G57" i="1" a="1"/>
  <c r="G57" i="1" s="1"/>
  <c r="G47" i="1" a="1"/>
  <c r="G47" i="1" s="1"/>
  <c r="G37" i="1" a="1"/>
  <c r="G37" i="1" s="1"/>
  <c r="G27" i="1" a="1"/>
  <c r="G27" i="1" s="1"/>
  <c r="G17" i="1" a="1"/>
  <c r="G17" i="1" s="1"/>
  <c r="G7" i="1" a="1"/>
  <c r="G7" i="1" s="1"/>
  <c r="J2" i="1" a="1"/>
  <c r="G3" i="1" a="1"/>
  <c r="G3" i="1" s="1"/>
  <c r="J2" i="1" l="1"/>
  <c r="L2" i="1" a="1"/>
  <c r="W7" i="1" s="1" a="1"/>
  <c r="W7" i="1" s="1"/>
  <c r="O3" i="1" l="1" a="1"/>
  <c r="O3" i="1" s="1"/>
  <c r="N8" i="1"/>
  <c r="AF9" i="1" s="1"/>
  <c r="AF11" i="1" s="1"/>
  <c r="O7" i="1" a="1"/>
  <c r="O7" i="1" s="1"/>
  <c r="O5" i="1" a="1"/>
  <c r="O5" i="1" s="1"/>
  <c r="N6" i="1"/>
  <c r="AD9" i="1" s="1"/>
  <c r="O6" i="1" a="1"/>
  <c r="O6" i="1" s="1"/>
  <c r="N7" i="1"/>
  <c r="AE9" i="1" s="1"/>
  <c r="AE11" i="1" s="1"/>
  <c r="L2" i="1"/>
  <c r="W12" i="1" a="1"/>
  <c r="W12" i="1" s="1"/>
  <c r="V12" i="1" a="1"/>
  <c r="V12" i="1" s="1"/>
  <c r="U7" i="1" s="1"/>
  <c r="U12" i="1" a="1"/>
  <c r="U12" i="1" s="1"/>
  <c r="S12" i="1" a="1"/>
  <c r="S12" i="1" s="1"/>
  <c r="T12" i="1" a="1"/>
  <c r="T12" i="1" s="1"/>
  <c r="R12" i="1" a="1"/>
  <c r="R12" i="1" s="1"/>
  <c r="AD11" i="1" l="1"/>
  <c r="AA18" i="1" a="1"/>
  <c r="AA18" i="1" s="1"/>
  <c r="AA30" i="1" a="1"/>
  <c r="AA30" i="1" s="1"/>
  <c r="V8" i="1"/>
  <c r="X5" i="1"/>
  <c r="V5" i="1"/>
  <c r="W5" i="1"/>
  <c r="X6" i="1"/>
  <c r="W6" i="1"/>
  <c r="U6" i="1"/>
  <c r="W8" i="1"/>
  <c r="U8" i="1"/>
  <c r="X7" i="1"/>
  <c r="V7" i="1"/>
  <c r="X8" i="1" a="1"/>
  <c r="X8" i="1" s="1"/>
  <c r="O8" i="1" a="1"/>
  <c r="O8" i="1" s="1"/>
  <c r="U5" i="1" a="1"/>
  <c r="U5" i="1" s="1"/>
  <c r="X3" i="1"/>
  <c r="W3" i="1"/>
  <c r="V3" i="1"/>
  <c r="U3" i="1"/>
  <c r="T5" i="1"/>
  <c r="S5" i="1"/>
  <c r="X4" i="1"/>
  <c r="W4" i="1"/>
  <c r="U4" i="1"/>
  <c r="V4" i="1"/>
  <c r="S4" i="1"/>
  <c r="T6" i="1"/>
  <c r="S6" i="1"/>
  <c r="S7" i="1"/>
  <c r="T7" i="1"/>
  <c r="T8" i="1"/>
  <c r="S8" i="1"/>
  <c r="AA39" i="1" l="1"/>
  <c r="AC19" i="1"/>
  <c r="AA26" i="1"/>
  <c r="N9" i="1"/>
  <c r="AB62" i="1"/>
  <c r="AA32" i="1"/>
  <c r="N12" i="1" l="1"/>
  <c r="AB54" i="1"/>
  <c r="AA66" i="1"/>
  <c r="AB63" i="1"/>
  <c r="AD63" i="1" s="1"/>
  <c r="AD62" i="1"/>
  <c r="Z66" i="1"/>
  <c r="N11" i="1"/>
  <c r="AA42" i="1"/>
  <c r="AB66" i="1" l="1"/>
  <c r="AG64" i="1"/>
  <c r="AG65" i="1"/>
  <c r="AG61" i="1"/>
  <c r="AG62" i="1"/>
  <c r="AG63" i="1"/>
  <c r="AG66" i="1"/>
  <c r="AA58" i="1"/>
  <c r="AB55" i="1"/>
  <c r="AD55" i="1" s="1"/>
  <c r="AD54" i="1"/>
  <c r="AB58" i="1" l="1"/>
  <c r="AA68" i="1" s="1"/>
  <c r="AG67" i="1"/>
  <c r="AG55" i="1"/>
  <c r="AG56" i="1"/>
  <c r="AG53" i="1"/>
  <c r="AG54" i="1"/>
  <c r="AG52" i="1"/>
  <c r="AG57" i="1"/>
  <c r="AG5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<sst xmlns="http://schemas.openxmlformats.org/spreadsheetml/2006/main" count="7682" uniqueCount="70">
  <si>
    <t>2024 CFMRC Securities - Daily Tables</t>
  </si>
  <si>
    <t>Variance-Covariance matrix</t>
  </si>
  <si>
    <t>trdate-Trade Date</t>
  </si>
  <si>
    <t>usage-Usage Number</t>
  </si>
  <si>
    <t>symbol-Ticker</t>
  </si>
  <si>
    <t>return-Daily Return</t>
  </si>
  <si>
    <t>gross return</t>
  </si>
  <si>
    <t>Monday</t>
  </si>
  <si>
    <t>Weekly returns</t>
  </si>
  <si>
    <t>E[R]</t>
  </si>
  <si>
    <t>STD(sample)</t>
  </si>
  <si>
    <t>CNR</t>
  </si>
  <si>
    <t>FTS</t>
  </si>
  <si>
    <t>RY</t>
  </si>
  <si>
    <t>SU</t>
  </si>
  <si>
    <t>T</t>
  </si>
  <si>
    <t>TRI</t>
  </si>
  <si>
    <t xml:space="preserve">yearly </t>
  </si>
  <si>
    <t>90 day</t>
  </si>
  <si>
    <t>weekly</t>
  </si>
  <si>
    <t>rF</t>
  </si>
  <si>
    <t>STD</t>
  </si>
  <si>
    <t>Sharpe</t>
  </si>
  <si>
    <t>Minimum Var Portfolio</t>
  </si>
  <si>
    <t>Var</t>
  </si>
  <si>
    <t xml:space="preserve">Optimal Risky Portfolio </t>
  </si>
  <si>
    <t>Sum weights</t>
  </si>
  <si>
    <t>Sharpe R</t>
  </si>
  <si>
    <t xml:space="preserve">ORP no short selling </t>
  </si>
  <si>
    <t xml:space="preserve">weigths </t>
  </si>
  <si>
    <t>Optimal Risky Portfolio</t>
  </si>
  <si>
    <t>ORP Portfolio Weights</t>
  </si>
  <si>
    <t>GMV Portfolio Weights</t>
  </si>
  <si>
    <t>GMV Portfolio</t>
  </si>
  <si>
    <t>weights</t>
  </si>
  <si>
    <t xml:space="preserve">total : </t>
  </si>
  <si>
    <t>work through:</t>
  </si>
  <si>
    <t>Minimum Variance Portfolio</t>
  </si>
  <si>
    <t>ORP (no short) Portfolio</t>
  </si>
  <si>
    <t>ORP no short Portfolio</t>
  </si>
  <si>
    <t>No-Short-Selling ORP</t>
  </si>
  <si>
    <t>Optimal share in risky portfolio</t>
  </si>
  <si>
    <t>Out of $1M</t>
  </si>
  <si>
    <t>Per Security</t>
  </si>
  <si>
    <t xml:space="preserve">Total </t>
  </si>
  <si>
    <t xml:space="preserve">Expected Return </t>
  </si>
  <si>
    <t>Risk</t>
  </si>
  <si>
    <t>Utility</t>
  </si>
  <si>
    <t xml:space="preserve">Optimal share in risky portfolio </t>
  </si>
  <si>
    <t>Optimal share in T-bills</t>
  </si>
  <si>
    <t>Short-selling allowed ORP</t>
  </si>
  <si>
    <t>No short ORP</t>
  </si>
  <si>
    <t xml:space="preserve">Per Security </t>
  </si>
  <si>
    <t>Expected Return</t>
  </si>
  <si>
    <t>Optimal Capital Allocation</t>
  </si>
  <si>
    <t>q.11 (change in return)</t>
  </si>
  <si>
    <t xml:space="preserve">sharpe </t>
  </si>
  <si>
    <t>1)</t>
  </si>
  <si>
    <t>1-1)</t>
  </si>
  <si>
    <t>1-2)</t>
  </si>
  <si>
    <t>2)</t>
  </si>
  <si>
    <t>3)</t>
  </si>
  <si>
    <t>5)</t>
  </si>
  <si>
    <t xml:space="preserve">2) </t>
  </si>
  <si>
    <t xml:space="preserve">6) </t>
  </si>
  <si>
    <t>6)</t>
  </si>
  <si>
    <t>8)</t>
  </si>
  <si>
    <t>9)</t>
  </si>
  <si>
    <t>10)</t>
  </si>
  <si>
    <t>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</si>
</sst>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5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D4ED"/>
        <bgColor indexed="64"/>
      </patternFill>
    </fill>
    <fill>
      <patternFill patternType="solid">
        <fgColor rgb="FF59FFAB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CFED6"/>
        <bgColor indexed="64"/>
      </patternFill>
    </fill>
    <fill>
      <patternFill patternType="solid">
        <fgColor rgb="FFFFDDA4"/>
        <bgColor indexed="64"/>
      </patternFill>
    </fill>
    <fill>
      <patternFill patternType="solid">
        <fgColor rgb="FFFFECD6"/>
        <bgColor indexed="64"/>
      </patternFill>
    </fill>
    <fill>
      <patternFill patternType="solid">
        <fgColor rgb="FFFCFCE3"/>
        <bgColor indexed="64"/>
      </patternFill>
    </fill>
    <fill>
      <patternFill patternType="solid">
        <fgColor rgb="FFA269E5"/>
        <bgColor indexed="64"/>
      </patternFill>
    </fill>
    <fill>
      <patternFill patternType="solid">
        <fgColor rgb="FFD7B1FF"/>
        <bgColor indexed="64"/>
      </patternFill>
    </fill>
    <fill>
      <patternFill patternType="solid">
        <fgColor rgb="FFE9D3FF"/>
        <bgColor indexed="64"/>
      </patternFill>
    </fill>
    <fill>
      <patternFill patternType="solid">
        <fgColor rgb="FFA8F7ED"/>
        <bgColor indexed="64"/>
      </patternFill>
    </fill>
    <fill>
      <patternFill patternType="solid">
        <fgColor rgb="FFA8F8EE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6C66"/>
        <bgColor indexed="64"/>
      </patternFill>
    </fill>
    <fill>
      <patternFill patternType="solid">
        <fgColor rgb="FFFF7675"/>
        <bgColor indexed="64"/>
      </patternFill>
    </fill>
    <fill>
      <patternFill patternType="solid">
        <fgColor rgb="FFFA5757"/>
        <bgColor indexed="64"/>
      </patternFill>
    </fill>
    <fill>
      <patternFill patternType="solid">
        <fgColor theme="9" tint="0.79998168889431442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8">
    <xf numFmtId="0" fontId="0" fillId="0" borderId="0" xfId="0"/>
    <xf numFmtId="14" fontId="0" fillId="0" borderId="0" xfId="0" applyNumberFormat="1"/>
    <xf numFmtId="0" fontId="0" fillId="37" borderId="11" xfId="0" applyFill="1" applyBorder="1"/>
    <xf numFmtId="0" fontId="0" fillId="35" borderId="11" xfId="0" applyFill="1" applyBorder="1"/>
    <xf numFmtId="0" fontId="0" fillId="37" borderId="0" xfId="0" applyFill="1"/>
    <xf numFmtId="0" fontId="0" fillId="35" borderId="12" xfId="0" applyFill="1" applyBorder="1"/>
    <xf numFmtId="0" fontId="0" fillId="34" borderId="11" xfId="0" applyFill="1" applyBorder="1"/>
    <xf numFmtId="0" fontId="0" fillId="34" borderId="13" xfId="0" applyFill="1" applyBorder="1"/>
    <xf numFmtId="0" fontId="0" fillId="38" borderId="11" xfId="0" applyFill="1" applyBorder="1"/>
    <xf numFmtId="0" fontId="0" fillId="39" borderId="0" xfId="0" applyFill="1"/>
    <xf numFmtId="0" fontId="0" fillId="40" borderId="11" xfId="0" applyFill="1" applyBorder="1"/>
    <xf numFmtId="0" fontId="0" fillId="0" borderId="11" xfId="0" applyBorder="1"/>
    <xf numFmtId="164" fontId="0" fillId="0" borderId="11" xfId="0" applyNumberFormat="1" applyBorder="1"/>
    <xf numFmtId="0" fontId="0" fillId="41" borderId="11" xfId="0" applyFill="1" applyBorder="1"/>
    <xf numFmtId="0" fontId="16" fillId="33" borderId="10" xfId="0" applyFont="1" applyFill="1" applyBorder="1"/>
    <xf numFmtId="0" fontId="0" fillId="36" borderId="14" xfId="0" applyFill="1" applyBorder="1"/>
    <xf numFmtId="0" fontId="0" fillId="36" borderId="15" xfId="0" applyFill="1" applyBorder="1"/>
    <xf numFmtId="0" fontId="0" fillId="36" borderId="16" xfId="0" applyFill="1" applyBorder="1"/>
    <xf numFmtId="0" fontId="0" fillId="36" borderId="17" xfId="0" applyFill="1" applyBorder="1"/>
    <xf numFmtId="0" fontId="0" fillId="36" borderId="19" xfId="0" applyFill="1" applyBorder="1"/>
    <xf numFmtId="164" fontId="0" fillId="41" borderId="22" xfId="0" applyNumberFormat="1" applyFill="1" applyBorder="1"/>
    <xf numFmtId="0" fontId="0" fillId="41" borderId="22" xfId="0" applyFill="1" applyBorder="1"/>
    <xf numFmtId="0" fontId="0" fillId="0" borderId="23" xfId="0" applyBorder="1"/>
    <xf numFmtId="164" fontId="0" fillId="0" borderId="0" xfId="0" applyNumberFormat="1"/>
    <xf numFmtId="16" fontId="0" fillId="0" borderId="0" xfId="0" applyNumberFormat="1"/>
    <xf numFmtId="0" fontId="0" fillId="35" borderId="24" xfId="0" applyFill="1" applyBorder="1"/>
    <xf numFmtId="0" fontId="0" fillId="37" borderId="22" xfId="0" applyFill="1" applyBorder="1"/>
    <xf numFmtId="164" fontId="0" fillId="0" borderId="22" xfId="0" applyNumberFormat="1" applyBorder="1"/>
    <xf numFmtId="0" fontId="0" fillId="0" borderId="24" xfId="0" applyBorder="1"/>
    <xf numFmtId="0" fontId="0" fillId="35" borderId="26" xfId="0" applyFill="1" applyBorder="1"/>
    <xf numFmtId="164" fontId="0" fillId="0" borderId="26" xfId="0" applyNumberFormat="1" applyBorder="1"/>
    <xf numFmtId="0" fontId="0" fillId="41" borderId="25" xfId="0" applyFill="1" applyBorder="1"/>
    <xf numFmtId="0" fontId="0" fillId="41" borderId="24" xfId="0" applyFill="1" applyBorder="1"/>
    <xf numFmtId="0" fontId="0" fillId="41" borderId="27" xfId="0" applyFill="1" applyBorder="1"/>
    <xf numFmtId="0" fontId="0" fillId="41" borderId="28" xfId="0" applyFill="1" applyBorder="1"/>
    <xf numFmtId="0" fontId="16" fillId="0" borderId="0" xfId="0" applyFont="1"/>
    <xf numFmtId="0" fontId="0" fillId="45" borderId="0" xfId="0" applyFill="1"/>
    <xf numFmtId="0" fontId="0" fillId="46" borderId="11" xfId="0" applyFill="1" applyBorder="1"/>
    <xf numFmtId="164" fontId="0" fillId="46" borderId="11" xfId="0" applyNumberFormat="1" applyFill="1" applyBorder="1"/>
    <xf numFmtId="0" fontId="0" fillId="44" borderId="14" xfId="0" applyFill="1" applyBorder="1"/>
    <xf numFmtId="0" fontId="0" fillId="45" borderId="16" xfId="0" applyFill="1" applyBorder="1"/>
    <xf numFmtId="0" fontId="0" fillId="44" borderId="17" xfId="0" applyFill="1" applyBorder="1"/>
    <xf numFmtId="0" fontId="0" fillId="45" borderId="18" xfId="0" applyFill="1" applyBorder="1"/>
    <xf numFmtId="0" fontId="0" fillId="44" borderId="19" xfId="0" applyFill="1" applyBorder="1"/>
    <xf numFmtId="0" fontId="0" fillId="45" borderId="21" xfId="0" applyFill="1" applyBorder="1"/>
    <xf numFmtId="0" fontId="0" fillId="45" borderId="12" xfId="0" applyFill="1" applyBorder="1"/>
    <xf numFmtId="0" fontId="0" fillId="42" borderId="29" xfId="0" applyFill="1" applyBorder="1"/>
    <xf numFmtId="0" fontId="0" fillId="43" borderId="29" xfId="0" applyFill="1" applyBorder="1"/>
    <xf numFmtId="0" fontId="0" fillId="42" borderId="30" xfId="0" applyFill="1" applyBorder="1"/>
    <xf numFmtId="0" fontId="0" fillId="43" borderId="30" xfId="0" applyFill="1" applyBorder="1"/>
    <xf numFmtId="0" fontId="0" fillId="34" borderId="24" xfId="0" applyFill="1" applyBorder="1"/>
    <xf numFmtId="0" fontId="0" fillId="47" borderId="11" xfId="0" applyFill="1" applyBorder="1"/>
    <xf numFmtId="164" fontId="0" fillId="47" borderId="11" xfId="0" applyNumberFormat="1" applyFill="1" applyBorder="1"/>
    <xf numFmtId="164" fontId="0" fillId="48" borderId="11" xfId="0" applyNumberFormat="1" applyFill="1" applyBorder="1"/>
    <xf numFmtId="0" fontId="0" fillId="48" borderId="11" xfId="0" applyFill="1" applyBorder="1"/>
    <xf numFmtId="0" fontId="0" fillId="50" borderId="11" xfId="0" applyFill="1" applyBorder="1"/>
    <xf numFmtId="0" fontId="0" fillId="50" borderId="12" xfId="0" applyFill="1" applyBorder="1"/>
    <xf numFmtId="0" fontId="0" fillId="49" borderId="31" xfId="0" applyFill="1" applyBorder="1"/>
    <xf numFmtId="0" fontId="0" fillId="34" borderId="0" xfId="0" applyFill="1"/>
    <xf numFmtId="0" fontId="0" fillId="51" borderId="33" xfId="0" applyFill="1" applyBorder="1"/>
    <xf numFmtId="0" fontId="0" fillId="53" borderId="0" xfId="0" applyFill="1"/>
    <xf numFmtId="0" fontId="0" fillId="52" borderId="33" xfId="0" applyFill="1" applyBorder="1"/>
    <xf numFmtId="0" fontId="0" fillId="52" borderId="34" xfId="0" applyFill="1" applyBorder="1"/>
    <xf numFmtId="0" fontId="0" fillId="33" borderId="0" xfId="0" applyFill="1"/>
    <xf numFmtId="0" fontId="0" fillId="51" borderId="35" xfId="0" applyFill="1" applyBorder="1"/>
    <xf numFmtId="0" fontId="0" fillId="54" borderId="12" xfId="0" applyFill="1" applyBorder="1"/>
    <xf numFmtId="0" fontId="0" fillId="34" borderId="12" xfId="0" applyFill="1" applyBorder="1"/>
    <xf numFmtId="0" fontId="0" fillId="55" borderId="19" xfId="0" applyFill="1" applyBorder="1"/>
    <xf numFmtId="0" fontId="0" fillId="56" borderId="32" xfId="0" applyFill="1" applyBorder="1"/>
    <xf numFmtId="0" fontId="0" fillId="55" borderId="36" xfId="0" applyFill="1" applyBorder="1"/>
    <xf numFmtId="0" fontId="0" fillId="56" borderId="37" xfId="0" applyFill="1" applyBorder="1"/>
    <xf numFmtId="0" fontId="0" fillId="57" borderId="38" xfId="0" applyFill="1" applyBorder="1"/>
    <xf numFmtId="0" fontId="0" fillId="57" borderId="39" xfId="0" applyFill="1" applyBorder="1"/>
    <xf numFmtId="0" fontId="0" fillId="58" borderId="11" xfId="0" applyFill="1" applyBorder="1"/>
    <xf numFmtId="0" fontId="0" fillId="58" borderId="18" xfId="0" applyFill="1" applyBorder="1"/>
    <xf numFmtId="164" fontId="0" fillId="58" borderId="11" xfId="0" applyNumberFormat="1" applyFill="1" applyBorder="1"/>
    <xf numFmtId="0" fontId="0" fillId="58" borderId="20" xfId="0" applyFill="1" applyBorder="1"/>
    <xf numFmtId="0" fontId="0" fillId="58" borderId="21" xfId="0" applyFill="1" applyBorder="1"/>
    <xf numFmtId="0" fontId="0" fillId="36" borderId="0" xfId="0" applyFill="1"/>
    <xf numFmtId="0" fontId="0" fillId="0" borderId="40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23" xfId="0" applyBorder="1" applyAlignment="1">
      <alignment horizontal="right"/>
    </xf>
    <xf numFmtId="0" fontId="0" fillId="34" borderId="15" xfId="0" applyFill="1" applyBorder="1"/>
    <xf numFmtId="0" fontId="0" fillId="52" borderId="0" xfId="0" applyFill="1"/>
    <xf numFmtId="0" fontId="0" fillId="33" borderId="11" xfId="0" applyFill="1" applyBorder="1"/>
    <xf numFmtId="0" fontId="0" fillId="33" borderId="12" xfId="0" applyFill="1" applyBorder="1"/>
    <xf numFmtId="0" fontId="0" fillId="51" borderId="20" xfId="0" applyFill="1" applyBorder="1"/>
    <xf numFmtId="0" fontId="0" fillId="51" borderId="11" xfId="0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A5757"/>
      <color rgb="FFFF7675"/>
      <color rgb="FFF86C66"/>
      <color rgb="FFB0FF63"/>
      <color rgb="FFA8F8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E[R] - σ Graph (ORP/MVP)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AC7596E-46FC-5042-B025-327B4E5C05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AA3-BB46-9179-857CE596791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C6F9351-ABDE-2A45-92D3-9E4BF0BF50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AA3-BB46-9179-857CE596791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C4DD3E9-1E04-4D4D-B31E-FF3AE494D3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AA3-BB46-9179-857CE596791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44C21C9-0BC1-3549-A525-FB8CA54409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AA3-BB46-9179-857CE596791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42DC87A-86CF-E94E-8D3E-FBFABB4C91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AA3-BB46-9179-857CE596791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78DD25E-ACBD-5E4D-9A4D-8C7A923CFD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AA3-BB46-9179-857CE596791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FC6E7B5-767B-EB4D-A8AF-56F06F0258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AA3-BB46-9179-857CE596791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4CF28BE-9D97-994D-9B1B-5F596C1C6F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AA3-BB46-9179-857CE596791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4C923F8-CA4B-E24C-9F42-2C21CC9499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6FF-394C-83A8-263C874B578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55A3EB8-FEAE-F54C-BD76-473137BA1D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3167-2848-9B64-CA28661CD3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effectLst>
                      <a:outerShdw blurRad="50800" dist="38100" dir="5400000" algn="t" rotWithShape="0">
                        <a:prstClr val="black">
                          <a:alpha val="40000"/>
                        </a:prst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MES!$O$3:$O$12</c:f>
              <c:numCache>
                <c:formatCode>General</c:formatCode>
                <c:ptCount val="10"/>
                <c:pt idx="0">
                  <c:v>3.9902786065159068E-2</c:v>
                </c:pt>
                <c:pt idx="1">
                  <c:v>2.1353393831415109E-2</c:v>
                </c:pt>
                <c:pt idx="2">
                  <c:v>1.9967620712815697E-2</c:v>
                </c:pt>
                <c:pt idx="3">
                  <c:v>3.3569687455517069E-2</c:v>
                </c:pt>
                <c:pt idx="4">
                  <c:v>2.0110786744411639E-2</c:v>
                </c:pt>
                <c:pt idx="5">
                  <c:v>2.0686336617584421E-2</c:v>
                </c:pt>
                <c:pt idx="6">
                  <c:v>1.6356617280567781E-2</c:v>
                </c:pt>
                <c:pt idx="7">
                  <c:v>0</c:v>
                </c:pt>
                <c:pt idx="8">
                  <c:v>1.4175156331557718E-2</c:v>
                </c:pt>
                <c:pt idx="9">
                  <c:v>1.592586306941348E-2</c:v>
                </c:pt>
              </c:numCache>
            </c:numRef>
          </c:xVal>
          <c:yVal>
            <c:numRef>
              <c:f>MES!$N$3:$N$12</c:f>
              <c:numCache>
                <c:formatCode>General</c:formatCode>
                <c:ptCount val="10"/>
                <c:pt idx="0" formatCode="0.000000">
                  <c:v>5.6673134193100314E-3</c:v>
                </c:pt>
                <c:pt idx="1">
                  <c:v>1.7804574529337561E-3</c:v>
                </c:pt>
                <c:pt idx="2">
                  <c:v>3.1106397301594287E-3</c:v>
                </c:pt>
                <c:pt idx="3">
                  <c:v>2.5854037945516766E-3</c:v>
                </c:pt>
                <c:pt idx="4">
                  <c:v>2.4848860964414637E-3</c:v>
                </c:pt>
                <c:pt idx="5">
                  <c:v>3.8853578969867105E-3</c:v>
                </c:pt>
                <c:pt idx="6">
                  <c:v>3.8556556835505659E-3</c:v>
                </c:pt>
                <c:pt idx="7">
                  <c:v>2.0524759729556585E-4</c:v>
                </c:pt>
                <c:pt idx="8">
                  <c:v>2.9468854131866379E-3</c:v>
                </c:pt>
                <c:pt idx="9">
                  <c:v>3.7239760704704614E-3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MES!$M$3:$M$12</c15:f>
                <c15:dlblRangeCache>
                  <c:ptCount val="10"/>
                  <c:pt idx="0">
                    <c:v>CNR</c:v>
                  </c:pt>
                  <c:pt idx="1">
                    <c:v>FTS</c:v>
                  </c:pt>
                  <c:pt idx="2">
                    <c:v>RY</c:v>
                  </c:pt>
                  <c:pt idx="3">
                    <c:v>SU</c:v>
                  </c:pt>
                  <c:pt idx="4">
                    <c:v>T</c:v>
                  </c:pt>
                  <c:pt idx="5">
                    <c:v>TRI</c:v>
                  </c:pt>
                  <c:pt idx="6">
                    <c:v>Optimal Risky Portfolio</c:v>
                  </c:pt>
                  <c:pt idx="7">
                    <c:v>rF</c:v>
                  </c:pt>
                  <c:pt idx="8">
                    <c:v>Minimum Variance Portfolio</c:v>
                  </c:pt>
                  <c:pt idx="9">
                    <c:v>No-Short-Selling ORP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1E17-484E-AE6D-131B248D0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071631"/>
        <c:axId val="2051519455"/>
      </c:scatterChart>
      <c:valAx>
        <c:axId val="2051071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effectLst>
                      <a:outerShdw blurRad="50800" dist="38100" dir="5400000" algn="t" rotWithShape="0">
                        <a:prstClr val="black">
                          <a:alpha val="40000"/>
                        </a:prst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σ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effectLst>
                    <a:outerShdw blurRad="50800" dist="38100" dir="5400000" algn="t" rotWithShape="0">
                      <a:prstClr val="black">
                        <a:alpha val="40000"/>
                      </a:prst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519455"/>
        <c:crosses val="autoZero"/>
        <c:crossBetween val="midCat"/>
      </c:valAx>
      <c:valAx>
        <c:axId val="205151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effectLst>
                      <a:outerShdw blurRad="50800" dist="38100" dir="5400000" algn="t" rotWithShape="0">
                        <a:prstClr val="black">
                          <a:alpha val="40000"/>
                        </a:prst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E[R]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effectLst>
                    <a:outerShdw blurRad="50800" dist="38100" dir="5400000" algn="t" rotWithShape="0">
                      <a:prstClr val="black">
                        <a:alpha val="40000"/>
                      </a:prst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071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ysDash"/>
      <a:round/>
    </a:ln>
    <a:effectLst/>
  </c:spPr>
  <c:txPr>
    <a:bodyPr/>
    <a:lstStyle/>
    <a:p>
      <a:pPr>
        <a:defRPr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914008</xdr:colOff>
      <xdr:row>75</xdr:row>
      <xdr:rowOff>77217</xdr:rowOff>
    </xdr:from>
    <xdr:to>
      <xdr:col>33</xdr:col>
      <xdr:colOff>39687</xdr:colOff>
      <xdr:row>99</xdr:row>
      <xdr:rowOff>119063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17FFEA2-D9FA-51E2-7EDC-607C06892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5959-AE28-4B47-BCB1-456ED8ED2316}">
  <dimension ref="A1:AJ7532"/>
  <sheetViews>
    <sheetView tabSelected="1" topLeftCell="S64" zoomScale="86" workbookViewId="0">
      <selection activeCell="Z58" sqref="Z58"/>
    </sheetView>
  </sheetViews>
  <sheetFormatPr baseColWidth="10" defaultColWidth="11" defaultRowHeight="16" x14ac:dyDescent="0.2"/>
  <cols>
    <col min="11" max="11" width="10.83203125" style="1"/>
    <col min="12" max="12" width="12.6640625" customWidth="1"/>
    <col min="20" max="24" width="11.1640625" bestFit="1" customWidth="1"/>
    <col min="25" max="25" width="13.5" customWidth="1"/>
    <col min="26" max="26" width="27.33203125" customWidth="1"/>
    <col min="27" max="27" width="12.83203125" bestFit="1" customWidth="1"/>
    <col min="28" max="28" width="18" customWidth="1"/>
    <col min="29" max="29" width="11.33203125" bestFit="1" customWidth="1"/>
    <col min="30" max="30" width="12.6640625" bestFit="1" customWidth="1"/>
    <col min="31" max="31" width="13.1640625" bestFit="1" customWidth="1"/>
    <col min="32" max="33" width="12.83203125" bestFit="1" customWidth="1"/>
    <col min="34" max="35" width="12.6640625" bestFit="1" customWidth="1"/>
  </cols>
  <sheetData>
    <row r="1" spans="1:33" ht="17" thickBot="1" x14ac:dyDescent="0.25">
      <c r="A1" t="s">
        <v>0</v>
      </c>
      <c r="J1" t="s">
        <v>57</v>
      </c>
      <c r="M1" t="s">
        <v>58</v>
      </c>
      <c r="Q1" t="s">
        <v>59</v>
      </c>
      <c r="R1" s="35" t="s">
        <v>1</v>
      </c>
    </row>
    <row r="2" spans="1:33" ht="17" thickBot="1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J2" t="str" cm="1">
        <f t="array" ref="J2:K1568">_xlfn.UNIQUE(
  _xlfn._xlws.FILTER(
    CHOOSE({1,2}, C2:C100000, F2:F100000),
    (C2:C100000&lt;&gt;"")*(F2:F100000&lt;&gt;"")
  )
)</f>
        <v>symbol-Ticker</v>
      </c>
      <c r="K2" s="1" t="str">
        <v>Monday</v>
      </c>
      <c r="L2" t="str" cm="1">
        <f t="array" ref="L2:L1568">_xlfn.UNIQUE(_xlfn._xlws.FILTER(G2:G10000, G2:G10000&lt;&gt;""))</f>
        <v>Weekly returns</v>
      </c>
      <c r="M2" s="22"/>
      <c r="N2" s="34" t="s">
        <v>9</v>
      </c>
      <c r="O2" s="33" t="s">
        <v>10</v>
      </c>
      <c r="R2" s="15"/>
      <c r="S2" s="16" t="s">
        <v>11</v>
      </c>
      <c r="T2" s="16" t="s">
        <v>12</v>
      </c>
      <c r="U2" s="16" t="s">
        <v>13</v>
      </c>
      <c r="V2" s="16" t="s">
        <v>14</v>
      </c>
      <c r="W2" s="16" t="s">
        <v>15</v>
      </c>
      <c r="X2" s="17" t="s">
        <v>16</v>
      </c>
      <c r="Y2" s="79" t="s">
        <v>63</v>
      </c>
      <c r="Z2" s="78"/>
      <c r="AA2" s="9" t="s">
        <v>17</v>
      </c>
      <c r="AB2" s="9" t="s">
        <v>18</v>
      </c>
      <c r="AC2" s="9" t="s">
        <v>19</v>
      </c>
    </row>
    <row r="3" spans="1:33" ht="17" thickTop="1" x14ac:dyDescent="0.2">
      <c r="A3" s="1">
        <v>40911</v>
      </c>
      <c r="B3">
        <v>2</v>
      </c>
      <c r="C3" t="s">
        <v>11</v>
      </c>
      <c r="D3">
        <v>-5.9890000000000004E-3</v>
      </c>
      <c r="E3">
        <f>D3+1</f>
        <v>0.99401099999999998</v>
      </c>
      <c r="F3" s="1">
        <f>A3 - (WEEKDAY(A3, 2) - 1)</f>
        <v>40910</v>
      </c>
      <c r="G3" cm="1">
        <f t="array" ref="G3">PRODUCT( _xlfn._xlws.FILTER($E:$E, ($C:$C=C3)*($F:$F=F3)) ) - 1</f>
        <v>-1.6220320776067942E-2</v>
      </c>
      <c r="J3" t="str">
        <v>CNR</v>
      </c>
      <c r="K3" s="1">
        <v>40910</v>
      </c>
      <c r="L3">
        <v>-1.6220320776067942E-2</v>
      </c>
      <c r="M3" s="13" t="s">
        <v>11</v>
      </c>
      <c r="N3" s="20">
        <f>AVERAGEIF(J:J, J3, L:L)</f>
        <v>5.6673134193100314E-3</v>
      </c>
      <c r="O3" s="13" cm="1">
        <f t="array" ref="O3">_xlfn.STDEV.S(IF($J$3:$J$1000=J3, $L$3:$L$1000))</f>
        <v>3.9902786065159068E-2</v>
      </c>
      <c r="R3" s="18" t="s">
        <v>11</v>
      </c>
      <c r="S3" s="73" cm="1">
        <f t="array" ref="S3">_xlfn.VAR.S(IF($J$2:$J$10000=J3, $L$2:$L$10000))</f>
        <v>1.5922323357618528E-3</v>
      </c>
      <c r="T3" s="73">
        <f>_xlfn.COVARIANCE.S(R12:R272, S12:S272)</f>
        <v>1.4921174730499331E-4</v>
      </c>
      <c r="U3" s="73">
        <f>_xlfn.COVARIANCE.S(R12:R272, T12:T272)</f>
        <v>1.6204359501713065E-4</v>
      </c>
      <c r="V3" s="73">
        <f>_xlfn.COVARIANCE.S(R12:R272, U12:U272)</f>
        <v>2.5946703304794371E-4</v>
      </c>
      <c r="W3" s="73">
        <f>_xlfn.COVARIANCE.S(R12:R272, V12:V272)</f>
        <v>9.5574643360759351E-5</v>
      </c>
      <c r="X3" s="74">
        <f>_xlfn.COVARIANCE.S(R12:R272, W12:W272)</f>
        <v>1.8752967415240401E-4</v>
      </c>
      <c r="Y3" s="80"/>
      <c r="Z3" s="10" t="s">
        <v>20</v>
      </c>
      <c r="AA3" s="10">
        <v>0.01</v>
      </c>
      <c r="AB3" s="10">
        <f>0.01*90/365</f>
        <v>2.4657534246575342E-3</v>
      </c>
      <c r="AC3" s="8">
        <f>(1 + (0.01 * 90 / 365))^(1/12) - 1</f>
        <v>2.0524759729556585E-4</v>
      </c>
    </row>
    <row r="4" spans="1:33" x14ac:dyDescent="0.2">
      <c r="A4" s="1">
        <v>40912</v>
      </c>
      <c r="B4">
        <v>2</v>
      </c>
      <c r="C4" t="s">
        <v>11</v>
      </c>
      <c r="D4">
        <v>1.7570000000000001E-3</v>
      </c>
      <c r="E4">
        <f t="shared" ref="E4:E67" si="0">D4+1</f>
        <v>1.001757</v>
      </c>
      <c r="F4" s="1">
        <f t="shared" ref="F4:F67" si="1">A4 - (WEEKDAY(A4, 2) - 1)</f>
        <v>40910</v>
      </c>
      <c r="G4" cm="1">
        <f t="array" ref="G4">PRODUCT( _xlfn._xlws.FILTER($E:$E, ($C:$C=C4)*($F:$F=F4)) ) - 1</f>
        <v>-1.6220320776067942E-2</v>
      </c>
      <c r="J4" t="str">
        <v>CNR</v>
      </c>
      <c r="K4" s="1">
        <v>40917</v>
      </c>
      <c r="L4">
        <v>-7.6101376742915283E-3</v>
      </c>
      <c r="M4" s="13" t="s">
        <v>12</v>
      </c>
      <c r="N4" s="21">
        <f>AVERAGEIF(J:J, J264, L:L)</f>
        <v>1.7804574529337561E-3</v>
      </c>
      <c r="O4" s="13" cm="1">
        <f t="array" ref="O4">_xlfn.STDEV.S(IF($J$3:$J$10000=J264, $L$3:$L$10000))</f>
        <v>2.1353393831415109E-2</v>
      </c>
      <c r="R4" s="18" t="s">
        <v>12</v>
      </c>
      <c r="S4" s="73">
        <f>_xlfn.COVARIANCE.S(S12:S272, R12:R272)</f>
        <v>1.4921174730499331E-4</v>
      </c>
      <c r="T4" s="73" cm="1">
        <f t="array" ref="T4">_xlfn.VAR.S(IF($J$2:$J$10000=J264, $L$2:$L$10000))</f>
        <v>4.5596742811951683E-4</v>
      </c>
      <c r="U4" s="73">
        <f>_xlfn.COVARIANCE.S(S12:S272, T12:T272)</f>
        <v>1.3939446413206203E-4</v>
      </c>
      <c r="V4" s="73">
        <f>_xlfn.COVARIANCE.S(S12:S272, U12:U272)</f>
        <v>1.7808759547878613E-4</v>
      </c>
      <c r="W4" s="73">
        <f>_xlfn.COVARIANCE.S(S12:S272, V12:V272)</f>
        <v>1.5061255859044086E-4</v>
      </c>
      <c r="X4" s="74">
        <f>_xlfn.COVARIANCE.S(S12:S272, W12:W272)</f>
        <v>1.1444725193093725E-4</v>
      </c>
      <c r="Y4" s="80"/>
      <c r="Z4" s="11" t="s">
        <v>21</v>
      </c>
      <c r="AA4" s="11">
        <v>0</v>
      </c>
      <c r="AB4" s="11">
        <v>0</v>
      </c>
      <c r="AC4" s="11">
        <v>0</v>
      </c>
    </row>
    <row r="5" spans="1:33" x14ac:dyDescent="0.2">
      <c r="A5" s="1">
        <v>40913</v>
      </c>
      <c r="B5">
        <v>2</v>
      </c>
      <c r="C5" t="s">
        <v>11</v>
      </c>
      <c r="D5">
        <v>-7.5180000000000004E-3</v>
      </c>
      <c r="E5">
        <f t="shared" si="0"/>
        <v>0.99248199999999998</v>
      </c>
      <c r="F5" s="1">
        <f t="shared" si="1"/>
        <v>40910</v>
      </c>
      <c r="G5" cm="1">
        <f t="array" ref="G5">PRODUCT( _xlfn._xlws.FILTER($E:$E, ($C:$C=C5)*($F:$F=F5)) ) - 1</f>
        <v>-1.6220320776067942E-2</v>
      </c>
      <c r="J5" t="str">
        <v>CNR</v>
      </c>
      <c r="K5" s="1">
        <v>40924</v>
      </c>
      <c r="L5">
        <v>1.8274710951705408E-2</v>
      </c>
      <c r="M5" s="13" t="s">
        <v>13</v>
      </c>
      <c r="N5" s="21">
        <f>AVERAGEIF(J:J, J525, L:L)</f>
        <v>3.1106397301594287E-3</v>
      </c>
      <c r="O5" s="13" cm="1">
        <f t="array" ref="O5">_xlfn.STDEV.S(IF($J$3:$J$1000=J525, $L$3:$L$1000))</f>
        <v>1.9967620712815697E-2</v>
      </c>
      <c r="R5" s="18" t="s">
        <v>13</v>
      </c>
      <c r="S5" s="73">
        <f>_xlfn.COVARIANCE.S(T12:T272, R12:R272)</f>
        <v>1.6204359501713065E-4</v>
      </c>
      <c r="T5" s="73">
        <f>_xlfn.COVARIANCE.S(T12:T272, S12:S272)</f>
        <v>1.3939446413206203E-4</v>
      </c>
      <c r="U5" s="73" cm="1">
        <f t="array" ref="U5">_xlfn.VAR.S(IF($J$2:$J$10000=J525, $L$2:$L$10000))</f>
        <v>3.9870587693086642E-4</v>
      </c>
      <c r="V5" s="73">
        <f>_xlfn.COVARIANCE.S(T12:T272, U12:U272)</f>
        <v>3.0759523946497473E-4</v>
      </c>
      <c r="W5" s="75">
        <f>_xlfn.COVARIANCE.S(T12:T272, V12:V272)</f>
        <v>1.0589191652665319E-4</v>
      </c>
      <c r="X5" s="74">
        <f>_xlfn.COVARIANCE.S(T12:T272, W12:W272)</f>
        <v>1.6358006633740492E-4</v>
      </c>
      <c r="Y5" s="80"/>
    </row>
    <row r="6" spans="1:33" x14ac:dyDescent="0.2">
      <c r="A6" s="1">
        <v>40914</v>
      </c>
      <c r="B6">
        <v>2</v>
      </c>
      <c r="C6" t="s">
        <v>11</v>
      </c>
      <c r="D6">
        <v>-4.5450000000000004E-3</v>
      </c>
      <c r="E6">
        <f t="shared" si="0"/>
        <v>0.99545499999999998</v>
      </c>
      <c r="F6" s="1">
        <f t="shared" si="1"/>
        <v>40910</v>
      </c>
      <c r="G6" cm="1">
        <f t="array" ref="G6">PRODUCT( _xlfn._xlws.FILTER($E:$E, ($C:$C=C6)*($F:$F=F6)) ) - 1</f>
        <v>-1.6220320776067942E-2</v>
      </c>
      <c r="J6" t="str">
        <v>CNR</v>
      </c>
      <c r="K6" s="1">
        <v>40931</v>
      </c>
      <c r="L6">
        <v>-4.2419599196334312E-2</v>
      </c>
      <c r="M6" s="13" t="s">
        <v>14</v>
      </c>
      <c r="N6" s="21">
        <f>AVERAGEIF(J:J, J786, L:L)</f>
        <v>2.5854037945516766E-3</v>
      </c>
      <c r="O6" s="13" cm="1">
        <f t="array" ref="O6">_xlfn.STDEV.S(IF($J$3:$J$10000=J786, $L$3:$L$10000))</f>
        <v>3.3569687455517069E-2</v>
      </c>
      <c r="R6" s="18" t="s">
        <v>14</v>
      </c>
      <c r="S6" s="73">
        <f>_xlfn.COVARIANCE.S(U12:U272, R12:R272)</f>
        <v>2.5946703304794371E-4</v>
      </c>
      <c r="T6" s="73">
        <f>_xlfn.COVARIANCE.S(U12:U272, S12:S272)</f>
        <v>1.7808759547878613E-4</v>
      </c>
      <c r="U6" s="73">
        <f>_xlfn.COVARIANCE.S(U12:U272, T12:T272)</f>
        <v>3.0759523946497473E-4</v>
      </c>
      <c r="V6" s="73" cm="1">
        <f t="array" ref="V6">_xlfn.VAR.S(IF($J$3:$J$10000=J786, $L$3:$L$10000))</f>
        <v>1.1269239158611002E-3</v>
      </c>
      <c r="W6" s="73">
        <f>_xlfn.COVARIANCE.S(U12:U272, V12:V272)</f>
        <v>1.2433260834624439E-4</v>
      </c>
      <c r="X6" s="74">
        <f>_xlfn.COVARIANCE.S(U12:U272, W12:W272)</f>
        <v>2.2827060556625991E-4</v>
      </c>
      <c r="Y6" s="80"/>
    </row>
    <row r="7" spans="1:33" x14ac:dyDescent="0.2">
      <c r="A7" s="1">
        <v>40917</v>
      </c>
      <c r="B7">
        <v>2</v>
      </c>
      <c r="C7" t="s">
        <v>11</v>
      </c>
      <c r="D7">
        <v>9.7649999999999994E-3</v>
      </c>
      <c r="E7">
        <f t="shared" si="0"/>
        <v>1.009765</v>
      </c>
      <c r="F7" s="1">
        <f t="shared" si="1"/>
        <v>40917</v>
      </c>
      <c r="G7" cm="1">
        <f t="array" ref="G7">PRODUCT( _xlfn._xlws.FILTER($E:$E, ($C:$C=C7)*($F:$F=F7)) ) - 1</f>
        <v>-7.6101376742915283E-3</v>
      </c>
      <c r="J7" t="str">
        <v>CNR</v>
      </c>
      <c r="K7" s="1">
        <v>40938</v>
      </c>
      <c r="L7">
        <v>2.1100883233619694E-2</v>
      </c>
      <c r="M7" s="32" t="s">
        <v>15</v>
      </c>
      <c r="N7" s="31">
        <f>AVERAGEIF(J:J, J1047, L:L)</f>
        <v>2.4848860964414637E-3</v>
      </c>
      <c r="O7" s="32" cm="1">
        <f t="array" ref="O7">_xlfn.STDEV.S(IF($J$3:$J$10000=J1047, $L$3:$L$10000))</f>
        <v>2.0110786744411639E-2</v>
      </c>
      <c r="R7" s="18" t="s">
        <v>15</v>
      </c>
      <c r="S7" s="73">
        <f>_xlfn.COVARIANCE.S(V12:V272, R12:R272)</f>
        <v>9.5574643360759351E-5</v>
      </c>
      <c r="T7" s="73">
        <f>_xlfn.COVARIANCE.S(V12:V272, S12:S272)</f>
        <v>1.5061255859044086E-4</v>
      </c>
      <c r="U7" s="73">
        <f>_xlfn.COVARIANCE.S(V12:V272, T12:T272)</f>
        <v>1.0589191652665319E-4</v>
      </c>
      <c r="V7" s="73">
        <f>_xlfn.COVARIANCE.S(V12:V272, U12:U272)</f>
        <v>1.2433260834624439E-4</v>
      </c>
      <c r="W7" s="73" cm="1">
        <f t="array" ref="W7">_xlfn.VAR.S(IF($J$3:$J$10000=J1047, $L$3:$L$10000))</f>
        <v>4.0444374347920283E-4</v>
      </c>
      <c r="X7" s="74">
        <f>_xlfn.COVARIANCE.S(V12:V272, W12:W272)</f>
        <v>1.1483820499234614E-4</v>
      </c>
      <c r="Y7" s="80"/>
    </row>
    <row r="8" spans="1:33" ht="17" thickBot="1" x14ac:dyDescent="0.25">
      <c r="A8" s="1">
        <v>40918</v>
      </c>
      <c r="B8">
        <v>2</v>
      </c>
      <c r="C8" t="s">
        <v>11</v>
      </c>
      <c r="D8">
        <v>-5.9030000000000003E-3</v>
      </c>
      <c r="E8">
        <f t="shared" si="0"/>
        <v>0.99409700000000001</v>
      </c>
      <c r="F8" s="1">
        <f t="shared" si="1"/>
        <v>40917</v>
      </c>
      <c r="G8" cm="1">
        <f t="array" ref="G8">PRODUCT( _xlfn._xlws.FILTER($E:$E, ($C:$C=C8)*($F:$F=F8)) ) - 1</f>
        <v>-7.6101376742915283E-3</v>
      </c>
      <c r="J8" t="str">
        <v>CNR</v>
      </c>
      <c r="K8" s="1">
        <v>40945</v>
      </c>
      <c r="L8">
        <v>-6.8031862518768138E-3</v>
      </c>
      <c r="M8" s="33" t="s">
        <v>16</v>
      </c>
      <c r="N8" s="34">
        <f>AVERAGEIF(J:J, J1308, L:L)</f>
        <v>3.8853578969867105E-3</v>
      </c>
      <c r="O8" s="33" cm="1">
        <f t="array" ref="O8">_xlfn.STDEV.S(IF($J$2:$J$10000=J1308, $L$2:$L$10000))</f>
        <v>2.0686336617584421E-2</v>
      </c>
      <c r="R8" s="19" t="s">
        <v>16</v>
      </c>
      <c r="S8" s="76">
        <f>_xlfn.COVARIANCE.S(W12:W272, R12:R272)</f>
        <v>1.8752967415240401E-4</v>
      </c>
      <c r="T8" s="76">
        <f>_xlfn.COVARIANCE.S(W12:W272, S12:S272)</f>
        <v>1.1444725193093725E-4</v>
      </c>
      <c r="U8" s="76">
        <f>_xlfn.COVARIANCE.S(W12:W272, T12:T272)</f>
        <v>1.6358006633740492E-4</v>
      </c>
      <c r="V8" s="76">
        <f>_xlfn.COVARIANCE.S(W12:W272, U12:U272)</f>
        <v>2.2827060556625991E-4</v>
      </c>
      <c r="W8" s="76">
        <f>_xlfn.COVARIANCE.S(W12:W272, V12:V272)</f>
        <v>1.1483820499234614E-4</v>
      </c>
      <c r="X8" s="77" cm="1">
        <f t="array" ref="X8">_xlfn.VAR.S(IF($J$2:$J$10000=J1308, $L$2:$L$10000))</f>
        <v>4.2792452265601405E-4</v>
      </c>
      <c r="Y8" s="80" t="s">
        <v>60</v>
      </c>
      <c r="Z8" s="7"/>
      <c r="AA8" s="6" t="s">
        <v>11</v>
      </c>
      <c r="AB8" s="6" t="s">
        <v>12</v>
      </c>
      <c r="AC8" s="6" t="s">
        <v>13</v>
      </c>
      <c r="AD8" s="6" t="s">
        <v>14</v>
      </c>
      <c r="AE8" s="6" t="s">
        <v>15</v>
      </c>
      <c r="AF8" s="6" t="s">
        <v>16</v>
      </c>
    </row>
    <row r="9" spans="1:33" ht="17" thickTop="1" x14ac:dyDescent="0.2">
      <c r="A9" s="1">
        <v>40919</v>
      </c>
      <c r="B9">
        <v>2</v>
      </c>
      <c r="C9" t="s">
        <v>11</v>
      </c>
      <c r="D9">
        <v>1.1875999999999999E-2</v>
      </c>
      <c r="E9">
        <f t="shared" si="0"/>
        <v>1.011876</v>
      </c>
      <c r="F9" s="1">
        <f t="shared" si="1"/>
        <v>40917</v>
      </c>
      <c r="G9" cm="1">
        <f t="array" ref="G9">PRODUCT( _xlfn._xlws.FILTER($E:$E, ($C:$C=C9)*($F:$F=F9)) ) - 1</f>
        <v>-7.6101376742915283E-3</v>
      </c>
      <c r="J9" t="str">
        <v>CNR</v>
      </c>
      <c r="K9" s="1">
        <v>40952</v>
      </c>
      <c r="L9">
        <v>-1.1630243035117505E-2</v>
      </c>
      <c r="M9" s="46" t="s">
        <v>30</v>
      </c>
      <c r="N9" s="47">
        <f>AA22</f>
        <v>3.8556556835505659E-3</v>
      </c>
      <c r="O9" s="47">
        <f>AC23</f>
        <v>1.6356617280567781E-2</v>
      </c>
      <c r="Z9" s="5" t="s">
        <v>9</v>
      </c>
      <c r="AA9" s="12">
        <f>N3</f>
        <v>5.6673134193100314E-3</v>
      </c>
      <c r="AB9" s="11">
        <f>N4</f>
        <v>1.7804574529337561E-3</v>
      </c>
      <c r="AC9" s="11">
        <f>N5</f>
        <v>3.1106397301594287E-3</v>
      </c>
      <c r="AD9" s="11">
        <f>N6</f>
        <v>2.5854037945516766E-3</v>
      </c>
      <c r="AE9" s="11">
        <f>N7</f>
        <v>2.4848860964414637E-3</v>
      </c>
      <c r="AF9" s="11">
        <f>N8</f>
        <v>3.8853578969867105E-3</v>
      </c>
    </row>
    <row r="10" spans="1:33" ht="17" thickBot="1" x14ac:dyDescent="0.25">
      <c r="A10" s="1">
        <v>40920</v>
      </c>
      <c r="B10">
        <v>2</v>
      </c>
      <c r="C10" t="s">
        <v>11</v>
      </c>
      <c r="D10">
        <v>-9.8639999999999995E-3</v>
      </c>
      <c r="E10">
        <f t="shared" si="0"/>
        <v>0.99013600000000002</v>
      </c>
      <c r="F10" s="1">
        <f t="shared" si="1"/>
        <v>40917</v>
      </c>
      <c r="G10" cm="1">
        <f t="array" ref="G10">PRODUCT( _xlfn._xlws.FILTER($E:$E, ($C:$C=C10)*($F:$F=F10)) ) - 1</f>
        <v>-7.6101376742915283E-3</v>
      </c>
      <c r="J10" t="str">
        <v>CNR</v>
      </c>
      <c r="K10" s="1">
        <v>40959</v>
      </c>
      <c r="L10">
        <v>5.0992741687114762E-3</v>
      </c>
      <c r="M10" s="48" t="s">
        <v>20</v>
      </c>
      <c r="N10" s="49">
        <f>AC3</f>
        <v>2.0524759729556585E-4</v>
      </c>
      <c r="O10" s="49">
        <v>0</v>
      </c>
      <c r="Z10" s="3" t="s">
        <v>21</v>
      </c>
      <c r="AA10" s="11">
        <f>O3</f>
        <v>3.9902786065159068E-2</v>
      </c>
      <c r="AB10" s="11">
        <f>O4</f>
        <v>2.1353393831415109E-2</v>
      </c>
      <c r="AC10" s="11">
        <f>O5</f>
        <v>1.9967620712815697E-2</v>
      </c>
      <c r="AD10" s="11">
        <f>O6</f>
        <v>3.3569687455517069E-2</v>
      </c>
      <c r="AE10" s="11">
        <f>O7</f>
        <v>2.0110786744411639E-2</v>
      </c>
      <c r="AF10" s="11">
        <f>O8</f>
        <v>2.0686336617584421E-2</v>
      </c>
    </row>
    <row r="11" spans="1:33" ht="17" thickTop="1" x14ac:dyDescent="0.2">
      <c r="A11" s="1">
        <v>40921</v>
      </c>
      <c r="B11">
        <v>2</v>
      </c>
      <c r="C11" t="s">
        <v>11</v>
      </c>
      <c r="D11">
        <v>-1.3240999999999999E-2</v>
      </c>
      <c r="E11">
        <f t="shared" si="0"/>
        <v>0.98675900000000005</v>
      </c>
      <c r="F11" s="1">
        <f t="shared" si="1"/>
        <v>40917</v>
      </c>
      <c r="G11" cm="1">
        <f t="array" ref="G11">PRODUCT( _xlfn._xlws.FILTER($E:$E, ($C:$C=C11)*($F:$F=F11)) ) - 1</f>
        <v>-7.6101376742915283E-3</v>
      </c>
      <c r="J11" t="str">
        <v>CNR</v>
      </c>
      <c r="K11" s="1">
        <v>40966</v>
      </c>
      <c r="L11">
        <v>1.302166005772154E-4</v>
      </c>
      <c r="M11" s="45" t="s">
        <v>37</v>
      </c>
      <c r="N11" s="45">
        <f>AA39</f>
        <v>2.9468854131866379E-3</v>
      </c>
      <c r="O11" s="45">
        <f>AA41</f>
        <v>1.4175156331557718E-2</v>
      </c>
      <c r="R11" s="14" t="s">
        <v>11</v>
      </c>
      <c r="S11" s="14" t="s">
        <v>12</v>
      </c>
      <c r="T11" s="14" t="s">
        <v>13</v>
      </c>
      <c r="U11" s="14" t="s">
        <v>14</v>
      </c>
      <c r="V11" s="14" t="s">
        <v>15</v>
      </c>
      <c r="W11" s="14" t="s">
        <v>16</v>
      </c>
      <c r="Z11" s="25" t="s">
        <v>22</v>
      </c>
      <c r="AA11" s="28">
        <f>(AA9-AC3)/AA10</f>
        <v>0.13688432213969245</v>
      </c>
      <c r="AB11" s="11">
        <f>(AB9-AC3)/AB10</f>
        <v>7.3768594728990652E-2</v>
      </c>
      <c r="AC11" s="11">
        <f>(AC9-AC3)/AC10</f>
        <v>0.14550517433452212</v>
      </c>
      <c r="AD11" s="11">
        <f>(AD9-AC3)/AD10</f>
        <v>7.0901946895098059E-2</v>
      </c>
      <c r="AE11" s="11">
        <f>(AE9-AC3)/AE10</f>
        <v>0.11335401882173313</v>
      </c>
      <c r="AF11" s="11">
        <f>(AF9-AC3)/AF10</f>
        <v>0.17790053249751658</v>
      </c>
    </row>
    <row r="12" spans="1:33" x14ac:dyDescent="0.2">
      <c r="A12" s="1">
        <v>40924</v>
      </c>
      <c r="B12">
        <v>2</v>
      </c>
      <c r="C12" t="s">
        <v>11</v>
      </c>
      <c r="D12">
        <v>-2.5176E-2</v>
      </c>
      <c r="E12">
        <f t="shared" si="0"/>
        <v>0.97482400000000002</v>
      </c>
      <c r="F12" s="1">
        <f t="shared" si="1"/>
        <v>40924</v>
      </c>
      <c r="G12" cm="1">
        <f t="array" ref="G12">PRODUCT( _xlfn._xlws.FILTER($E:$E, ($C:$C=C12)*($F:$F=F12)) ) - 1</f>
        <v>1.8274710951705408E-2</v>
      </c>
      <c r="J12" t="str">
        <v>CNR</v>
      </c>
      <c r="K12" s="1">
        <v>40973</v>
      </c>
      <c r="L12">
        <v>-3.8858060387992888E-3</v>
      </c>
      <c r="M12" s="54" t="s">
        <v>40</v>
      </c>
      <c r="N12" s="54">
        <f>AA48</f>
        <v>3.7239760704704614E-3</v>
      </c>
      <c r="O12" s="54">
        <f>AA50</f>
        <v>1.592586306941348E-2</v>
      </c>
      <c r="R12" cm="1">
        <f t="array" ref="R12:R272">_xlfn._xlws.FILTER($L$2:$L$1000, $J$2:$J$1000="CNR")</f>
        <v>-1.6220320776067942E-2</v>
      </c>
      <c r="S12" cm="1">
        <f t="array" ref="S12:S272">_xlfn._xlws.FILTER($L$2:$L$1000, $J$2:$J$1000="FTS")</f>
        <v>-1.1986274411430409E-2</v>
      </c>
      <c r="T12" cm="1">
        <f t="array" ref="T12:T272">_xlfn._xlws.FILTER($L$2:$L$10000, $J$2:$J$10000="RY")</f>
        <v>1.3472128215632484E-3</v>
      </c>
      <c r="U12" cm="1">
        <f t="array" ref="U12:U272">_xlfn._xlws.FILTER($L$2:$L$10000, $J$2:$J$10000="SU")</f>
        <v>7.3860367073613764E-2</v>
      </c>
      <c r="V12" cm="1">
        <f t="array" ref="V12:V272">_xlfn._xlws.FILTER($L$2:$L$10000, $J$2:$J$10000="T")</f>
        <v>-8.3282730998285315E-3</v>
      </c>
      <c r="W12" cm="1">
        <f t="array" ref="W12:W272">_xlfn._xlws.FILTER($L$2:$L$10000, $J$2:$J$10000="TRI")</f>
        <v>1.7259274422254611E-2</v>
      </c>
      <c r="Z12" s="29" t="s">
        <v>31</v>
      </c>
      <c r="AA12" s="30">
        <v>0.17301664627554356</v>
      </c>
      <c r="AB12" s="27">
        <v>-4.5621286345992877E-2</v>
      </c>
      <c r="AC12" s="12">
        <v>0.30105482812529849</v>
      </c>
      <c r="AD12" s="12">
        <v>-7.0838562262607332E-2</v>
      </c>
      <c r="AE12" s="12">
        <v>0.20913857926933452</v>
      </c>
      <c r="AF12" s="12">
        <v>0.43324979493842358</v>
      </c>
      <c r="AG12" s="23">
        <f>SUM(AA12:AF12)</f>
        <v>1</v>
      </c>
    </row>
    <row r="13" spans="1:33" x14ac:dyDescent="0.2">
      <c r="A13" s="1">
        <v>40925</v>
      </c>
      <c r="B13">
        <v>2</v>
      </c>
      <c r="C13" t="s">
        <v>11</v>
      </c>
      <c r="D13">
        <v>2.1499999999999998E-2</v>
      </c>
      <c r="E13">
        <f t="shared" si="0"/>
        <v>1.0215000000000001</v>
      </c>
      <c r="F13" s="1">
        <f t="shared" si="1"/>
        <v>40924</v>
      </c>
      <c r="G13" cm="1">
        <f t="array" ref="G13">PRODUCT( _xlfn._xlws.FILTER($E:$E, ($C:$C=C13)*($F:$F=F13)) ) - 1</f>
        <v>1.8274710951705408E-2</v>
      </c>
      <c r="J13" t="str">
        <v>CNR</v>
      </c>
      <c r="K13" s="1">
        <v>40980</v>
      </c>
      <c r="L13">
        <v>3.005193798730188E-2</v>
      </c>
      <c r="R13">
        <v>-7.6101376742915283E-3</v>
      </c>
      <c r="S13">
        <v>-5.4596118617219469E-3</v>
      </c>
      <c r="T13">
        <v>7.6781316182583659E-4</v>
      </c>
      <c r="U13">
        <v>3.4231234884093409E-2</v>
      </c>
      <c r="V13">
        <v>-2.3792992158116588E-2</v>
      </c>
      <c r="W13">
        <v>3.1046465263358414E-2</v>
      </c>
      <c r="AC13" s="24"/>
    </row>
    <row r="14" spans="1:33" x14ac:dyDescent="0.2">
      <c r="A14" s="1">
        <v>40926</v>
      </c>
      <c r="B14">
        <v>2</v>
      </c>
      <c r="C14" t="s">
        <v>11</v>
      </c>
      <c r="D14">
        <v>9.4970000000000002E-3</v>
      </c>
      <c r="E14">
        <f t="shared" si="0"/>
        <v>1.0094970000000001</v>
      </c>
      <c r="F14" s="1">
        <f t="shared" si="1"/>
        <v>40924</v>
      </c>
      <c r="G14" cm="1">
        <f t="array" ref="G14">PRODUCT( _xlfn._xlws.FILTER($E:$E, ($C:$C=C14)*($F:$F=F14)) ) - 1</f>
        <v>1.8274710951705408E-2</v>
      </c>
      <c r="J14" t="str">
        <v>CNR</v>
      </c>
      <c r="K14" s="1">
        <v>40987</v>
      </c>
      <c r="L14">
        <v>-5.4778763710229272E-3</v>
      </c>
      <c r="R14">
        <v>1.8274710951705408E-2</v>
      </c>
      <c r="S14">
        <v>1.4943313492695731E-2</v>
      </c>
      <c r="T14">
        <v>3.3787454257824701E-2</v>
      </c>
      <c r="U14">
        <v>3.7081235251484435E-2</v>
      </c>
      <c r="V14">
        <v>3.4047737086744245E-3</v>
      </c>
      <c r="W14">
        <v>2.346039486238638E-2</v>
      </c>
    </row>
    <row r="15" spans="1:33" x14ac:dyDescent="0.2">
      <c r="A15" s="1">
        <v>40927</v>
      </c>
      <c r="B15">
        <v>2</v>
      </c>
      <c r="C15" t="s">
        <v>11</v>
      </c>
      <c r="D15">
        <v>1.0806E-2</v>
      </c>
      <c r="E15">
        <f t="shared" si="0"/>
        <v>1.0108060000000001</v>
      </c>
      <c r="F15" s="1">
        <f t="shared" si="1"/>
        <v>40924</v>
      </c>
      <c r="G15" cm="1">
        <f t="array" ref="G15">PRODUCT( _xlfn._xlws.FILTER($E:$E, ($C:$C=C15)*($F:$F=F15)) ) - 1</f>
        <v>1.8274710951705408E-2</v>
      </c>
      <c r="J15" t="str">
        <v>CNR</v>
      </c>
      <c r="K15" s="1">
        <v>40994</v>
      </c>
      <c r="L15">
        <v>1.5500614203529883E-2</v>
      </c>
      <c r="R15">
        <v>-4.2419599196334312E-2</v>
      </c>
      <c r="S15">
        <v>1.8021941944219577E-3</v>
      </c>
      <c r="T15">
        <v>-1.8471043014154143E-2</v>
      </c>
      <c r="U15">
        <v>2.1276050014199521E-2</v>
      </c>
      <c r="V15">
        <v>2.4998357738414967E-3</v>
      </c>
      <c r="W15">
        <v>-4.8921983845872985E-2</v>
      </c>
    </row>
    <row r="16" spans="1:33" ht="17" thickBot="1" x14ac:dyDescent="0.25">
      <c r="A16" s="1">
        <v>40928</v>
      </c>
      <c r="B16">
        <v>2</v>
      </c>
      <c r="C16" t="s">
        <v>11</v>
      </c>
      <c r="D16">
        <v>2.1380000000000001E-3</v>
      </c>
      <c r="E16">
        <f t="shared" si="0"/>
        <v>1.002138</v>
      </c>
      <c r="F16" s="1">
        <f t="shared" si="1"/>
        <v>40924</v>
      </c>
      <c r="G16" cm="1">
        <f t="array" ref="G16">PRODUCT( _xlfn._xlws.FILTER($E:$E, ($C:$C=C16)*($F:$F=F16)) ) - 1</f>
        <v>1.8274710951705408E-2</v>
      </c>
      <c r="J16" t="str">
        <v>CNR</v>
      </c>
      <c r="K16" s="1">
        <v>41001</v>
      </c>
      <c r="L16">
        <v>-1.488506850860527E-2</v>
      </c>
      <c r="R16">
        <v>2.1100883233619694E-2</v>
      </c>
      <c r="S16">
        <v>1.8295615278672628E-2</v>
      </c>
      <c r="T16">
        <v>1.9109496337073262E-2</v>
      </c>
      <c r="U16">
        <v>9.8370883367728812E-3</v>
      </c>
      <c r="V16">
        <v>1.1580460026291206E-2</v>
      </c>
      <c r="W16">
        <v>-2.1942279398883824E-2</v>
      </c>
      <c r="Z16" t="s">
        <v>36</v>
      </c>
    </row>
    <row r="17" spans="1:36" ht="17" thickBot="1" x14ac:dyDescent="0.25">
      <c r="A17" s="1">
        <v>40931</v>
      </c>
      <c r="B17">
        <v>2</v>
      </c>
      <c r="C17" t="s">
        <v>11</v>
      </c>
      <c r="D17">
        <v>-1.0039999999999999E-3</v>
      </c>
      <c r="E17">
        <f t="shared" si="0"/>
        <v>0.998996</v>
      </c>
      <c r="F17" s="1">
        <f t="shared" si="1"/>
        <v>40931</v>
      </c>
      <c r="G17" cm="1">
        <f t="array" ref="G17">PRODUCT( _xlfn._xlws.FILTER($E:$E, ($C:$C=C17)*($F:$F=F17)) ) - 1</f>
        <v>-4.2419599196334312E-2</v>
      </c>
      <c r="J17" t="str">
        <v>CNR</v>
      </c>
      <c r="K17" s="1">
        <v>41008</v>
      </c>
      <c r="L17">
        <v>5.1229030669805997E-3</v>
      </c>
      <c r="R17">
        <v>-6.8031862518768138E-3</v>
      </c>
      <c r="S17">
        <v>-1.0014912342683258E-2</v>
      </c>
      <c r="T17">
        <v>5.061752473423331E-3</v>
      </c>
      <c r="U17">
        <v>-2.9513355972874411E-2</v>
      </c>
      <c r="V17">
        <v>-8.4528948189347419E-3</v>
      </c>
      <c r="W17">
        <v>-1.9492541792621831E-2</v>
      </c>
      <c r="Y17" s="80" t="s">
        <v>62</v>
      </c>
      <c r="Z17" s="71" t="s">
        <v>23</v>
      </c>
      <c r="AA17" s="72"/>
      <c r="AC17" t="s">
        <v>24</v>
      </c>
      <c r="AD17" t="s">
        <v>34</v>
      </c>
    </row>
    <row r="18" spans="1:36" ht="17" thickTop="1" x14ac:dyDescent="0.2">
      <c r="A18" s="1">
        <v>40932</v>
      </c>
      <c r="B18">
        <v>2</v>
      </c>
      <c r="C18" t="s">
        <v>11</v>
      </c>
      <c r="D18">
        <v>-4.6984999999999999E-2</v>
      </c>
      <c r="E18">
        <f t="shared" si="0"/>
        <v>0.95301499999999995</v>
      </c>
      <c r="F18" s="1">
        <f t="shared" si="1"/>
        <v>40931</v>
      </c>
      <c r="G18" cm="1">
        <f t="array" ref="G18">PRODUCT( _xlfn._xlws.FILTER($E:$E, ($C:$C=C18)*($F:$F=F18)) ) - 1</f>
        <v>-4.2419599196334312E-2</v>
      </c>
      <c r="J18" t="str">
        <v>CNR</v>
      </c>
      <c r="K18" s="1">
        <v>41015</v>
      </c>
      <c r="L18">
        <v>2.0894750845260379E-2</v>
      </c>
      <c r="R18">
        <v>-1.1630243035117505E-2</v>
      </c>
      <c r="S18">
        <v>-1.3791177889500239E-2</v>
      </c>
      <c r="T18">
        <v>-8.5831587056307557E-3</v>
      </c>
      <c r="U18">
        <v>7.970577972352233E-3</v>
      </c>
      <c r="V18">
        <v>-4.9722198426094266E-3</v>
      </c>
      <c r="W18">
        <v>2.432949209682822E-2</v>
      </c>
      <c r="Z18" s="69" t="s">
        <v>9</v>
      </c>
      <c r="AA18" s="70" cm="1">
        <f t="array" ref="AA18">MMULT(AD18:AI18, TRANSPOSE(AA9:AF9))</f>
        <v>2.9468854131866379E-3</v>
      </c>
      <c r="AC18" cm="1">
        <f t="array" ref="AC18">MMULT(MMULT(AD18:AI18, S3:X8), TRANSPOSE(AD18:AI18))</f>
        <v>2.0093505702410087E-4</v>
      </c>
      <c r="AD18" s="23">
        <v>3.8766114704033093E-2</v>
      </c>
      <c r="AE18" s="23">
        <v>0.2025572139380121</v>
      </c>
      <c r="AF18" s="23">
        <v>0.25571479975676858</v>
      </c>
      <c r="AG18" s="23">
        <v>-1.0283814139034701E-2</v>
      </c>
      <c r="AH18" s="23">
        <v>0.28308373773601858</v>
      </c>
      <c r="AI18" s="23">
        <v>0.2301619480042022</v>
      </c>
      <c r="AJ18" s="23">
        <f>SUM(AD18:AI18)</f>
        <v>0.99999999999999989</v>
      </c>
    </row>
    <row r="19" spans="1:36" ht="17" thickBot="1" x14ac:dyDescent="0.25">
      <c r="A19" s="1">
        <v>40933</v>
      </c>
      <c r="B19">
        <v>2</v>
      </c>
      <c r="C19" t="s">
        <v>11</v>
      </c>
      <c r="D19">
        <v>1.1599999999999999E-2</v>
      </c>
      <c r="E19">
        <f t="shared" si="0"/>
        <v>1.0116000000000001</v>
      </c>
      <c r="F19" s="1">
        <f t="shared" si="1"/>
        <v>40931</v>
      </c>
      <c r="G19" cm="1">
        <f t="array" ref="G19">PRODUCT( _xlfn._xlws.FILTER($E:$E, ($C:$C=C19)*($F:$F=F19)) ) - 1</f>
        <v>-4.2419599196334312E-2</v>
      </c>
      <c r="J19" t="str">
        <v>CNR</v>
      </c>
      <c r="K19" s="1">
        <v>41022</v>
      </c>
      <c r="L19">
        <v>5.3162991081122435E-2</v>
      </c>
      <c r="R19">
        <v>5.0992741687114762E-3</v>
      </c>
      <c r="S19">
        <v>-2.4656822385980437E-2</v>
      </c>
      <c r="T19">
        <v>2.8604017871689535E-2</v>
      </c>
      <c r="U19">
        <v>8.2894740214888962E-2</v>
      </c>
      <c r="V19">
        <v>2.1421164802535753E-2</v>
      </c>
      <c r="W19">
        <v>5.7060089900017763E-2</v>
      </c>
      <c r="Z19" s="67" t="s">
        <v>21</v>
      </c>
      <c r="AA19" s="68">
        <f>SQRT(AC18)</f>
        <v>1.4175156331557718E-2</v>
      </c>
      <c r="AB19" t="s">
        <v>56</v>
      </c>
      <c r="AC19">
        <f>(AA18-AC3)/AA19</f>
        <v>0.19341146945853763</v>
      </c>
    </row>
    <row r="20" spans="1:36" x14ac:dyDescent="0.2">
      <c r="A20" s="1">
        <v>40934</v>
      </c>
      <c r="B20">
        <v>2</v>
      </c>
      <c r="C20" t="s">
        <v>11</v>
      </c>
      <c r="D20">
        <v>-2.215E-3</v>
      </c>
      <c r="E20">
        <f t="shared" si="0"/>
        <v>0.99778500000000003</v>
      </c>
      <c r="F20" s="1">
        <f t="shared" si="1"/>
        <v>40931</v>
      </c>
      <c r="G20" cm="1">
        <f t="array" ref="G20">PRODUCT( _xlfn._xlws.FILTER($E:$E, ($C:$C=C20)*($F:$F=F20)) ) - 1</f>
        <v>-4.2419599196334312E-2</v>
      </c>
      <c r="J20" t="str">
        <v>CNR</v>
      </c>
      <c r="K20" s="1">
        <v>41029</v>
      </c>
      <c r="L20">
        <v>-1.1730725180967294E-2</v>
      </c>
      <c r="R20">
        <v>1.302166005772154E-4</v>
      </c>
      <c r="S20">
        <v>2.3409732097621649E-2</v>
      </c>
      <c r="T20">
        <v>3.1833176356969917E-2</v>
      </c>
      <c r="U20">
        <v>-3.8172235335052318E-2</v>
      </c>
      <c r="V20">
        <v>1.3972342593981946E-3</v>
      </c>
      <c r="W20">
        <v>6.6587699210878259E-3</v>
      </c>
    </row>
    <row r="21" spans="1:36" x14ac:dyDescent="0.2">
      <c r="A21" s="1">
        <v>40935</v>
      </c>
      <c r="B21">
        <v>2</v>
      </c>
      <c r="C21" t="s">
        <v>11</v>
      </c>
      <c r="D21">
        <v>-3.5260000000000001E-3</v>
      </c>
      <c r="E21">
        <f t="shared" si="0"/>
        <v>0.99647399999999997</v>
      </c>
      <c r="F21" s="1">
        <f t="shared" si="1"/>
        <v>40931</v>
      </c>
      <c r="G21" cm="1">
        <f t="array" ref="G21">PRODUCT( _xlfn._xlws.FILTER($E:$E, ($C:$C=C21)*($F:$F=F21)) ) - 1</f>
        <v>-4.2419599196334312E-2</v>
      </c>
      <c r="J21" t="str">
        <v>CNR</v>
      </c>
      <c r="K21" s="1">
        <v>41036</v>
      </c>
      <c r="L21">
        <v>-2.853687512207348E-2</v>
      </c>
      <c r="R21">
        <v>-3.8858060387992888E-3</v>
      </c>
      <c r="S21">
        <v>-1.0674714551777931E-2</v>
      </c>
      <c r="T21">
        <v>8.1562183507239983E-3</v>
      </c>
      <c r="U21">
        <v>-3.4132415797823334E-2</v>
      </c>
      <c r="V21">
        <v>6.5080262157291013E-3</v>
      </c>
      <c r="W21">
        <v>-8.7039969788693661E-3</v>
      </c>
      <c r="Y21" s="81" t="s">
        <v>60</v>
      </c>
      <c r="Z21" s="26" t="s">
        <v>25</v>
      </c>
      <c r="AA21" s="11"/>
    </row>
    <row r="22" spans="1:36" x14ac:dyDescent="0.2">
      <c r="A22" s="1">
        <v>40938</v>
      </c>
      <c r="B22">
        <v>2</v>
      </c>
      <c r="C22" t="s">
        <v>11</v>
      </c>
      <c r="D22">
        <v>-8.9119999999999998E-3</v>
      </c>
      <c r="E22">
        <f t="shared" si="0"/>
        <v>0.99108799999999997</v>
      </c>
      <c r="F22" s="1">
        <f t="shared" si="1"/>
        <v>40938</v>
      </c>
      <c r="G22" cm="1">
        <f t="array" ref="G22">PRODUCT( _xlfn._xlws.FILTER($E:$E, ($C:$C=C22)*($F:$F=F22)) ) - 1</f>
        <v>2.1100883233619694E-2</v>
      </c>
      <c r="J22" t="str">
        <v>CNR</v>
      </c>
      <c r="K22" s="1">
        <v>41043</v>
      </c>
      <c r="L22">
        <v>-4.5660446336334148E-3</v>
      </c>
      <c r="R22">
        <v>3.005193798730188E-2</v>
      </c>
      <c r="S22">
        <v>6.782130603751213E-3</v>
      </c>
      <c r="T22">
        <v>2.0399978855453194E-2</v>
      </c>
      <c r="U22">
        <v>-3.8552375608615352E-2</v>
      </c>
      <c r="V22">
        <v>1.9267749465836648E-3</v>
      </c>
      <c r="W22">
        <v>2.4938184212271119E-2</v>
      </c>
      <c r="Z22" s="2" t="s">
        <v>9</v>
      </c>
      <c r="AA22" s="11" cm="1">
        <f t="array" ref="AA22">MMULT(AA12:AF12, TRANSPOSE(AA9:AF9))</f>
        <v>3.8556556835505659E-3</v>
      </c>
      <c r="AF22" s="24"/>
      <c r="AG22" s="24"/>
      <c r="AH22" s="24"/>
    </row>
    <row r="23" spans="1:36" x14ac:dyDescent="0.2">
      <c r="A23" s="1">
        <v>40939</v>
      </c>
      <c r="B23">
        <v>2</v>
      </c>
      <c r="C23" t="s">
        <v>11</v>
      </c>
      <c r="D23">
        <v>1.3200000000000001E-4</v>
      </c>
      <c r="E23">
        <f t="shared" si="0"/>
        <v>1.000132</v>
      </c>
      <c r="F23" s="1">
        <f t="shared" si="1"/>
        <v>40938</v>
      </c>
      <c r="G23" cm="1">
        <f t="array" ref="G23">PRODUCT( _xlfn._xlws.FILTER($E:$E, ($C:$C=C23)*($F:$F=F23)) ) - 1</f>
        <v>2.1100883233619694E-2</v>
      </c>
      <c r="J23" t="str">
        <v>CNR</v>
      </c>
      <c r="K23" s="1">
        <v>41050</v>
      </c>
      <c r="L23">
        <v>3.6082616460323624E-2</v>
      </c>
      <c r="R23">
        <v>-5.4778763710229272E-3</v>
      </c>
      <c r="S23">
        <v>-6.7365956477845046E-3</v>
      </c>
      <c r="T23">
        <v>-3.4560467157851438E-4</v>
      </c>
      <c r="U23">
        <v>-3.6446071228440902E-3</v>
      </c>
      <c r="V23">
        <v>4.8956974536198405E-3</v>
      </c>
      <c r="W23">
        <v>1.3363539097630994E-2</v>
      </c>
      <c r="Z23" s="2" t="s">
        <v>24</v>
      </c>
      <c r="AA23" s="11" cm="1">
        <f t="array" ref="AA23">MMULT(MMULT(AA12:AF12, S3:X8), TRANSPOSE(AA12:AF12))</f>
        <v>2.6753892886296853E-4</v>
      </c>
      <c r="AB23" t="s">
        <v>21</v>
      </c>
      <c r="AC23">
        <f>SQRT(AA23)</f>
        <v>1.6356617280567781E-2</v>
      </c>
    </row>
    <row r="24" spans="1:36" x14ac:dyDescent="0.2">
      <c r="A24" s="1">
        <v>40940</v>
      </c>
      <c r="B24">
        <v>2</v>
      </c>
      <c r="C24" t="s">
        <v>11</v>
      </c>
      <c r="D24">
        <v>1.4411999999999999E-2</v>
      </c>
      <c r="E24">
        <f t="shared" si="0"/>
        <v>1.0144120000000001</v>
      </c>
      <c r="F24" s="1">
        <f t="shared" si="1"/>
        <v>40938</v>
      </c>
      <c r="G24" cm="1">
        <f t="array" ref="G24">PRODUCT( _xlfn._xlws.FILTER($E:$E, ($C:$C=C24)*($F:$F=F24)) ) - 1</f>
        <v>2.1100883233619694E-2</v>
      </c>
      <c r="J24" t="str">
        <v>CNR</v>
      </c>
      <c r="K24" s="1">
        <v>41057</v>
      </c>
      <c r="L24">
        <v>-8.1382507034813978E-3</v>
      </c>
      <c r="R24">
        <v>1.5500614203529883E-2</v>
      </c>
      <c r="S24">
        <v>-5.240416526911762E-3</v>
      </c>
      <c r="T24">
        <v>-3.2755531541673877E-3</v>
      </c>
      <c r="U24">
        <v>-6.4013767569738311E-3</v>
      </c>
      <c r="V24">
        <v>6.9589393925517662E-3</v>
      </c>
      <c r="W24">
        <v>-2.4685853300122185E-2</v>
      </c>
      <c r="Z24" s="2" t="s">
        <v>26</v>
      </c>
      <c r="AA24" s="11">
        <f>SUM(AA12:AF12)</f>
        <v>1</v>
      </c>
    </row>
    <row r="25" spans="1:36" x14ac:dyDescent="0.2">
      <c r="A25" s="1">
        <v>40941</v>
      </c>
      <c r="B25">
        <v>2</v>
      </c>
      <c r="C25" t="s">
        <v>11</v>
      </c>
      <c r="D25">
        <v>6.5170000000000002E-3</v>
      </c>
      <c r="E25">
        <f t="shared" si="0"/>
        <v>1.0065170000000001</v>
      </c>
      <c r="F25" s="1">
        <f t="shared" si="1"/>
        <v>40938</v>
      </c>
      <c r="G25" cm="1">
        <f t="array" ref="G25">PRODUCT( _xlfn._xlws.FILTER($E:$E, ($C:$C=C25)*($F:$F=F25)) ) - 1</f>
        <v>2.1100883233619694E-2</v>
      </c>
      <c r="J25" t="str">
        <v>CNR</v>
      </c>
      <c r="K25" s="1">
        <v>41064</v>
      </c>
      <c r="L25">
        <v>1.3961833421797021E-2</v>
      </c>
      <c r="R25">
        <v>-1.488506850860527E-2</v>
      </c>
      <c r="S25">
        <v>-4.9570636637450427E-3</v>
      </c>
      <c r="T25">
        <v>-1.4704367722933931E-2</v>
      </c>
      <c r="U25">
        <v>-6.5664909228089985E-2</v>
      </c>
      <c r="V25">
        <v>7.4296507219193675E-3</v>
      </c>
      <c r="W25">
        <v>-2.8432513644344404E-2</v>
      </c>
    </row>
    <row r="26" spans="1:36" x14ac:dyDescent="0.2">
      <c r="A26" s="1">
        <v>40942</v>
      </c>
      <c r="B26">
        <v>2</v>
      </c>
      <c r="C26" t="s">
        <v>11</v>
      </c>
      <c r="D26">
        <v>8.9359999999999995E-3</v>
      </c>
      <c r="E26">
        <f t="shared" si="0"/>
        <v>1.0089360000000001</v>
      </c>
      <c r="F26" s="1">
        <f t="shared" si="1"/>
        <v>40938</v>
      </c>
      <c r="G26" cm="1">
        <f t="array" ref="G26">PRODUCT( _xlfn._xlws.FILTER($E:$E, ($C:$C=C26)*($F:$F=F26)) ) - 1</f>
        <v>2.1100883233619694E-2</v>
      </c>
      <c r="J26" t="str">
        <v>CNR</v>
      </c>
      <c r="K26" s="1">
        <v>41071</v>
      </c>
      <c r="L26">
        <v>-7.1719185909401295E-3</v>
      </c>
      <c r="R26">
        <v>5.1229030669805997E-3</v>
      </c>
      <c r="S26">
        <v>1.1522894206036138E-2</v>
      </c>
      <c r="T26">
        <v>-1.8959916135414812E-2</v>
      </c>
      <c r="U26">
        <v>-2.1573849173783799E-7</v>
      </c>
      <c r="V26">
        <v>-6.3456511318316089E-3</v>
      </c>
      <c r="W26">
        <v>8.2081618431202319E-3</v>
      </c>
      <c r="Z26" s="4" t="s">
        <v>27</v>
      </c>
      <c r="AA26">
        <f>(AA22-$AC$3)/AC23</f>
        <v>0.22317622425462075</v>
      </c>
    </row>
    <row r="27" spans="1:36" x14ac:dyDescent="0.2">
      <c r="A27" s="1">
        <v>40945</v>
      </c>
      <c r="B27">
        <v>2</v>
      </c>
      <c r="C27" t="s">
        <v>11</v>
      </c>
      <c r="D27">
        <v>-9.8829999999999994E-3</v>
      </c>
      <c r="E27">
        <f t="shared" si="0"/>
        <v>0.99011700000000002</v>
      </c>
      <c r="F27" s="1">
        <f t="shared" si="1"/>
        <v>40945</v>
      </c>
      <c r="G27" cm="1">
        <f t="array" ref="G27">PRODUCT( _xlfn._xlws.FILTER($E:$E, ($C:$C=C27)*($F:$F=F27)) ) - 1</f>
        <v>-6.8031862518768138E-3</v>
      </c>
      <c r="J27" t="str">
        <v>CNR</v>
      </c>
      <c r="K27" s="1">
        <v>41078</v>
      </c>
      <c r="L27">
        <v>3.3590975734267836E-2</v>
      </c>
      <c r="R27">
        <v>2.0894750845260379E-2</v>
      </c>
      <c r="S27">
        <v>2.8017341331814327E-2</v>
      </c>
      <c r="T27">
        <v>2.2727823871930619E-2</v>
      </c>
      <c r="U27">
        <v>1.7733874667766436E-2</v>
      </c>
      <c r="V27">
        <v>2.5199493476133039E-2</v>
      </c>
      <c r="W27">
        <v>1.4160532104165346E-2</v>
      </c>
      <c r="Z27" s="36" t="s">
        <v>27</v>
      </c>
    </row>
    <row r="28" spans="1:36" x14ac:dyDescent="0.2">
      <c r="A28" s="1">
        <v>40946</v>
      </c>
      <c r="B28">
        <v>2</v>
      </c>
      <c r="C28" t="s">
        <v>11</v>
      </c>
      <c r="D28">
        <v>2.0739999999999999E-3</v>
      </c>
      <c r="E28">
        <f t="shared" si="0"/>
        <v>1.0020739999999999</v>
      </c>
      <c r="F28" s="1">
        <f t="shared" si="1"/>
        <v>40945</v>
      </c>
      <c r="G28" cm="1">
        <f t="array" ref="G28">PRODUCT( _xlfn._xlws.FILTER($E:$E, ($C:$C=C28)*($F:$F=F28)) ) - 1</f>
        <v>-6.8031862518768138E-3</v>
      </c>
      <c r="J28" t="str">
        <v>CNR</v>
      </c>
      <c r="K28" s="1">
        <v>41085</v>
      </c>
      <c r="L28">
        <v>2.9110092980717539E-3</v>
      </c>
      <c r="R28">
        <v>5.3162991081122435E-2</v>
      </c>
      <c r="S28">
        <v>2.4259324444478203E-2</v>
      </c>
      <c r="T28">
        <v>7.967191322239886E-3</v>
      </c>
      <c r="U28">
        <v>2.0975421649379822E-2</v>
      </c>
      <c r="V28">
        <v>-7.406795630949814E-3</v>
      </c>
      <c r="W28">
        <v>2.1639579454105773E-2</v>
      </c>
    </row>
    <row r="29" spans="1:36" x14ac:dyDescent="0.2">
      <c r="A29" s="1">
        <v>40947</v>
      </c>
      <c r="B29">
        <v>2</v>
      </c>
      <c r="C29" t="s">
        <v>11</v>
      </c>
      <c r="D29">
        <v>1.1771999999999999E-2</v>
      </c>
      <c r="E29">
        <f t="shared" si="0"/>
        <v>1.0117719999999999</v>
      </c>
      <c r="F29" s="1">
        <f t="shared" si="1"/>
        <v>40945</v>
      </c>
      <c r="G29" cm="1">
        <f t="array" ref="G29">PRODUCT( _xlfn._xlws.FILTER($E:$E, ($C:$C=C29)*($F:$F=F29)) ) - 1</f>
        <v>-6.8031862518768138E-3</v>
      </c>
      <c r="J29" t="str">
        <v>CNR</v>
      </c>
      <c r="K29" s="1">
        <v>41092</v>
      </c>
      <c r="L29">
        <v>-5.8011919597444894E-4</v>
      </c>
      <c r="R29">
        <v>-1.1730725180967294E-2</v>
      </c>
      <c r="S29">
        <v>-1.6374746740848933E-2</v>
      </c>
      <c r="T29">
        <v>-3.629684377485376E-2</v>
      </c>
      <c r="U29">
        <v>-4.5828117771952837E-2</v>
      </c>
      <c r="V29">
        <v>-1.7979137776906184E-2</v>
      </c>
      <c r="W29">
        <v>4.7833097814162784E-3</v>
      </c>
      <c r="Z29" t="s">
        <v>28</v>
      </c>
    </row>
    <row r="30" spans="1:36" x14ac:dyDescent="0.2">
      <c r="A30" s="1">
        <v>40948</v>
      </c>
      <c r="B30">
        <v>2</v>
      </c>
      <c r="C30" t="s">
        <v>11</v>
      </c>
      <c r="D30">
        <v>-1.2799999999999999E-4</v>
      </c>
      <c r="E30">
        <f t="shared" si="0"/>
        <v>0.99987199999999998</v>
      </c>
      <c r="F30" s="1">
        <f t="shared" si="1"/>
        <v>40945</v>
      </c>
      <c r="G30" cm="1">
        <f t="array" ref="G30">PRODUCT( _xlfn._xlws.FILTER($E:$E, ($C:$C=C30)*($F:$F=F30)) ) - 1</f>
        <v>-6.8031862518768138E-3</v>
      </c>
      <c r="J30" t="str">
        <v>CNR</v>
      </c>
      <c r="K30" s="1">
        <v>41099</v>
      </c>
      <c r="L30">
        <v>8.2511547932289098E-3</v>
      </c>
      <c r="R30">
        <v>-2.853687512207348E-2</v>
      </c>
      <c r="S30">
        <v>1.0403531119319798E-2</v>
      </c>
      <c r="T30">
        <v>-1.7465956568859298E-2</v>
      </c>
      <c r="U30">
        <v>-4.7697831387544576E-2</v>
      </c>
      <c r="V30">
        <v>3.3332262367678611E-2</v>
      </c>
      <c r="W30">
        <v>3.7398953193765738E-3</v>
      </c>
      <c r="Z30" t="s">
        <v>9</v>
      </c>
      <c r="AA30" cm="1">
        <f t="array" ref="AA30">MMULT(AA33:AF33, TRANSPOSE(AA9:AF9))</f>
        <v>3.7239760704704614E-3</v>
      </c>
    </row>
    <row r="31" spans="1:36" x14ac:dyDescent="0.2">
      <c r="A31" s="1">
        <v>40949</v>
      </c>
      <c r="B31">
        <v>2</v>
      </c>
      <c r="C31" t="s">
        <v>11</v>
      </c>
      <c r="D31">
        <v>-1.0486000000000001E-2</v>
      </c>
      <c r="E31">
        <f t="shared" si="0"/>
        <v>0.989514</v>
      </c>
      <c r="F31" s="1">
        <f t="shared" si="1"/>
        <v>40945</v>
      </c>
      <c r="G31" cm="1">
        <f t="array" ref="G31">PRODUCT( _xlfn._xlws.FILTER($E:$E, ($C:$C=C31)*($F:$F=F31)) ) - 1</f>
        <v>-6.8031862518768138E-3</v>
      </c>
      <c r="J31" t="str">
        <v>CNR</v>
      </c>
      <c r="K31" s="1">
        <v>41106</v>
      </c>
      <c r="L31">
        <v>1.313901272620499E-2</v>
      </c>
      <c r="R31">
        <v>-4.5660446336334148E-3</v>
      </c>
      <c r="S31">
        <v>-1.7431974426083352E-2</v>
      </c>
      <c r="T31">
        <v>-4.2592173561187163E-2</v>
      </c>
      <c r="U31">
        <v>-4.6957381209131954E-2</v>
      </c>
      <c r="V31">
        <v>-6.5179183415235986E-3</v>
      </c>
      <c r="W31">
        <v>-3.8617233600681811E-2</v>
      </c>
      <c r="Z31" t="s">
        <v>24</v>
      </c>
      <c r="AA31" cm="1">
        <f t="array" ref="AA31">MMULT(MMULT(AA33:AF33, S3:X8), TRANSPOSE(AA33:AF33))</f>
        <v>2.5363311450570815E-4</v>
      </c>
      <c r="AB31">
        <f>SQRT(AA31)</f>
        <v>1.592586306941348E-2</v>
      </c>
    </row>
    <row r="32" spans="1:36" x14ac:dyDescent="0.2">
      <c r="A32" s="1">
        <v>40952</v>
      </c>
      <c r="B32">
        <v>2</v>
      </c>
      <c r="C32" t="s">
        <v>11</v>
      </c>
      <c r="D32">
        <v>7.4960000000000001E-3</v>
      </c>
      <c r="E32">
        <f t="shared" si="0"/>
        <v>1.0074959999999999</v>
      </c>
      <c r="F32" s="1">
        <f t="shared" si="1"/>
        <v>40952</v>
      </c>
      <c r="G32" cm="1">
        <f t="array" ref="G32">PRODUCT( _xlfn._xlws.FILTER($E:$E, ($C:$C=C32)*($F:$F=F32)) ) - 1</f>
        <v>-1.1630243035117505E-2</v>
      </c>
      <c r="J32" t="str">
        <v>CNR</v>
      </c>
      <c r="K32" s="1">
        <v>41113</v>
      </c>
      <c r="L32">
        <v>5.6876974428239357E-3</v>
      </c>
      <c r="R32">
        <v>3.6082616460323624E-2</v>
      </c>
      <c r="S32">
        <v>1.8117797437138261E-3</v>
      </c>
      <c r="T32">
        <v>-2.6111652127758012E-2</v>
      </c>
      <c r="U32">
        <v>5.3649728442577871E-2</v>
      </c>
      <c r="V32">
        <v>-1.3122813020183588E-2</v>
      </c>
      <c r="W32">
        <v>2.3558518553123964E-2</v>
      </c>
      <c r="Z32" t="s">
        <v>22</v>
      </c>
      <c r="AA32" s="23">
        <f>(AA30-$AC$3)/AB31</f>
        <v>0.22094428778135186</v>
      </c>
    </row>
    <row r="33" spans="1:33" x14ac:dyDescent="0.2">
      <c r="A33" s="1">
        <v>40953</v>
      </c>
      <c r="B33">
        <v>2</v>
      </c>
      <c r="C33" t="s">
        <v>11</v>
      </c>
      <c r="D33">
        <v>3.7200000000000002E-3</v>
      </c>
      <c r="E33">
        <f t="shared" si="0"/>
        <v>1.0037199999999999</v>
      </c>
      <c r="F33" s="1">
        <f t="shared" si="1"/>
        <v>40952</v>
      </c>
      <c r="G33" cm="1">
        <f t="array" ref="G33">PRODUCT( _xlfn._xlws.FILTER($E:$E, ($C:$C=C33)*($F:$F=F33)) ) - 1</f>
        <v>-1.1630243035117505E-2</v>
      </c>
      <c r="J33" t="str">
        <v>CNR</v>
      </c>
      <c r="K33" s="1">
        <v>41120</v>
      </c>
      <c r="L33">
        <v>6.7876253765561945E-3</v>
      </c>
      <c r="R33">
        <v>-8.1382507034813978E-3</v>
      </c>
      <c r="S33">
        <v>-2.2920047408837352E-2</v>
      </c>
      <c r="T33">
        <v>-7.1498560099123587E-3</v>
      </c>
      <c r="U33">
        <v>-4.4081003561437404E-2</v>
      </c>
      <c r="V33">
        <v>1.38079483688478E-2</v>
      </c>
      <c r="W33">
        <v>-2.4023613017694068E-2</v>
      </c>
      <c r="Z33" t="s">
        <v>29</v>
      </c>
      <c r="AA33" s="23">
        <v>0.16356508487639626</v>
      </c>
      <c r="AB33" s="23">
        <v>0</v>
      </c>
      <c r="AC33" s="23">
        <v>0.24246838418968805</v>
      </c>
      <c r="AD33" s="23">
        <v>0</v>
      </c>
      <c r="AE33" s="23">
        <v>0.1892239961953133</v>
      </c>
      <c r="AF33" s="23">
        <v>0.40474253473860228</v>
      </c>
      <c r="AG33" s="23">
        <f>SUM(AA33:AF33)</f>
        <v>0.99999999999999978</v>
      </c>
    </row>
    <row r="34" spans="1:33" x14ac:dyDescent="0.2">
      <c r="A34" s="1">
        <v>40954</v>
      </c>
      <c r="B34">
        <v>2</v>
      </c>
      <c r="C34" t="s">
        <v>11</v>
      </c>
      <c r="D34">
        <v>-8.9460000000000008E-3</v>
      </c>
      <c r="E34">
        <f t="shared" si="0"/>
        <v>0.99105399999999999</v>
      </c>
      <c r="F34" s="1">
        <f t="shared" si="1"/>
        <v>40952</v>
      </c>
      <c r="G34" cm="1">
        <f t="array" ref="G34">PRODUCT( _xlfn._xlws.FILTER($E:$E, ($C:$C=C34)*($F:$F=F34)) ) - 1</f>
        <v>-1.1630243035117505E-2</v>
      </c>
      <c r="J34" t="str">
        <v>CNR</v>
      </c>
      <c r="K34" s="1">
        <v>41127</v>
      </c>
      <c r="L34">
        <v>8.5396791009368922E-3</v>
      </c>
      <c r="R34">
        <v>1.3961833421797021E-2</v>
      </c>
      <c r="S34">
        <v>4.166718877859843E-2</v>
      </c>
      <c r="T34">
        <v>6.4015940371964231E-3</v>
      </c>
      <c r="U34">
        <v>5.6789815163837742E-2</v>
      </c>
      <c r="V34">
        <v>-3.6822421454255627E-3</v>
      </c>
      <c r="W34">
        <v>3.424892563553783E-2</v>
      </c>
    </row>
    <row r="35" spans="1:33" x14ac:dyDescent="0.2">
      <c r="A35" s="1">
        <v>40955</v>
      </c>
      <c r="B35">
        <v>2</v>
      </c>
      <c r="C35" t="s">
        <v>11</v>
      </c>
      <c r="D35">
        <v>-1.2378999999999999E-2</v>
      </c>
      <c r="E35">
        <f t="shared" si="0"/>
        <v>0.98762099999999997</v>
      </c>
      <c r="F35" s="1">
        <f t="shared" si="1"/>
        <v>40952</v>
      </c>
      <c r="G35" cm="1">
        <f t="array" ref="G35">PRODUCT( _xlfn._xlws.FILTER($E:$E, ($C:$C=C35)*($F:$F=F35)) ) - 1</f>
        <v>-1.1630243035117505E-2</v>
      </c>
      <c r="J35" t="str">
        <v>CNR</v>
      </c>
      <c r="K35" s="1">
        <v>41134</v>
      </c>
      <c r="L35">
        <v>1.9831796570546789E-2</v>
      </c>
      <c r="R35">
        <v>-7.1719185909401295E-3</v>
      </c>
      <c r="S35">
        <v>-3.7036436025503106E-2</v>
      </c>
      <c r="T35">
        <v>1.8484590601461903E-2</v>
      </c>
      <c r="U35">
        <v>-6.8873526027768417E-4</v>
      </c>
      <c r="V35">
        <v>-3.5796513208473657E-3</v>
      </c>
      <c r="W35">
        <v>-3.0699732726972018E-2</v>
      </c>
      <c r="Z35" s="11"/>
      <c r="AA35" s="6" t="s">
        <v>11</v>
      </c>
      <c r="AB35" s="6" t="s">
        <v>12</v>
      </c>
      <c r="AC35" s="6" t="s">
        <v>13</v>
      </c>
      <c r="AD35" s="6" t="s">
        <v>14</v>
      </c>
      <c r="AE35" s="6" t="s">
        <v>15</v>
      </c>
      <c r="AF35" s="6" t="s">
        <v>16</v>
      </c>
      <c r="AG35" s="6" t="s">
        <v>35</v>
      </c>
    </row>
    <row r="36" spans="1:33" x14ac:dyDescent="0.2">
      <c r="A36" s="1">
        <v>40956</v>
      </c>
      <c r="B36">
        <v>2</v>
      </c>
      <c r="C36" t="s">
        <v>11</v>
      </c>
      <c r="D36">
        <v>-1.436E-3</v>
      </c>
      <c r="E36">
        <f t="shared" si="0"/>
        <v>0.99856400000000001</v>
      </c>
      <c r="F36" s="1">
        <f t="shared" si="1"/>
        <v>40952</v>
      </c>
      <c r="G36" cm="1">
        <f t="array" ref="G36">PRODUCT( _xlfn._xlws.FILTER($E:$E, ($C:$C=C36)*($F:$F=F36)) ) - 1</f>
        <v>-1.1630243035117505E-2</v>
      </c>
      <c r="J36" t="str">
        <v>CNR</v>
      </c>
      <c r="K36" s="1">
        <v>41141</v>
      </c>
      <c r="L36">
        <v>-7.319953683880609E-3</v>
      </c>
      <c r="R36">
        <v>3.3590975734267836E-2</v>
      </c>
      <c r="S36">
        <v>-1.5373717251766505E-3</v>
      </c>
      <c r="T36">
        <v>1.4051509750065527E-2</v>
      </c>
      <c r="U36">
        <v>-2.5852779136929183E-2</v>
      </c>
      <c r="V36">
        <v>2.9945450503423121E-2</v>
      </c>
      <c r="W36">
        <v>1.5302042182374187E-2</v>
      </c>
      <c r="Y36" s="80" t="s">
        <v>62</v>
      </c>
      <c r="Z36" s="37" t="s">
        <v>32</v>
      </c>
      <c r="AA36" s="38">
        <v>3.87661147040331E-2</v>
      </c>
      <c r="AB36" s="38">
        <v>0.20255721393801199</v>
      </c>
      <c r="AC36" s="38">
        <v>0.25571479975676858</v>
      </c>
      <c r="AD36" s="38">
        <v>-1.0283814139034701E-2</v>
      </c>
      <c r="AE36" s="38">
        <v>0.28308373773601858</v>
      </c>
      <c r="AF36" s="38">
        <v>0.2301619480042022</v>
      </c>
      <c r="AG36" s="38">
        <f>SUM(AA36:AF36)</f>
        <v>0.99999999999999978</v>
      </c>
    </row>
    <row r="37" spans="1:33" ht="17" thickBot="1" x14ac:dyDescent="0.25">
      <c r="A37" s="1">
        <v>40960</v>
      </c>
      <c r="B37">
        <v>2</v>
      </c>
      <c r="C37" t="s">
        <v>11</v>
      </c>
      <c r="D37">
        <v>-1.6999999999999999E-3</v>
      </c>
      <c r="E37">
        <f t="shared" si="0"/>
        <v>0.99829999999999997</v>
      </c>
      <c r="F37" s="1">
        <f t="shared" si="1"/>
        <v>40959</v>
      </c>
      <c r="G37" cm="1">
        <f t="array" ref="G37">PRODUCT( _xlfn._xlws.FILTER($E:$E, ($C:$C=C37)*($F:$F=F37)) ) - 1</f>
        <v>5.0992741687114762E-3</v>
      </c>
      <c r="J37" t="str">
        <v>CNR</v>
      </c>
      <c r="K37" s="1">
        <v>41148</v>
      </c>
      <c r="L37">
        <v>-7.3735189044153993E-3</v>
      </c>
      <c r="R37">
        <v>2.9110092980717539E-3</v>
      </c>
      <c r="S37">
        <v>-4.929171499311269E-3</v>
      </c>
      <c r="T37">
        <v>3.8490834359108383E-3</v>
      </c>
      <c r="U37">
        <v>4.1756583334893849E-2</v>
      </c>
      <c r="V37">
        <v>1.5783101892582918E-2</v>
      </c>
      <c r="W37">
        <v>1.5422311350710149E-2</v>
      </c>
    </row>
    <row r="38" spans="1:33" x14ac:dyDescent="0.2">
      <c r="A38" s="1">
        <v>40961</v>
      </c>
      <c r="B38">
        <v>2</v>
      </c>
      <c r="C38" t="s">
        <v>11</v>
      </c>
      <c r="D38">
        <v>-1.3100000000000001E-4</v>
      </c>
      <c r="E38">
        <f t="shared" si="0"/>
        <v>0.99986900000000001</v>
      </c>
      <c r="F38" s="1">
        <f t="shared" si="1"/>
        <v>40959</v>
      </c>
      <c r="G38" cm="1">
        <f t="array" ref="G38">PRODUCT( _xlfn._xlws.FILTER($E:$E, ($C:$C=C38)*($F:$F=F38)) ) - 1</f>
        <v>5.0992741687114762E-3</v>
      </c>
      <c r="J38" t="str">
        <v>CNR</v>
      </c>
      <c r="K38" s="1">
        <v>41155</v>
      </c>
      <c r="L38">
        <v>3.0887203456344547E-3</v>
      </c>
      <c r="R38">
        <v>-5.8011919597444894E-4</v>
      </c>
      <c r="S38">
        <v>7.4329116342832791E-3</v>
      </c>
      <c r="T38">
        <v>1.1886791781215988E-2</v>
      </c>
      <c r="U38">
        <v>-2.7177579827618592E-3</v>
      </c>
      <c r="V38">
        <v>2.4044455586688773E-2</v>
      </c>
      <c r="W38">
        <v>2.0712433017557874E-3</v>
      </c>
      <c r="Y38" s="80" t="s">
        <v>62</v>
      </c>
      <c r="Z38" s="39" t="s">
        <v>33</v>
      </c>
      <c r="AA38" s="40"/>
    </row>
    <row r="39" spans="1:33" x14ac:dyDescent="0.2">
      <c r="A39" s="1">
        <v>40962</v>
      </c>
      <c r="B39">
        <v>2</v>
      </c>
      <c r="C39" t="s">
        <v>11</v>
      </c>
      <c r="D39">
        <v>1.9650000000000002E-3</v>
      </c>
      <c r="E39">
        <f t="shared" si="0"/>
        <v>1.001965</v>
      </c>
      <c r="F39" s="1">
        <f t="shared" si="1"/>
        <v>40959</v>
      </c>
      <c r="G39" cm="1">
        <f t="array" ref="G39">PRODUCT( _xlfn._xlws.FILTER($E:$E, ($C:$C=C39)*($F:$F=F39)) ) - 1</f>
        <v>5.0992741687114762E-3</v>
      </c>
      <c r="J39" t="str">
        <v>CNR</v>
      </c>
      <c r="K39" s="1">
        <v>41162</v>
      </c>
      <c r="L39">
        <v>9.6572202795321971E-3</v>
      </c>
      <c r="R39">
        <v>8.2511547932289098E-3</v>
      </c>
      <c r="S39">
        <v>1.321896021937552E-2</v>
      </c>
      <c r="T39">
        <v>-5.6832580975092473E-3</v>
      </c>
      <c r="U39">
        <v>1.7035812946004647E-3</v>
      </c>
      <c r="V39">
        <v>-4.4731162096824928E-3</v>
      </c>
      <c r="W39">
        <v>8.955706725387591E-3</v>
      </c>
      <c r="Z39" s="41" t="s">
        <v>9</v>
      </c>
      <c r="AA39" s="42">
        <f>AA18</f>
        <v>2.9468854131866379E-3</v>
      </c>
    </row>
    <row r="40" spans="1:33" x14ac:dyDescent="0.2">
      <c r="A40" s="1">
        <v>40963</v>
      </c>
      <c r="B40">
        <v>2</v>
      </c>
      <c r="C40" t="s">
        <v>11</v>
      </c>
      <c r="D40">
        <v>4.9680000000000002E-3</v>
      </c>
      <c r="E40">
        <f t="shared" si="0"/>
        <v>1.0049680000000001</v>
      </c>
      <c r="F40" s="1">
        <f t="shared" si="1"/>
        <v>40959</v>
      </c>
      <c r="G40" cm="1">
        <f t="array" ref="G40">PRODUCT( _xlfn._xlws.FILTER($E:$E, ($C:$C=C40)*($F:$F=F40)) ) - 1</f>
        <v>5.0992741687114762E-3</v>
      </c>
      <c r="J40" t="str">
        <v>CNR</v>
      </c>
      <c r="K40" s="1">
        <v>41169</v>
      </c>
      <c r="L40">
        <v>-5.4414435973784814E-2</v>
      </c>
      <c r="R40">
        <v>1.313901272620499E-2</v>
      </c>
      <c r="S40">
        <v>5.4616055206295755E-3</v>
      </c>
      <c r="T40">
        <v>-1.3330337813205473E-3</v>
      </c>
      <c r="U40">
        <v>3.6382469390042305E-2</v>
      </c>
      <c r="V40">
        <v>-1.5562586410384993E-2</v>
      </c>
      <c r="W40">
        <v>-9.2190917318726306E-3</v>
      </c>
      <c r="Z40" s="41" t="s">
        <v>24</v>
      </c>
      <c r="AA40" s="42">
        <f>AC18</f>
        <v>2.0093505702410087E-4</v>
      </c>
    </row>
    <row r="41" spans="1:33" x14ac:dyDescent="0.2">
      <c r="A41" s="1">
        <v>40966</v>
      </c>
      <c r="B41">
        <v>2</v>
      </c>
      <c r="C41" t="s">
        <v>11</v>
      </c>
      <c r="D41">
        <v>1.3010000000000001E-3</v>
      </c>
      <c r="E41">
        <f t="shared" si="0"/>
        <v>1.001301</v>
      </c>
      <c r="F41" s="1">
        <f t="shared" si="1"/>
        <v>40966</v>
      </c>
      <c r="G41" cm="1">
        <f t="array" ref="G41">PRODUCT( _xlfn._xlws.FILTER($E:$E, ($C:$C=C41)*($F:$F=F41)) ) - 1</f>
        <v>1.302166005772154E-4</v>
      </c>
      <c r="J41" t="str">
        <v>CNR</v>
      </c>
      <c r="K41" s="1">
        <v>41176</v>
      </c>
      <c r="L41">
        <v>1.1276069826540169E-2</v>
      </c>
      <c r="R41">
        <v>5.6876974428239357E-3</v>
      </c>
      <c r="S41">
        <v>4.8278116438613683E-3</v>
      </c>
      <c r="T41">
        <v>-1.9026643321807812E-3</v>
      </c>
      <c r="U41">
        <v>4.6259133431545418E-2</v>
      </c>
      <c r="V41">
        <v>2.3956792555718032E-2</v>
      </c>
      <c r="W41">
        <v>8.9590207346175177E-3</v>
      </c>
      <c r="Z41" s="41" t="s">
        <v>21</v>
      </c>
      <c r="AA41" s="42">
        <f>AA19</f>
        <v>1.4175156331557718E-2</v>
      </c>
    </row>
    <row r="42" spans="1:33" ht="17" thickBot="1" x14ac:dyDescent="0.25">
      <c r="A42" s="1">
        <v>40967</v>
      </c>
      <c r="B42">
        <v>2</v>
      </c>
      <c r="C42" t="s">
        <v>11</v>
      </c>
      <c r="D42">
        <v>-6.496E-3</v>
      </c>
      <c r="E42">
        <f t="shared" si="0"/>
        <v>0.99350400000000005</v>
      </c>
      <c r="F42" s="1">
        <f t="shared" si="1"/>
        <v>40966</v>
      </c>
      <c r="G42" cm="1">
        <f t="array" ref="G42">PRODUCT( _xlfn._xlws.FILTER($E:$E, ($C:$C=C42)*($F:$F=F42)) ) - 1</f>
        <v>1.302166005772154E-4</v>
      </c>
      <c r="J42" t="str">
        <v>CNR</v>
      </c>
      <c r="K42" s="1">
        <v>41183</v>
      </c>
      <c r="L42">
        <v>1.4600375820443823E-2</v>
      </c>
      <c r="R42">
        <v>6.7876253765561945E-3</v>
      </c>
      <c r="S42">
        <v>-2.7022506764323717E-3</v>
      </c>
      <c r="T42">
        <v>-2.5134012863797794E-3</v>
      </c>
      <c r="U42">
        <v>-8.1531473648152053E-3</v>
      </c>
      <c r="V42">
        <v>5.4110656274157787E-3</v>
      </c>
      <c r="W42">
        <v>-3.1420546555083195E-2</v>
      </c>
      <c r="Z42" s="43" t="s">
        <v>27</v>
      </c>
      <c r="AA42" s="44">
        <f>(AA39-AC3)/AA41</f>
        <v>0.19341146945853763</v>
      </c>
    </row>
    <row r="43" spans="1:33" x14ac:dyDescent="0.2">
      <c r="A43" s="1">
        <v>40968</v>
      </c>
      <c r="B43">
        <v>2</v>
      </c>
      <c r="C43" t="s">
        <v>11</v>
      </c>
      <c r="D43">
        <v>-3.0079999999999998E-3</v>
      </c>
      <c r="E43">
        <f t="shared" si="0"/>
        <v>0.99699199999999999</v>
      </c>
      <c r="F43" s="1">
        <f t="shared" si="1"/>
        <v>40966</v>
      </c>
      <c r="G43" cm="1">
        <f t="array" ref="G43">PRODUCT( _xlfn._xlws.FILTER($E:$E, ($C:$C=C43)*($F:$F=F43)) ) - 1</f>
        <v>1.302166005772154E-4</v>
      </c>
      <c r="J43" t="str">
        <v>CNR</v>
      </c>
      <c r="K43" s="1">
        <v>41190</v>
      </c>
      <c r="L43">
        <v>-1.2576883027763275E-2</v>
      </c>
      <c r="R43">
        <v>8.5396791009368922E-3</v>
      </c>
      <c r="S43">
        <v>1.927136297091292E-2</v>
      </c>
      <c r="T43">
        <v>-8.7212356026724613E-3</v>
      </c>
      <c r="U43">
        <v>4.7422558548524396E-3</v>
      </c>
      <c r="V43">
        <v>2.9602211055679728E-2</v>
      </c>
      <c r="W43">
        <v>2.0098699244450735E-2</v>
      </c>
    </row>
    <row r="44" spans="1:33" x14ac:dyDescent="0.2">
      <c r="A44" s="1">
        <v>40969</v>
      </c>
      <c r="B44">
        <v>2</v>
      </c>
      <c r="C44" t="s">
        <v>11</v>
      </c>
      <c r="D44">
        <v>1.128E-2</v>
      </c>
      <c r="E44">
        <f t="shared" si="0"/>
        <v>1.01128</v>
      </c>
      <c r="F44" s="1">
        <f t="shared" si="1"/>
        <v>40966</v>
      </c>
      <c r="G44" cm="1">
        <f t="array" ref="G44">PRODUCT( _xlfn._xlws.FILTER($E:$E, ($C:$C=C44)*($F:$F=F44)) ) - 1</f>
        <v>1.302166005772154E-4</v>
      </c>
      <c r="J44" t="str">
        <v>CNR</v>
      </c>
      <c r="K44" s="1">
        <v>41197</v>
      </c>
      <c r="L44">
        <v>6.0817103088104396E-3</v>
      </c>
      <c r="R44">
        <v>1.9831796570546789E-2</v>
      </c>
      <c r="S44">
        <v>2.3761501696044629E-3</v>
      </c>
      <c r="T44">
        <v>5.5522578093164299E-2</v>
      </c>
      <c r="U44">
        <v>2.0453796091128629E-2</v>
      </c>
      <c r="V44">
        <v>-1.9066149707384517E-2</v>
      </c>
      <c r="W44">
        <v>2.4888412724529685E-2</v>
      </c>
      <c r="AA44" s="50" t="s">
        <v>11</v>
      </c>
      <c r="AB44" s="50" t="s">
        <v>12</v>
      </c>
      <c r="AC44" s="50" t="s">
        <v>13</v>
      </c>
      <c r="AD44" s="50" t="s">
        <v>14</v>
      </c>
      <c r="AE44" s="50" t="s">
        <v>15</v>
      </c>
      <c r="AF44" s="50" t="s">
        <v>16</v>
      </c>
      <c r="AG44" s="50" t="s">
        <v>35</v>
      </c>
    </row>
    <row r="45" spans="1:33" x14ac:dyDescent="0.2">
      <c r="A45" s="1">
        <v>40970</v>
      </c>
      <c r="B45">
        <v>2</v>
      </c>
      <c r="C45" t="s">
        <v>11</v>
      </c>
      <c r="D45">
        <v>-2.8530000000000001E-3</v>
      </c>
      <c r="E45">
        <f t="shared" si="0"/>
        <v>0.99714700000000001</v>
      </c>
      <c r="F45" s="1">
        <f t="shared" si="1"/>
        <v>40966</v>
      </c>
      <c r="G45" cm="1">
        <f t="array" ref="G45">PRODUCT( _xlfn._xlws.FILTER($E:$E, ($C:$C=C45)*($F:$F=F45)) ) - 1</f>
        <v>1.302166005772154E-4</v>
      </c>
      <c r="J45" t="str">
        <v>CNR</v>
      </c>
      <c r="K45" s="1">
        <v>41204</v>
      </c>
      <c r="L45">
        <v>-1.2887101896750797E-2</v>
      </c>
      <c r="R45">
        <v>-7.319953683880609E-3</v>
      </c>
      <c r="S45">
        <v>-2.3780230870009689E-3</v>
      </c>
      <c r="T45">
        <v>-4.8154242607110209E-3</v>
      </c>
      <c r="U45">
        <v>-3.0527728507374952E-2</v>
      </c>
      <c r="V45">
        <v>3.1338068747535086E-3</v>
      </c>
      <c r="W45">
        <v>-2.2107591342331756E-2</v>
      </c>
      <c r="Y45" s="80" t="s">
        <v>64</v>
      </c>
      <c r="Z45" s="51" t="s">
        <v>38</v>
      </c>
      <c r="AA45" s="53">
        <v>0.16356508487639626</v>
      </c>
      <c r="AB45" s="53">
        <v>0</v>
      </c>
      <c r="AC45" s="53">
        <v>0.24246838418968805</v>
      </c>
      <c r="AD45" s="53">
        <v>0</v>
      </c>
      <c r="AE45" s="53">
        <v>0.1892239961953133</v>
      </c>
      <c r="AF45" s="53">
        <v>0.40474253473860228</v>
      </c>
      <c r="AG45" s="52">
        <f>SUM(AA45:AF45)</f>
        <v>0.99999999999999978</v>
      </c>
    </row>
    <row r="46" spans="1:33" x14ac:dyDescent="0.2">
      <c r="A46" s="1">
        <v>40973</v>
      </c>
      <c r="B46">
        <v>2</v>
      </c>
      <c r="C46" t="s">
        <v>11</v>
      </c>
      <c r="D46">
        <v>-8.3250000000000008E-3</v>
      </c>
      <c r="E46">
        <f t="shared" si="0"/>
        <v>0.99167499999999997</v>
      </c>
      <c r="F46" s="1">
        <f t="shared" si="1"/>
        <v>40973</v>
      </c>
      <c r="G46" cm="1">
        <f t="array" ref="G46">PRODUCT( _xlfn._xlws.FILTER($E:$E, ($C:$C=C46)*($F:$F=F46)) ) - 1</f>
        <v>-3.8858060387992888E-3</v>
      </c>
      <c r="J46" t="str">
        <v>CNR</v>
      </c>
      <c r="K46" s="1">
        <v>41211</v>
      </c>
      <c r="L46">
        <v>5.6598195143269248E-3</v>
      </c>
      <c r="R46">
        <v>-7.3735189044153993E-3</v>
      </c>
      <c r="S46">
        <v>-3.1596158708468214E-2</v>
      </c>
      <c r="T46">
        <v>2.6800387523336466E-2</v>
      </c>
      <c r="U46">
        <v>-1.5887766139636939E-2</v>
      </c>
      <c r="V46">
        <v>-3.0155664463311305E-2</v>
      </c>
      <c r="W46">
        <v>-2.4407464301576587E-2</v>
      </c>
    </row>
    <row r="47" spans="1:33" x14ac:dyDescent="0.2">
      <c r="A47" s="1">
        <v>40974</v>
      </c>
      <c r="B47">
        <v>2</v>
      </c>
      <c r="C47" t="s">
        <v>11</v>
      </c>
      <c r="D47">
        <v>-9.1809999999999999E-3</v>
      </c>
      <c r="E47">
        <f t="shared" si="0"/>
        <v>0.99081900000000001</v>
      </c>
      <c r="F47" s="1">
        <f t="shared" si="1"/>
        <v>40973</v>
      </c>
      <c r="G47" cm="1">
        <f t="array" ref="G47">PRODUCT( _xlfn._xlws.FILTER($E:$E, ($C:$C=C47)*($F:$F=F47)) ) - 1</f>
        <v>-3.8858060387992888E-3</v>
      </c>
      <c r="J47" t="str">
        <v>CNR</v>
      </c>
      <c r="K47" s="1">
        <v>41218</v>
      </c>
      <c r="L47">
        <v>-7.5832265793653875E-3</v>
      </c>
      <c r="R47">
        <v>3.0887203456344547E-3</v>
      </c>
      <c r="S47">
        <v>2.154557063701068E-2</v>
      </c>
      <c r="T47">
        <v>1.8488447042678935E-2</v>
      </c>
      <c r="U47">
        <v>5.7774197103031222E-2</v>
      </c>
      <c r="V47">
        <v>4.6887471224070776E-3</v>
      </c>
      <c r="W47">
        <v>-6.0750566040295162E-3</v>
      </c>
      <c r="Y47" s="80" t="s">
        <v>65</v>
      </c>
      <c r="Z47" s="51" t="s">
        <v>39</v>
      </c>
      <c r="AA47" s="51"/>
    </row>
    <row r="48" spans="1:33" x14ac:dyDescent="0.2">
      <c r="A48" s="1">
        <v>40975</v>
      </c>
      <c r="B48">
        <v>2</v>
      </c>
      <c r="C48" t="s">
        <v>11</v>
      </c>
      <c r="D48">
        <v>-2.846E-3</v>
      </c>
      <c r="E48">
        <f t="shared" si="0"/>
        <v>0.99715399999999998</v>
      </c>
      <c r="F48" s="1">
        <f t="shared" si="1"/>
        <v>40973</v>
      </c>
      <c r="G48" cm="1">
        <f t="array" ref="G48">PRODUCT( _xlfn._xlws.FILTER($E:$E, ($C:$C=C48)*($F:$F=F48)) ) - 1</f>
        <v>-3.8858060387992888E-3</v>
      </c>
      <c r="J48" t="str">
        <v>CNR</v>
      </c>
      <c r="K48" s="1">
        <v>41225</v>
      </c>
      <c r="L48">
        <v>-1.5280349424194872E-2</v>
      </c>
      <c r="R48">
        <v>9.6572202795321971E-3</v>
      </c>
      <c r="S48">
        <v>-5.7249628590427815E-3</v>
      </c>
      <c r="T48">
        <v>-2.1353130534056408E-3</v>
      </c>
      <c r="U48">
        <v>5.30842002023868E-2</v>
      </c>
      <c r="V48">
        <v>-1.6677229520880132E-2</v>
      </c>
      <c r="W48">
        <v>2.6249211904144643E-2</v>
      </c>
      <c r="Z48" s="51" t="s">
        <v>9</v>
      </c>
      <c r="AA48" s="51">
        <f>AA30</f>
        <v>3.7239760704704614E-3</v>
      </c>
    </row>
    <row r="49" spans="1:33" x14ac:dyDescent="0.2">
      <c r="A49" s="1">
        <v>40976</v>
      </c>
      <c r="B49">
        <v>2</v>
      </c>
      <c r="C49" t="s">
        <v>11</v>
      </c>
      <c r="D49">
        <v>1.6143999999999999E-2</v>
      </c>
      <c r="E49">
        <f t="shared" si="0"/>
        <v>1.0161439999999999</v>
      </c>
      <c r="F49" s="1">
        <f t="shared" si="1"/>
        <v>40973</v>
      </c>
      <c r="G49" cm="1">
        <f t="array" ref="G49">PRODUCT( _xlfn._xlws.FILTER($E:$E, ($C:$C=C49)*($F:$F=F49)) ) - 1</f>
        <v>-3.8858060387992888E-3</v>
      </c>
      <c r="J49" t="str">
        <v>CNR</v>
      </c>
      <c r="K49" s="1">
        <v>41232</v>
      </c>
      <c r="L49">
        <v>2.7039893935220549E-2</v>
      </c>
      <c r="R49">
        <v>-5.4414435973784814E-2</v>
      </c>
      <c r="S49">
        <v>1.5155144407303922E-3</v>
      </c>
      <c r="T49">
        <v>-1.4272207917204183E-3</v>
      </c>
      <c r="U49">
        <v>-3.875184958289335E-2</v>
      </c>
      <c r="V49">
        <v>7.4091983872637268E-3</v>
      </c>
      <c r="W49">
        <v>9.108674347064305E-3</v>
      </c>
      <c r="Z49" s="51" t="s">
        <v>24</v>
      </c>
      <c r="AA49" s="51">
        <f>AA31</f>
        <v>2.5363311450570815E-4</v>
      </c>
    </row>
    <row r="50" spans="1:33" ht="17" thickBot="1" x14ac:dyDescent="0.25">
      <c r="A50" s="1">
        <v>40977</v>
      </c>
      <c r="B50">
        <v>2</v>
      </c>
      <c r="C50" t="s">
        <v>11</v>
      </c>
      <c r="D50">
        <v>5.2499999999999997E-4</v>
      </c>
      <c r="E50">
        <f t="shared" si="0"/>
        <v>1.0005250000000001</v>
      </c>
      <c r="F50" s="1">
        <f t="shared" si="1"/>
        <v>40973</v>
      </c>
      <c r="G50" cm="1">
        <f t="array" ref="G50">PRODUCT( _xlfn._xlws.FILTER($E:$E, ($C:$C=C50)*($F:$F=F50)) ) - 1</f>
        <v>-3.8858060387992888E-3</v>
      </c>
      <c r="J50" t="str">
        <v>CNR</v>
      </c>
      <c r="K50" s="1">
        <v>41239</v>
      </c>
      <c r="L50">
        <v>2.2663586830873772E-2</v>
      </c>
      <c r="R50">
        <v>1.1276069826540169E-2</v>
      </c>
      <c r="S50">
        <v>1.4522552483673845E-2</v>
      </c>
      <c r="T50">
        <v>9.8236501599588966E-3</v>
      </c>
      <c r="U50">
        <v>-1.9704683335684203E-2</v>
      </c>
      <c r="V50">
        <v>1.3566577035130978E-2</v>
      </c>
      <c r="W50">
        <v>-1.3194845632045538E-2</v>
      </c>
      <c r="Z50" s="51" t="s">
        <v>21</v>
      </c>
      <c r="AA50" s="51">
        <f>AB31</f>
        <v>1.592586306941348E-2</v>
      </c>
    </row>
    <row r="51" spans="1:33" ht="17" thickBot="1" x14ac:dyDescent="0.25">
      <c r="A51" s="1">
        <v>40980</v>
      </c>
      <c r="B51">
        <v>2</v>
      </c>
      <c r="C51" t="s">
        <v>11</v>
      </c>
      <c r="D51">
        <v>-3.6749999999999999E-3</v>
      </c>
      <c r="E51">
        <f t="shared" si="0"/>
        <v>0.99632500000000002</v>
      </c>
      <c r="F51" s="1">
        <f t="shared" si="1"/>
        <v>40980</v>
      </c>
      <c r="G51" cm="1">
        <f t="array" ref="G51">PRODUCT( _xlfn._xlws.FILTER($E:$E, ($C:$C=C51)*($F:$F=F51)) ) - 1</f>
        <v>3.005193798730188E-2</v>
      </c>
      <c r="J51" t="str">
        <v>CNR</v>
      </c>
      <c r="K51" s="1">
        <v>41246</v>
      </c>
      <c r="L51">
        <v>1.9135469004784023E-2</v>
      </c>
      <c r="R51">
        <v>1.4600375820443823E-2</v>
      </c>
      <c r="S51">
        <v>4.175315886204567E-3</v>
      </c>
      <c r="T51">
        <v>1.5741195321879564E-2</v>
      </c>
      <c r="U51">
        <v>2.0407705792188757E-2</v>
      </c>
      <c r="V51">
        <v>2.2737375076834265E-2</v>
      </c>
      <c r="W51">
        <v>-5.9822104975506551E-3</v>
      </c>
      <c r="Z51" s="51" t="s">
        <v>27</v>
      </c>
      <c r="AA51" s="52">
        <f>AA32</f>
        <v>0.22094428778135186</v>
      </c>
      <c r="AE51" s="80" t="s">
        <v>66</v>
      </c>
      <c r="AF51" s="57" t="s">
        <v>43</v>
      </c>
    </row>
    <row r="52" spans="1:33" x14ac:dyDescent="0.2">
      <c r="A52" s="1">
        <v>40981</v>
      </c>
      <c r="B52">
        <v>2</v>
      </c>
      <c r="C52" t="s">
        <v>11</v>
      </c>
      <c r="D52">
        <v>2.3577000000000001E-2</v>
      </c>
      <c r="E52">
        <f t="shared" si="0"/>
        <v>1.023577</v>
      </c>
      <c r="F52" s="1">
        <f t="shared" si="1"/>
        <v>40980</v>
      </c>
      <c r="G52" cm="1">
        <f t="array" ref="G52">PRODUCT( _xlfn._xlws.FILTER($E:$E, ($C:$C=C52)*($F:$F=F52)) ) - 1</f>
        <v>3.005193798730188E-2</v>
      </c>
      <c r="J52" t="str">
        <v>CNR</v>
      </c>
      <c r="K52" s="1">
        <v>41253</v>
      </c>
      <c r="L52">
        <v>-1.2461916559502573E-2</v>
      </c>
      <c r="R52">
        <v>-1.2576883027763275E-2</v>
      </c>
      <c r="S52">
        <v>-1.2177278690029159E-2</v>
      </c>
      <c r="T52">
        <v>-1.0099526525520153E-2</v>
      </c>
      <c r="U52">
        <v>-1.9394720543843169E-2</v>
      </c>
      <c r="V52">
        <v>-1.1194921479051212E-2</v>
      </c>
      <c r="W52">
        <v>-2.4778855956690937E-2</v>
      </c>
      <c r="AD52" t="s">
        <v>66</v>
      </c>
      <c r="AF52" s="56" t="s">
        <v>11</v>
      </c>
      <c r="AG52" s="3">
        <f>AA45*AD54</f>
        <v>151279.17411822322</v>
      </c>
    </row>
    <row r="53" spans="1:33" ht="37" customHeight="1" thickBot="1" x14ac:dyDescent="0.25">
      <c r="A53" s="1">
        <v>40982</v>
      </c>
      <c r="B53">
        <v>2</v>
      </c>
      <c r="C53" t="s">
        <v>11</v>
      </c>
      <c r="D53">
        <v>-5.1500000000000005E-4</v>
      </c>
      <c r="E53">
        <f t="shared" si="0"/>
        <v>0.99948499999999996</v>
      </c>
      <c r="F53" s="1">
        <f t="shared" si="1"/>
        <v>40980</v>
      </c>
      <c r="G53" cm="1">
        <f t="array" ref="G53">PRODUCT( _xlfn._xlws.FILTER($E:$E, ($C:$C=C53)*($F:$F=F53)) ) - 1</f>
        <v>3.005193798730188E-2</v>
      </c>
      <c r="J53" t="str">
        <v>CNR</v>
      </c>
      <c r="K53" s="1">
        <v>41260</v>
      </c>
      <c r="L53">
        <v>1.1838114553744727E-2</v>
      </c>
      <c r="R53">
        <v>6.0817103088104396E-3</v>
      </c>
      <c r="S53">
        <v>1.0222121651887406E-2</v>
      </c>
      <c r="T53">
        <v>2.9375627438237073E-2</v>
      </c>
      <c r="U53">
        <v>4.3263794982504766E-2</v>
      </c>
      <c r="V53">
        <v>4.7826416237588543E-3</v>
      </c>
      <c r="W53">
        <v>2.7222600138936848E-2</v>
      </c>
      <c r="Y53" s="80" t="s">
        <v>66</v>
      </c>
      <c r="Z53" s="86" t="s">
        <v>51</v>
      </c>
      <c r="AA53" s="59"/>
      <c r="AB53" s="87" t="s">
        <v>54</v>
      </c>
      <c r="AD53" s="59" t="s">
        <v>42</v>
      </c>
      <c r="AF53" s="55" t="s">
        <v>12</v>
      </c>
      <c r="AG53" s="3">
        <f>AD54*AB45</f>
        <v>0</v>
      </c>
    </row>
    <row r="54" spans="1:33" x14ac:dyDescent="0.2">
      <c r="A54" s="1">
        <v>40983</v>
      </c>
      <c r="B54">
        <v>2</v>
      </c>
      <c r="C54" t="s">
        <v>11</v>
      </c>
      <c r="D54">
        <v>1.9313E-2</v>
      </c>
      <c r="E54">
        <f t="shared" si="0"/>
        <v>1.0193129999999999</v>
      </c>
      <c r="F54" s="1">
        <f t="shared" si="1"/>
        <v>40980</v>
      </c>
      <c r="G54" cm="1">
        <f t="array" ref="G54">PRODUCT( _xlfn._xlws.FILTER($E:$E, ($C:$C=C54)*($F:$F=F54)) ) - 1</f>
        <v>3.005193798730188E-2</v>
      </c>
      <c r="J54" t="str">
        <v>CNR</v>
      </c>
      <c r="K54" s="1">
        <v>41267</v>
      </c>
      <c r="L54">
        <v>-7.06343429855949E-3</v>
      </c>
      <c r="R54">
        <v>-1.2887101896750797E-2</v>
      </c>
      <c r="S54">
        <v>-5.952779508584416E-3</v>
      </c>
      <c r="T54">
        <v>-1.8646298037699016E-2</v>
      </c>
      <c r="U54">
        <v>-1.7477110831979337E-2</v>
      </c>
      <c r="V54">
        <v>4.7615588019604971E-3</v>
      </c>
      <c r="W54">
        <v>-3.5440251571983161E-4</v>
      </c>
      <c r="Z54" s="85" t="s">
        <v>41</v>
      </c>
      <c r="AA54" s="63"/>
      <c r="AB54" s="84">
        <f>(AA48 - AC3) / (15*AA49)</f>
        <v>0.92488671547807821</v>
      </c>
      <c r="AD54" s="63">
        <f>1000000*AB54</f>
        <v>924886.71547807823</v>
      </c>
      <c r="AF54" s="55" t="s">
        <v>13</v>
      </c>
      <c r="AG54" s="3">
        <f>AD54*AC45</f>
        <v>224255.78746047738</v>
      </c>
    </row>
    <row r="55" spans="1:33" x14ac:dyDescent="0.2">
      <c r="A55" s="1">
        <v>40984</v>
      </c>
      <c r="B55">
        <v>2</v>
      </c>
      <c r="C55" t="s">
        <v>11</v>
      </c>
      <c r="D55">
        <v>-8.5889999999999994E-3</v>
      </c>
      <c r="E55">
        <f t="shared" si="0"/>
        <v>0.99141100000000004</v>
      </c>
      <c r="F55" s="1">
        <f t="shared" si="1"/>
        <v>40980</v>
      </c>
      <c r="G55" cm="1">
        <f t="array" ref="G55">PRODUCT( _xlfn._xlws.FILTER($E:$E, ($C:$C=C55)*($F:$F=F55)) ) - 1</f>
        <v>3.005193798730188E-2</v>
      </c>
      <c r="J55" t="str">
        <v>CNR</v>
      </c>
      <c r="K55" s="1">
        <v>41274</v>
      </c>
      <c r="L55">
        <v>6.7812195264860264E-3</v>
      </c>
      <c r="R55">
        <v>5.6598195143269248E-3</v>
      </c>
      <c r="S55">
        <v>1.676709870875559E-2</v>
      </c>
      <c r="T55">
        <v>1.2845296026732456E-2</v>
      </c>
      <c r="U55">
        <v>4.4618597848967045E-2</v>
      </c>
      <c r="V55">
        <v>2.0218247068466422E-2</v>
      </c>
      <c r="W55">
        <v>-8.129389196381509E-3</v>
      </c>
      <c r="Z55" s="84" t="s">
        <v>49</v>
      </c>
      <c r="AA55" s="63"/>
      <c r="AB55" s="84">
        <f>1-AB54</f>
        <v>7.5113284521921786E-2</v>
      </c>
      <c r="AD55" s="63">
        <f>1000000*AB55</f>
        <v>75113.284521921785</v>
      </c>
      <c r="AF55" s="55" t="s">
        <v>14</v>
      </c>
      <c r="AG55" s="3">
        <f>AD54*AD45</f>
        <v>0</v>
      </c>
    </row>
    <row r="56" spans="1:33" x14ac:dyDescent="0.2">
      <c r="A56" s="1">
        <v>40987</v>
      </c>
      <c r="B56">
        <v>2</v>
      </c>
      <c r="C56" t="s">
        <v>11</v>
      </c>
      <c r="D56">
        <v>6.3699999999999998E-3</v>
      </c>
      <c r="E56">
        <f t="shared" si="0"/>
        <v>1.00637</v>
      </c>
      <c r="F56" s="1">
        <f t="shared" si="1"/>
        <v>40987</v>
      </c>
      <c r="G56" cm="1">
        <f t="array" ref="G56">PRODUCT( _xlfn._xlws.FILTER($E:$E, ($C:$C=C56)*($F:$F=F56)) ) - 1</f>
        <v>-5.4778763710229272E-3</v>
      </c>
      <c r="J56" t="str">
        <v>CNR</v>
      </c>
      <c r="K56" s="1">
        <v>41281</v>
      </c>
      <c r="L56">
        <v>2.4180122342576826E-2</v>
      </c>
      <c r="R56">
        <v>-7.5832265793653875E-3</v>
      </c>
      <c r="S56">
        <v>-4.7113494302333248E-3</v>
      </c>
      <c r="T56">
        <v>-2.9708375269228204E-2</v>
      </c>
      <c r="U56">
        <v>-4.011586583591642E-2</v>
      </c>
      <c r="V56">
        <v>-1.5490006787377553E-3</v>
      </c>
      <c r="W56">
        <v>-6.0577937891912459E-3</v>
      </c>
      <c r="AF56" s="55" t="s">
        <v>15</v>
      </c>
      <c r="AG56" s="3">
        <f>AD54*AE45</f>
        <v>175010.7603307197</v>
      </c>
    </row>
    <row r="57" spans="1:33" ht="17" thickBot="1" x14ac:dyDescent="0.25">
      <c r="A57" s="1">
        <v>40988</v>
      </c>
      <c r="B57">
        <v>2</v>
      </c>
      <c r="C57" t="s">
        <v>11</v>
      </c>
      <c r="D57">
        <v>-1.9243E-2</v>
      </c>
      <c r="E57">
        <f t="shared" si="0"/>
        <v>0.98075699999999999</v>
      </c>
      <c r="F57" s="1">
        <f t="shared" si="1"/>
        <v>40987</v>
      </c>
      <c r="G57" cm="1">
        <f t="array" ref="G57">PRODUCT( _xlfn._xlws.FILTER($E:$E, ($C:$C=C57)*($F:$F=F57)) ) - 1</f>
        <v>-5.4778763710229272E-3</v>
      </c>
      <c r="J57" t="str">
        <v>CNR</v>
      </c>
      <c r="K57" s="1">
        <v>41288</v>
      </c>
      <c r="L57">
        <v>1.8973651772589584E-2</v>
      </c>
      <c r="R57">
        <v>-1.5280349424194872E-2</v>
      </c>
      <c r="S57">
        <v>-2.2928193613535486E-2</v>
      </c>
      <c r="T57">
        <v>-4.1186712470926423E-3</v>
      </c>
      <c r="U57">
        <v>-5.1713099869496681E-2</v>
      </c>
      <c r="V57">
        <v>-2.6205395887820782E-2</v>
      </c>
      <c r="W57">
        <v>-1.6493213056157141E-2</v>
      </c>
      <c r="Z57" s="64" t="s">
        <v>45</v>
      </c>
      <c r="AA57" s="64" t="s">
        <v>46</v>
      </c>
      <c r="AB57" s="64" t="s">
        <v>47</v>
      </c>
      <c r="AF57" s="55" t="s">
        <v>16</v>
      </c>
      <c r="AG57" s="3">
        <f>AD54*AF45</f>
        <v>374340.99356865784</v>
      </c>
    </row>
    <row r="58" spans="1:33" ht="17" thickTop="1" x14ac:dyDescent="0.2">
      <c r="A58" s="1">
        <v>40989</v>
      </c>
      <c r="B58">
        <v>2</v>
      </c>
      <c r="C58" t="s">
        <v>11</v>
      </c>
      <c r="D58">
        <v>1.8200999999999998E-2</v>
      </c>
      <c r="E58">
        <f t="shared" si="0"/>
        <v>1.0182009999999999</v>
      </c>
      <c r="F58" s="1">
        <f t="shared" si="1"/>
        <v>40987</v>
      </c>
      <c r="G58" cm="1">
        <f t="array" ref="G58">PRODUCT( _xlfn._xlws.FILTER($E:$E, ($C:$C=C58)*($F:$F=F58)) ) - 1</f>
        <v>-5.4778763710229272E-3</v>
      </c>
      <c r="J58" t="str">
        <v>CNR</v>
      </c>
      <c r="K58" s="1">
        <v>41295</v>
      </c>
      <c r="L58">
        <v>1.0896515356600966E-2</v>
      </c>
      <c r="R58">
        <v>2.7039893935220549E-2</v>
      </c>
      <c r="S58">
        <v>7.0256941874617951E-3</v>
      </c>
      <c r="T58">
        <v>4.1891388461250623E-2</v>
      </c>
      <c r="U58">
        <v>6.0558386519246277E-2</v>
      </c>
      <c r="V58">
        <v>3.4712600445855779E-2</v>
      </c>
      <c r="W58">
        <v>7.321725131471446E-3</v>
      </c>
      <c r="Z58" s="65">
        <f>(AB54*AA48)+(AB55*AC3)</f>
        <v>3.4596728175094881E-3</v>
      </c>
      <c r="AA58" s="65">
        <f>SQRT(AB54^2*AA49)</f>
        <v>1.4729619185423459E-2</v>
      </c>
      <c r="AB58" s="65">
        <f>Z58 - (7.5*AA58^2)</f>
        <v>1.8324602074025267E-3</v>
      </c>
      <c r="AF58" s="55" t="s">
        <v>44</v>
      </c>
      <c r="AG58" s="3">
        <f>SUM(AG52:AG57)</f>
        <v>924886.71547807823</v>
      </c>
    </row>
    <row r="59" spans="1:33" ht="17" thickBot="1" x14ac:dyDescent="0.25">
      <c r="A59" s="1">
        <v>40990</v>
      </c>
      <c r="B59">
        <v>2</v>
      </c>
      <c r="C59" t="s">
        <v>11</v>
      </c>
      <c r="D59">
        <v>-1.4324999999999999E-2</v>
      </c>
      <c r="E59">
        <f t="shared" si="0"/>
        <v>0.98567499999999997</v>
      </c>
      <c r="F59" s="1">
        <f t="shared" si="1"/>
        <v>40987</v>
      </c>
      <c r="G59" cm="1">
        <f t="array" ref="G59">PRODUCT( _xlfn._xlws.FILTER($E:$E, ($C:$C=C59)*($F:$F=F59)) ) - 1</f>
        <v>-5.4778763710229272E-3</v>
      </c>
      <c r="J59" t="str">
        <v>CNR</v>
      </c>
      <c r="K59" s="1">
        <v>41302</v>
      </c>
      <c r="L59">
        <v>1.5707486495311063E-3</v>
      </c>
      <c r="R59">
        <v>2.2663586830873772E-2</v>
      </c>
      <c r="S59">
        <v>1.274273123696279E-2</v>
      </c>
      <c r="T59">
        <v>1.6392712510715279E-2</v>
      </c>
      <c r="U59">
        <v>-2.575579783438986E-2</v>
      </c>
      <c r="V59">
        <v>-2.1544139599221079E-3</v>
      </c>
      <c r="W59">
        <v>1.4650405617946394E-3</v>
      </c>
    </row>
    <row r="60" spans="1:33" ht="17" thickBot="1" x14ac:dyDescent="0.25">
      <c r="A60" s="1">
        <v>40991</v>
      </c>
      <c r="B60">
        <v>2</v>
      </c>
      <c r="C60" t="s">
        <v>11</v>
      </c>
      <c r="D60">
        <v>3.9870000000000001E-3</v>
      </c>
      <c r="E60">
        <f t="shared" si="0"/>
        <v>1.003987</v>
      </c>
      <c r="F60" s="1">
        <f t="shared" si="1"/>
        <v>40987</v>
      </c>
      <c r="G60" cm="1">
        <f t="array" ref="G60">PRODUCT( _xlfn._xlws.FILTER($E:$E, ($C:$C=C60)*($F:$F=F60)) ) - 1</f>
        <v>-5.4778763710229272E-3</v>
      </c>
      <c r="J60" t="str">
        <v>CNR</v>
      </c>
      <c r="K60" s="1">
        <v>41309</v>
      </c>
      <c r="L60">
        <v>2.2151952869022606E-2</v>
      </c>
      <c r="R60">
        <v>1.9135469004784023E-2</v>
      </c>
      <c r="S60">
        <v>-2.0966692886691396E-3</v>
      </c>
      <c r="T60">
        <v>-7.1300956004857197E-3</v>
      </c>
      <c r="U60">
        <v>-6.7782341917089761E-3</v>
      </c>
      <c r="V60">
        <v>9.2545862687520852E-4</v>
      </c>
      <c r="W60">
        <v>1.4259156316485333E-2</v>
      </c>
      <c r="AD60" t="s">
        <v>67</v>
      </c>
      <c r="AE60" s="80" t="s">
        <v>67</v>
      </c>
      <c r="AF60" s="57" t="s">
        <v>52</v>
      </c>
    </row>
    <row r="61" spans="1:33" ht="17" thickBot="1" x14ac:dyDescent="0.25">
      <c r="A61" s="1">
        <v>40994</v>
      </c>
      <c r="B61">
        <v>2</v>
      </c>
      <c r="C61" t="s">
        <v>11</v>
      </c>
      <c r="D61">
        <v>2.9977E-2</v>
      </c>
      <c r="E61">
        <f t="shared" si="0"/>
        <v>1.0299769999999999</v>
      </c>
      <c r="F61" s="1">
        <f t="shared" si="1"/>
        <v>40994</v>
      </c>
      <c r="G61" cm="1">
        <f t="array" ref="G61">PRODUCT( _xlfn._xlws.FILTER($E:$E, ($C:$C=C61)*($F:$F=F61)) ) - 1</f>
        <v>1.5500614203529883E-2</v>
      </c>
      <c r="J61" t="str">
        <v>CNR</v>
      </c>
      <c r="K61" s="1">
        <v>41316</v>
      </c>
      <c r="L61">
        <v>2.8316827936698763E-2</v>
      </c>
      <c r="R61">
        <v>-1.2461916559502573E-2</v>
      </c>
      <c r="S61">
        <v>1.5010814701221564E-2</v>
      </c>
      <c r="T61">
        <v>1.1970779565291689E-2</v>
      </c>
      <c r="U61">
        <v>-3.7213549431970305E-3</v>
      </c>
      <c r="V61">
        <v>1.6184919270554765E-2</v>
      </c>
      <c r="W61">
        <v>2.3070418308875462E-2</v>
      </c>
      <c r="Y61" s="80" t="s">
        <v>67</v>
      </c>
      <c r="Z61" s="83" t="s">
        <v>50</v>
      </c>
      <c r="AD61" s="61" t="s">
        <v>42</v>
      </c>
      <c r="AF61" s="56" t="s">
        <v>11</v>
      </c>
      <c r="AG61" s="3">
        <f>AD62*AA12</f>
        <v>157380.55200793018</v>
      </c>
    </row>
    <row r="62" spans="1:33" x14ac:dyDescent="0.2">
      <c r="A62" s="1">
        <v>40995</v>
      </c>
      <c r="B62">
        <v>2</v>
      </c>
      <c r="C62" t="s">
        <v>11</v>
      </c>
      <c r="D62">
        <v>-7.8359999999999992E-3</v>
      </c>
      <c r="E62">
        <f t="shared" si="0"/>
        <v>0.99216400000000005</v>
      </c>
      <c r="F62" s="1">
        <f t="shared" si="1"/>
        <v>40994</v>
      </c>
      <c r="G62" cm="1">
        <f t="array" ref="G62">PRODUCT( _xlfn._xlws.FILTER($E:$E, ($C:$C=C62)*($F:$F=F62)) ) - 1</f>
        <v>1.5500614203529883E-2</v>
      </c>
      <c r="J62" t="str">
        <v>CNR</v>
      </c>
      <c r="K62" s="1">
        <v>41323</v>
      </c>
      <c r="L62">
        <v>-5.467393244401153E-3</v>
      </c>
      <c r="R62">
        <v>1.1838114553744727E-2</v>
      </c>
      <c r="S62">
        <v>5.9154461103099187E-3</v>
      </c>
      <c r="T62">
        <v>2.1291723110382854E-2</v>
      </c>
      <c r="U62">
        <v>1.6499298011673158E-2</v>
      </c>
      <c r="V62">
        <v>3.3695743325026228E-3</v>
      </c>
      <c r="W62">
        <v>1.3389768197169305E-2</v>
      </c>
      <c r="Z62" s="82" t="s">
        <v>48</v>
      </c>
      <c r="AA62" s="60"/>
      <c r="AB62" s="60">
        <f>(AA22-AC3) / (15*AA23)</f>
        <v>0.90962664804684989</v>
      </c>
      <c r="AD62" s="58">
        <f>AB62*1000000</f>
        <v>909626.64804684988</v>
      </c>
      <c r="AF62" s="55" t="s">
        <v>12</v>
      </c>
      <c r="AG62" s="3">
        <f>AD62*AB12</f>
        <v>-41498.337778491019</v>
      </c>
    </row>
    <row r="63" spans="1:33" x14ac:dyDescent="0.2">
      <c r="A63" s="1">
        <v>40996</v>
      </c>
      <c r="B63">
        <v>2</v>
      </c>
      <c r="C63" t="s">
        <v>11</v>
      </c>
      <c r="D63">
        <v>-4.1370000000000001E-3</v>
      </c>
      <c r="E63">
        <f t="shared" si="0"/>
        <v>0.99586300000000005</v>
      </c>
      <c r="F63" s="1">
        <f t="shared" si="1"/>
        <v>40994</v>
      </c>
      <c r="G63" cm="1">
        <f t="array" ref="G63">PRODUCT( _xlfn._xlws.FILTER($E:$E, ($C:$C=C63)*($F:$F=F63)) ) - 1</f>
        <v>1.5500614203529883E-2</v>
      </c>
      <c r="J63" t="str">
        <v>CNR</v>
      </c>
      <c r="K63" s="1">
        <v>41330</v>
      </c>
      <c r="L63">
        <v>3.828517918272456E-2</v>
      </c>
      <c r="R63">
        <v>-7.06343429855949E-3</v>
      </c>
      <c r="S63">
        <v>-3.2344568119387906E-3</v>
      </c>
      <c r="T63">
        <v>-1.1416622946235688E-2</v>
      </c>
      <c r="U63">
        <v>-1.3169207780124204E-2</v>
      </c>
      <c r="V63">
        <v>-1.221442515999982E-3</v>
      </c>
      <c r="W63">
        <v>-7.3025479641719571E-3</v>
      </c>
      <c r="Z63" s="66" t="s">
        <v>49</v>
      </c>
      <c r="AA63" s="60"/>
      <c r="AB63" s="60">
        <f>1-AB62</f>
        <v>9.0373351953150105E-2</v>
      </c>
      <c r="AD63" s="58">
        <f>AB63*1000000</f>
        <v>90373.351953150108</v>
      </c>
      <c r="AF63" s="55" t="s">
        <v>13</v>
      </c>
      <c r="AG63" s="3">
        <f>AD62*AC12</f>
        <v>273847.49418593576</v>
      </c>
    </row>
    <row r="64" spans="1:33" x14ac:dyDescent="0.2">
      <c r="A64" s="1">
        <v>40997</v>
      </c>
      <c r="B64">
        <v>2</v>
      </c>
      <c r="C64" t="s">
        <v>11</v>
      </c>
      <c r="D64">
        <v>-4.4060000000000002E-3</v>
      </c>
      <c r="E64">
        <f t="shared" si="0"/>
        <v>0.99559399999999998</v>
      </c>
      <c r="F64" s="1">
        <f t="shared" si="1"/>
        <v>40994</v>
      </c>
      <c r="G64" cm="1">
        <f t="array" ref="G64">PRODUCT( _xlfn._xlws.FILTER($E:$E, ($C:$C=C64)*($F:$F=F64)) ) - 1</f>
        <v>1.5500614203529883E-2</v>
      </c>
      <c r="J64" t="str">
        <v>CNR</v>
      </c>
      <c r="K64" s="1">
        <v>41337</v>
      </c>
      <c r="L64">
        <v>-6.088663818432094E-4</v>
      </c>
      <c r="R64">
        <v>6.7812195264860264E-3</v>
      </c>
      <c r="S64">
        <v>1.7994444658174791E-2</v>
      </c>
      <c r="T64">
        <v>2.209295554578139E-2</v>
      </c>
      <c r="U64">
        <v>4.221008171231988E-2</v>
      </c>
      <c r="V64">
        <v>-3.8205290528876557E-3</v>
      </c>
      <c r="W64">
        <v>1.681211785478709E-2</v>
      </c>
      <c r="AB64" t="s">
        <v>68</v>
      </c>
      <c r="AF64" s="55" t="s">
        <v>14</v>
      </c>
      <c r="AG64" s="3">
        <f>AD62*AD12</f>
        <v>-64436.643943393581</v>
      </c>
    </row>
    <row r="65" spans="1:33" ht="17" thickBot="1" x14ac:dyDescent="0.25">
      <c r="A65" s="1">
        <v>40998</v>
      </c>
      <c r="B65">
        <v>2</v>
      </c>
      <c r="C65" t="s">
        <v>11</v>
      </c>
      <c r="D65">
        <v>2.2759999999999998E-3</v>
      </c>
      <c r="E65">
        <f t="shared" si="0"/>
        <v>1.0022759999999999</v>
      </c>
      <c r="F65" s="1">
        <f t="shared" si="1"/>
        <v>40994</v>
      </c>
      <c r="G65" cm="1">
        <f t="array" ref="G65">PRODUCT( _xlfn._xlws.FILTER($E:$E, ($C:$C=C65)*($F:$F=F65)) ) - 1</f>
        <v>1.5500614203529883E-2</v>
      </c>
      <c r="J65" t="str">
        <v>CNR</v>
      </c>
      <c r="K65" s="1">
        <v>41344</v>
      </c>
      <c r="L65">
        <v>-1.3349015505929596E-2</v>
      </c>
      <c r="R65">
        <v>2.4180122342576826E-2</v>
      </c>
      <c r="S65">
        <v>-4.6353501435201228E-3</v>
      </c>
      <c r="T65">
        <v>-2.7820680948262844E-3</v>
      </c>
      <c r="U65">
        <v>-1.7861942473785808E-3</v>
      </c>
      <c r="V65">
        <v>-3.0678138089020868E-3</v>
      </c>
      <c r="W65">
        <v>8.2676382224755596E-3</v>
      </c>
      <c r="Y65" s="80" t="s">
        <v>68</v>
      </c>
      <c r="Z65" s="62" t="s">
        <v>53</v>
      </c>
      <c r="AA65" s="62" t="s">
        <v>46</v>
      </c>
      <c r="AB65" s="62" t="s">
        <v>47</v>
      </c>
      <c r="AF65" s="55" t="s">
        <v>15</v>
      </c>
      <c r="AG65" s="3">
        <f>AD62*AE12</f>
        <v>190238.02483804515</v>
      </c>
    </row>
    <row r="66" spans="1:33" ht="17" thickTop="1" x14ac:dyDescent="0.2">
      <c r="A66" s="1">
        <v>41001</v>
      </c>
      <c r="B66">
        <v>2</v>
      </c>
      <c r="C66" t="s">
        <v>11</v>
      </c>
      <c r="D66">
        <v>5.6769999999999998E-3</v>
      </c>
      <c r="E66">
        <f t="shared" si="0"/>
        <v>1.0056769999999999</v>
      </c>
      <c r="F66" s="1">
        <f t="shared" si="1"/>
        <v>41001</v>
      </c>
      <c r="G66" cm="1">
        <f t="array" ref="G66">PRODUCT( _xlfn._xlws.FILTER($E:$E, ($C:$C=C66)*($F:$F=F66)) ) - 1</f>
        <v>-1.488506850860527E-2</v>
      </c>
      <c r="J66" t="str">
        <v>CNR</v>
      </c>
      <c r="K66" s="1">
        <v>41351</v>
      </c>
      <c r="L66">
        <v>-2.450921915497839E-2</v>
      </c>
      <c r="R66">
        <v>1.8973651772589584E-2</v>
      </c>
      <c r="S66">
        <v>4.0752281108260568E-3</v>
      </c>
      <c r="T66">
        <v>1.3792596659516265E-2</v>
      </c>
      <c r="U66">
        <v>6.5633524899135764E-3</v>
      </c>
      <c r="V66">
        <v>9.2323917184535809E-3</v>
      </c>
      <c r="W66">
        <v>2.0499652668842128E-2</v>
      </c>
      <c r="Z66" s="60">
        <f>(AB62*AA22)+(AB63*AC3)</f>
        <v>3.5257560687988175E-3</v>
      </c>
      <c r="AA66" s="60">
        <f>SQRT(AB62^2*AA23)</f>
        <v>1.4878414950308051E-2</v>
      </c>
      <c r="AB66" s="60">
        <f>Z66-(7.5*AA66^2)</f>
        <v>1.8655018330471914E-3</v>
      </c>
      <c r="AF66" s="55" t="s">
        <v>16</v>
      </c>
      <c r="AG66" s="3">
        <f>AD62*AF12</f>
        <v>394095.55873682332</v>
      </c>
    </row>
    <row r="67" spans="1:33" x14ac:dyDescent="0.2">
      <c r="A67" s="1">
        <v>41002</v>
      </c>
      <c r="B67">
        <v>2</v>
      </c>
      <c r="C67" t="s">
        <v>11</v>
      </c>
      <c r="D67">
        <v>-1.5679999999999999E-2</v>
      </c>
      <c r="E67">
        <f t="shared" si="0"/>
        <v>0.98431999999999997</v>
      </c>
      <c r="F67" s="1">
        <f t="shared" si="1"/>
        <v>41001</v>
      </c>
      <c r="G67" cm="1">
        <f t="array" ref="G67">PRODUCT( _xlfn._xlws.FILTER($E:$E, ($C:$C=C67)*($F:$F=F67)) ) - 1</f>
        <v>-1.488506850860527E-2</v>
      </c>
      <c r="J67" t="str">
        <v>CNR</v>
      </c>
      <c r="K67" s="1">
        <v>41358</v>
      </c>
      <c r="L67">
        <v>2.6129702660137921E-2</v>
      </c>
      <c r="R67">
        <v>1.0896515356600966E-2</v>
      </c>
      <c r="S67">
        <v>-3.1904109204851094E-3</v>
      </c>
      <c r="T67">
        <v>1.5602070013500668E-2</v>
      </c>
      <c r="U67">
        <v>1.8672028732476864E-2</v>
      </c>
      <c r="V67">
        <v>-8.5382209723017244E-3</v>
      </c>
      <c r="W67">
        <v>3.6492374948591477E-2</v>
      </c>
      <c r="AF67" s="55" t="s">
        <v>44</v>
      </c>
      <c r="AG67" s="3">
        <f>SUM(AG61:AG66)</f>
        <v>909626.64804684976</v>
      </c>
    </row>
    <row r="68" spans="1:33" x14ac:dyDescent="0.2">
      <c r="A68" s="1">
        <v>41003</v>
      </c>
      <c r="B68">
        <v>2</v>
      </c>
      <c r="C68" t="s">
        <v>11</v>
      </c>
      <c r="D68">
        <v>-3.313E-3</v>
      </c>
      <c r="E68">
        <f t="shared" ref="E68:E131" si="2">D68+1</f>
        <v>0.99668699999999999</v>
      </c>
      <c r="F68" s="1">
        <f t="shared" ref="F68:F131" si="3">A68 - (WEEKDAY(A68, 2) - 1)</f>
        <v>41001</v>
      </c>
      <c r="G68" cm="1">
        <f t="array" ref="G68">PRODUCT( _xlfn._xlws.FILTER($E:$E, ($C:$C=C68)*($F:$F=F68)) ) - 1</f>
        <v>-1.488506850860527E-2</v>
      </c>
      <c r="J68" t="str">
        <v>CNR</v>
      </c>
      <c r="K68" s="1">
        <v>41365</v>
      </c>
      <c r="L68">
        <v>-3.6729742837636747E-2</v>
      </c>
      <c r="R68">
        <v>1.5707486495311063E-3</v>
      </c>
      <c r="S68">
        <v>4.3623262487095804E-3</v>
      </c>
      <c r="T68">
        <v>7.08629131683991E-3</v>
      </c>
      <c r="U68">
        <v>1.4548545629937681E-3</v>
      </c>
      <c r="V68">
        <v>3.8905620271875385E-2</v>
      </c>
      <c r="W68">
        <v>-3.5532080578288827E-3</v>
      </c>
      <c r="Y68" s="80" t="s">
        <v>69</v>
      </c>
      <c r="Z68" t="s">
        <v>55</v>
      </c>
      <c r="AA68">
        <f>AB66-AB58</f>
        <v>3.3041625644664695E-5</v>
      </c>
    </row>
    <row r="69" spans="1:33" x14ac:dyDescent="0.2">
      <c r="A69" s="1">
        <v>41004</v>
      </c>
      <c r="B69">
        <v>2</v>
      </c>
      <c r="C69" t="s">
        <v>11</v>
      </c>
      <c r="D69">
        <v>-1.534E-3</v>
      </c>
      <c r="E69">
        <f t="shared" si="2"/>
        <v>0.99846599999999996</v>
      </c>
      <c r="F69" s="1">
        <f t="shared" si="3"/>
        <v>41001</v>
      </c>
      <c r="G69" cm="1">
        <f t="array" ref="G69">PRODUCT( _xlfn._xlws.FILTER($E:$E, ($C:$C=C69)*($F:$F=F69)) ) - 1</f>
        <v>-1.488506850860527E-2</v>
      </c>
      <c r="J69" t="str">
        <v>CNR</v>
      </c>
      <c r="K69" s="1">
        <v>41372</v>
      </c>
      <c r="L69">
        <v>7.7263635436670697E-3</v>
      </c>
      <c r="R69">
        <v>2.2151952869022606E-2</v>
      </c>
      <c r="S69">
        <v>-2.1721342938743393E-2</v>
      </c>
      <c r="T69">
        <v>5.5959350209691117E-3</v>
      </c>
      <c r="U69">
        <v>-6.1591899904842151E-2</v>
      </c>
      <c r="V69">
        <v>-2.308994800257691E-2</v>
      </c>
      <c r="W69">
        <v>-2.9160460290412749E-3</v>
      </c>
    </row>
    <row r="70" spans="1:33" x14ac:dyDescent="0.2">
      <c r="A70" s="1">
        <v>41008</v>
      </c>
      <c r="B70">
        <v>2</v>
      </c>
      <c r="C70" t="s">
        <v>11</v>
      </c>
      <c r="D70">
        <v>-4.8659999999999997E-3</v>
      </c>
      <c r="E70">
        <f t="shared" si="2"/>
        <v>0.99513399999999996</v>
      </c>
      <c r="F70" s="1">
        <f t="shared" si="3"/>
        <v>41008</v>
      </c>
      <c r="G70" cm="1">
        <f t="array" ref="G70">PRODUCT( _xlfn._xlws.FILTER($E:$E, ($C:$C=C70)*($F:$F=F70)) ) - 1</f>
        <v>5.1229030669805997E-3</v>
      </c>
      <c r="J70" t="str">
        <v>CNR</v>
      </c>
      <c r="K70" s="1">
        <v>41379</v>
      </c>
      <c r="L70">
        <v>-6.3557043874172825E-3</v>
      </c>
      <c r="R70">
        <v>2.8316827936698763E-2</v>
      </c>
      <c r="S70">
        <v>-1.2717867026691754E-2</v>
      </c>
      <c r="T70">
        <v>6.5196274561771794E-3</v>
      </c>
      <c r="U70">
        <v>-1.7028260227722858E-2</v>
      </c>
      <c r="V70">
        <v>2.742467376206581E-2</v>
      </c>
      <c r="W70">
        <v>1.3004823353683914E-3</v>
      </c>
    </row>
    <row r="71" spans="1:33" x14ac:dyDescent="0.2">
      <c r="A71" s="1">
        <v>41009</v>
      </c>
      <c r="B71">
        <v>2</v>
      </c>
      <c r="C71" t="s">
        <v>11</v>
      </c>
      <c r="D71">
        <v>-2.1361000000000002E-2</v>
      </c>
      <c r="E71">
        <f t="shared" si="2"/>
        <v>0.97863900000000004</v>
      </c>
      <c r="F71" s="1">
        <f t="shared" si="3"/>
        <v>41008</v>
      </c>
      <c r="G71" cm="1">
        <f t="array" ref="G71">PRODUCT( _xlfn._xlws.FILTER($E:$E, ($C:$C=C71)*($F:$F=F71)) ) - 1</f>
        <v>5.1229030669805997E-3</v>
      </c>
      <c r="J71" t="str">
        <v>CNR</v>
      </c>
      <c r="K71" s="1">
        <v>41386</v>
      </c>
      <c r="L71">
        <v>-9.7484690957974074E-3</v>
      </c>
      <c r="R71">
        <v>-5.467393244401153E-3</v>
      </c>
      <c r="S71">
        <v>2.3304967233850782E-2</v>
      </c>
      <c r="T71">
        <v>1.5007404311269568E-2</v>
      </c>
      <c r="U71">
        <v>6.298020687414807E-3</v>
      </c>
      <c r="V71">
        <v>2.4775385762118907E-2</v>
      </c>
      <c r="W71">
        <v>1.3827475341403606E-3</v>
      </c>
    </row>
    <row r="72" spans="1:33" x14ac:dyDescent="0.2">
      <c r="A72" s="1">
        <v>41010</v>
      </c>
      <c r="B72">
        <v>2</v>
      </c>
      <c r="C72" t="s">
        <v>11</v>
      </c>
      <c r="D72">
        <v>2.3536999999999999E-2</v>
      </c>
      <c r="E72">
        <f t="shared" si="2"/>
        <v>1.0235369999999999</v>
      </c>
      <c r="F72" s="1">
        <f t="shared" si="3"/>
        <v>41008</v>
      </c>
      <c r="G72" cm="1">
        <f t="array" ref="G72">PRODUCT( _xlfn._xlws.FILTER($E:$E, ($C:$C=C72)*($F:$F=F72)) ) - 1</f>
        <v>5.1229030669805997E-3</v>
      </c>
      <c r="J72" t="str">
        <v>CNR</v>
      </c>
      <c r="K72" s="1">
        <v>41393</v>
      </c>
      <c r="L72">
        <v>2.091975601568441E-2</v>
      </c>
      <c r="R72">
        <v>3.828517918272456E-2</v>
      </c>
      <c r="S72">
        <v>-5.0278588450963779E-3</v>
      </c>
      <c r="T72">
        <v>-7.4706417369627687E-3</v>
      </c>
      <c r="U72">
        <v>-2.8840689855454071E-2</v>
      </c>
      <c r="V72">
        <v>1.9859463511634701E-2</v>
      </c>
      <c r="W72">
        <v>2.6549844248945575E-2</v>
      </c>
    </row>
    <row r="73" spans="1:33" x14ac:dyDescent="0.2">
      <c r="A73" s="1">
        <v>41011</v>
      </c>
      <c r="B73">
        <v>2</v>
      </c>
      <c r="C73" t="s">
        <v>11</v>
      </c>
      <c r="D73">
        <v>1.2076E-2</v>
      </c>
      <c r="E73">
        <f t="shared" si="2"/>
        <v>1.012076</v>
      </c>
      <c r="F73" s="1">
        <f t="shared" si="3"/>
        <v>41008</v>
      </c>
      <c r="G73" cm="1">
        <f t="array" ref="G73">PRODUCT( _xlfn._xlws.FILTER($E:$E, ($C:$C=C73)*($F:$F=F73)) ) - 1</f>
        <v>5.1229030669805997E-3</v>
      </c>
      <c r="J73" t="str">
        <v>CNR</v>
      </c>
      <c r="K73" s="1">
        <v>41400</v>
      </c>
      <c r="L73">
        <v>2.9128610172069358E-2</v>
      </c>
      <c r="R73">
        <v>-6.088663818432094E-4</v>
      </c>
      <c r="S73">
        <v>2.6762819458638898E-3</v>
      </c>
      <c r="T73">
        <v>-2.101300838700404E-2</v>
      </c>
      <c r="U73">
        <v>1.7799705179665448E-2</v>
      </c>
      <c r="V73">
        <v>-6.4817739702897059E-3</v>
      </c>
      <c r="W73">
        <v>9.2595288560117783E-3</v>
      </c>
    </row>
    <row r="74" spans="1:33" x14ac:dyDescent="0.2">
      <c r="A74" s="1">
        <v>41012</v>
      </c>
      <c r="B74">
        <v>2</v>
      </c>
      <c r="C74" t="s">
        <v>11</v>
      </c>
      <c r="D74">
        <v>-3.6809999999999998E-3</v>
      </c>
      <c r="E74">
        <f t="shared" si="2"/>
        <v>0.99631899999999995</v>
      </c>
      <c r="F74" s="1">
        <f t="shared" si="3"/>
        <v>41008</v>
      </c>
      <c r="G74" cm="1">
        <f t="array" ref="G74">PRODUCT( _xlfn._xlws.FILTER($E:$E, ($C:$C=C74)*($F:$F=F74)) ) - 1</f>
        <v>5.1229030669805997E-3</v>
      </c>
      <c r="J74" t="str">
        <v>CNR</v>
      </c>
      <c r="K74" s="1">
        <v>41407</v>
      </c>
      <c r="L74">
        <v>3.142776051679852E-2</v>
      </c>
      <c r="R74">
        <v>-1.3349015505929596E-2</v>
      </c>
      <c r="S74">
        <v>-1.1266549440128615E-2</v>
      </c>
      <c r="T74">
        <v>-1.6018080938022039E-2</v>
      </c>
      <c r="U74">
        <v>6.9949460433411659E-3</v>
      </c>
      <c r="V74">
        <v>-2.5801429224576733E-3</v>
      </c>
      <c r="W74">
        <v>4.0177302091719103E-2</v>
      </c>
    </row>
    <row r="75" spans="1:33" x14ac:dyDescent="0.2">
      <c r="A75" s="1">
        <v>41015</v>
      </c>
      <c r="B75">
        <v>2</v>
      </c>
      <c r="C75" t="s">
        <v>11</v>
      </c>
      <c r="D75">
        <v>1.2104E-2</v>
      </c>
      <c r="E75">
        <f t="shared" si="2"/>
        <v>1.0121039999999999</v>
      </c>
      <c r="F75" s="1">
        <f t="shared" si="3"/>
        <v>41015</v>
      </c>
      <c r="G75" cm="1">
        <f t="array" ref="G75">PRODUCT( _xlfn._xlws.FILTER($E:$E, ($C:$C=C75)*($F:$F=F75)) ) - 1</f>
        <v>2.0894750845260379E-2</v>
      </c>
      <c r="J75" t="str">
        <v>CNR</v>
      </c>
      <c r="K75" s="1">
        <v>41414</v>
      </c>
      <c r="L75">
        <v>-1.107194287733626E-2</v>
      </c>
      <c r="R75">
        <v>-2.450921915497839E-2</v>
      </c>
      <c r="S75">
        <v>1.0493725352853867E-2</v>
      </c>
      <c r="T75">
        <v>-9.7685255121349179E-4</v>
      </c>
      <c r="U75">
        <v>-2.210248779502566E-2</v>
      </c>
      <c r="V75">
        <v>1.1491468113729031E-3</v>
      </c>
      <c r="W75">
        <v>3.3466505236152688E-3</v>
      </c>
      <c r="Z75" t="s">
        <v>61</v>
      </c>
    </row>
    <row r="76" spans="1:33" x14ac:dyDescent="0.2">
      <c r="A76" s="1">
        <v>41016</v>
      </c>
      <c r="B76">
        <v>2</v>
      </c>
      <c r="C76" t="s">
        <v>11</v>
      </c>
      <c r="D76">
        <v>2.0140000000000002E-3</v>
      </c>
      <c r="E76">
        <f t="shared" si="2"/>
        <v>1.002014</v>
      </c>
      <c r="F76" s="1">
        <f t="shared" si="3"/>
        <v>41015</v>
      </c>
      <c r="G76" cm="1">
        <f t="array" ref="G76">PRODUCT( _xlfn._xlws.FILTER($E:$E, ($C:$C=C76)*($F:$F=F76)) ) - 1</f>
        <v>2.0894750845260379E-2</v>
      </c>
      <c r="J76" t="str">
        <v>CNR</v>
      </c>
      <c r="K76" s="1">
        <v>41421</v>
      </c>
      <c r="L76">
        <v>6.6980112975569828E-3</v>
      </c>
      <c r="R76">
        <v>2.6129702660137921E-2</v>
      </c>
      <c r="S76">
        <v>1.335314280065969E-2</v>
      </c>
      <c r="T76">
        <v>-2.7699163578407404E-3</v>
      </c>
      <c r="U76">
        <v>-1.7113004184071579E-2</v>
      </c>
      <c r="V76">
        <v>7.0336039539939943E-3</v>
      </c>
      <c r="W76">
        <v>-9.0904308064376771E-4</v>
      </c>
    </row>
    <row r="77" spans="1:33" x14ac:dyDescent="0.2">
      <c r="A77" s="1">
        <v>41017</v>
      </c>
      <c r="B77">
        <v>2</v>
      </c>
      <c r="C77" t="s">
        <v>11</v>
      </c>
      <c r="D77">
        <v>4.1460000000000004E-3</v>
      </c>
      <c r="E77">
        <f t="shared" si="2"/>
        <v>1.004146</v>
      </c>
      <c r="F77" s="1">
        <f t="shared" si="3"/>
        <v>41015</v>
      </c>
      <c r="G77" cm="1">
        <f t="array" ref="G77">PRODUCT( _xlfn._xlws.FILTER($E:$E, ($C:$C=C77)*($F:$F=F77)) ) - 1</f>
        <v>2.0894750845260379E-2</v>
      </c>
      <c r="J77" t="str">
        <v>CNR</v>
      </c>
      <c r="K77" s="1">
        <v>41428</v>
      </c>
      <c r="L77">
        <v>-2.7756092364462415E-2</v>
      </c>
      <c r="R77">
        <v>-3.6729742837636747E-2</v>
      </c>
      <c r="S77">
        <v>-1.1418663669110374E-2</v>
      </c>
      <c r="T77">
        <v>-2.5815675732958621E-2</v>
      </c>
      <c r="U77">
        <v>-3.8764773086663484E-2</v>
      </c>
      <c r="V77">
        <v>-1.82440528404334E-2</v>
      </c>
      <c r="W77">
        <v>-1.9113741059552991E-2</v>
      </c>
    </row>
    <row r="78" spans="1:33" x14ac:dyDescent="0.2">
      <c r="A78" s="1">
        <v>41018</v>
      </c>
      <c r="B78">
        <v>2</v>
      </c>
      <c r="C78" t="s">
        <v>11</v>
      </c>
      <c r="D78">
        <v>-4.6290000000000003E-3</v>
      </c>
      <c r="E78">
        <f t="shared" si="2"/>
        <v>0.99537100000000001</v>
      </c>
      <c r="F78" s="1">
        <f t="shared" si="3"/>
        <v>41015</v>
      </c>
      <c r="G78" cm="1">
        <f t="array" ref="G78">PRODUCT( _xlfn._xlws.FILTER($E:$E, ($C:$C=C78)*($F:$F=F78)) ) - 1</f>
        <v>2.0894750845260379E-2</v>
      </c>
      <c r="J78" t="str">
        <v>CNR</v>
      </c>
      <c r="K78" s="1">
        <v>41435</v>
      </c>
      <c r="L78">
        <v>-1.9437354616859026E-2</v>
      </c>
      <c r="R78">
        <v>7.7263635436670697E-3</v>
      </c>
      <c r="S78">
        <v>-1.1844232062250271E-3</v>
      </c>
      <c r="T78">
        <v>3.3211122608707733E-2</v>
      </c>
      <c r="U78">
        <v>-1.5037394481114408E-2</v>
      </c>
      <c r="V78">
        <v>1.9164320960840975E-2</v>
      </c>
      <c r="W78">
        <v>2.2889206815152496E-2</v>
      </c>
    </row>
    <row r="79" spans="1:33" x14ac:dyDescent="0.2">
      <c r="A79" s="1">
        <v>41019</v>
      </c>
      <c r="B79">
        <v>2</v>
      </c>
      <c r="C79" t="s">
        <v>11</v>
      </c>
      <c r="D79">
        <v>7.1640000000000002E-3</v>
      </c>
      <c r="E79">
        <f t="shared" si="2"/>
        <v>1.0071639999999999</v>
      </c>
      <c r="F79" s="1">
        <f t="shared" si="3"/>
        <v>41015</v>
      </c>
      <c r="G79" cm="1">
        <f t="array" ref="G79">PRODUCT( _xlfn._xlws.FILTER($E:$E, ($C:$C=C79)*($F:$F=F79)) ) - 1</f>
        <v>2.0894750845260379E-2</v>
      </c>
      <c r="J79" t="str">
        <v>CNR</v>
      </c>
      <c r="K79" s="1">
        <v>41442</v>
      </c>
      <c r="L79">
        <v>-5.2054127343613699E-3</v>
      </c>
      <c r="R79">
        <v>-6.3557043874172825E-3</v>
      </c>
      <c r="S79">
        <v>-3.2616507725877764E-3</v>
      </c>
      <c r="T79">
        <v>-2.4344939930214249E-3</v>
      </c>
      <c r="U79">
        <v>-2.3942862724628089E-2</v>
      </c>
      <c r="V79">
        <v>3.2763966321798454E-2</v>
      </c>
      <c r="W79">
        <v>4.8389628604599277E-3</v>
      </c>
    </row>
    <row r="80" spans="1:33" x14ac:dyDescent="0.2">
      <c r="A80" s="1">
        <v>41022</v>
      </c>
      <c r="B80">
        <v>2</v>
      </c>
      <c r="C80" t="s">
        <v>11</v>
      </c>
      <c r="D80">
        <v>-9.2350000000000002E-3</v>
      </c>
      <c r="E80">
        <f t="shared" si="2"/>
        <v>0.99076500000000001</v>
      </c>
      <c r="F80" s="1">
        <f t="shared" si="3"/>
        <v>41022</v>
      </c>
      <c r="G80" cm="1">
        <f t="array" ref="G80">PRODUCT( _xlfn._xlws.FILTER($E:$E, ($C:$C=C80)*($F:$F=F80)) ) - 1</f>
        <v>5.3162991081122435E-2</v>
      </c>
      <c r="J80" t="str">
        <v>CNR</v>
      </c>
      <c r="K80" s="1">
        <v>41449</v>
      </c>
      <c r="L80">
        <v>3.0595742043085794E-2</v>
      </c>
      <c r="R80">
        <v>-9.7484690957974074E-3</v>
      </c>
      <c r="S80">
        <v>2.2313987248431699E-2</v>
      </c>
      <c r="T80">
        <v>-1.2993723859809347E-2</v>
      </c>
      <c r="U80">
        <v>4.0881914751784265E-2</v>
      </c>
      <c r="V80">
        <v>-1.6828352255864321E-2</v>
      </c>
      <c r="W80">
        <v>1.6550686191246555E-2</v>
      </c>
    </row>
    <row r="81" spans="1:23" x14ac:dyDescent="0.2">
      <c r="A81" s="1">
        <v>41023</v>
      </c>
      <c r="B81">
        <v>2</v>
      </c>
      <c r="C81" t="s">
        <v>11</v>
      </c>
      <c r="D81">
        <v>2.3303000000000001E-2</v>
      </c>
      <c r="E81">
        <f t="shared" si="2"/>
        <v>1.0233030000000001</v>
      </c>
      <c r="F81" s="1">
        <f t="shared" si="3"/>
        <v>41022</v>
      </c>
      <c r="G81" cm="1">
        <f t="array" ref="G81">PRODUCT( _xlfn._xlws.FILTER($E:$E, ($C:$C=C81)*($F:$F=F81)) ) - 1</f>
        <v>5.3162991081122435E-2</v>
      </c>
      <c r="J81" t="str">
        <v>CNR</v>
      </c>
      <c r="K81" s="1">
        <v>41456</v>
      </c>
      <c r="L81">
        <v>1.0350253022861189E-2</v>
      </c>
      <c r="R81">
        <v>2.091975601568441E-2</v>
      </c>
      <c r="S81">
        <v>1.5133839884427625E-2</v>
      </c>
      <c r="T81">
        <v>1.7828391493472706E-2</v>
      </c>
      <c r="U81">
        <v>6.1817866962781576E-2</v>
      </c>
      <c r="V81">
        <v>1.3186889530635071E-2</v>
      </c>
      <c r="W81">
        <v>1.5097122986293954E-2</v>
      </c>
    </row>
    <row r="82" spans="1:23" x14ac:dyDescent="0.2">
      <c r="A82" s="1">
        <v>41024</v>
      </c>
      <c r="B82">
        <v>2</v>
      </c>
      <c r="C82" t="s">
        <v>11</v>
      </c>
      <c r="D82">
        <v>1.9078999999999999E-2</v>
      </c>
      <c r="E82">
        <f t="shared" si="2"/>
        <v>1.0190790000000001</v>
      </c>
      <c r="F82" s="1">
        <f t="shared" si="3"/>
        <v>41022</v>
      </c>
      <c r="G82" cm="1">
        <f t="array" ref="G82">PRODUCT( _xlfn._xlws.FILTER($E:$E, ($C:$C=C82)*($F:$F=F82)) ) - 1</f>
        <v>5.3162991081122435E-2</v>
      </c>
      <c r="J82" t="str">
        <v>CNR</v>
      </c>
      <c r="K82" s="1">
        <v>41463</v>
      </c>
      <c r="L82">
        <v>1.4207517380216084E-2</v>
      </c>
      <c r="R82">
        <v>2.9128610172069358E-2</v>
      </c>
      <c r="S82">
        <v>-1.1467473076374413E-2</v>
      </c>
      <c r="T82">
        <v>9.1671569053044522E-3</v>
      </c>
      <c r="U82">
        <v>3.0557364276759591E-2</v>
      </c>
      <c r="V82">
        <v>3.8768623776314959E-2</v>
      </c>
      <c r="W82">
        <v>1.3706019388610047E-2</v>
      </c>
    </row>
    <row r="83" spans="1:23" x14ac:dyDescent="0.2">
      <c r="A83" s="1">
        <v>41025</v>
      </c>
      <c r="B83">
        <v>2</v>
      </c>
      <c r="C83" t="s">
        <v>11</v>
      </c>
      <c r="D83">
        <v>1.4132E-2</v>
      </c>
      <c r="E83">
        <f t="shared" si="2"/>
        <v>1.014132</v>
      </c>
      <c r="F83" s="1">
        <f t="shared" si="3"/>
        <v>41022</v>
      </c>
      <c r="G83" cm="1">
        <f t="array" ref="G83">PRODUCT( _xlfn._xlws.FILTER($E:$E, ($C:$C=C83)*($F:$F=F83)) ) - 1</f>
        <v>5.3162991081122435E-2</v>
      </c>
      <c r="J83" t="str">
        <v>CNR</v>
      </c>
      <c r="K83" s="1">
        <v>41470</v>
      </c>
      <c r="L83">
        <v>5.9082195297259776E-3</v>
      </c>
      <c r="R83">
        <v>3.142776051679852E-2</v>
      </c>
      <c r="S83">
        <v>-5.1272762858770582E-3</v>
      </c>
      <c r="T83">
        <v>8.4342303464728374E-3</v>
      </c>
      <c r="U83">
        <v>2.7465117016100882E-2</v>
      </c>
      <c r="V83">
        <v>-3.1988773965585526E-3</v>
      </c>
      <c r="W83">
        <v>2.1577581087137254E-2</v>
      </c>
    </row>
    <row r="84" spans="1:23" x14ac:dyDescent="0.2">
      <c r="A84" s="1">
        <v>41026</v>
      </c>
      <c r="B84">
        <v>2</v>
      </c>
      <c r="C84" t="s">
        <v>11</v>
      </c>
      <c r="D84">
        <v>5.1209999999999997E-3</v>
      </c>
      <c r="E84">
        <f t="shared" si="2"/>
        <v>1.0051209999999999</v>
      </c>
      <c r="F84" s="1">
        <f t="shared" si="3"/>
        <v>41022</v>
      </c>
      <c r="G84" cm="1">
        <f t="array" ref="G84">PRODUCT( _xlfn._xlws.FILTER($E:$E, ($C:$C=C84)*($F:$F=F84)) ) - 1</f>
        <v>5.3162991081122435E-2</v>
      </c>
      <c r="J84" t="str">
        <v>CNR</v>
      </c>
      <c r="K84" s="1">
        <v>41477</v>
      </c>
      <c r="L84">
        <v>-2.1885080006491031E-2</v>
      </c>
      <c r="R84">
        <v>-1.107194287733626E-2</v>
      </c>
      <c r="S84">
        <v>-1.0590434404971538E-2</v>
      </c>
      <c r="T84">
        <v>2.1875452628388858E-2</v>
      </c>
      <c r="U84">
        <v>-2.9465211501683908E-2</v>
      </c>
      <c r="V84">
        <v>-5.6160121850653555E-3</v>
      </c>
      <c r="W84">
        <v>3.3747475085897261E-2</v>
      </c>
    </row>
    <row r="85" spans="1:23" x14ac:dyDescent="0.2">
      <c r="A85" s="1">
        <v>41029</v>
      </c>
      <c r="B85">
        <v>2</v>
      </c>
      <c r="C85" t="s">
        <v>11</v>
      </c>
      <c r="D85">
        <v>-1.0660000000000001E-3</v>
      </c>
      <c r="E85">
        <f t="shared" si="2"/>
        <v>0.99893399999999999</v>
      </c>
      <c r="F85" s="1">
        <f t="shared" si="3"/>
        <v>41029</v>
      </c>
      <c r="G85" cm="1">
        <f t="array" ref="G85">PRODUCT( _xlfn._xlws.FILTER($E:$E, ($C:$C=C85)*($F:$F=F85)) ) - 1</f>
        <v>-1.1730725180967294E-2</v>
      </c>
      <c r="J85" t="str">
        <v>CNR</v>
      </c>
      <c r="K85" s="1">
        <v>41484</v>
      </c>
      <c r="L85">
        <v>1.084761414701374E-2</v>
      </c>
      <c r="R85">
        <v>6.6980112975569828E-3</v>
      </c>
      <c r="S85">
        <v>-1.843522813729237E-2</v>
      </c>
      <c r="T85">
        <v>-3.148199896688697E-2</v>
      </c>
      <c r="U85">
        <v>-9.3895295363876086E-3</v>
      </c>
      <c r="V85">
        <v>-2.8778508174634121E-2</v>
      </c>
      <c r="W85">
        <v>-5.1416637501739082E-2</v>
      </c>
    </row>
    <row r="86" spans="1:23" x14ac:dyDescent="0.2">
      <c r="A86" s="1">
        <v>41030</v>
      </c>
      <c r="B86">
        <v>2</v>
      </c>
      <c r="C86" t="s">
        <v>11</v>
      </c>
      <c r="D86">
        <v>1.0439E-2</v>
      </c>
      <c r="E86">
        <f t="shared" si="2"/>
        <v>1.0104390000000001</v>
      </c>
      <c r="F86" s="1">
        <f t="shared" si="3"/>
        <v>41029</v>
      </c>
      <c r="G86" cm="1">
        <f t="array" ref="G86">PRODUCT( _xlfn._xlws.FILTER($E:$E, ($C:$C=C86)*($F:$F=F86)) ) - 1</f>
        <v>-1.1730725180967294E-2</v>
      </c>
      <c r="J86" t="str">
        <v>CNR</v>
      </c>
      <c r="K86" s="1">
        <v>41491</v>
      </c>
      <c r="L86">
        <v>-2.6925736114693732E-2</v>
      </c>
      <c r="R86">
        <v>-2.7756092364462415E-2</v>
      </c>
      <c r="S86">
        <v>-1.6661529116495211E-2</v>
      </c>
      <c r="T86">
        <v>-2.5029269524877606E-2</v>
      </c>
      <c r="U86">
        <v>6.6780441258147416E-3</v>
      </c>
      <c r="V86">
        <v>-3.0524234325119748E-2</v>
      </c>
      <c r="W86">
        <v>-1.4492564158762322E-3</v>
      </c>
    </row>
    <row r="87" spans="1:23" x14ac:dyDescent="0.2">
      <c r="A87" s="1">
        <v>41031</v>
      </c>
      <c r="B87">
        <v>2</v>
      </c>
      <c r="C87" t="s">
        <v>11</v>
      </c>
      <c r="D87">
        <v>-1.4090000000000001E-3</v>
      </c>
      <c r="E87">
        <f t="shared" si="2"/>
        <v>0.99859100000000001</v>
      </c>
      <c r="F87" s="1">
        <f t="shared" si="3"/>
        <v>41029</v>
      </c>
      <c r="G87" cm="1">
        <f t="array" ref="G87">PRODUCT( _xlfn._xlws.FILTER($E:$E, ($C:$C=C87)*($F:$F=F87)) ) - 1</f>
        <v>-1.1730725180967294E-2</v>
      </c>
      <c r="J87" t="str">
        <v>CNR</v>
      </c>
      <c r="K87" s="1">
        <v>41498</v>
      </c>
      <c r="L87">
        <v>9.8202071016073589E-5</v>
      </c>
      <c r="R87">
        <v>-1.9437354616859026E-2</v>
      </c>
      <c r="S87">
        <v>1.663586228043612E-2</v>
      </c>
      <c r="T87">
        <v>9.3728623729028016E-7</v>
      </c>
      <c r="U87">
        <v>-2.2110377680065962E-2</v>
      </c>
      <c r="V87">
        <v>1.442214754663107E-3</v>
      </c>
      <c r="W87">
        <v>-2.2641642506005422E-2</v>
      </c>
    </row>
    <row r="88" spans="1:23" x14ac:dyDescent="0.2">
      <c r="A88" s="1">
        <v>41032</v>
      </c>
      <c r="B88">
        <v>2</v>
      </c>
      <c r="C88" t="s">
        <v>11</v>
      </c>
      <c r="D88">
        <v>-1.6929E-2</v>
      </c>
      <c r="E88">
        <f t="shared" si="2"/>
        <v>0.98307100000000003</v>
      </c>
      <c r="F88" s="1">
        <f t="shared" si="3"/>
        <v>41029</v>
      </c>
      <c r="G88" cm="1">
        <f t="array" ref="G88">PRODUCT( _xlfn._xlws.FILTER($E:$E, ($C:$C=C88)*($F:$F=F88)) ) - 1</f>
        <v>-1.1730725180967294E-2</v>
      </c>
      <c r="J88" t="str">
        <v>CNR</v>
      </c>
      <c r="K88" s="1">
        <v>41505</v>
      </c>
      <c r="L88">
        <v>-3.8395427738765475E-3</v>
      </c>
      <c r="R88">
        <v>-5.2054127343613699E-3</v>
      </c>
      <c r="S88">
        <v>-5.0607079078926032E-2</v>
      </c>
      <c r="T88">
        <v>-1.3502114844057611E-2</v>
      </c>
      <c r="U88">
        <v>-5.1675153537239504E-3</v>
      </c>
      <c r="V88">
        <v>-3.3986150410545646E-2</v>
      </c>
      <c r="W88">
        <v>-5.9388634385515449E-4</v>
      </c>
    </row>
    <row r="89" spans="1:23" x14ac:dyDescent="0.2">
      <c r="A89" s="1">
        <v>41033</v>
      </c>
      <c r="B89">
        <v>2</v>
      </c>
      <c r="C89" t="s">
        <v>11</v>
      </c>
      <c r="D89">
        <v>-2.6310000000000001E-3</v>
      </c>
      <c r="E89">
        <f t="shared" si="2"/>
        <v>0.99736899999999995</v>
      </c>
      <c r="F89" s="1">
        <f t="shared" si="3"/>
        <v>41029</v>
      </c>
      <c r="G89" cm="1">
        <f t="array" ref="G89">PRODUCT( _xlfn._xlws.FILTER($E:$E, ($C:$C=C89)*($F:$F=F89)) ) - 1</f>
        <v>-1.1730725180967294E-2</v>
      </c>
      <c r="J89" t="str">
        <v>CNR</v>
      </c>
      <c r="K89" s="1">
        <v>41512</v>
      </c>
      <c r="L89">
        <v>-2.362266858821227E-2</v>
      </c>
      <c r="R89">
        <v>3.0595742043085794E-2</v>
      </c>
      <c r="S89">
        <v>2.7448928692628938E-2</v>
      </c>
      <c r="T89">
        <v>3.5485746960497666E-2</v>
      </c>
      <c r="U89">
        <v>6.4932512850823798E-3</v>
      </c>
      <c r="V89">
        <v>-8.4676155779668805E-2</v>
      </c>
      <c r="W89">
        <v>1.9911676726490635E-2</v>
      </c>
    </row>
    <row r="90" spans="1:23" x14ac:dyDescent="0.2">
      <c r="A90" s="1">
        <v>41036</v>
      </c>
      <c r="B90">
        <v>2</v>
      </c>
      <c r="C90" t="s">
        <v>11</v>
      </c>
      <c r="D90">
        <v>7.7939999999999997E-3</v>
      </c>
      <c r="E90">
        <f t="shared" si="2"/>
        <v>1.0077940000000001</v>
      </c>
      <c r="F90" s="1">
        <f t="shared" si="3"/>
        <v>41036</v>
      </c>
      <c r="G90" cm="1">
        <f t="array" ref="G90">PRODUCT( _xlfn._xlws.FILTER($E:$E, ($C:$C=C90)*($F:$F=F90)) ) - 1</f>
        <v>-2.853687512207348E-2</v>
      </c>
      <c r="J90" t="str">
        <v>CNR</v>
      </c>
      <c r="K90" s="1">
        <v>41519</v>
      </c>
      <c r="L90">
        <v>2.0025147461002701E-2</v>
      </c>
      <c r="R90">
        <v>1.0350253022861189E-2</v>
      </c>
      <c r="S90">
        <v>-2.1435850230930309E-2</v>
      </c>
      <c r="T90">
        <v>-6.6906681388079203E-3</v>
      </c>
      <c r="U90">
        <v>4.193899931340006E-3</v>
      </c>
      <c r="V90">
        <v>2.4755289038034922E-2</v>
      </c>
      <c r="W90">
        <v>2.3315317356091825E-3</v>
      </c>
    </row>
    <row r="91" spans="1:23" x14ac:dyDescent="0.2">
      <c r="A91" s="1">
        <v>41037</v>
      </c>
      <c r="B91">
        <v>2</v>
      </c>
      <c r="C91" t="s">
        <v>11</v>
      </c>
      <c r="D91">
        <v>-2.2010999999999999E-2</v>
      </c>
      <c r="E91">
        <f t="shared" si="2"/>
        <v>0.977989</v>
      </c>
      <c r="F91" s="1">
        <f t="shared" si="3"/>
        <v>41036</v>
      </c>
      <c r="G91" cm="1">
        <f t="array" ref="G91">PRODUCT( _xlfn._xlws.FILTER($E:$E, ($C:$C=C91)*($F:$F=F91)) ) - 1</f>
        <v>-2.853687512207348E-2</v>
      </c>
      <c r="J91" t="str">
        <v>CNR</v>
      </c>
      <c r="K91" s="1">
        <v>41526</v>
      </c>
      <c r="L91">
        <v>9.4679657104219661E-3</v>
      </c>
      <c r="R91">
        <v>1.4207517380216084E-2</v>
      </c>
      <c r="S91">
        <v>2.7300663498477151E-2</v>
      </c>
      <c r="T91">
        <v>1.5277814901709652E-2</v>
      </c>
      <c r="U91">
        <v>4.2081883031268585E-2</v>
      </c>
      <c r="V91">
        <v>1.0808098519829112E-2</v>
      </c>
      <c r="W91">
        <v>2.5872066914886416E-2</v>
      </c>
    </row>
    <row r="92" spans="1:23" x14ac:dyDescent="0.2">
      <c r="A92" s="1">
        <v>41038</v>
      </c>
      <c r="B92">
        <v>2</v>
      </c>
      <c r="C92" t="s">
        <v>11</v>
      </c>
      <c r="D92">
        <v>-1.6788000000000001E-2</v>
      </c>
      <c r="E92">
        <f t="shared" si="2"/>
        <v>0.98321199999999997</v>
      </c>
      <c r="F92" s="1">
        <f t="shared" si="3"/>
        <v>41036</v>
      </c>
      <c r="G92" cm="1">
        <f t="array" ref="G92">PRODUCT( _xlfn._xlws.FILTER($E:$E, ($C:$C=C92)*($F:$F=F92)) ) - 1</f>
        <v>-2.853687512207348E-2</v>
      </c>
      <c r="J92" t="str">
        <v>CNR</v>
      </c>
      <c r="K92" s="1">
        <v>41533</v>
      </c>
      <c r="L92">
        <v>2.7645877293854149E-2</v>
      </c>
      <c r="R92">
        <v>5.9082195297259776E-3</v>
      </c>
      <c r="S92">
        <v>-6.1760716439540619E-4</v>
      </c>
      <c r="T92">
        <v>5.323512328083857E-2</v>
      </c>
      <c r="U92">
        <v>1.7262237482922771E-2</v>
      </c>
      <c r="V92">
        <v>-5.66018792168832E-3</v>
      </c>
      <c r="W92">
        <v>1.4168218982319347E-2</v>
      </c>
    </row>
    <row r="93" spans="1:23" x14ac:dyDescent="0.2">
      <c r="A93" s="1">
        <v>41039</v>
      </c>
      <c r="B93">
        <v>2</v>
      </c>
      <c r="C93" t="s">
        <v>11</v>
      </c>
      <c r="D93">
        <v>-1.2400000000000001E-4</v>
      </c>
      <c r="E93">
        <f t="shared" si="2"/>
        <v>0.99987599999999999</v>
      </c>
      <c r="F93" s="1">
        <f t="shared" si="3"/>
        <v>41036</v>
      </c>
      <c r="G93" cm="1">
        <f t="array" ref="G93">PRODUCT( _xlfn._xlws.FILTER($E:$E, ($C:$C=C93)*($F:$F=F93)) ) - 1</f>
        <v>-2.853687512207348E-2</v>
      </c>
      <c r="J93" t="str">
        <v>CNR</v>
      </c>
      <c r="K93" s="1">
        <v>41540</v>
      </c>
      <c r="L93">
        <v>5.9570435710418757E-3</v>
      </c>
      <c r="R93">
        <v>-2.1885080006491031E-2</v>
      </c>
      <c r="S93">
        <v>-3.4014024747959226E-3</v>
      </c>
      <c r="T93">
        <v>8.2884619462344489E-3</v>
      </c>
      <c r="U93">
        <v>-1.2121004638551813E-2</v>
      </c>
      <c r="V93">
        <v>-6.9572015875781767E-3</v>
      </c>
      <c r="W93">
        <v>1.3131401536678133E-2</v>
      </c>
    </row>
    <row r="94" spans="1:23" x14ac:dyDescent="0.2">
      <c r="A94" s="1">
        <v>41040</v>
      </c>
      <c r="B94">
        <v>2</v>
      </c>
      <c r="C94" t="s">
        <v>11</v>
      </c>
      <c r="D94">
        <v>2.5990000000000002E-3</v>
      </c>
      <c r="E94">
        <f t="shared" si="2"/>
        <v>1.002599</v>
      </c>
      <c r="F94" s="1">
        <f t="shared" si="3"/>
        <v>41036</v>
      </c>
      <c r="G94" cm="1">
        <f t="array" ref="G94">PRODUCT( _xlfn._xlws.FILTER($E:$E, ($C:$C=C94)*($F:$F=F94)) ) - 1</f>
        <v>-2.853687512207348E-2</v>
      </c>
      <c r="J94" t="str">
        <v>CNR</v>
      </c>
      <c r="K94" s="1">
        <v>41547</v>
      </c>
      <c r="L94">
        <v>1.2511899941313631E-2</v>
      </c>
      <c r="R94">
        <v>1.084761414701374E-2</v>
      </c>
      <c r="S94">
        <v>-2.4827397733971912E-3</v>
      </c>
      <c r="T94">
        <v>-8.770054627636692E-3</v>
      </c>
      <c r="U94">
        <v>4.0183840899887802E-2</v>
      </c>
      <c r="V94">
        <v>6.3787716421215279E-4</v>
      </c>
      <c r="W94">
        <v>-1.4064812608088006E-2</v>
      </c>
    </row>
    <row r="95" spans="1:23" x14ac:dyDescent="0.2">
      <c r="A95" s="1">
        <v>41043</v>
      </c>
      <c r="B95">
        <v>2</v>
      </c>
      <c r="C95" t="s">
        <v>11</v>
      </c>
      <c r="D95">
        <v>1.1232000000000001E-2</v>
      </c>
      <c r="E95">
        <f t="shared" si="2"/>
        <v>1.0112319999999999</v>
      </c>
      <c r="F95" s="1">
        <f t="shared" si="3"/>
        <v>41043</v>
      </c>
      <c r="G95" cm="1">
        <f t="array" ref="G95">PRODUCT( _xlfn._xlws.FILTER($E:$E, ($C:$C=C95)*($F:$F=F95)) ) - 1</f>
        <v>-4.5660446336334148E-3</v>
      </c>
      <c r="J95" t="str">
        <v>CNR</v>
      </c>
      <c r="K95" s="1">
        <v>41554</v>
      </c>
      <c r="L95">
        <v>3.2828556258398978E-2</v>
      </c>
      <c r="R95">
        <v>-2.6925736114693732E-2</v>
      </c>
      <c r="S95">
        <v>-1.2753342010540569E-2</v>
      </c>
      <c r="T95">
        <v>-1.1329189484156288E-2</v>
      </c>
      <c r="U95">
        <v>-2.064329419493971E-2</v>
      </c>
      <c r="V95">
        <v>-1.5914386372540279E-2</v>
      </c>
      <c r="W95">
        <v>-3.3559856570574143E-3</v>
      </c>
    </row>
    <row r="96" spans="1:23" x14ac:dyDescent="0.2">
      <c r="A96" s="1">
        <v>41044</v>
      </c>
      <c r="B96">
        <v>2</v>
      </c>
      <c r="C96" t="s">
        <v>11</v>
      </c>
      <c r="D96">
        <v>2.6849999999999999E-3</v>
      </c>
      <c r="E96">
        <f t="shared" si="2"/>
        <v>1.002685</v>
      </c>
      <c r="F96" s="1">
        <f t="shared" si="3"/>
        <v>41043</v>
      </c>
      <c r="G96" cm="1">
        <f t="array" ref="G96">PRODUCT( _xlfn._xlws.FILTER($E:$E, ($C:$C=C96)*($F:$F=F96)) ) - 1</f>
        <v>-4.5660446336334148E-3</v>
      </c>
      <c r="J96" t="str">
        <v>CNR</v>
      </c>
      <c r="K96" s="1">
        <v>41561</v>
      </c>
      <c r="L96">
        <v>3.1970307230080319E-3</v>
      </c>
      <c r="R96">
        <v>9.8202071016073589E-5</v>
      </c>
      <c r="S96">
        <v>-6.9008625284094904E-3</v>
      </c>
      <c r="T96">
        <v>1.0361384340071389E-2</v>
      </c>
      <c r="U96">
        <v>6.383710182038782E-2</v>
      </c>
      <c r="V96">
        <v>3.3958952234660167E-2</v>
      </c>
      <c r="W96">
        <v>1.0103008903047384E-2</v>
      </c>
    </row>
    <row r="97" spans="1:23" x14ac:dyDescent="0.2">
      <c r="A97" s="1">
        <v>41045</v>
      </c>
      <c r="B97">
        <v>2</v>
      </c>
      <c r="C97" t="s">
        <v>11</v>
      </c>
      <c r="D97">
        <v>6.9389999999999999E-3</v>
      </c>
      <c r="E97">
        <f t="shared" si="2"/>
        <v>1.006939</v>
      </c>
      <c r="F97" s="1">
        <f t="shared" si="3"/>
        <v>41043</v>
      </c>
      <c r="G97" cm="1">
        <f t="array" ref="G97">PRODUCT( _xlfn._xlws.FILTER($E:$E, ($C:$C=C97)*($F:$F=F97)) ) - 1</f>
        <v>-4.5660446336334148E-3</v>
      </c>
      <c r="J97" t="str">
        <v>CNR</v>
      </c>
      <c r="K97" s="1">
        <v>41568</v>
      </c>
      <c r="L97">
        <v>4.8615189673245851E-2</v>
      </c>
      <c r="R97">
        <v>-3.8395427738765475E-3</v>
      </c>
      <c r="S97">
        <v>-2.3711229721562477E-2</v>
      </c>
      <c r="T97">
        <v>1.1808211631832544E-2</v>
      </c>
      <c r="U97">
        <v>2.0661725908030615E-2</v>
      </c>
      <c r="V97">
        <v>-5.0051793177684489E-3</v>
      </c>
      <c r="W97">
        <v>-7.2844651847386865E-3</v>
      </c>
    </row>
    <row r="98" spans="1:23" x14ac:dyDescent="0.2">
      <c r="A98" s="1">
        <v>41046</v>
      </c>
      <c r="B98">
        <v>2</v>
      </c>
      <c r="C98" t="s">
        <v>11</v>
      </c>
      <c r="D98">
        <v>-1.4144E-2</v>
      </c>
      <c r="E98">
        <f t="shared" si="2"/>
        <v>0.98585599999999995</v>
      </c>
      <c r="F98" s="1">
        <f t="shared" si="3"/>
        <v>41043</v>
      </c>
      <c r="G98" cm="1">
        <f t="array" ref="G98">PRODUCT( _xlfn._xlws.FILTER($E:$E, ($C:$C=C98)*($F:$F=F98)) ) - 1</f>
        <v>-4.5660446336334148E-3</v>
      </c>
      <c r="J98" t="str">
        <v>CNR</v>
      </c>
      <c r="K98" s="1">
        <v>41575</v>
      </c>
      <c r="L98">
        <v>5.9045563648556509E-3</v>
      </c>
      <c r="R98">
        <v>-2.362266858821227E-2</v>
      </c>
      <c r="S98">
        <v>-3.9388028119800023E-3</v>
      </c>
      <c r="T98">
        <v>-3.3774542367865923E-3</v>
      </c>
      <c r="U98">
        <v>-9.9819163991079485E-3</v>
      </c>
      <c r="V98">
        <v>1.6033389500378359E-2</v>
      </c>
      <c r="W98">
        <v>-2.4583511598141761E-2</v>
      </c>
    </row>
    <row r="99" spans="1:23" x14ac:dyDescent="0.2">
      <c r="A99" s="1">
        <v>41047</v>
      </c>
      <c r="B99">
        <v>2</v>
      </c>
      <c r="C99" t="s">
        <v>11</v>
      </c>
      <c r="D99">
        <v>-1.1036000000000001E-2</v>
      </c>
      <c r="E99">
        <f t="shared" si="2"/>
        <v>0.98896399999999995</v>
      </c>
      <c r="F99" s="1">
        <f t="shared" si="3"/>
        <v>41043</v>
      </c>
      <c r="G99" cm="1">
        <f t="array" ref="G99">PRODUCT( _xlfn._xlws.FILTER($E:$E, ($C:$C=C99)*($F:$F=F99)) ) - 1</f>
        <v>-4.5660446336334148E-3</v>
      </c>
      <c r="J99" t="str">
        <v>CNR</v>
      </c>
      <c r="K99" s="1">
        <v>41582</v>
      </c>
      <c r="L99">
        <v>8.9773593915725147E-3</v>
      </c>
      <c r="R99">
        <v>2.0025147461002701E-2</v>
      </c>
      <c r="S99">
        <v>1.1861611118493487E-2</v>
      </c>
      <c r="T99">
        <v>2.5576466345495596E-2</v>
      </c>
      <c r="U99">
        <v>3.3239120825205637E-2</v>
      </c>
      <c r="V99">
        <v>4.1152140785553959E-2</v>
      </c>
      <c r="W99">
        <v>2.4045545277298519E-2</v>
      </c>
    </row>
    <row r="100" spans="1:23" x14ac:dyDescent="0.2">
      <c r="A100" s="1">
        <v>41051</v>
      </c>
      <c r="B100">
        <v>2</v>
      </c>
      <c r="C100" t="s">
        <v>11</v>
      </c>
      <c r="D100">
        <v>3.4098000000000003E-2</v>
      </c>
      <c r="E100">
        <f t="shared" si="2"/>
        <v>1.034098</v>
      </c>
      <c r="F100" s="1">
        <f t="shared" si="3"/>
        <v>41050</v>
      </c>
      <c r="G100" cm="1">
        <f t="array" ref="G100">PRODUCT( _xlfn._xlws.FILTER($E:$E, ($C:$C=C100)*($F:$F=F100)) ) - 1</f>
        <v>3.6082616460323624E-2</v>
      </c>
      <c r="J100" t="str">
        <v>CNR</v>
      </c>
      <c r="K100" s="1">
        <v>41589</v>
      </c>
      <c r="L100">
        <v>3.8493961700982737E-3</v>
      </c>
      <c r="R100">
        <v>9.4679657104219661E-3</v>
      </c>
      <c r="S100">
        <v>-2.2794192905133959E-2</v>
      </c>
      <c r="T100">
        <v>-1.8930015505470243E-2</v>
      </c>
      <c r="U100">
        <v>1.8266569884230144E-2</v>
      </c>
      <c r="V100">
        <v>3.3027217946386411E-3</v>
      </c>
      <c r="W100">
        <v>1.3861981062917028E-2</v>
      </c>
    </row>
    <row r="101" spans="1:23" x14ac:dyDescent="0.2">
      <c r="A101" s="1">
        <v>41052</v>
      </c>
      <c r="B101">
        <v>2</v>
      </c>
      <c r="C101" t="s">
        <v>11</v>
      </c>
      <c r="D101">
        <v>7.9139999999999992E-3</v>
      </c>
      <c r="E101">
        <f t="shared" si="2"/>
        <v>1.007914</v>
      </c>
      <c r="F101" s="1">
        <f t="shared" si="3"/>
        <v>41050</v>
      </c>
      <c r="G101" cm="1">
        <f t="array" ref="G101">PRODUCT( _xlfn._xlws.FILTER($E:$E, ($C:$C=C101)*($F:$F=F101)) ) - 1</f>
        <v>3.6082616460323624E-2</v>
      </c>
      <c r="J101" t="str">
        <v>CNR</v>
      </c>
      <c r="K101" s="1">
        <v>41596</v>
      </c>
      <c r="L101">
        <v>1.2953220704564172E-2</v>
      </c>
      <c r="R101">
        <v>2.7645877293854149E-2</v>
      </c>
      <c r="S101">
        <v>4.8317841604937684E-2</v>
      </c>
      <c r="T101">
        <v>1.0107684528347427E-2</v>
      </c>
      <c r="U101">
        <v>-1.2314410019761968E-2</v>
      </c>
      <c r="V101">
        <v>3.4710962236350174E-2</v>
      </c>
      <c r="W101">
        <v>2.2330924394686757E-3</v>
      </c>
    </row>
    <row r="102" spans="1:23" x14ac:dyDescent="0.2">
      <c r="A102" s="1">
        <v>41053</v>
      </c>
      <c r="B102">
        <v>2</v>
      </c>
      <c r="C102" t="s">
        <v>11</v>
      </c>
      <c r="D102">
        <v>7.1400000000000001E-4</v>
      </c>
      <c r="E102">
        <f t="shared" si="2"/>
        <v>1.0007140000000001</v>
      </c>
      <c r="F102" s="1">
        <f t="shared" si="3"/>
        <v>41050</v>
      </c>
      <c r="G102" cm="1">
        <f t="array" ref="G102">PRODUCT( _xlfn._xlws.FILTER($E:$E, ($C:$C=C102)*($F:$F=F102)) ) - 1</f>
        <v>3.6082616460323624E-2</v>
      </c>
      <c r="J102" t="str">
        <v>CNR</v>
      </c>
      <c r="K102" s="1">
        <v>41603</v>
      </c>
      <c r="L102">
        <v>5.3847174314480828E-3</v>
      </c>
      <c r="R102">
        <v>5.9570435710418757E-3</v>
      </c>
      <c r="S102">
        <v>-4.4490723024821488E-3</v>
      </c>
      <c r="T102">
        <v>8.7926369111741565E-3</v>
      </c>
      <c r="U102">
        <v>1.1656104536598821E-2</v>
      </c>
      <c r="V102">
        <v>-1.7359689470743955E-3</v>
      </c>
      <c r="W102">
        <v>8.6298384067204914E-3</v>
      </c>
    </row>
    <row r="103" spans="1:23" x14ac:dyDescent="0.2">
      <c r="A103" s="1">
        <v>41054</v>
      </c>
      <c r="B103">
        <v>2</v>
      </c>
      <c r="C103" t="s">
        <v>11</v>
      </c>
      <c r="D103">
        <v>-6.6569999999999997E-3</v>
      </c>
      <c r="E103">
        <f t="shared" si="2"/>
        <v>0.99334299999999998</v>
      </c>
      <c r="F103" s="1">
        <f t="shared" si="3"/>
        <v>41050</v>
      </c>
      <c r="G103" cm="1">
        <f t="array" ref="G103">PRODUCT( _xlfn._xlws.FILTER($E:$E, ($C:$C=C103)*($F:$F=F103)) ) - 1</f>
        <v>3.6082616460323624E-2</v>
      </c>
      <c r="J103" t="str">
        <v>CNR</v>
      </c>
      <c r="K103" s="1">
        <v>41610</v>
      </c>
      <c r="L103">
        <v>0.51681866005491206</v>
      </c>
      <c r="R103">
        <v>1.2511899941313631E-2</v>
      </c>
      <c r="S103">
        <v>-1.1813300365490886E-2</v>
      </c>
      <c r="T103">
        <v>-3.7557071104319384E-3</v>
      </c>
      <c r="U103">
        <v>-1.6880509322047987E-2</v>
      </c>
      <c r="V103">
        <v>-2.1147823555187184E-2</v>
      </c>
      <c r="W103">
        <v>-2.1528674093007183E-2</v>
      </c>
    </row>
    <row r="104" spans="1:23" x14ac:dyDescent="0.2">
      <c r="A104" s="1">
        <v>41057</v>
      </c>
      <c r="B104">
        <v>2</v>
      </c>
      <c r="C104" t="s">
        <v>11</v>
      </c>
      <c r="D104">
        <v>-1.9268E-2</v>
      </c>
      <c r="E104">
        <f t="shared" si="2"/>
        <v>0.98073200000000005</v>
      </c>
      <c r="F104" s="1">
        <f t="shared" si="3"/>
        <v>41057</v>
      </c>
      <c r="G104" cm="1">
        <f t="array" ref="G104">PRODUCT( _xlfn._xlws.FILTER($E:$E, ($C:$C=C104)*($F:$F=F104)) ) - 1</f>
        <v>-8.1382507034813978E-3</v>
      </c>
      <c r="J104" t="str">
        <v>CNR</v>
      </c>
      <c r="K104" s="1">
        <v>41617</v>
      </c>
      <c r="L104">
        <v>-3.5043804603033579E-2</v>
      </c>
      <c r="R104">
        <v>3.2828556258398978E-2</v>
      </c>
      <c r="S104">
        <v>2.4554876399546455E-2</v>
      </c>
      <c r="T104">
        <v>2.6248148145650019E-2</v>
      </c>
      <c r="U104">
        <v>2.9985387943429753E-3</v>
      </c>
      <c r="V104">
        <v>2.5156008938443941E-2</v>
      </c>
      <c r="W104">
        <v>1.3822507588576727E-2</v>
      </c>
    </row>
    <row r="105" spans="1:23" x14ac:dyDescent="0.2">
      <c r="A105" s="1">
        <v>41058</v>
      </c>
      <c r="B105">
        <v>2</v>
      </c>
      <c r="C105" t="s">
        <v>11</v>
      </c>
      <c r="D105">
        <v>2.8676E-2</v>
      </c>
      <c r="E105">
        <f t="shared" si="2"/>
        <v>1.0286759999999999</v>
      </c>
      <c r="F105" s="1">
        <f t="shared" si="3"/>
        <v>41057</v>
      </c>
      <c r="G105" cm="1">
        <f t="array" ref="G105">PRODUCT( _xlfn._xlws.FILTER($E:$E, ($C:$C=C105)*($F:$F=F105)) ) - 1</f>
        <v>-8.1382507034813978E-3</v>
      </c>
      <c r="J105" t="str">
        <v>CNR</v>
      </c>
      <c r="K105" s="1">
        <v>41624</v>
      </c>
      <c r="L105">
        <v>3.0465214124630435E-2</v>
      </c>
      <c r="R105">
        <v>3.1970307230080319E-3</v>
      </c>
      <c r="S105">
        <v>9.4612480498632578E-3</v>
      </c>
      <c r="T105">
        <v>2.2050366990162384E-2</v>
      </c>
      <c r="U105">
        <v>2.5272255377589259E-2</v>
      </c>
      <c r="V105">
        <v>1.8765169615094557E-2</v>
      </c>
      <c r="W105">
        <v>1.9477286522360249E-3</v>
      </c>
    </row>
    <row r="106" spans="1:23" x14ac:dyDescent="0.2">
      <c r="A106" s="1">
        <v>41059</v>
      </c>
      <c r="B106">
        <v>2</v>
      </c>
      <c r="C106" t="s">
        <v>11</v>
      </c>
      <c r="D106">
        <v>-1.3879000000000001E-2</v>
      </c>
      <c r="E106">
        <f t="shared" si="2"/>
        <v>0.98612100000000003</v>
      </c>
      <c r="F106" s="1">
        <f t="shared" si="3"/>
        <v>41057</v>
      </c>
      <c r="G106" cm="1">
        <f t="array" ref="G106">PRODUCT( _xlfn._xlws.FILTER($E:$E, ($C:$C=C106)*($F:$F=F106)) ) - 1</f>
        <v>-8.1382507034813978E-3</v>
      </c>
      <c r="J106" t="str">
        <v>CNR</v>
      </c>
      <c r="K106" s="1">
        <v>41631</v>
      </c>
      <c r="L106">
        <v>1.3027938908138026E-2</v>
      </c>
      <c r="R106">
        <v>4.8615189673245851E-2</v>
      </c>
      <c r="S106">
        <v>2.1868587877892143E-2</v>
      </c>
      <c r="T106">
        <v>8.5266082145338817E-3</v>
      </c>
      <c r="U106">
        <v>-1.8560652226534691E-3</v>
      </c>
      <c r="V106">
        <v>4.3921955493861686E-2</v>
      </c>
      <c r="W106">
        <v>2.6659249493349524E-2</v>
      </c>
    </row>
    <row r="107" spans="1:23" x14ac:dyDescent="0.2">
      <c r="A107" s="1">
        <v>41060</v>
      </c>
      <c r="B107">
        <v>2</v>
      </c>
      <c r="C107" t="s">
        <v>11</v>
      </c>
      <c r="D107">
        <v>1.5998999999999999E-2</v>
      </c>
      <c r="E107">
        <f t="shared" si="2"/>
        <v>1.0159990000000001</v>
      </c>
      <c r="F107" s="1">
        <f t="shared" si="3"/>
        <v>41057</v>
      </c>
      <c r="G107" cm="1">
        <f t="array" ref="G107">PRODUCT( _xlfn._xlws.FILTER($E:$E, ($C:$C=C107)*($F:$F=F107)) ) - 1</f>
        <v>-8.1382507034813978E-3</v>
      </c>
      <c r="J107" t="str">
        <v>CNR</v>
      </c>
      <c r="K107" s="1">
        <v>41638</v>
      </c>
      <c r="L107">
        <v>-9.3987803626873756E-3</v>
      </c>
      <c r="R107">
        <v>5.9045563648556509E-3</v>
      </c>
      <c r="S107">
        <v>-7.3380166578755901E-3</v>
      </c>
      <c r="T107">
        <v>1.3824099945805468E-2</v>
      </c>
      <c r="U107">
        <v>-2.2835674284785057E-2</v>
      </c>
      <c r="V107">
        <v>-9.5002543337355805E-3</v>
      </c>
      <c r="W107">
        <v>7.4113386114780466E-2</v>
      </c>
    </row>
    <row r="108" spans="1:23" x14ac:dyDescent="0.2">
      <c r="A108" s="1">
        <v>41061</v>
      </c>
      <c r="B108">
        <v>2</v>
      </c>
      <c r="C108" t="s">
        <v>11</v>
      </c>
      <c r="D108">
        <v>-1.8707000000000001E-2</v>
      </c>
      <c r="E108">
        <f t="shared" si="2"/>
        <v>0.98129299999999997</v>
      </c>
      <c r="F108" s="1">
        <f t="shared" si="3"/>
        <v>41057</v>
      </c>
      <c r="G108" cm="1">
        <f t="array" ref="G108">PRODUCT( _xlfn._xlws.FILTER($E:$E, ($C:$C=C108)*($F:$F=F108)) ) - 1</f>
        <v>-8.1382507034813978E-3</v>
      </c>
      <c r="J108" t="str">
        <v>CNR</v>
      </c>
      <c r="K108" s="1">
        <v>41645</v>
      </c>
      <c r="L108">
        <v>-1.1484982174533642E-2</v>
      </c>
      <c r="R108">
        <v>8.9773593915725147E-3</v>
      </c>
      <c r="S108">
        <v>-1.8170338276968789E-2</v>
      </c>
      <c r="T108">
        <v>-1.420093652110932E-3</v>
      </c>
      <c r="U108">
        <v>1.9023265505873077E-3</v>
      </c>
      <c r="V108">
        <v>1.123514328966535E-2</v>
      </c>
      <c r="W108">
        <v>9.3177202667218406E-3</v>
      </c>
    </row>
    <row r="109" spans="1:23" x14ac:dyDescent="0.2">
      <c r="A109" s="1">
        <v>41064</v>
      </c>
      <c r="B109">
        <v>2</v>
      </c>
      <c r="C109" t="s">
        <v>11</v>
      </c>
      <c r="D109">
        <v>-3.8609999999999998E-3</v>
      </c>
      <c r="E109">
        <f t="shared" si="2"/>
        <v>0.996139</v>
      </c>
      <c r="F109" s="1">
        <f t="shared" si="3"/>
        <v>41064</v>
      </c>
      <c r="G109" cm="1">
        <f t="array" ref="G109">PRODUCT( _xlfn._xlws.FILTER($E:$E, ($C:$C=C109)*($F:$F=F109)) ) - 1</f>
        <v>1.3961833421797021E-2</v>
      </c>
      <c r="J109" t="str">
        <v>CNR</v>
      </c>
      <c r="K109" s="1">
        <v>41652</v>
      </c>
      <c r="L109">
        <v>-1.3638561635249236E-2</v>
      </c>
      <c r="R109">
        <v>3.8493961700982737E-3</v>
      </c>
      <c r="S109">
        <v>5.0829633307118982E-3</v>
      </c>
      <c r="T109">
        <v>1.4080052029819656E-2</v>
      </c>
      <c r="U109">
        <v>1.3290498021544028E-2</v>
      </c>
      <c r="V109">
        <v>1.4906266157787895E-2</v>
      </c>
      <c r="W109">
        <v>-1.2471862008941459E-3</v>
      </c>
    </row>
    <row r="110" spans="1:23" x14ac:dyDescent="0.2">
      <c r="A110" s="1">
        <v>41065</v>
      </c>
      <c r="B110">
        <v>2</v>
      </c>
      <c r="C110" t="s">
        <v>11</v>
      </c>
      <c r="D110">
        <v>4.8450000000000003E-3</v>
      </c>
      <c r="E110">
        <f t="shared" si="2"/>
        <v>1.004845</v>
      </c>
      <c r="F110" s="1">
        <f t="shared" si="3"/>
        <v>41064</v>
      </c>
      <c r="G110" cm="1">
        <f t="array" ref="G110">PRODUCT( _xlfn._xlws.FILTER($E:$E, ($C:$C=C110)*($F:$F=F110)) ) - 1</f>
        <v>1.3961833421797021E-2</v>
      </c>
      <c r="J110" t="str">
        <v>CNR</v>
      </c>
      <c r="K110" s="1">
        <v>41659</v>
      </c>
      <c r="L110">
        <v>-1.1096767865470425E-2</v>
      </c>
      <c r="R110">
        <v>1.2953220704564172E-2</v>
      </c>
      <c r="S110">
        <v>-5.3589328671936887E-3</v>
      </c>
      <c r="T110">
        <v>2.8052856808298277E-3</v>
      </c>
      <c r="U110">
        <v>1.6060412461060158E-2</v>
      </c>
      <c r="V110">
        <v>-1.2282062181335096E-2</v>
      </c>
      <c r="W110">
        <v>6.5438168538125563E-3</v>
      </c>
    </row>
    <row r="111" spans="1:23" x14ac:dyDescent="0.2">
      <c r="A111" s="1">
        <v>41066</v>
      </c>
      <c r="B111">
        <v>2</v>
      </c>
      <c r="C111" t="s">
        <v>11</v>
      </c>
      <c r="D111">
        <v>7.293E-3</v>
      </c>
      <c r="E111">
        <f t="shared" si="2"/>
        <v>1.007293</v>
      </c>
      <c r="F111" s="1">
        <f t="shared" si="3"/>
        <v>41064</v>
      </c>
      <c r="G111" cm="1">
        <f t="array" ref="G111">PRODUCT( _xlfn._xlws.FILTER($E:$E, ($C:$C=C111)*($F:$F=F111)) ) - 1</f>
        <v>1.3961833421797021E-2</v>
      </c>
      <c r="J111" t="str">
        <v>CNR</v>
      </c>
      <c r="K111" s="1">
        <v>41666</v>
      </c>
      <c r="L111">
        <v>2.8999437290327279E-2</v>
      </c>
      <c r="R111">
        <v>5.3847174314480828E-3</v>
      </c>
      <c r="S111">
        <v>-1.2990181595987638E-2</v>
      </c>
      <c r="T111">
        <v>-1.4824750173756063E-2</v>
      </c>
      <c r="U111">
        <v>-3.5299872166390966E-2</v>
      </c>
      <c r="V111">
        <v>1.5410253046892919E-2</v>
      </c>
      <c r="W111">
        <v>-9.5119644658414604E-3</v>
      </c>
    </row>
    <row r="112" spans="1:23" x14ac:dyDescent="0.2">
      <c r="A112" s="1">
        <v>41067</v>
      </c>
      <c r="B112">
        <v>2</v>
      </c>
      <c r="C112" t="s">
        <v>11</v>
      </c>
      <c r="D112">
        <v>1.154E-2</v>
      </c>
      <c r="E112">
        <f t="shared" si="2"/>
        <v>1.0115400000000001</v>
      </c>
      <c r="F112" s="1">
        <f t="shared" si="3"/>
        <v>41064</v>
      </c>
      <c r="G112" cm="1">
        <f t="array" ref="G112">PRODUCT( _xlfn._xlws.FILTER($E:$E, ($C:$C=C112)*($F:$F=F112)) ) - 1</f>
        <v>1.3961833421797021E-2</v>
      </c>
      <c r="J112" t="str">
        <v>CNR</v>
      </c>
      <c r="K112" s="1">
        <v>41673</v>
      </c>
      <c r="L112">
        <v>1.761451397882885E-2</v>
      </c>
      <c r="R112">
        <v>0.51681866005491206</v>
      </c>
      <c r="S112">
        <v>8.3470595296648575E-3</v>
      </c>
      <c r="T112">
        <v>-1.9733516924247074E-2</v>
      </c>
      <c r="U112">
        <v>-1.8945390269594298E-2</v>
      </c>
      <c r="V112">
        <v>-2.3429340348934957E-2</v>
      </c>
      <c r="W112">
        <v>-6.8240486908184295E-3</v>
      </c>
    </row>
    <row r="113" spans="1:23" x14ac:dyDescent="0.2">
      <c r="A113" s="1">
        <v>41068</v>
      </c>
      <c r="B113">
        <v>2</v>
      </c>
      <c r="C113" t="s">
        <v>11</v>
      </c>
      <c r="D113">
        <v>-5.8230000000000001E-3</v>
      </c>
      <c r="E113">
        <f t="shared" si="2"/>
        <v>0.99417699999999998</v>
      </c>
      <c r="F113" s="1">
        <f t="shared" si="3"/>
        <v>41064</v>
      </c>
      <c r="G113" cm="1">
        <f t="array" ref="G113">PRODUCT( _xlfn._xlws.FILTER($E:$E, ($C:$C=C113)*($F:$F=F113)) ) - 1</f>
        <v>1.3961833421797021E-2</v>
      </c>
      <c r="J113" t="str">
        <v>CNR</v>
      </c>
      <c r="K113" s="1">
        <v>41680</v>
      </c>
      <c r="L113">
        <v>1.9946581442324751E-2</v>
      </c>
      <c r="R113">
        <v>-3.5043804603033579E-2</v>
      </c>
      <c r="S113">
        <v>-4.1070139025888186E-2</v>
      </c>
      <c r="T113">
        <v>-1.1875388633598938E-2</v>
      </c>
      <c r="U113">
        <v>1.9589052184889599E-3</v>
      </c>
      <c r="V113">
        <v>-6.1495713620642878E-3</v>
      </c>
      <c r="W113">
        <v>-8.3956226481750607E-3</v>
      </c>
    </row>
    <row r="114" spans="1:23" x14ac:dyDescent="0.2">
      <c r="A114" s="1">
        <v>41071</v>
      </c>
      <c r="B114">
        <v>2</v>
      </c>
      <c r="C114" t="s">
        <v>11</v>
      </c>
      <c r="D114">
        <v>4.7800000000000002E-4</v>
      </c>
      <c r="E114">
        <f t="shared" si="2"/>
        <v>1.000478</v>
      </c>
      <c r="F114" s="1">
        <f t="shared" si="3"/>
        <v>41071</v>
      </c>
      <c r="G114" cm="1">
        <f t="array" ref="G114">PRODUCT( _xlfn._xlws.FILTER($E:$E, ($C:$C=C114)*($F:$F=F114)) ) - 1</f>
        <v>-7.1719185909401295E-3</v>
      </c>
      <c r="J114" t="str">
        <v>CNR</v>
      </c>
      <c r="K114" s="1">
        <v>41687</v>
      </c>
      <c r="L114">
        <v>1.7787330738967544E-3</v>
      </c>
      <c r="R114">
        <v>3.0465214124630435E-2</v>
      </c>
      <c r="S114">
        <v>1.328140374591813E-2</v>
      </c>
      <c r="T114">
        <v>2.9752030021847009E-2</v>
      </c>
      <c r="U114">
        <v>1.3687443810654898E-2</v>
      </c>
      <c r="V114">
        <v>-1.0803087861780969E-2</v>
      </c>
      <c r="W114">
        <v>2.8483326697399169E-2</v>
      </c>
    </row>
    <row r="115" spans="1:23" x14ac:dyDescent="0.2">
      <c r="A115" s="1">
        <v>41072</v>
      </c>
      <c r="B115">
        <v>2</v>
      </c>
      <c r="C115" t="s">
        <v>11</v>
      </c>
      <c r="D115">
        <v>-8.3600000000000005E-4</v>
      </c>
      <c r="E115">
        <f t="shared" si="2"/>
        <v>0.99916400000000005</v>
      </c>
      <c r="F115" s="1">
        <f t="shared" si="3"/>
        <v>41071</v>
      </c>
      <c r="G115" cm="1">
        <f t="array" ref="G115">PRODUCT( _xlfn._xlws.FILTER($E:$E, ($C:$C=C115)*($F:$F=F115)) ) - 1</f>
        <v>-7.1719185909401295E-3</v>
      </c>
      <c r="J115" t="str">
        <v>CNR</v>
      </c>
      <c r="K115" s="1">
        <v>41694</v>
      </c>
      <c r="L115">
        <v>9.358411917884224E-3</v>
      </c>
      <c r="R115">
        <v>1.3027938908138026E-2</v>
      </c>
      <c r="S115">
        <v>-4.2593223447163764E-3</v>
      </c>
      <c r="T115">
        <v>1.4659510853235247E-2</v>
      </c>
      <c r="U115">
        <v>2.6178500273849492E-2</v>
      </c>
      <c r="V115">
        <v>2.7443100432459344E-2</v>
      </c>
      <c r="W115">
        <v>1.3471993930574078E-2</v>
      </c>
    </row>
    <row r="116" spans="1:23" x14ac:dyDescent="0.2">
      <c r="A116" s="1">
        <v>41073</v>
      </c>
      <c r="B116">
        <v>2</v>
      </c>
      <c r="C116" t="s">
        <v>11</v>
      </c>
      <c r="D116">
        <v>2.3900000000000001E-4</v>
      </c>
      <c r="E116">
        <f t="shared" si="2"/>
        <v>1.0002390000000001</v>
      </c>
      <c r="F116" s="1">
        <f t="shared" si="3"/>
        <v>41071</v>
      </c>
      <c r="G116" cm="1">
        <f t="array" ref="G116">PRODUCT( _xlfn._xlws.FILTER($E:$E, ($C:$C=C116)*($F:$F=F116)) ) - 1</f>
        <v>-7.1719185909401295E-3</v>
      </c>
      <c r="J116" t="str">
        <v>CNR</v>
      </c>
      <c r="K116" s="1">
        <v>41701</v>
      </c>
      <c r="L116">
        <v>-1.9059774166154675E-3</v>
      </c>
      <c r="R116">
        <v>-9.3987803626873756E-3</v>
      </c>
      <c r="S116">
        <v>9.8661278344769343E-4</v>
      </c>
      <c r="T116">
        <v>1.4028758680093567E-3</v>
      </c>
      <c r="U116">
        <v>-1.7723377742030921E-2</v>
      </c>
      <c r="V116">
        <v>2.453175301876831E-3</v>
      </c>
      <c r="W116">
        <v>-1.5016725118706997E-2</v>
      </c>
    </row>
    <row r="117" spans="1:23" x14ac:dyDescent="0.2">
      <c r="A117" s="1">
        <v>41074</v>
      </c>
      <c r="B117">
        <v>2</v>
      </c>
      <c r="C117" t="s">
        <v>11</v>
      </c>
      <c r="D117">
        <v>-1.1716000000000001E-2</v>
      </c>
      <c r="E117">
        <f t="shared" si="2"/>
        <v>0.98828400000000005</v>
      </c>
      <c r="F117" s="1">
        <f t="shared" si="3"/>
        <v>41071</v>
      </c>
      <c r="G117" cm="1">
        <f t="array" ref="G117">PRODUCT( _xlfn._xlws.FILTER($E:$E, ($C:$C=C117)*($F:$F=F117)) ) - 1</f>
        <v>-7.1719185909401295E-3</v>
      </c>
      <c r="J117" t="str">
        <v>CNR</v>
      </c>
      <c r="K117" s="1">
        <v>41708</v>
      </c>
      <c r="L117">
        <v>-3.3767803290412068E-3</v>
      </c>
      <c r="R117">
        <v>-1.1484982174533642E-2</v>
      </c>
      <c r="S117">
        <v>-9.8756626185692031E-4</v>
      </c>
      <c r="T117">
        <v>-2.9408222568813036E-3</v>
      </c>
      <c r="U117">
        <v>3.7725021790976587E-2</v>
      </c>
      <c r="V117">
        <v>-5.4374928498353015E-3</v>
      </c>
      <c r="W117">
        <v>2.2743807949326289E-2</v>
      </c>
    </row>
    <row r="118" spans="1:23" x14ac:dyDescent="0.2">
      <c r="A118" s="1">
        <v>41075</v>
      </c>
      <c r="B118">
        <v>2</v>
      </c>
      <c r="C118" t="s">
        <v>11</v>
      </c>
      <c r="D118">
        <v>4.718E-3</v>
      </c>
      <c r="E118">
        <f t="shared" si="2"/>
        <v>1.004718</v>
      </c>
      <c r="F118" s="1">
        <f t="shared" si="3"/>
        <v>41071</v>
      </c>
      <c r="G118" cm="1">
        <f t="array" ref="G118">PRODUCT( _xlfn._xlws.FILTER($E:$E, ($C:$C=C118)*($F:$F=F118)) ) - 1</f>
        <v>-7.1719185909401295E-3</v>
      </c>
      <c r="J118" t="str">
        <v>CNR</v>
      </c>
      <c r="K118" s="1">
        <v>41715</v>
      </c>
      <c r="L118">
        <v>2.4198385290978841E-3</v>
      </c>
      <c r="R118">
        <v>-1.3638561635249236E-2</v>
      </c>
      <c r="S118">
        <v>-5.2652687389326269E-3</v>
      </c>
      <c r="T118">
        <v>9.553893559575144E-3</v>
      </c>
      <c r="U118">
        <v>-1.5278986767973457E-2</v>
      </c>
      <c r="V118">
        <v>2.1597424621160766E-2</v>
      </c>
      <c r="W118">
        <v>7.332244946603117E-3</v>
      </c>
    </row>
    <row r="119" spans="1:23" x14ac:dyDescent="0.2">
      <c r="A119" s="1">
        <v>41078</v>
      </c>
      <c r="B119">
        <v>2</v>
      </c>
      <c r="C119" t="s">
        <v>11</v>
      </c>
      <c r="D119">
        <v>2.6126E-2</v>
      </c>
      <c r="E119">
        <f t="shared" si="2"/>
        <v>1.0261260000000001</v>
      </c>
      <c r="F119" s="1">
        <f t="shared" si="3"/>
        <v>41078</v>
      </c>
      <c r="G119" cm="1">
        <f t="array" ref="G119">PRODUCT( _xlfn._xlws.FILTER($E:$E, ($C:$C=C119)*($F:$F=F119)) ) - 1</f>
        <v>3.3590975734267836E-2</v>
      </c>
      <c r="J119" t="str">
        <v>CNR</v>
      </c>
      <c r="K119" s="1">
        <v>41722</v>
      </c>
      <c r="L119">
        <v>-1.1267202850412494E-2</v>
      </c>
      <c r="R119">
        <v>-1.1096767865470425E-2</v>
      </c>
      <c r="S119">
        <v>2.6461255785550364E-3</v>
      </c>
      <c r="T119">
        <v>-9.8636463163538357E-3</v>
      </c>
      <c r="U119">
        <v>-1.2573779089588233E-2</v>
      </c>
      <c r="V119">
        <v>-1.7394612735722625E-2</v>
      </c>
      <c r="W119">
        <v>-2.5957377485434474E-2</v>
      </c>
    </row>
    <row r="120" spans="1:23" x14ac:dyDescent="0.2">
      <c r="A120" s="1">
        <v>41079</v>
      </c>
      <c r="B120">
        <v>2</v>
      </c>
      <c r="C120" t="s">
        <v>11</v>
      </c>
      <c r="D120">
        <v>1.3728000000000001E-2</v>
      </c>
      <c r="E120">
        <f t="shared" si="2"/>
        <v>1.013728</v>
      </c>
      <c r="F120" s="1">
        <f t="shared" si="3"/>
        <v>41078</v>
      </c>
      <c r="G120" cm="1">
        <f t="array" ref="G120">PRODUCT( _xlfn._xlws.FILTER($E:$E, ($C:$C=C120)*($F:$F=F120)) ) - 1</f>
        <v>3.3590975734267836E-2</v>
      </c>
      <c r="J120" t="str">
        <v>CNR</v>
      </c>
      <c r="K120" s="1">
        <v>41729</v>
      </c>
      <c r="L120">
        <v>-1.6208185232136074E-4</v>
      </c>
      <c r="R120">
        <v>2.8999437290327279E-2</v>
      </c>
      <c r="S120">
        <v>1.0227794195793782E-2</v>
      </c>
      <c r="T120">
        <v>-2.2131373197425863E-2</v>
      </c>
      <c r="U120">
        <v>-8.669153268990426E-3</v>
      </c>
      <c r="V120">
        <v>6.0185619142224089E-2</v>
      </c>
      <c r="W120">
        <v>7.4640457618202483E-4</v>
      </c>
    </row>
    <row r="121" spans="1:23" x14ac:dyDescent="0.2">
      <c r="A121" s="1">
        <v>41080</v>
      </c>
      <c r="B121">
        <v>2</v>
      </c>
      <c r="C121" t="s">
        <v>11</v>
      </c>
      <c r="D121">
        <v>6.7130000000000002E-3</v>
      </c>
      <c r="E121">
        <f t="shared" si="2"/>
        <v>1.006713</v>
      </c>
      <c r="F121" s="1">
        <f t="shared" si="3"/>
        <v>41078</v>
      </c>
      <c r="G121" cm="1">
        <f t="array" ref="G121">PRODUCT( _xlfn._xlws.FILTER($E:$E, ($C:$C=C121)*($F:$F=F121)) ) - 1</f>
        <v>3.3590975734267836E-2</v>
      </c>
      <c r="J121" t="str">
        <v>CNR</v>
      </c>
      <c r="K121" s="1">
        <v>41736</v>
      </c>
      <c r="L121">
        <v>-2.279397044404341E-2</v>
      </c>
      <c r="R121">
        <v>1.761451397882885E-2</v>
      </c>
      <c r="S121">
        <v>1.2083769059409999E-2</v>
      </c>
      <c r="T121">
        <v>1.6974402688727519E-2</v>
      </c>
      <c r="U121">
        <v>-9.0181255842164409E-3</v>
      </c>
      <c r="V121">
        <v>-3.6732705772079211E-2</v>
      </c>
      <c r="W121">
        <v>-3.7320613971573158E-3</v>
      </c>
    </row>
    <row r="122" spans="1:23" x14ac:dyDescent="0.2">
      <c r="A122" s="1">
        <v>41081</v>
      </c>
      <c r="B122">
        <v>2</v>
      </c>
      <c r="C122" t="s">
        <v>11</v>
      </c>
      <c r="D122">
        <v>-1.4141000000000001E-2</v>
      </c>
      <c r="E122">
        <f t="shared" si="2"/>
        <v>0.98585900000000004</v>
      </c>
      <c r="F122" s="1">
        <f t="shared" si="3"/>
        <v>41078</v>
      </c>
      <c r="G122" cm="1">
        <f t="array" ref="G122">PRODUCT( _xlfn._xlws.FILTER($E:$E, ($C:$C=C122)*($F:$F=F122)) ) - 1</f>
        <v>3.3590975734267836E-2</v>
      </c>
      <c r="J122" t="str">
        <v>CNR</v>
      </c>
      <c r="K122" s="1">
        <v>41743</v>
      </c>
      <c r="L122">
        <v>4.0486123187771339E-2</v>
      </c>
      <c r="R122">
        <v>1.9946581442324751E-2</v>
      </c>
      <c r="S122">
        <v>1.2871750542777782E-3</v>
      </c>
      <c r="T122">
        <v>1.5833663480050664E-2</v>
      </c>
      <c r="U122">
        <v>1.2687091743120105E-2</v>
      </c>
      <c r="V122">
        <v>8.7996865938215763E-3</v>
      </c>
      <c r="W122">
        <v>-5.8705391684006347E-2</v>
      </c>
    </row>
    <row r="123" spans="1:23" x14ac:dyDescent="0.2">
      <c r="A123" s="1">
        <v>41082</v>
      </c>
      <c r="B123">
        <v>2</v>
      </c>
      <c r="C123" t="s">
        <v>11</v>
      </c>
      <c r="D123">
        <v>1.1659999999999999E-3</v>
      </c>
      <c r="E123">
        <f t="shared" si="2"/>
        <v>1.001166</v>
      </c>
      <c r="F123" s="1">
        <f t="shared" si="3"/>
        <v>41078</v>
      </c>
      <c r="G123" cm="1">
        <f t="array" ref="G123">PRODUCT( _xlfn._xlws.FILTER($E:$E, ($C:$C=C123)*($F:$F=F123)) ) - 1</f>
        <v>3.3590975734267836E-2</v>
      </c>
      <c r="J123" t="str">
        <v>CNR</v>
      </c>
      <c r="K123" s="1">
        <v>41750</v>
      </c>
      <c r="L123">
        <v>2.0495618360374168E-2</v>
      </c>
      <c r="R123">
        <v>1.7787330738967544E-3</v>
      </c>
      <c r="S123">
        <v>3.2565274485474305E-4</v>
      </c>
      <c r="T123">
        <v>1.8957574058753313E-2</v>
      </c>
      <c r="U123">
        <v>-1.90672861829011E-3</v>
      </c>
      <c r="V123">
        <v>2.5112447492415146E-2</v>
      </c>
      <c r="W123">
        <v>2.756623300196881E-2</v>
      </c>
    </row>
    <row r="124" spans="1:23" x14ac:dyDescent="0.2">
      <c r="A124" s="1">
        <v>41085</v>
      </c>
      <c r="B124">
        <v>2</v>
      </c>
      <c r="C124" t="s">
        <v>11</v>
      </c>
      <c r="D124">
        <v>-7.5709999999999996E-3</v>
      </c>
      <c r="E124">
        <f t="shared" si="2"/>
        <v>0.99242900000000001</v>
      </c>
      <c r="F124" s="1">
        <f t="shared" si="3"/>
        <v>41085</v>
      </c>
      <c r="G124" cm="1">
        <f t="array" ref="G124">PRODUCT( _xlfn._xlws.FILTER($E:$E, ($C:$C=C124)*($F:$F=F124)) ) - 1</f>
        <v>2.9110092980717539E-3</v>
      </c>
      <c r="J124" t="str">
        <v>CNR</v>
      </c>
      <c r="K124" s="1">
        <v>41757</v>
      </c>
      <c r="L124">
        <v>4.3931550240015049E-3</v>
      </c>
      <c r="R124">
        <v>9.358411917884224E-3</v>
      </c>
      <c r="S124">
        <v>-2.9288868455854544E-3</v>
      </c>
      <c r="T124">
        <v>-8.4076919907768444E-3</v>
      </c>
      <c r="U124">
        <v>3.0011687094539941E-3</v>
      </c>
      <c r="V124">
        <v>1.1604170960629157E-2</v>
      </c>
      <c r="W124">
        <v>-9.1276774189525955E-3</v>
      </c>
    </row>
    <row r="125" spans="1:23" x14ac:dyDescent="0.2">
      <c r="A125" s="1">
        <v>41086</v>
      </c>
      <c r="B125">
        <v>2</v>
      </c>
      <c r="C125" t="s">
        <v>11</v>
      </c>
      <c r="D125">
        <v>1.9949999999999998E-3</v>
      </c>
      <c r="E125">
        <f t="shared" si="2"/>
        <v>1.001995</v>
      </c>
      <c r="F125" s="1">
        <f t="shared" si="3"/>
        <v>41085</v>
      </c>
      <c r="G125" cm="1">
        <f t="array" ref="G125">PRODUCT( _xlfn._xlws.FILTER($E:$E, ($C:$C=C125)*($F:$F=F125)) ) - 1</f>
        <v>2.9110092980717539E-3</v>
      </c>
      <c r="J125" t="str">
        <v>CNR</v>
      </c>
      <c r="K125" s="1">
        <v>41764</v>
      </c>
      <c r="L125">
        <v>1.8740587104297823E-3</v>
      </c>
      <c r="R125">
        <v>-1.9059774166154675E-3</v>
      </c>
      <c r="S125">
        <v>8.0315248673912265E-8</v>
      </c>
      <c r="T125">
        <v>-3.4746472204015832E-3</v>
      </c>
      <c r="U125">
        <v>1.0402185365192107E-2</v>
      </c>
      <c r="V125">
        <v>-7.9022055411657188E-3</v>
      </c>
      <c r="W125">
        <v>-4.2118787450809991E-3</v>
      </c>
    </row>
    <row r="126" spans="1:23" x14ac:dyDescent="0.2">
      <c r="A126" s="1">
        <v>41087</v>
      </c>
      <c r="B126">
        <v>2</v>
      </c>
      <c r="C126" t="s">
        <v>11</v>
      </c>
      <c r="D126">
        <v>3.8649999999999999E-3</v>
      </c>
      <c r="E126">
        <f t="shared" si="2"/>
        <v>1.003865</v>
      </c>
      <c r="F126" s="1">
        <f t="shared" si="3"/>
        <v>41085</v>
      </c>
      <c r="G126" cm="1">
        <f t="array" ref="G126">PRODUCT( _xlfn._xlws.FILTER($E:$E, ($C:$C=C126)*($F:$F=F126)) ) - 1</f>
        <v>2.9110092980717539E-3</v>
      </c>
      <c r="J126" t="str">
        <v>CNR</v>
      </c>
      <c r="K126" s="1">
        <v>41771</v>
      </c>
      <c r="L126">
        <v>1.7152583107100661E-3</v>
      </c>
      <c r="R126">
        <v>-3.3767803290412068E-3</v>
      </c>
      <c r="S126">
        <v>2.1220688013727562E-2</v>
      </c>
      <c r="T126">
        <v>-7.3910961264710417E-3</v>
      </c>
      <c r="U126">
        <v>-1.815280613318182E-2</v>
      </c>
      <c r="V126">
        <v>2.3349516512016777E-3</v>
      </c>
      <c r="W126">
        <v>-1.9556611165540749E-2</v>
      </c>
    </row>
    <row r="127" spans="1:23" x14ac:dyDescent="0.2">
      <c r="A127" s="1">
        <v>41088</v>
      </c>
      <c r="B127">
        <v>2</v>
      </c>
      <c r="C127" t="s">
        <v>11</v>
      </c>
      <c r="D127">
        <v>6.5339999999999999E-3</v>
      </c>
      <c r="E127">
        <f t="shared" si="2"/>
        <v>1.006534</v>
      </c>
      <c r="F127" s="1">
        <f t="shared" si="3"/>
        <v>41085</v>
      </c>
      <c r="G127" cm="1">
        <f t="array" ref="G127">PRODUCT( _xlfn._xlws.FILTER($E:$E, ($C:$C=C127)*($F:$F=F127)) ) - 1</f>
        <v>2.9110092980717539E-3</v>
      </c>
      <c r="J127" t="str">
        <v>CNR</v>
      </c>
      <c r="K127" s="1">
        <v>41778</v>
      </c>
      <c r="L127">
        <v>1.3698130495076732E-2</v>
      </c>
      <c r="R127">
        <v>2.4198385290978841E-3</v>
      </c>
      <c r="S127">
        <v>-2.8767831921880926E-3</v>
      </c>
      <c r="T127">
        <v>1.3909111365849158E-2</v>
      </c>
      <c r="U127">
        <v>2.7588997966228046E-3</v>
      </c>
      <c r="V127">
        <v>1.112494229912353E-2</v>
      </c>
      <c r="W127">
        <v>2.8031479096023881E-2</v>
      </c>
    </row>
    <row r="128" spans="1:23" x14ac:dyDescent="0.2">
      <c r="A128" s="1">
        <v>41089</v>
      </c>
      <c r="B128">
        <v>2</v>
      </c>
      <c r="C128" t="s">
        <v>11</v>
      </c>
      <c r="D128">
        <v>-1.8550000000000001E-3</v>
      </c>
      <c r="E128">
        <f t="shared" si="2"/>
        <v>0.99814499999999995</v>
      </c>
      <c r="F128" s="1">
        <f t="shared" si="3"/>
        <v>41085</v>
      </c>
      <c r="G128" cm="1">
        <f t="array" ref="G128">PRODUCT( _xlfn._xlws.FILTER($E:$E, ($C:$C=C128)*($F:$F=F128)) ) - 1</f>
        <v>2.9110092980717539E-3</v>
      </c>
      <c r="J128" t="str">
        <v>CNR</v>
      </c>
      <c r="K128" s="1">
        <v>41785</v>
      </c>
      <c r="L128">
        <v>9.8277701440525611E-3</v>
      </c>
      <c r="R128">
        <v>-1.1267202850412494E-2</v>
      </c>
      <c r="S128">
        <v>1.0258297992829624E-2</v>
      </c>
      <c r="T128">
        <v>3.8805999355508991E-3</v>
      </c>
      <c r="U128">
        <v>5.0907695189054136E-2</v>
      </c>
      <c r="V128">
        <v>3.2497129850300732E-2</v>
      </c>
      <c r="W128">
        <v>-1.3895091595623965E-2</v>
      </c>
    </row>
    <row r="129" spans="1:23" x14ac:dyDescent="0.2">
      <c r="A129" s="1">
        <v>41093</v>
      </c>
      <c r="B129">
        <v>2</v>
      </c>
      <c r="C129" t="s">
        <v>11</v>
      </c>
      <c r="D129">
        <v>6.9690000000000004E-3</v>
      </c>
      <c r="E129">
        <f t="shared" si="2"/>
        <v>1.006969</v>
      </c>
      <c r="F129" s="1">
        <f t="shared" si="3"/>
        <v>41092</v>
      </c>
      <c r="G129" cm="1">
        <f t="array" ref="G129">PRODUCT( _xlfn._xlws.FILTER($E:$E, ($C:$C=C129)*($F:$F=F129)) ) - 1</f>
        <v>-5.8011919597444894E-4</v>
      </c>
      <c r="J129" t="str">
        <v>CNR</v>
      </c>
      <c r="K129" s="1">
        <v>41792</v>
      </c>
      <c r="L129">
        <v>2.7426217616975723E-2</v>
      </c>
      <c r="R129">
        <v>-1.6208185232136074E-4</v>
      </c>
      <c r="S129">
        <v>-1.2703117406596132E-3</v>
      </c>
      <c r="T129">
        <v>6.4885022492746636E-3</v>
      </c>
      <c r="U129">
        <v>3.561130854231731E-2</v>
      </c>
      <c r="V129">
        <v>-4.5600735091597677E-2</v>
      </c>
      <c r="W129">
        <v>2.5525492000436412E-2</v>
      </c>
    </row>
    <row r="130" spans="1:23" x14ac:dyDescent="0.2">
      <c r="A130" s="1">
        <v>41094</v>
      </c>
      <c r="B130">
        <v>2</v>
      </c>
      <c r="C130" t="s">
        <v>11</v>
      </c>
      <c r="D130">
        <v>7.4970000000000002E-3</v>
      </c>
      <c r="E130">
        <f t="shared" si="2"/>
        <v>1.0074970000000001</v>
      </c>
      <c r="F130" s="1">
        <f t="shared" si="3"/>
        <v>41092</v>
      </c>
      <c r="G130" cm="1">
        <f t="array" ref="G130">PRODUCT( _xlfn._xlws.FILTER($E:$E, ($C:$C=C130)*($F:$F=F130)) ) - 1</f>
        <v>-5.8011919597444894E-4</v>
      </c>
      <c r="J130" t="str">
        <v>CNR</v>
      </c>
      <c r="K130" s="1">
        <v>41799</v>
      </c>
      <c r="L130">
        <v>9.3597164044658676E-3</v>
      </c>
      <c r="R130">
        <v>-2.279397044404341E-2</v>
      </c>
      <c r="S130">
        <v>1.8429844326269818E-2</v>
      </c>
      <c r="T130">
        <v>-8.2246740111280303E-4</v>
      </c>
      <c r="U130">
        <v>-2.0227460628632343E-3</v>
      </c>
      <c r="V130">
        <v>-1.1944883910902315E-2</v>
      </c>
      <c r="W130">
        <v>-3.4741066706344914E-2</v>
      </c>
    </row>
    <row r="131" spans="1:23" x14ac:dyDescent="0.2">
      <c r="A131" s="1">
        <v>41095</v>
      </c>
      <c r="B131">
        <v>2</v>
      </c>
      <c r="C131" t="s">
        <v>11</v>
      </c>
      <c r="D131">
        <v>-2.0149E-2</v>
      </c>
      <c r="E131">
        <f t="shared" si="2"/>
        <v>0.97985100000000003</v>
      </c>
      <c r="F131" s="1">
        <f t="shared" si="3"/>
        <v>41092</v>
      </c>
      <c r="G131" cm="1">
        <f t="array" ref="G131">PRODUCT( _xlfn._xlws.FILTER($E:$E, ($C:$C=C131)*($F:$F=F131)) ) - 1</f>
        <v>-5.8011919597444894E-4</v>
      </c>
      <c r="J131" t="str">
        <v>CNR</v>
      </c>
      <c r="K131" s="1">
        <v>41806</v>
      </c>
      <c r="L131">
        <v>5.0049461084320512E-3</v>
      </c>
      <c r="R131">
        <v>4.0486123187771339E-2</v>
      </c>
      <c r="S131">
        <v>-1.2478203935527565E-3</v>
      </c>
      <c r="T131">
        <v>7.8238596668569471E-3</v>
      </c>
      <c r="U131">
        <v>2.5335499676953255E-2</v>
      </c>
      <c r="V131">
        <v>9.7243498586294663E-3</v>
      </c>
      <c r="W131">
        <v>3.0082541962302534E-2</v>
      </c>
    </row>
    <row r="132" spans="1:23" x14ac:dyDescent="0.2">
      <c r="A132" s="1">
        <v>41096</v>
      </c>
      <c r="B132">
        <v>2</v>
      </c>
      <c r="C132" t="s">
        <v>11</v>
      </c>
      <c r="D132">
        <v>5.3749999999999996E-3</v>
      </c>
      <c r="E132">
        <f t="shared" ref="E132:E195" si="4">D132+1</f>
        <v>1.0053749999999999</v>
      </c>
      <c r="F132" s="1">
        <f t="shared" ref="F132:F195" si="5">A132 - (WEEKDAY(A132, 2) - 1)</f>
        <v>41092</v>
      </c>
      <c r="G132" cm="1">
        <f t="array" ref="G132">PRODUCT( _xlfn._xlws.FILTER($E:$E, ($C:$C=C132)*($F:$F=F132)) ) - 1</f>
        <v>-5.8011919597444894E-4</v>
      </c>
      <c r="J132" t="str">
        <v>CNR</v>
      </c>
      <c r="K132" s="1">
        <v>41813</v>
      </c>
      <c r="L132">
        <v>5.8582139694951518E-3</v>
      </c>
      <c r="R132">
        <v>2.0495618360374168E-2</v>
      </c>
      <c r="S132">
        <v>4.6856488552515785E-3</v>
      </c>
      <c r="T132">
        <v>-4.0927891483519829E-3</v>
      </c>
      <c r="U132">
        <v>1.2107364350874894E-2</v>
      </c>
      <c r="V132">
        <v>-9.890187189116717E-3</v>
      </c>
      <c r="W132">
        <v>-4.6945769140979143E-3</v>
      </c>
    </row>
    <row r="133" spans="1:23" x14ac:dyDescent="0.2">
      <c r="A133" s="1">
        <v>41099</v>
      </c>
      <c r="B133">
        <v>2</v>
      </c>
      <c r="C133" t="s">
        <v>11</v>
      </c>
      <c r="D133">
        <v>-2.2079999999999999E-3</v>
      </c>
      <c r="E133">
        <f t="shared" si="4"/>
        <v>0.99779200000000001</v>
      </c>
      <c r="F133" s="1">
        <f t="shared" si="5"/>
        <v>41099</v>
      </c>
      <c r="G133" cm="1">
        <f t="array" ref="G133">PRODUCT( _xlfn._xlws.FILTER($E:$E, ($C:$C=C133)*($F:$F=F133)) ) - 1</f>
        <v>8.2511547932289098E-3</v>
      </c>
      <c r="J133" t="str">
        <v>CNR</v>
      </c>
      <c r="K133" s="1">
        <v>41820</v>
      </c>
      <c r="L133">
        <v>1.9509868759291171E-2</v>
      </c>
      <c r="R133">
        <v>4.3931550240015049E-3</v>
      </c>
      <c r="S133">
        <v>1.1505104301352542E-2</v>
      </c>
      <c r="T133">
        <v>1.0772532092734988E-2</v>
      </c>
      <c r="U133">
        <v>5.5175393172841147E-2</v>
      </c>
      <c r="V133">
        <v>1.7349416850359622E-2</v>
      </c>
      <c r="W133">
        <v>2.6985705515793379E-2</v>
      </c>
    </row>
    <row r="134" spans="1:23" x14ac:dyDescent="0.2">
      <c r="A134" s="1">
        <v>41100</v>
      </c>
      <c r="B134">
        <v>2</v>
      </c>
      <c r="C134" t="s">
        <v>11</v>
      </c>
      <c r="D134">
        <v>-9.3199999999999999E-4</v>
      </c>
      <c r="E134">
        <f t="shared" si="4"/>
        <v>0.99906799999999996</v>
      </c>
      <c r="F134" s="1">
        <f t="shared" si="5"/>
        <v>41099</v>
      </c>
      <c r="G134" cm="1">
        <f t="array" ref="G134">PRODUCT( _xlfn._xlws.FILTER($E:$E, ($C:$C=C134)*($F:$F=F134)) ) - 1</f>
        <v>8.2511547932289098E-3</v>
      </c>
      <c r="J134" t="str">
        <v>CNR</v>
      </c>
      <c r="K134" s="1">
        <v>41827</v>
      </c>
      <c r="L134">
        <v>6.2847590519130581E-3</v>
      </c>
      <c r="R134">
        <v>1.8740587104297823E-3</v>
      </c>
      <c r="S134">
        <v>3.0642155023108408E-4</v>
      </c>
      <c r="T134">
        <v>-1.3670679068190639E-3</v>
      </c>
      <c r="U134">
        <v>-2.4987788971471137E-2</v>
      </c>
      <c r="V134">
        <v>2.5063594418428092E-2</v>
      </c>
      <c r="W134">
        <v>-1.1224083674262531E-2</v>
      </c>
    </row>
    <row r="135" spans="1:23" x14ac:dyDescent="0.2">
      <c r="A135" s="1">
        <v>41101</v>
      </c>
      <c r="B135">
        <v>2</v>
      </c>
      <c r="C135" t="s">
        <v>11</v>
      </c>
      <c r="D135">
        <v>1.1540999999999999E-2</v>
      </c>
      <c r="E135">
        <f t="shared" si="4"/>
        <v>1.011541</v>
      </c>
      <c r="F135" s="1">
        <f t="shared" si="5"/>
        <v>41099</v>
      </c>
      <c r="G135" cm="1">
        <f t="array" ref="G135">PRODUCT( _xlfn._xlws.FILTER($E:$E, ($C:$C=C135)*($F:$F=F135)) ) - 1</f>
        <v>8.2511547932289098E-3</v>
      </c>
      <c r="J135" t="str">
        <v>CNR</v>
      </c>
      <c r="K135" s="1">
        <v>41834</v>
      </c>
      <c r="L135">
        <v>3.7184968666520435E-2</v>
      </c>
      <c r="R135">
        <v>1.7152583107100661E-3</v>
      </c>
      <c r="S135">
        <v>3.3740961830883709E-3</v>
      </c>
      <c r="T135">
        <v>-3.421380749251357E-3</v>
      </c>
      <c r="U135">
        <v>1.9761131997420023E-7</v>
      </c>
      <c r="V135">
        <v>2.1427088944655948E-2</v>
      </c>
      <c r="W135">
        <v>3.3538507643819937E-3</v>
      </c>
    </row>
    <row r="136" spans="1:23" x14ac:dyDescent="0.2">
      <c r="A136" s="1">
        <v>41102</v>
      </c>
      <c r="B136">
        <v>2</v>
      </c>
      <c r="C136" t="s">
        <v>11</v>
      </c>
      <c r="D136">
        <v>-5.7619999999999998E-3</v>
      </c>
      <c r="E136">
        <f t="shared" si="4"/>
        <v>0.99423799999999996</v>
      </c>
      <c r="F136" s="1">
        <f t="shared" si="5"/>
        <v>41099</v>
      </c>
      <c r="G136" cm="1">
        <f t="array" ref="G136">PRODUCT( _xlfn._xlws.FILTER($E:$E, ($C:$C=C136)*($F:$F=F136)) ) - 1</f>
        <v>8.2511547932289098E-3</v>
      </c>
      <c r="J136" t="str">
        <v>CNR</v>
      </c>
      <c r="K136" s="1">
        <v>41841</v>
      </c>
      <c r="L136">
        <v>1.2863008727229452E-2</v>
      </c>
      <c r="R136">
        <v>1.3698130495076732E-2</v>
      </c>
      <c r="S136">
        <v>1.0515953164312197E-2</v>
      </c>
      <c r="T136">
        <v>3.3772466325108663E-2</v>
      </c>
      <c r="U136">
        <v>5.9321527503868321E-3</v>
      </c>
      <c r="V136">
        <v>2.7640100261884459E-2</v>
      </c>
      <c r="W136">
        <v>-7.0930024595623475E-3</v>
      </c>
    </row>
    <row r="137" spans="1:23" x14ac:dyDescent="0.2">
      <c r="A137" s="1">
        <v>41103</v>
      </c>
      <c r="B137">
        <v>2</v>
      </c>
      <c r="C137" t="s">
        <v>11</v>
      </c>
      <c r="D137">
        <v>5.6800000000000002E-3</v>
      </c>
      <c r="E137">
        <f t="shared" si="4"/>
        <v>1.0056799999999999</v>
      </c>
      <c r="F137" s="1">
        <f t="shared" si="5"/>
        <v>41099</v>
      </c>
      <c r="G137" cm="1">
        <f t="array" ref="G137">PRODUCT( _xlfn._xlws.FILTER($E:$E, ($C:$C=C137)*($F:$F=F137)) ) - 1</f>
        <v>8.2511547932289098E-3</v>
      </c>
      <c r="J137" t="str">
        <v>CNR</v>
      </c>
      <c r="K137" s="1">
        <v>41848</v>
      </c>
      <c r="L137">
        <v>-2.5803885658103987E-2</v>
      </c>
      <c r="R137">
        <v>9.8277701440525611E-3</v>
      </c>
      <c r="S137">
        <v>-3.9791269510618399E-3</v>
      </c>
      <c r="T137">
        <v>-8.7647767150402789E-3</v>
      </c>
      <c r="U137">
        <v>-1.5570580992384953E-2</v>
      </c>
      <c r="V137">
        <v>-1.6570204965024482E-2</v>
      </c>
      <c r="W137">
        <v>-1.7253879295252683E-2</v>
      </c>
    </row>
    <row r="138" spans="1:23" x14ac:dyDescent="0.2">
      <c r="A138" s="1">
        <v>41106</v>
      </c>
      <c r="B138">
        <v>2</v>
      </c>
      <c r="C138" t="s">
        <v>11</v>
      </c>
      <c r="D138">
        <v>-1.268E-3</v>
      </c>
      <c r="E138">
        <f t="shared" si="4"/>
        <v>0.99873199999999995</v>
      </c>
      <c r="F138" s="1">
        <f t="shared" si="5"/>
        <v>41106</v>
      </c>
      <c r="G138" cm="1">
        <f t="array" ref="G138">PRODUCT( _xlfn._xlws.FILTER($E:$E, ($C:$C=C138)*($F:$F=F138)) ) - 1</f>
        <v>1.313901272620499E-2</v>
      </c>
      <c r="J138" t="str">
        <v>CNR</v>
      </c>
      <c r="K138" s="1">
        <v>41855</v>
      </c>
      <c r="L138">
        <v>7.4887876003728593E-3</v>
      </c>
      <c r="R138">
        <v>2.7426217616975723E-2</v>
      </c>
      <c r="S138">
        <v>-1.8437587418879464E-2</v>
      </c>
      <c r="T138">
        <v>1.206394247763809E-3</v>
      </c>
      <c r="U138">
        <v>3.2457367364262968E-2</v>
      </c>
      <c r="V138">
        <v>1.1964941321722655E-2</v>
      </c>
      <c r="W138">
        <v>1.7026292881609617E-2</v>
      </c>
    </row>
    <row r="139" spans="1:23" x14ac:dyDescent="0.2">
      <c r="A139" s="1">
        <v>41107</v>
      </c>
      <c r="B139">
        <v>2</v>
      </c>
      <c r="C139" t="s">
        <v>11</v>
      </c>
      <c r="D139">
        <v>1.1194000000000001E-2</v>
      </c>
      <c r="E139">
        <f t="shared" si="4"/>
        <v>1.0111939999999999</v>
      </c>
      <c r="F139" s="1">
        <f t="shared" si="5"/>
        <v>41106</v>
      </c>
      <c r="G139" cm="1">
        <f t="array" ref="G139">PRODUCT( _xlfn._xlws.FILTER($E:$E, ($C:$C=C139)*($F:$F=F139)) ) - 1</f>
        <v>1.313901272620499E-2</v>
      </c>
      <c r="J139" t="str">
        <v>CNR</v>
      </c>
      <c r="K139" s="1">
        <v>41862</v>
      </c>
      <c r="L139">
        <v>2.0923372536097995E-2</v>
      </c>
      <c r="R139">
        <v>9.3597164044658676E-3</v>
      </c>
      <c r="S139">
        <v>-5.9486453224082414E-3</v>
      </c>
      <c r="T139">
        <v>6.690367293049837E-3</v>
      </c>
      <c r="U139">
        <v>8.1679004329025862E-2</v>
      </c>
      <c r="V139">
        <v>7.7928359432617444E-3</v>
      </c>
      <c r="W139">
        <v>5.2319656887487298E-3</v>
      </c>
    </row>
    <row r="140" spans="1:23" x14ac:dyDescent="0.2">
      <c r="A140" s="1">
        <v>41108</v>
      </c>
      <c r="B140">
        <v>2</v>
      </c>
      <c r="C140" t="s">
        <v>11</v>
      </c>
      <c r="D140">
        <v>3.31E-3</v>
      </c>
      <c r="E140">
        <f t="shared" si="4"/>
        <v>1.0033099999999999</v>
      </c>
      <c r="F140" s="1">
        <f t="shared" si="5"/>
        <v>41106</v>
      </c>
      <c r="G140" cm="1">
        <f t="array" ref="G140">PRODUCT( _xlfn._xlws.FILTER($E:$E, ($C:$C=C140)*($F:$F=F140)) ) - 1</f>
        <v>1.313901272620499E-2</v>
      </c>
      <c r="J140" t="str">
        <v>CNR</v>
      </c>
      <c r="K140" s="1">
        <v>41869</v>
      </c>
      <c r="L140">
        <v>2.6425837192420643E-2</v>
      </c>
      <c r="R140">
        <v>5.0049461084320512E-3</v>
      </c>
      <c r="S140">
        <v>1.5747914879217229E-2</v>
      </c>
      <c r="T140">
        <v>-3.4557299065395286E-3</v>
      </c>
      <c r="U140">
        <v>-6.0413767741369639E-3</v>
      </c>
      <c r="V140">
        <v>-2.8758432332780859E-2</v>
      </c>
      <c r="W140">
        <v>7.0267271726394132E-3</v>
      </c>
    </row>
    <row r="141" spans="1:23" x14ac:dyDescent="0.2">
      <c r="A141" s="1">
        <v>41109</v>
      </c>
      <c r="B141">
        <v>2</v>
      </c>
      <c r="C141" t="s">
        <v>11</v>
      </c>
      <c r="D141">
        <v>9.8960000000000003E-3</v>
      </c>
      <c r="E141">
        <f t="shared" si="4"/>
        <v>1.0098959999999999</v>
      </c>
      <c r="F141" s="1">
        <f t="shared" si="5"/>
        <v>41106</v>
      </c>
      <c r="G141" cm="1">
        <f t="array" ref="G141">PRODUCT( _xlfn._xlws.FILTER($E:$E, ($C:$C=C141)*($F:$F=F141)) ) - 1</f>
        <v>1.313901272620499E-2</v>
      </c>
      <c r="J141" t="str">
        <v>CNR</v>
      </c>
      <c r="K141" s="1">
        <v>41876</v>
      </c>
      <c r="L141">
        <v>2.5744823865677446E-2</v>
      </c>
      <c r="R141">
        <v>5.8582139694951518E-3</v>
      </c>
      <c r="S141">
        <v>3.7204979302707386E-3</v>
      </c>
      <c r="T141">
        <v>1.4138779714451433E-2</v>
      </c>
      <c r="U141">
        <v>-9.984430965538138E-3</v>
      </c>
      <c r="V141">
        <v>-5.4738499753047565E-3</v>
      </c>
      <c r="W141">
        <v>7.7380198804077871E-4</v>
      </c>
    </row>
    <row r="142" spans="1:23" x14ac:dyDescent="0.2">
      <c r="A142" s="1">
        <v>41110</v>
      </c>
      <c r="B142">
        <v>2</v>
      </c>
      <c r="C142" t="s">
        <v>11</v>
      </c>
      <c r="D142">
        <v>-9.9120000000000007E-3</v>
      </c>
      <c r="E142">
        <f t="shared" si="4"/>
        <v>0.99008799999999997</v>
      </c>
      <c r="F142" s="1">
        <f t="shared" si="5"/>
        <v>41106</v>
      </c>
      <c r="G142" cm="1">
        <f t="array" ref="G142">PRODUCT( _xlfn._xlws.FILTER($E:$E, ($C:$C=C142)*($F:$F=F142)) ) - 1</f>
        <v>1.313901272620499E-2</v>
      </c>
      <c r="J142" t="str">
        <v>CNR</v>
      </c>
      <c r="K142" s="1">
        <v>41883</v>
      </c>
      <c r="L142">
        <v>2.6636689092041532E-2</v>
      </c>
      <c r="R142">
        <v>1.9509868759291171E-2</v>
      </c>
      <c r="S142">
        <v>-6.0098570897615389E-8</v>
      </c>
      <c r="T142">
        <v>1.4862414552347492E-2</v>
      </c>
      <c r="U142">
        <v>-6.5775145619828557E-3</v>
      </c>
      <c r="V142">
        <v>-1.0008735958441095E-3</v>
      </c>
      <c r="W142">
        <v>8.5205966949049028E-3</v>
      </c>
    </row>
    <row r="143" spans="1:23" x14ac:dyDescent="0.2">
      <c r="A143" s="1">
        <v>41113</v>
      </c>
      <c r="B143">
        <v>2</v>
      </c>
      <c r="C143" t="s">
        <v>11</v>
      </c>
      <c r="D143">
        <v>-1.2059E-2</v>
      </c>
      <c r="E143">
        <f t="shared" si="4"/>
        <v>0.98794099999999996</v>
      </c>
      <c r="F143" s="1">
        <f t="shared" si="5"/>
        <v>41113</v>
      </c>
      <c r="G143" cm="1">
        <f t="array" ref="G143">PRODUCT( _xlfn._xlws.FILTER($E:$E, ($C:$C=C143)*($F:$F=F143)) ) - 1</f>
        <v>5.6876974428239357E-3</v>
      </c>
      <c r="J143" t="str">
        <v>CNR</v>
      </c>
      <c r="K143" s="1">
        <v>41890</v>
      </c>
      <c r="L143">
        <v>8.0083142737872315E-3</v>
      </c>
      <c r="R143">
        <v>6.2847590519130581E-3</v>
      </c>
      <c r="S143">
        <v>1.3282892080967335E-2</v>
      </c>
      <c r="T143">
        <v>1.5292397681391012E-2</v>
      </c>
      <c r="U143">
        <v>-2.3616316022406547E-2</v>
      </c>
      <c r="V143">
        <v>-2.3541379678841068E-2</v>
      </c>
      <c r="W143">
        <v>1.1520596081922241E-2</v>
      </c>
    </row>
    <row r="144" spans="1:23" x14ac:dyDescent="0.2">
      <c r="A144" s="1">
        <v>41114</v>
      </c>
      <c r="B144">
        <v>2</v>
      </c>
      <c r="C144" t="s">
        <v>11</v>
      </c>
      <c r="D144">
        <v>5.4120000000000001E-3</v>
      </c>
      <c r="E144">
        <f t="shared" si="4"/>
        <v>1.005412</v>
      </c>
      <c r="F144" s="1">
        <f t="shared" si="5"/>
        <v>41113</v>
      </c>
      <c r="G144" cm="1">
        <f t="array" ref="G144">PRODUCT( _xlfn._xlws.FILTER($E:$E, ($C:$C=C144)*($F:$F=F144)) ) - 1</f>
        <v>5.6876974428239357E-3</v>
      </c>
      <c r="J144" t="str">
        <v>CNR</v>
      </c>
      <c r="K144" s="1">
        <v>41897</v>
      </c>
      <c r="L144">
        <v>8.5646751004353483E-3</v>
      </c>
      <c r="R144">
        <v>3.7184968666520435E-2</v>
      </c>
      <c r="S144">
        <v>-3.0581495052495189E-4</v>
      </c>
      <c r="T144">
        <v>1.7360139671897201E-2</v>
      </c>
      <c r="U144">
        <v>8.5891727330487111E-3</v>
      </c>
      <c r="V144">
        <v>-4.6164309013259075E-3</v>
      </c>
      <c r="W144">
        <v>-1.2657718220483449E-3</v>
      </c>
    </row>
    <row r="145" spans="1:23" x14ac:dyDescent="0.2">
      <c r="A145" s="1">
        <v>41115</v>
      </c>
      <c r="B145">
        <v>2</v>
      </c>
      <c r="C145" t="s">
        <v>11</v>
      </c>
      <c r="D145">
        <v>-5.4980000000000003E-3</v>
      </c>
      <c r="E145">
        <f t="shared" si="4"/>
        <v>0.994502</v>
      </c>
      <c r="F145" s="1">
        <f t="shared" si="5"/>
        <v>41113</v>
      </c>
      <c r="G145" cm="1">
        <f t="array" ref="G145">PRODUCT( _xlfn._xlws.FILTER($E:$E, ($C:$C=C145)*($F:$F=F145)) ) - 1</f>
        <v>5.6876974428239357E-3</v>
      </c>
      <c r="J145" t="str">
        <v>CNR</v>
      </c>
      <c r="K145" s="1">
        <v>41904</v>
      </c>
      <c r="L145">
        <v>-1.858379596109283E-2</v>
      </c>
      <c r="R145">
        <v>1.2863008727229452E-2</v>
      </c>
      <c r="S145">
        <v>5.1841043196743097E-3</v>
      </c>
      <c r="T145">
        <v>1.1347626659045984E-2</v>
      </c>
      <c r="U145">
        <v>2.12907741679218E-2</v>
      </c>
      <c r="V145">
        <v>-3.2724194320682631E-2</v>
      </c>
      <c r="W145">
        <v>1.0643767239774782E-2</v>
      </c>
    </row>
    <row r="146" spans="1:23" x14ac:dyDescent="0.2">
      <c r="A146" s="1">
        <v>41116</v>
      </c>
      <c r="B146">
        <v>2</v>
      </c>
      <c r="C146" t="s">
        <v>11</v>
      </c>
      <c r="D146">
        <v>2.1536E-2</v>
      </c>
      <c r="E146">
        <f t="shared" si="4"/>
        <v>1.021536</v>
      </c>
      <c r="F146" s="1">
        <f t="shared" si="5"/>
        <v>41113</v>
      </c>
      <c r="G146" cm="1">
        <f t="array" ref="G146">PRODUCT( _xlfn._xlws.FILTER($E:$E, ($C:$C=C146)*($F:$F=F146)) ) - 1</f>
        <v>5.6876974428239357E-3</v>
      </c>
      <c r="J146" t="str">
        <v>CNR</v>
      </c>
      <c r="K146" s="1">
        <v>41911</v>
      </c>
      <c r="L146">
        <v>-7.2743581016968539E-3</v>
      </c>
      <c r="R146">
        <v>-2.5803885658103987E-2</v>
      </c>
      <c r="S146">
        <v>3.9441135915554426E-3</v>
      </c>
      <c r="T146">
        <v>-6.509205802192608E-3</v>
      </c>
      <c r="U146">
        <v>-4.6961224846386318E-2</v>
      </c>
      <c r="V146">
        <v>1.1453459801398669E-2</v>
      </c>
      <c r="W146">
        <v>2.7833446144865492E-2</v>
      </c>
    </row>
    <row r="147" spans="1:23" x14ac:dyDescent="0.2">
      <c r="A147" s="1">
        <v>41117</v>
      </c>
      <c r="B147">
        <v>2</v>
      </c>
      <c r="C147" t="s">
        <v>11</v>
      </c>
      <c r="D147">
        <v>-3.382E-3</v>
      </c>
      <c r="E147">
        <f t="shared" si="4"/>
        <v>0.996618</v>
      </c>
      <c r="F147" s="1">
        <f t="shared" si="5"/>
        <v>41113</v>
      </c>
      <c r="G147" cm="1">
        <f t="array" ref="G147">PRODUCT( _xlfn._xlws.FILTER($E:$E, ($C:$C=C147)*($F:$F=F147)) ) - 1</f>
        <v>5.6876974428239357E-3</v>
      </c>
      <c r="J147" t="str">
        <v>CNR</v>
      </c>
      <c r="K147" s="1">
        <v>41918</v>
      </c>
      <c r="L147">
        <v>-8.7290901395205345E-2</v>
      </c>
      <c r="R147">
        <v>7.4887876003728593E-3</v>
      </c>
      <c r="S147">
        <v>1.1181551457888572E-2</v>
      </c>
      <c r="T147">
        <v>-5.1646428363798513E-3</v>
      </c>
      <c r="U147">
        <v>-9.9009098983823263E-3</v>
      </c>
      <c r="V147">
        <v>1.317183121473775E-3</v>
      </c>
      <c r="W147">
        <v>-9.7644530626950221E-4</v>
      </c>
    </row>
    <row r="148" spans="1:23" x14ac:dyDescent="0.2">
      <c r="A148" s="1">
        <v>41120</v>
      </c>
      <c r="B148">
        <v>2</v>
      </c>
      <c r="C148" t="s">
        <v>11</v>
      </c>
      <c r="D148">
        <v>-2.8279999999999998E-3</v>
      </c>
      <c r="E148">
        <f t="shared" si="4"/>
        <v>0.99717199999999995</v>
      </c>
      <c r="F148" s="1">
        <f t="shared" si="5"/>
        <v>41120</v>
      </c>
      <c r="G148" cm="1">
        <f t="array" ref="G148">PRODUCT( _xlfn._xlws.FILTER($E:$E, ($C:$C=C148)*($F:$F=F148)) ) - 1</f>
        <v>6.7876253765561945E-3</v>
      </c>
      <c r="J148" t="str">
        <v>CNR</v>
      </c>
      <c r="K148" s="1">
        <v>41925</v>
      </c>
      <c r="L148">
        <v>1.8685260124791769E-2</v>
      </c>
      <c r="R148">
        <v>2.0923372536097995E-2</v>
      </c>
      <c r="S148">
        <v>1.3586535525891952E-2</v>
      </c>
      <c r="T148">
        <v>1.1272273764705076E-2</v>
      </c>
      <c r="U148">
        <v>-1.3946403854977474E-3</v>
      </c>
      <c r="V148">
        <v>1.104804830387951E-2</v>
      </c>
      <c r="W148">
        <v>8.3029235555960312E-3</v>
      </c>
    </row>
    <row r="149" spans="1:23" x14ac:dyDescent="0.2">
      <c r="A149" s="1">
        <v>41121</v>
      </c>
      <c r="B149">
        <v>2</v>
      </c>
      <c r="C149" t="s">
        <v>11</v>
      </c>
      <c r="D149">
        <v>3.63E-3</v>
      </c>
      <c r="E149">
        <f t="shared" si="4"/>
        <v>1.00363</v>
      </c>
      <c r="F149" s="1">
        <f t="shared" si="5"/>
        <v>41120</v>
      </c>
      <c r="G149" cm="1">
        <f t="array" ref="G149">PRODUCT( _xlfn._xlws.FILTER($E:$E, ($C:$C=C149)*($F:$F=F149)) ) - 1</f>
        <v>6.7876253765561945E-3</v>
      </c>
      <c r="J149" t="str">
        <v>CNR</v>
      </c>
      <c r="K149" s="1">
        <v>41932</v>
      </c>
      <c r="L149">
        <v>4.9863658031846336E-2</v>
      </c>
      <c r="R149">
        <v>2.6425837192420643E-2</v>
      </c>
      <c r="S149">
        <v>-3.2747874044929404E-3</v>
      </c>
      <c r="T149">
        <v>1.1897188433924066E-2</v>
      </c>
      <c r="U149">
        <v>2.3753956906755525E-2</v>
      </c>
      <c r="V149">
        <v>6.5029834374747963E-3</v>
      </c>
      <c r="W149">
        <v>2.9119568116700023E-3</v>
      </c>
    </row>
    <row r="150" spans="1:23" x14ac:dyDescent="0.2">
      <c r="A150" s="1">
        <v>41122</v>
      </c>
      <c r="B150">
        <v>2</v>
      </c>
      <c r="C150" t="s">
        <v>11</v>
      </c>
      <c r="D150">
        <v>-1.4355E-2</v>
      </c>
      <c r="E150">
        <f t="shared" si="4"/>
        <v>0.98564499999999999</v>
      </c>
      <c r="F150" s="1">
        <f t="shared" si="5"/>
        <v>41120</v>
      </c>
      <c r="G150" cm="1">
        <f t="array" ref="G150">PRODUCT( _xlfn._xlws.FILTER($E:$E, ($C:$C=C150)*($F:$F=F150)) ) - 1</f>
        <v>6.7876253765561945E-3</v>
      </c>
      <c r="J150" t="str">
        <v>CNR</v>
      </c>
      <c r="K150" s="1">
        <v>41939</v>
      </c>
      <c r="L150">
        <v>2.8341349616147316E-2</v>
      </c>
      <c r="R150">
        <v>2.5744823865677446E-2</v>
      </c>
      <c r="S150">
        <v>2.0912983748215819E-3</v>
      </c>
      <c r="T150">
        <v>-3.7205483377444892E-4</v>
      </c>
      <c r="U150">
        <v>1.5923612989303226E-2</v>
      </c>
      <c r="V150">
        <v>2.5588325260970102E-2</v>
      </c>
      <c r="W150">
        <v>3.8972389953002562E-3</v>
      </c>
    </row>
    <row r="151" spans="1:23" x14ac:dyDescent="0.2">
      <c r="A151" s="1">
        <v>41123</v>
      </c>
      <c r="B151">
        <v>2</v>
      </c>
      <c r="C151" t="s">
        <v>11</v>
      </c>
      <c r="D151">
        <v>-1.72E-3</v>
      </c>
      <c r="E151">
        <f t="shared" si="4"/>
        <v>0.99827999999999995</v>
      </c>
      <c r="F151" s="1">
        <f t="shared" si="5"/>
        <v>41120</v>
      </c>
      <c r="G151" cm="1">
        <f t="array" ref="G151">PRODUCT( _xlfn._xlws.FILTER($E:$E, ($C:$C=C151)*($F:$F=F151)) ) - 1</f>
        <v>6.7876253765561945E-3</v>
      </c>
      <c r="J151" t="str">
        <v>CNR</v>
      </c>
      <c r="K151" s="1">
        <v>41946</v>
      </c>
      <c r="L151">
        <v>-6.9213135966765815E-3</v>
      </c>
      <c r="R151">
        <v>2.6636689092041532E-2</v>
      </c>
      <c r="S151">
        <v>1.3412633475451186E-2</v>
      </c>
      <c r="T151">
        <v>-1.2346478437585962E-4</v>
      </c>
      <c r="U151">
        <v>-5.7552247373101606E-3</v>
      </c>
      <c r="V151">
        <v>4.2842297395699891E-3</v>
      </c>
      <c r="W151">
        <v>6.0673486136815225E-3</v>
      </c>
    </row>
    <row r="152" spans="1:23" x14ac:dyDescent="0.2">
      <c r="A152" s="1">
        <v>41124</v>
      </c>
      <c r="B152">
        <v>2</v>
      </c>
      <c r="C152" t="s">
        <v>11</v>
      </c>
      <c r="D152">
        <v>2.2401000000000001E-2</v>
      </c>
      <c r="E152">
        <f t="shared" si="4"/>
        <v>1.0224009999999999</v>
      </c>
      <c r="F152" s="1">
        <f t="shared" si="5"/>
        <v>41120</v>
      </c>
      <c r="G152" cm="1">
        <f t="array" ref="G152">PRODUCT( _xlfn._xlws.FILTER($E:$E, ($C:$C=C152)*($F:$F=F152)) ) - 1</f>
        <v>6.7876253765561945E-3</v>
      </c>
      <c r="J152" t="str">
        <v>CNR</v>
      </c>
      <c r="K152" s="1">
        <v>41953</v>
      </c>
      <c r="L152">
        <v>1.9643122843800098E-2</v>
      </c>
      <c r="R152">
        <v>8.0083142737872315E-3</v>
      </c>
      <c r="S152">
        <v>9.999483128822817E-3</v>
      </c>
      <c r="T152">
        <v>1.7335397086552184E-2</v>
      </c>
      <c r="U152">
        <v>-2.7197324506337273E-2</v>
      </c>
      <c r="V152">
        <v>5.6132622125755205E-3</v>
      </c>
      <c r="W152">
        <v>5.788886024618245E-3</v>
      </c>
    </row>
    <row r="153" spans="1:23" x14ac:dyDescent="0.2">
      <c r="A153" s="1">
        <v>41128</v>
      </c>
      <c r="B153">
        <v>2</v>
      </c>
      <c r="C153" t="s">
        <v>11</v>
      </c>
      <c r="D153">
        <v>1.4610000000000001E-3</v>
      </c>
      <c r="E153">
        <f t="shared" si="4"/>
        <v>1.0014609999999999</v>
      </c>
      <c r="F153" s="1">
        <f t="shared" si="5"/>
        <v>41127</v>
      </c>
      <c r="G153" cm="1">
        <f t="array" ref="G153">PRODUCT( _xlfn._xlws.FILTER($E:$E, ($C:$C=C153)*($F:$F=F153)) ) - 1</f>
        <v>8.5396791009368922E-3</v>
      </c>
      <c r="J153" t="str">
        <v>CNR</v>
      </c>
      <c r="K153" s="1">
        <v>41960</v>
      </c>
      <c r="L153">
        <v>6.8355221700744373E-3</v>
      </c>
      <c r="R153">
        <v>8.5646751004353483E-3</v>
      </c>
      <c r="S153">
        <v>6.6984109374668144E-3</v>
      </c>
      <c r="T153">
        <v>-4.3806478245479452E-3</v>
      </c>
      <c r="U153">
        <v>-2.1668217888756391E-2</v>
      </c>
      <c r="V153">
        <v>-1.5368737370453189E-2</v>
      </c>
      <c r="W153">
        <v>-3.2853364488670711E-2</v>
      </c>
    </row>
    <row r="154" spans="1:23" x14ac:dyDescent="0.2">
      <c r="A154" s="1">
        <v>41129</v>
      </c>
      <c r="B154">
        <v>2</v>
      </c>
      <c r="C154" t="s">
        <v>11</v>
      </c>
      <c r="D154">
        <v>-3.9269999999999999E-3</v>
      </c>
      <c r="E154">
        <f t="shared" si="4"/>
        <v>0.99607299999999999</v>
      </c>
      <c r="F154" s="1">
        <f t="shared" si="5"/>
        <v>41127</v>
      </c>
      <c r="G154" cm="1">
        <f t="array" ref="G154">PRODUCT( _xlfn._xlws.FILTER($E:$E, ($C:$C=C154)*($F:$F=F154)) ) - 1</f>
        <v>8.5396791009368922E-3</v>
      </c>
      <c r="J154" t="str">
        <v>CNR</v>
      </c>
      <c r="K154" s="1">
        <v>41967</v>
      </c>
      <c r="L154">
        <v>2.7149901316463332E-3</v>
      </c>
      <c r="R154">
        <v>-1.858379596109283E-2</v>
      </c>
      <c r="S154">
        <v>-1.3017069008899984E-2</v>
      </c>
      <c r="T154">
        <v>-1.6626007319589742E-2</v>
      </c>
      <c r="U154">
        <v>-3.0960601677401334E-2</v>
      </c>
      <c r="V154">
        <v>-1.305110099283302E-2</v>
      </c>
      <c r="W154">
        <v>3.9671080847289986E-3</v>
      </c>
    </row>
    <row r="155" spans="1:23" x14ac:dyDescent="0.2">
      <c r="A155" s="1">
        <v>41130</v>
      </c>
      <c r="B155">
        <v>2</v>
      </c>
      <c r="C155" t="s">
        <v>11</v>
      </c>
      <c r="D155">
        <v>4.731E-3</v>
      </c>
      <c r="E155">
        <f t="shared" si="4"/>
        <v>1.004731</v>
      </c>
      <c r="F155" s="1">
        <f t="shared" si="5"/>
        <v>41127</v>
      </c>
      <c r="G155" cm="1">
        <f t="array" ref="G155">PRODUCT( _xlfn._xlws.FILTER($E:$E, ($C:$C=C155)*($F:$F=F155)) ) - 1</f>
        <v>8.5396791009368922E-3</v>
      </c>
      <c r="J155" t="str">
        <v>CNR</v>
      </c>
      <c r="K155" s="1">
        <v>41974</v>
      </c>
      <c r="L155">
        <v>-4.4565467089143662E-2</v>
      </c>
      <c r="R155">
        <v>-7.2743581016968539E-3</v>
      </c>
      <c r="S155">
        <v>2.6670986030827626E-2</v>
      </c>
      <c r="T155">
        <v>-5.222208954230867E-3</v>
      </c>
      <c r="U155">
        <v>-2.064325726036198E-2</v>
      </c>
      <c r="V155">
        <v>1.0372946412513517E-2</v>
      </c>
      <c r="W155">
        <v>3.2107020521118468E-2</v>
      </c>
    </row>
    <row r="156" spans="1:23" x14ac:dyDescent="0.2">
      <c r="A156" s="1">
        <v>41131</v>
      </c>
      <c r="B156">
        <v>2</v>
      </c>
      <c r="C156" t="s">
        <v>11</v>
      </c>
      <c r="D156">
        <v>6.2779999999999997E-3</v>
      </c>
      <c r="E156">
        <f t="shared" si="4"/>
        <v>1.006278</v>
      </c>
      <c r="F156" s="1">
        <f t="shared" si="5"/>
        <v>41127</v>
      </c>
      <c r="G156" cm="1">
        <f t="array" ref="G156">PRODUCT( _xlfn._xlws.FILTER($E:$E, ($C:$C=C156)*($F:$F=F156)) ) - 1</f>
        <v>8.5396791009368922E-3</v>
      </c>
      <c r="J156" t="str">
        <v>CNR</v>
      </c>
      <c r="K156" s="1">
        <v>41981</v>
      </c>
      <c r="L156">
        <v>-4.7785592234473317E-2</v>
      </c>
      <c r="R156">
        <v>-8.7290901395205345E-2</v>
      </c>
      <c r="S156">
        <v>-9.7064320047425268E-3</v>
      </c>
      <c r="T156">
        <v>-4.7483726571875273E-3</v>
      </c>
      <c r="U156">
        <v>-8.0050604526114566E-2</v>
      </c>
      <c r="V156">
        <v>-1.3600224151895546E-2</v>
      </c>
      <c r="W156">
        <v>-2.4407906966422699E-2</v>
      </c>
    </row>
    <row r="157" spans="1:23" x14ac:dyDescent="0.2">
      <c r="A157" s="1">
        <v>41134</v>
      </c>
      <c r="B157">
        <v>2</v>
      </c>
      <c r="C157" t="s">
        <v>11</v>
      </c>
      <c r="D157">
        <v>1.7830000000000001E-3</v>
      </c>
      <c r="E157">
        <f t="shared" si="4"/>
        <v>1.0017830000000001</v>
      </c>
      <c r="F157" s="1">
        <f t="shared" si="5"/>
        <v>41134</v>
      </c>
      <c r="G157" cm="1">
        <f t="array" ref="G157">PRODUCT( _xlfn._xlws.FILTER($E:$E, ($C:$C=C157)*($F:$F=F157)) ) - 1</f>
        <v>1.9831796570546789E-2</v>
      </c>
      <c r="J157" t="str">
        <v>CNR</v>
      </c>
      <c r="K157" s="1">
        <v>41988</v>
      </c>
      <c r="L157">
        <v>5.1045621593656998E-2</v>
      </c>
      <c r="R157">
        <v>1.8685260124791769E-2</v>
      </c>
      <c r="S157">
        <v>4.6124169452066432E-3</v>
      </c>
      <c r="T157">
        <v>-1.0297332253981439E-2</v>
      </c>
      <c r="U157">
        <v>2.9186878535567562E-2</v>
      </c>
      <c r="V157">
        <v>-1.0404868188240601E-2</v>
      </c>
      <c r="W157">
        <v>-1.9131966941334566E-2</v>
      </c>
    </row>
    <row r="158" spans="1:23" x14ac:dyDescent="0.2">
      <c r="A158" s="1">
        <v>41135</v>
      </c>
      <c r="B158">
        <v>2</v>
      </c>
      <c r="C158" t="s">
        <v>11</v>
      </c>
      <c r="D158">
        <v>2.5579999999999999E-3</v>
      </c>
      <c r="E158">
        <f t="shared" si="4"/>
        <v>1.0025580000000001</v>
      </c>
      <c r="F158" s="1">
        <f t="shared" si="5"/>
        <v>41134</v>
      </c>
      <c r="G158" cm="1">
        <f t="array" ref="G158">PRODUCT( _xlfn._xlws.FILTER($E:$E, ($C:$C=C158)*($F:$F=F158)) ) - 1</f>
        <v>1.9831796570546789E-2</v>
      </c>
      <c r="J158" t="str">
        <v>CNR</v>
      </c>
      <c r="K158" s="1">
        <v>41995</v>
      </c>
      <c r="L158">
        <v>3.1516125882020463E-2</v>
      </c>
      <c r="R158">
        <v>4.9863658031846336E-2</v>
      </c>
      <c r="S158">
        <v>1.4821180707182524E-2</v>
      </c>
      <c r="T158">
        <v>1.5347798475348506E-2</v>
      </c>
      <c r="U158">
        <v>3.0215657325303624E-2</v>
      </c>
      <c r="V158">
        <v>3.9958861934037859E-2</v>
      </c>
      <c r="W158">
        <v>3.7508734213519634E-2</v>
      </c>
    </row>
    <row r="159" spans="1:23" x14ac:dyDescent="0.2">
      <c r="A159" s="1">
        <v>41136</v>
      </c>
      <c r="B159">
        <v>2</v>
      </c>
      <c r="C159" t="s">
        <v>11</v>
      </c>
      <c r="D159">
        <v>4.104E-3</v>
      </c>
      <c r="E159">
        <f t="shared" si="4"/>
        <v>1.0041040000000001</v>
      </c>
      <c r="F159" s="1">
        <f t="shared" si="5"/>
        <v>41134</v>
      </c>
      <c r="G159" cm="1">
        <f t="array" ref="G159">PRODUCT( _xlfn._xlws.FILTER($E:$E, ($C:$C=C159)*($F:$F=F159)) ) - 1</f>
        <v>1.9831796570546789E-2</v>
      </c>
      <c r="J159" t="str">
        <v>CNR</v>
      </c>
      <c r="K159" s="1">
        <v>42002</v>
      </c>
      <c r="L159">
        <v>4.6330881525880052E-3</v>
      </c>
      <c r="R159">
        <v>2.8341349616147316E-2</v>
      </c>
      <c r="S159">
        <v>4.7944636064285895E-2</v>
      </c>
      <c r="T159">
        <v>9.2087897151378328E-3</v>
      </c>
      <c r="U159">
        <v>2.9585929629364349E-2</v>
      </c>
      <c r="V159">
        <v>2.0980791162087398E-2</v>
      </c>
      <c r="W159">
        <v>1.0604336934977088E-2</v>
      </c>
    </row>
    <row r="160" spans="1:23" x14ac:dyDescent="0.2">
      <c r="A160" s="1">
        <v>41137</v>
      </c>
      <c r="B160">
        <v>2</v>
      </c>
      <c r="C160" t="s">
        <v>11</v>
      </c>
      <c r="D160">
        <v>-4.0870000000000004E-3</v>
      </c>
      <c r="E160">
        <f t="shared" si="4"/>
        <v>0.99591300000000005</v>
      </c>
      <c r="F160" s="1">
        <f t="shared" si="5"/>
        <v>41134</v>
      </c>
      <c r="G160" cm="1">
        <f t="array" ref="G160">PRODUCT( _xlfn._xlws.FILTER($E:$E, ($C:$C=C160)*($F:$F=F160)) ) - 1</f>
        <v>1.9831796570546789E-2</v>
      </c>
      <c r="J160" t="str">
        <v>CNR</v>
      </c>
      <c r="K160" s="1">
        <v>42009</v>
      </c>
      <c r="L160">
        <v>-1.0594724381326359E-2</v>
      </c>
      <c r="R160">
        <v>-6.9213135966765815E-3</v>
      </c>
      <c r="S160">
        <v>2.7777823925019041E-2</v>
      </c>
      <c r="T160">
        <v>1.3374352046300775E-2</v>
      </c>
      <c r="U160">
        <v>-2.0739523627618328E-2</v>
      </c>
      <c r="V160">
        <v>1.5349737933210816E-2</v>
      </c>
      <c r="W160">
        <v>1.6933544117014865E-2</v>
      </c>
    </row>
    <row r="161" spans="1:23" x14ac:dyDescent="0.2">
      <c r="A161" s="1">
        <v>41138</v>
      </c>
      <c r="B161">
        <v>2</v>
      </c>
      <c r="C161" t="s">
        <v>11</v>
      </c>
      <c r="D161">
        <v>1.5419E-2</v>
      </c>
      <c r="E161">
        <f t="shared" si="4"/>
        <v>1.0154190000000001</v>
      </c>
      <c r="F161" s="1">
        <f t="shared" si="5"/>
        <v>41134</v>
      </c>
      <c r="G161" cm="1">
        <f t="array" ref="G161">PRODUCT( _xlfn._xlws.FILTER($E:$E, ($C:$C=C161)*($F:$F=F161)) ) - 1</f>
        <v>1.9831796570546789E-2</v>
      </c>
      <c r="J161" t="str">
        <v>CNR</v>
      </c>
      <c r="K161" s="1">
        <v>42016</v>
      </c>
      <c r="L161">
        <v>5.1652526747452132E-3</v>
      </c>
      <c r="R161">
        <v>1.9643122843800098E-2</v>
      </c>
      <c r="S161">
        <v>2.3845639531179241E-3</v>
      </c>
      <c r="T161">
        <v>1.3936208987703314E-2</v>
      </c>
      <c r="U161">
        <v>9.6968916346726886E-3</v>
      </c>
      <c r="V161">
        <v>4.2429756319947165E-2</v>
      </c>
      <c r="W161">
        <v>1.7589125038768749E-2</v>
      </c>
    </row>
    <row r="162" spans="1:23" x14ac:dyDescent="0.2">
      <c r="A162" s="1">
        <v>41141</v>
      </c>
      <c r="B162">
        <v>2</v>
      </c>
      <c r="C162" t="s">
        <v>11</v>
      </c>
      <c r="D162">
        <v>1.9659999999999999E-3</v>
      </c>
      <c r="E162">
        <f t="shared" si="4"/>
        <v>1.0019659999999999</v>
      </c>
      <c r="F162" s="1">
        <f t="shared" si="5"/>
        <v>41141</v>
      </c>
      <c r="G162" cm="1">
        <f t="array" ref="G162">PRODUCT( _xlfn._xlws.FILTER($E:$E, ($C:$C=C162)*($F:$F=F162)) ) - 1</f>
        <v>-7.319953683880609E-3</v>
      </c>
      <c r="J162" t="str">
        <v>CNR</v>
      </c>
      <c r="K162" s="1">
        <v>42023</v>
      </c>
      <c r="L162">
        <v>5.8780046172023592E-2</v>
      </c>
      <c r="R162">
        <v>6.8355221700744373E-3</v>
      </c>
      <c r="S162">
        <v>2.7754342772482898E-2</v>
      </c>
      <c r="T162">
        <v>3.8920136411861872E-3</v>
      </c>
      <c r="U162">
        <v>2.4007818153502836E-2</v>
      </c>
      <c r="V162">
        <v>-7.4859448549792207E-3</v>
      </c>
      <c r="W162">
        <v>2.9877655219823218E-4</v>
      </c>
    </row>
    <row r="163" spans="1:23" x14ac:dyDescent="0.2">
      <c r="A163" s="1">
        <v>41142</v>
      </c>
      <c r="B163">
        <v>2</v>
      </c>
      <c r="C163" t="s">
        <v>11</v>
      </c>
      <c r="D163">
        <v>-6.5420000000000001E-3</v>
      </c>
      <c r="E163">
        <f t="shared" si="4"/>
        <v>0.99345799999999995</v>
      </c>
      <c r="F163" s="1">
        <f t="shared" si="5"/>
        <v>41141</v>
      </c>
      <c r="G163" cm="1">
        <f t="array" ref="G163">PRODUCT( _xlfn._xlws.FILTER($E:$E, ($C:$C=C163)*($F:$F=F163)) ) - 1</f>
        <v>-7.319953683880609E-3</v>
      </c>
      <c r="J163" t="str">
        <v>CNR</v>
      </c>
      <c r="K163" s="1">
        <v>42030</v>
      </c>
      <c r="L163">
        <v>-8.9961479038056513E-3</v>
      </c>
      <c r="R163">
        <v>2.7149901316463332E-3</v>
      </c>
      <c r="S163">
        <v>4.4496187723430225E-2</v>
      </c>
      <c r="T163">
        <v>7.6335665448941104E-3</v>
      </c>
      <c r="U163">
        <v>-0.10883510011784669</v>
      </c>
      <c r="V163">
        <v>2.0034418752047811E-2</v>
      </c>
      <c r="W163">
        <v>5.9726148488793651E-2</v>
      </c>
    </row>
    <row r="164" spans="1:23" x14ac:dyDescent="0.2">
      <c r="A164" s="1">
        <v>41143</v>
      </c>
      <c r="B164">
        <v>2</v>
      </c>
      <c r="C164" t="s">
        <v>11</v>
      </c>
      <c r="D164">
        <v>-3.5119999999999999E-3</v>
      </c>
      <c r="E164">
        <f t="shared" si="4"/>
        <v>0.99648800000000004</v>
      </c>
      <c r="F164" s="1">
        <f t="shared" si="5"/>
        <v>41141</v>
      </c>
      <c r="G164" cm="1">
        <f t="array" ref="G164">PRODUCT( _xlfn._xlws.FILTER($E:$E, ($C:$C=C164)*($F:$F=F164)) ) - 1</f>
        <v>-7.319953683880609E-3</v>
      </c>
      <c r="J164" t="str">
        <v>CNR</v>
      </c>
      <c r="K164" s="1">
        <v>42037</v>
      </c>
      <c r="L164">
        <v>4.0731110449051977E-2</v>
      </c>
      <c r="R164">
        <v>-4.4565467089143662E-2</v>
      </c>
      <c r="S164">
        <v>-2.4871402352068306E-2</v>
      </c>
      <c r="T164">
        <v>-3.3188703399214425E-2</v>
      </c>
      <c r="U164">
        <v>-2.3719612292183445E-3</v>
      </c>
      <c r="V164">
        <v>-4.2744812833690693E-2</v>
      </c>
      <c r="W164">
        <v>-6.7972054528384618E-3</v>
      </c>
    </row>
    <row r="165" spans="1:23" x14ac:dyDescent="0.2">
      <c r="A165" s="1">
        <v>41144</v>
      </c>
      <c r="B165">
        <v>2</v>
      </c>
      <c r="C165" t="s">
        <v>11</v>
      </c>
      <c r="D165">
        <v>-4.5149999999999999E-3</v>
      </c>
      <c r="E165">
        <f t="shared" si="4"/>
        <v>0.99548499999999995</v>
      </c>
      <c r="F165" s="1">
        <f t="shared" si="5"/>
        <v>41141</v>
      </c>
      <c r="G165" cm="1">
        <f t="array" ref="G165">PRODUCT( _xlfn._xlws.FILTER($E:$E, ($C:$C=C165)*($F:$F=F165)) ) - 1</f>
        <v>-7.319953683880609E-3</v>
      </c>
      <c r="J165" t="str">
        <v>CNR</v>
      </c>
      <c r="K165" s="1">
        <v>42044</v>
      </c>
      <c r="L165">
        <v>1.8370458804317646E-3</v>
      </c>
      <c r="R165">
        <v>-4.7785592234473317E-2</v>
      </c>
      <c r="S165">
        <v>-3.8383467201878685E-2</v>
      </c>
      <c r="T165">
        <v>-3.7190088681577027E-2</v>
      </c>
      <c r="U165">
        <v>-0.10125928603247858</v>
      </c>
      <c r="V165">
        <v>2.4317907105824155E-3</v>
      </c>
      <c r="W165">
        <v>-1.0818032800109845E-2</v>
      </c>
    </row>
    <row r="166" spans="1:23" x14ac:dyDescent="0.2">
      <c r="A166" s="1">
        <v>41145</v>
      </c>
      <c r="B166">
        <v>2</v>
      </c>
      <c r="C166" t="s">
        <v>11</v>
      </c>
      <c r="D166">
        <v>5.3099999999999996E-3</v>
      </c>
      <c r="E166">
        <f t="shared" si="4"/>
        <v>1.0053099999999999</v>
      </c>
      <c r="F166" s="1">
        <f t="shared" si="5"/>
        <v>41141</v>
      </c>
      <c r="G166" cm="1">
        <f t="array" ref="G166">PRODUCT( _xlfn._xlws.FILTER($E:$E, ($C:$C=C166)*($F:$F=F166)) ) - 1</f>
        <v>-7.319953683880609E-3</v>
      </c>
      <c r="J166" t="str">
        <v>CNR</v>
      </c>
      <c r="K166" s="1">
        <v>42051</v>
      </c>
      <c r="L166">
        <v>4.6965552462241433E-3</v>
      </c>
      <c r="R166">
        <v>5.1045621593656998E-2</v>
      </c>
      <c r="S166">
        <v>-3.1519648375448739E-3</v>
      </c>
      <c r="T166">
        <v>2.3381767799838915E-2</v>
      </c>
      <c r="U166">
        <v>0.1235596712345286</v>
      </c>
      <c r="V166">
        <v>1.0698072178730644E-2</v>
      </c>
      <c r="W166">
        <v>4.1072082984775937E-2</v>
      </c>
    </row>
    <row r="167" spans="1:23" x14ac:dyDescent="0.2">
      <c r="A167" s="1">
        <v>41148</v>
      </c>
      <c r="B167">
        <v>2</v>
      </c>
      <c r="C167" t="s">
        <v>11</v>
      </c>
      <c r="D167">
        <v>3.3E-4</v>
      </c>
      <c r="E167">
        <f t="shared" si="4"/>
        <v>1.0003299999999999</v>
      </c>
      <c r="F167" s="1">
        <f t="shared" si="5"/>
        <v>41148</v>
      </c>
      <c r="G167" cm="1">
        <f t="array" ref="G167">PRODUCT( _xlfn._xlws.FILTER($E:$E, ($C:$C=C167)*($F:$F=F167)) ) - 1</f>
        <v>-7.3735189044153993E-3</v>
      </c>
      <c r="J167" t="str">
        <v>CNR</v>
      </c>
      <c r="K167" s="1">
        <v>42058</v>
      </c>
      <c r="L167">
        <v>-1.539179985412098E-2</v>
      </c>
      <c r="R167">
        <v>3.1516125882020463E-2</v>
      </c>
      <c r="S167">
        <v>2.7134684196682857E-2</v>
      </c>
      <c r="T167">
        <v>1.3758805988437928E-2</v>
      </c>
      <c r="U167">
        <v>3.3518554519418098E-2</v>
      </c>
      <c r="V167">
        <v>1.7319551852415405E-2</v>
      </c>
      <c r="W167">
        <v>2.1012725294736079E-2</v>
      </c>
    </row>
    <row r="168" spans="1:23" x14ac:dyDescent="0.2">
      <c r="A168" s="1">
        <v>41149</v>
      </c>
      <c r="B168">
        <v>2</v>
      </c>
      <c r="C168" t="s">
        <v>11</v>
      </c>
      <c r="D168">
        <v>-1.7600000000000001E-3</v>
      </c>
      <c r="E168">
        <f t="shared" si="4"/>
        <v>0.99824000000000002</v>
      </c>
      <c r="F168" s="1">
        <f t="shared" si="5"/>
        <v>41148</v>
      </c>
      <c r="G168" cm="1">
        <f t="array" ref="G168">PRODUCT( _xlfn._xlws.FILTER($E:$E, ($C:$C=C168)*($F:$F=F168)) ) - 1</f>
        <v>-7.3735189044153993E-3</v>
      </c>
      <c r="J168" t="str">
        <v>CNR</v>
      </c>
      <c r="K168" s="1">
        <v>42065</v>
      </c>
      <c r="L168">
        <v>-4.3715685082494904E-3</v>
      </c>
      <c r="R168">
        <v>4.6330881525880052E-3</v>
      </c>
      <c r="S168">
        <v>5.8993590225455694E-3</v>
      </c>
      <c r="T168">
        <v>4.8558274313326155E-3</v>
      </c>
      <c r="U168">
        <v>1.071196826576637E-3</v>
      </c>
      <c r="V168">
        <v>-6.3845294771553984E-3</v>
      </c>
      <c r="W168">
        <v>-1.4069380939216947E-2</v>
      </c>
    </row>
    <row r="169" spans="1:23" x14ac:dyDescent="0.2">
      <c r="A169" s="1">
        <v>41150</v>
      </c>
      <c r="B169">
        <v>2</v>
      </c>
      <c r="C169" t="s">
        <v>11</v>
      </c>
      <c r="D169">
        <v>7.7099999999999998E-4</v>
      </c>
      <c r="E169">
        <f t="shared" si="4"/>
        <v>1.0007710000000001</v>
      </c>
      <c r="F169" s="1">
        <f t="shared" si="5"/>
        <v>41148</v>
      </c>
      <c r="G169" cm="1">
        <f t="array" ref="G169">PRODUCT( _xlfn._xlws.FILTER($E:$E, ($C:$C=C169)*($F:$F=F169)) ) - 1</f>
        <v>-7.3735189044153993E-3</v>
      </c>
      <c r="J169" t="str">
        <v>CNR</v>
      </c>
      <c r="K169" s="1">
        <v>42072</v>
      </c>
      <c r="L169">
        <v>8.2884293219991356E-3</v>
      </c>
      <c r="R169">
        <v>-1.0594724381326359E-2</v>
      </c>
      <c r="S169">
        <v>4.334626168809752E-3</v>
      </c>
      <c r="T169">
        <v>-3.9900751477529028E-2</v>
      </c>
      <c r="U169">
        <v>-4.6586315516532584E-2</v>
      </c>
      <c r="V169">
        <v>-1.2137999501074082E-2</v>
      </c>
      <c r="W169">
        <v>-1.8530659692634233E-2</v>
      </c>
    </row>
    <row r="170" spans="1:23" x14ac:dyDescent="0.2">
      <c r="A170" s="1">
        <v>41151</v>
      </c>
      <c r="B170">
        <v>2</v>
      </c>
      <c r="C170" t="s">
        <v>11</v>
      </c>
      <c r="D170">
        <v>-1.1E-4</v>
      </c>
      <c r="E170">
        <f t="shared" si="4"/>
        <v>0.99988999999999995</v>
      </c>
      <c r="F170" s="1">
        <f t="shared" si="5"/>
        <v>41148</v>
      </c>
      <c r="G170" cm="1">
        <f t="array" ref="G170">PRODUCT( _xlfn._xlws.FILTER($E:$E, ($C:$C=C170)*($F:$F=F170)) ) - 1</f>
        <v>-7.3735189044153993E-3</v>
      </c>
      <c r="J170" t="str">
        <v>CNR</v>
      </c>
      <c r="K170" s="1">
        <v>42079</v>
      </c>
      <c r="L170">
        <v>-5.44128936754118E-3</v>
      </c>
      <c r="R170">
        <v>5.1652526747452132E-3</v>
      </c>
      <c r="S170">
        <v>2.4879329178096654E-2</v>
      </c>
      <c r="T170">
        <v>-2.5425661323807414E-2</v>
      </c>
      <c r="U170">
        <v>1.0951025684694526E-2</v>
      </c>
      <c r="V170">
        <v>2.8427560599063151E-2</v>
      </c>
      <c r="W170">
        <v>3.5590698344395655E-2</v>
      </c>
    </row>
    <row r="171" spans="1:23" x14ac:dyDescent="0.2">
      <c r="A171" s="1">
        <v>41152</v>
      </c>
      <c r="B171">
        <v>2</v>
      </c>
      <c r="C171" t="s">
        <v>11</v>
      </c>
      <c r="D171">
        <v>-6.6080000000000002E-3</v>
      </c>
      <c r="E171">
        <f t="shared" si="4"/>
        <v>0.99339200000000005</v>
      </c>
      <c r="F171" s="1">
        <f t="shared" si="5"/>
        <v>41148</v>
      </c>
      <c r="G171" cm="1">
        <f t="array" ref="G171">PRODUCT( _xlfn._xlws.FILTER($E:$E, ($C:$C=C171)*($F:$F=F171)) ) - 1</f>
        <v>-7.3735189044153993E-3</v>
      </c>
      <c r="J171" t="str">
        <v>CNR</v>
      </c>
      <c r="K171" s="1">
        <v>42086</v>
      </c>
      <c r="L171">
        <v>-2.968554114786659E-2</v>
      </c>
      <c r="R171">
        <v>5.8780046172023592E-2</v>
      </c>
      <c r="S171">
        <v>1.0155408436617552E-2</v>
      </c>
      <c r="T171">
        <v>8.8352038580341574E-3</v>
      </c>
      <c r="U171">
        <v>3.7221878594781321E-2</v>
      </c>
      <c r="V171">
        <v>3.4667770086931338E-2</v>
      </c>
      <c r="W171">
        <v>3.4995603002764497E-2</v>
      </c>
    </row>
    <row r="172" spans="1:23" x14ac:dyDescent="0.2">
      <c r="A172" s="1">
        <v>41156</v>
      </c>
      <c r="B172">
        <v>2</v>
      </c>
      <c r="C172" t="s">
        <v>11</v>
      </c>
      <c r="D172">
        <v>-5.2110000000000004E-3</v>
      </c>
      <c r="E172">
        <f t="shared" si="4"/>
        <v>0.99478900000000003</v>
      </c>
      <c r="F172" s="1">
        <f t="shared" si="5"/>
        <v>41155</v>
      </c>
      <c r="G172" cm="1">
        <f t="array" ref="G172">PRODUCT( _xlfn._xlws.FILTER($E:$E, ($C:$C=C172)*($F:$F=F172)) ) - 1</f>
        <v>3.0887203456344547E-3</v>
      </c>
      <c r="J172" t="str">
        <v>CNR</v>
      </c>
      <c r="K172" s="1">
        <v>42093</v>
      </c>
      <c r="L172">
        <v>4.079277587515584E-3</v>
      </c>
      <c r="R172">
        <v>-8.9961479038056513E-3</v>
      </c>
      <c r="S172">
        <v>2.7709277110875785E-2</v>
      </c>
      <c r="T172">
        <v>-4.8793931407974944E-2</v>
      </c>
      <c r="U172">
        <v>1.4996510523829665E-2</v>
      </c>
      <c r="V172">
        <v>-1.3131416795194584E-2</v>
      </c>
      <c r="W172">
        <v>-1.2756078285554584E-2</v>
      </c>
    </row>
    <row r="173" spans="1:23" x14ac:dyDescent="0.2">
      <c r="A173" s="1">
        <v>41157</v>
      </c>
      <c r="B173">
        <v>2</v>
      </c>
      <c r="C173" t="s">
        <v>11</v>
      </c>
      <c r="D173">
        <v>-1.505E-3</v>
      </c>
      <c r="E173">
        <f t="shared" si="4"/>
        <v>0.99849500000000002</v>
      </c>
      <c r="F173" s="1">
        <f t="shared" si="5"/>
        <v>41155</v>
      </c>
      <c r="G173" cm="1">
        <f t="array" ref="G173">PRODUCT( _xlfn._xlws.FILTER($E:$E, ($C:$C=C173)*($F:$F=F173)) ) - 1</f>
        <v>3.0887203456344547E-3</v>
      </c>
      <c r="J173" t="str">
        <v>CNR</v>
      </c>
      <c r="K173" s="1">
        <v>42100</v>
      </c>
      <c r="L173">
        <v>8.2442072738111438E-3</v>
      </c>
      <c r="R173">
        <v>4.0731110449051977E-2</v>
      </c>
      <c r="S173">
        <v>-4.5573641264623488E-2</v>
      </c>
      <c r="T173">
        <v>6.0356702973006104E-2</v>
      </c>
      <c r="U173">
        <v>2.2164522433320455E-2</v>
      </c>
      <c r="V173">
        <v>-9.8642846145301499E-3</v>
      </c>
      <c r="W173">
        <v>2.2764537257062845E-2</v>
      </c>
    </row>
    <row r="174" spans="1:23" x14ac:dyDescent="0.2">
      <c r="A174" s="1">
        <v>41158</v>
      </c>
      <c r="B174">
        <v>2</v>
      </c>
      <c r="C174" t="s">
        <v>11</v>
      </c>
      <c r="D174">
        <v>7.9579999999999998E-3</v>
      </c>
      <c r="E174">
        <f t="shared" si="4"/>
        <v>1.0079579999999999</v>
      </c>
      <c r="F174" s="1">
        <f t="shared" si="5"/>
        <v>41155</v>
      </c>
      <c r="G174" cm="1">
        <f t="array" ref="G174">PRODUCT( _xlfn._xlws.FILTER($E:$E, ($C:$C=C174)*($F:$F=F174)) ) - 1</f>
        <v>3.0887203456344547E-3</v>
      </c>
      <c r="J174" t="str">
        <v>CNR</v>
      </c>
      <c r="K174" s="1">
        <v>42107</v>
      </c>
      <c r="L174">
        <v>-3.7686075527182505E-2</v>
      </c>
      <c r="R174">
        <v>1.8370458804317646E-3</v>
      </c>
      <c r="S174">
        <v>-8.6402211971935428E-3</v>
      </c>
      <c r="T174">
        <v>1.9325343002169593E-2</v>
      </c>
      <c r="U174">
        <v>1.7036291487320776E-2</v>
      </c>
      <c r="V174">
        <v>6.7190202117759501E-3</v>
      </c>
      <c r="W174">
        <v>-2.0053006043934118E-2</v>
      </c>
    </row>
    <row r="175" spans="1:23" x14ac:dyDescent="0.2">
      <c r="A175" s="1">
        <v>41159</v>
      </c>
      <c r="B175">
        <v>2</v>
      </c>
      <c r="C175" t="s">
        <v>11</v>
      </c>
      <c r="D175">
        <v>1.89E-3</v>
      </c>
      <c r="E175">
        <f t="shared" si="4"/>
        <v>1.0018899999999999</v>
      </c>
      <c r="F175" s="1">
        <f t="shared" si="5"/>
        <v>41155</v>
      </c>
      <c r="G175" cm="1">
        <f t="array" ref="G175">PRODUCT( _xlfn._xlws.FILTER($E:$E, ($C:$C=C175)*($F:$F=F175)) ) - 1</f>
        <v>3.0887203456344547E-3</v>
      </c>
      <c r="J175" t="str">
        <v>CNR</v>
      </c>
      <c r="K175" s="1">
        <v>42114</v>
      </c>
      <c r="L175">
        <v>-8.1286157079216714E-3</v>
      </c>
      <c r="R175">
        <v>4.6965552462241433E-3</v>
      </c>
      <c r="S175">
        <v>9.918985915303935E-3</v>
      </c>
      <c r="T175">
        <v>-1.9732423361841778E-2</v>
      </c>
      <c r="U175">
        <v>-2.360402605128531E-2</v>
      </c>
      <c r="V175">
        <v>2.2784542186482737E-2</v>
      </c>
      <c r="W175">
        <v>1.76625695385213E-2</v>
      </c>
    </row>
    <row r="176" spans="1:23" x14ac:dyDescent="0.2">
      <c r="A176" s="1">
        <v>41162</v>
      </c>
      <c r="B176">
        <v>2</v>
      </c>
      <c r="C176" t="s">
        <v>11</v>
      </c>
      <c r="D176">
        <v>2.7750000000000001E-3</v>
      </c>
      <c r="E176">
        <f t="shared" si="4"/>
        <v>1.002775</v>
      </c>
      <c r="F176" s="1">
        <f t="shared" si="5"/>
        <v>41162</v>
      </c>
      <c r="G176" cm="1">
        <f t="array" ref="G176">PRODUCT( _xlfn._xlws.FILTER($E:$E, ($C:$C=C176)*($F:$F=F176)) ) - 1</f>
        <v>9.6572202795321971E-3</v>
      </c>
      <c r="J176" t="str">
        <v>CNR</v>
      </c>
      <c r="K176" s="1">
        <v>42121</v>
      </c>
      <c r="L176">
        <v>-5.5876223747604037E-3</v>
      </c>
      <c r="R176">
        <v>-1.539179985412098E-2</v>
      </c>
      <c r="S176">
        <v>-3.2739825841486825E-3</v>
      </c>
      <c r="T176">
        <v>3.0258579372233418E-2</v>
      </c>
      <c r="U176">
        <v>-2.4435021812303059E-2</v>
      </c>
      <c r="V176">
        <v>-4.2055347848624081E-7</v>
      </c>
      <c r="W176">
        <v>-5.0696364140986327E-3</v>
      </c>
    </row>
    <row r="177" spans="1:23" x14ac:dyDescent="0.2">
      <c r="A177" s="1">
        <v>41163</v>
      </c>
      <c r="B177">
        <v>2</v>
      </c>
      <c r="C177" t="s">
        <v>11</v>
      </c>
      <c r="D177">
        <v>9.0760000000000007E-3</v>
      </c>
      <c r="E177">
        <f t="shared" si="4"/>
        <v>1.0090760000000001</v>
      </c>
      <c r="F177" s="1">
        <f t="shared" si="5"/>
        <v>41162</v>
      </c>
      <c r="G177" cm="1">
        <f t="array" ref="G177">PRODUCT( _xlfn._xlws.FILTER($E:$E, ($C:$C=C177)*($F:$F=F177)) ) - 1</f>
        <v>9.6572202795321971E-3</v>
      </c>
      <c r="J177" t="str">
        <v>CNR</v>
      </c>
      <c r="K177" s="1">
        <v>42128</v>
      </c>
      <c r="L177">
        <v>-1.6355151663497658E-2</v>
      </c>
      <c r="R177">
        <v>-4.3715685082494904E-3</v>
      </c>
      <c r="S177">
        <v>-2.2234300474362922E-2</v>
      </c>
      <c r="T177">
        <v>-1.4685320859162743E-2</v>
      </c>
      <c r="U177">
        <v>-9.0937907582367972E-3</v>
      </c>
      <c r="V177">
        <v>-2.2726581246711897E-2</v>
      </c>
      <c r="W177">
        <v>3.6682542662551665E-3</v>
      </c>
    </row>
    <row r="178" spans="1:23" x14ac:dyDescent="0.2">
      <c r="A178" s="1">
        <v>41164</v>
      </c>
      <c r="B178">
        <v>2</v>
      </c>
      <c r="C178" t="s">
        <v>11</v>
      </c>
      <c r="D178">
        <v>-4.058E-3</v>
      </c>
      <c r="E178">
        <f t="shared" si="4"/>
        <v>0.99594199999999999</v>
      </c>
      <c r="F178" s="1">
        <f t="shared" si="5"/>
        <v>41162</v>
      </c>
      <c r="G178" cm="1">
        <f t="array" ref="G178">PRODUCT( _xlfn._xlws.FILTER($E:$E, ($C:$C=C178)*($F:$F=F178)) ) - 1</f>
        <v>9.6572202795321971E-3</v>
      </c>
      <c r="J178" t="str">
        <v>CNR</v>
      </c>
      <c r="K178" s="1">
        <v>42135</v>
      </c>
      <c r="L178">
        <v>-4.8488451018277035E-2</v>
      </c>
      <c r="R178">
        <v>8.2884293219991356E-3</v>
      </c>
      <c r="S178">
        <v>1.7054035255388733E-2</v>
      </c>
      <c r="T178">
        <v>-1.9051670421463496E-2</v>
      </c>
      <c r="U178">
        <v>-4.253635803362632E-2</v>
      </c>
      <c r="V178">
        <v>-1.7923189339512202E-2</v>
      </c>
      <c r="W178">
        <v>3.269756115252398E-2</v>
      </c>
    </row>
    <row r="179" spans="1:23" x14ac:dyDescent="0.2">
      <c r="A179" s="1">
        <v>41165</v>
      </c>
      <c r="B179">
        <v>2</v>
      </c>
      <c r="C179" t="s">
        <v>11</v>
      </c>
      <c r="D179">
        <v>-6.0569999999999999E-3</v>
      </c>
      <c r="E179">
        <f t="shared" si="4"/>
        <v>0.99394300000000002</v>
      </c>
      <c r="F179" s="1">
        <f t="shared" si="5"/>
        <v>41162</v>
      </c>
      <c r="G179" cm="1">
        <f t="array" ref="G179">PRODUCT( _xlfn._xlws.FILTER($E:$E, ($C:$C=C179)*($F:$F=F179)) ) - 1</f>
        <v>9.6572202795321971E-3</v>
      </c>
      <c r="J179" t="str">
        <v>CNR</v>
      </c>
      <c r="K179" s="1">
        <v>42142</v>
      </c>
      <c r="L179">
        <v>-7.3367065622764738E-3</v>
      </c>
      <c r="R179">
        <v>-5.44128936754118E-3</v>
      </c>
      <c r="S179">
        <v>-1.0924010401505702E-2</v>
      </c>
      <c r="T179">
        <v>9.2475177767357142E-3</v>
      </c>
      <c r="U179">
        <v>3.1122185609948616E-3</v>
      </c>
      <c r="V179">
        <v>-4.0237544341359399E-3</v>
      </c>
      <c r="W179">
        <v>8.2584624568231568E-3</v>
      </c>
    </row>
    <row r="180" spans="1:23" x14ac:dyDescent="0.2">
      <c r="A180" s="1">
        <v>41166</v>
      </c>
      <c r="B180">
        <v>2</v>
      </c>
      <c r="C180" t="s">
        <v>11</v>
      </c>
      <c r="D180">
        <v>7.9780000000000007E-3</v>
      </c>
      <c r="E180">
        <f t="shared" si="4"/>
        <v>1.007978</v>
      </c>
      <c r="F180" s="1">
        <f t="shared" si="5"/>
        <v>41162</v>
      </c>
      <c r="G180" cm="1">
        <f t="array" ref="G180">PRODUCT( _xlfn._xlws.FILTER($E:$E, ($C:$C=C180)*($F:$F=F180)) ) - 1</f>
        <v>9.6572202795321971E-3</v>
      </c>
      <c r="J180" t="str">
        <v>CNR</v>
      </c>
      <c r="K180" s="1">
        <v>42149</v>
      </c>
      <c r="L180">
        <v>-8.6016517375384627E-3</v>
      </c>
      <c r="R180">
        <v>-2.968554114786659E-2</v>
      </c>
      <c r="S180">
        <v>-2.3120003471699402E-3</v>
      </c>
      <c r="T180">
        <v>-1.7018170155632673E-2</v>
      </c>
      <c r="U180">
        <v>3.3286050600241035E-2</v>
      </c>
      <c r="V180">
        <v>-2.6146888860761885E-3</v>
      </c>
      <c r="W180">
        <v>-1.4237840936240698E-2</v>
      </c>
    </row>
    <row r="181" spans="1:23" x14ac:dyDescent="0.2">
      <c r="A181" s="1">
        <v>41169</v>
      </c>
      <c r="B181">
        <v>2</v>
      </c>
      <c r="C181" t="s">
        <v>11</v>
      </c>
      <c r="D181">
        <v>2.2000000000000001E-4</v>
      </c>
      <c r="E181">
        <f t="shared" si="4"/>
        <v>1.0002200000000001</v>
      </c>
      <c r="F181" s="1">
        <f t="shared" si="5"/>
        <v>41169</v>
      </c>
      <c r="G181" cm="1">
        <f t="array" ref="G181">PRODUCT( _xlfn._xlws.FILTER($E:$E, ($C:$C=C181)*($F:$F=F181)) ) - 1</f>
        <v>-5.4414435973784814E-2</v>
      </c>
      <c r="J181" t="str">
        <v>CNR</v>
      </c>
      <c r="K181" s="1">
        <v>42156</v>
      </c>
      <c r="L181">
        <v>7.1156975885600104E-4</v>
      </c>
      <c r="R181">
        <v>4.079277587515584E-3</v>
      </c>
      <c r="S181">
        <v>2.0599914880090608E-3</v>
      </c>
      <c r="T181">
        <v>2.2772434718659307E-2</v>
      </c>
      <c r="U181">
        <v>5.5146305059623035E-2</v>
      </c>
      <c r="V181">
        <v>1.0245098078679238E-2</v>
      </c>
      <c r="W181">
        <v>2.5524401452972523E-2</v>
      </c>
    </row>
    <row r="182" spans="1:23" x14ac:dyDescent="0.2">
      <c r="A182" s="1">
        <v>41170</v>
      </c>
      <c r="B182">
        <v>2</v>
      </c>
      <c r="C182" t="s">
        <v>11</v>
      </c>
      <c r="D182">
        <v>6.9239999999999996E-3</v>
      </c>
      <c r="E182">
        <f t="shared" si="4"/>
        <v>1.0069239999999999</v>
      </c>
      <c r="F182" s="1">
        <f t="shared" si="5"/>
        <v>41169</v>
      </c>
      <c r="G182" cm="1">
        <f t="array" ref="G182">PRODUCT( _xlfn._xlws.FILTER($E:$E, ($C:$C=C182)*($F:$F=F182)) ) - 1</f>
        <v>-5.4414435973784814E-2</v>
      </c>
      <c r="J182" t="str">
        <v>CNR</v>
      </c>
      <c r="K182" s="1">
        <v>42163</v>
      </c>
      <c r="L182">
        <v>-6.8017135462358214E-3</v>
      </c>
      <c r="R182">
        <v>8.2442072738111438E-3</v>
      </c>
      <c r="S182">
        <v>1.4902122706401677E-2</v>
      </c>
      <c r="T182">
        <v>3.6459417492476831E-2</v>
      </c>
      <c r="U182">
        <v>2.6649249941250064E-2</v>
      </c>
      <c r="V182">
        <v>2.5234949423864173E-2</v>
      </c>
      <c r="W182">
        <v>1.678665162370474E-2</v>
      </c>
    </row>
    <row r="183" spans="1:23" x14ac:dyDescent="0.2">
      <c r="A183" s="1">
        <v>41171</v>
      </c>
      <c r="B183">
        <v>2</v>
      </c>
      <c r="C183" t="s">
        <v>11</v>
      </c>
      <c r="D183">
        <v>-3.28E-4</v>
      </c>
      <c r="E183">
        <f t="shared" si="4"/>
        <v>0.99967200000000001</v>
      </c>
      <c r="F183" s="1">
        <f t="shared" si="5"/>
        <v>41169</v>
      </c>
      <c r="G183" cm="1">
        <f t="array" ref="G183">PRODUCT( _xlfn._xlws.FILTER($E:$E, ($C:$C=C183)*($F:$F=F183)) ) - 1</f>
        <v>-5.4414435973784814E-2</v>
      </c>
      <c r="J183" t="str">
        <v>CNR</v>
      </c>
      <c r="K183" s="1">
        <v>42170</v>
      </c>
      <c r="L183">
        <v>1.7121152220693325E-2</v>
      </c>
      <c r="R183">
        <v>-3.7686075527182505E-2</v>
      </c>
      <c r="S183">
        <v>-5.8225540268865839E-3</v>
      </c>
      <c r="T183">
        <v>1.4573473752586885E-2</v>
      </c>
      <c r="U183">
        <v>1.1088803543194636E-2</v>
      </c>
      <c r="V183">
        <v>-3.2206116776621108E-2</v>
      </c>
      <c r="W183">
        <v>-4.3642643574934192E-2</v>
      </c>
    </row>
    <row r="184" spans="1:23" x14ac:dyDescent="0.2">
      <c r="A184" s="1">
        <v>41172</v>
      </c>
      <c r="B184">
        <v>2</v>
      </c>
      <c r="C184" t="s">
        <v>11</v>
      </c>
      <c r="D184">
        <v>-4.5310999999999997E-2</v>
      </c>
      <c r="E184">
        <f t="shared" si="4"/>
        <v>0.95468900000000001</v>
      </c>
      <c r="F184" s="1">
        <f t="shared" si="5"/>
        <v>41169</v>
      </c>
      <c r="G184" cm="1">
        <f t="array" ref="G184">PRODUCT( _xlfn._xlws.FILTER($E:$E, ($C:$C=C184)*($F:$F=F184)) ) - 1</f>
        <v>-5.4414435973784814E-2</v>
      </c>
      <c r="J184" t="str">
        <v>CNR</v>
      </c>
      <c r="K184" s="1">
        <v>42177</v>
      </c>
      <c r="L184">
        <v>-2.1545615659809725E-2</v>
      </c>
      <c r="R184">
        <v>-8.1286157079216714E-3</v>
      </c>
      <c r="S184">
        <v>9.9308228731680437E-3</v>
      </c>
      <c r="T184">
        <v>7.3386565222051114E-3</v>
      </c>
      <c r="U184">
        <v>2.4929885734761292E-3</v>
      </c>
      <c r="V184">
        <v>1.6875482803119901E-2</v>
      </c>
      <c r="W184">
        <v>-7.940148392849844E-4</v>
      </c>
    </row>
    <row r="185" spans="1:23" x14ac:dyDescent="0.2">
      <c r="A185" s="1">
        <v>41173</v>
      </c>
      <c r="B185">
        <v>2</v>
      </c>
      <c r="C185" t="s">
        <v>11</v>
      </c>
      <c r="D185">
        <v>-1.6240000000000001E-2</v>
      </c>
      <c r="E185">
        <f t="shared" si="4"/>
        <v>0.98375999999999997</v>
      </c>
      <c r="F185" s="1">
        <f t="shared" si="5"/>
        <v>41169</v>
      </c>
      <c r="G185" cm="1">
        <f t="array" ref="G185">PRODUCT( _xlfn._xlws.FILTER($E:$E, ($C:$C=C185)*($F:$F=F185)) ) - 1</f>
        <v>-5.4414435973784814E-2</v>
      </c>
      <c r="J185" t="str">
        <v>CNR</v>
      </c>
      <c r="K185" s="1">
        <v>42184</v>
      </c>
      <c r="L185">
        <v>1.6514936612963105E-2</v>
      </c>
      <c r="R185">
        <v>-5.5876223747604037E-3</v>
      </c>
      <c r="S185">
        <v>-1.4876364847274948E-2</v>
      </c>
      <c r="T185">
        <v>-4.2188623390734259E-3</v>
      </c>
      <c r="U185">
        <v>-2.71007419716357E-2</v>
      </c>
      <c r="V185">
        <v>-1.8934644028183234E-2</v>
      </c>
      <c r="W185">
        <v>-3.9718584620823671E-3</v>
      </c>
    </row>
    <row r="186" spans="1:23" x14ac:dyDescent="0.2">
      <c r="A186" s="1">
        <v>41176</v>
      </c>
      <c r="B186">
        <v>2</v>
      </c>
      <c r="C186" t="s">
        <v>11</v>
      </c>
      <c r="D186">
        <v>1.6507999999999998E-2</v>
      </c>
      <c r="E186">
        <f t="shared" si="4"/>
        <v>1.016508</v>
      </c>
      <c r="F186" s="1">
        <f t="shared" si="5"/>
        <v>41176</v>
      </c>
      <c r="G186" cm="1">
        <f t="array" ref="G186">PRODUCT( _xlfn._xlws.FILTER($E:$E, ($C:$C=C186)*($F:$F=F186)) ) - 1</f>
        <v>1.1276069826540169E-2</v>
      </c>
      <c r="J186" t="str">
        <v>CNR</v>
      </c>
      <c r="K186" s="1">
        <v>42191</v>
      </c>
      <c r="L186">
        <v>-1.2456345372661271E-2</v>
      </c>
      <c r="R186">
        <v>-1.6355151663497658E-2</v>
      </c>
      <c r="S186">
        <v>-7.684223893070774E-4</v>
      </c>
      <c r="T186">
        <v>-1.3209888793151214E-2</v>
      </c>
      <c r="U186">
        <v>-6.0311396833474196E-2</v>
      </c>
      <c r="V186">
        <v>1.607346413079469E-6</v>
      </c>
      <c r="W186">
        <v>-1.4153289006013758E-2</v>
      </c>
    </row>
    <row r="187" spans="1:23" x14ac:dyDescent="0.2">
      <c r="A187" s="1">
        <v>41177</v>
      </c>
      <c r="B187">
        <v>2</v>
      </c>
      <c r="C187" t="s">
        <v>11</v>
      </c>
      <c r="D187">
        <v>3.774E-3</v>
      </c>
      <c r="E187">
        <f t="shared" si="4"/>
        <v>1.0037739999999999</v>
      </c>
      <c r="F187" s="1">
        <f t="shared" si="5"/>
        <v>41176</v>
      </c>
      <c r="G187" cm="1">
        <f t="array" ref="G187">PRODUCT( _xlfn._xlws.FILTER($E:$E, ($C:$C=C187)*($F:$F=F187)) ) - 1</f>
        <v>1.1276069826540169E-2</v>
      </c>
      <c r="J187" t="str">
        <v>CNR</v>
      </c>
      <c r="K187" s="1">
        <v>42198</v>
      </c>
      <c r="L187">
        <v>6.6766342046874483E-2</v>
      </c>
      <c r="R187">
        <v>-4.8488451018277035E-2</v>
      </c>
      <c r="S187">
        <v>4.734094899972785E-3</v>
      </c>
      <c r="T187">
        <v>-5.0522352746943389E-3</v>
      </c>
      <c r="U187">
        <v>-5.1654902208735365E-3</v>
      </c>
      <c r="V187">
        <v>-9.7689934944018564E-3</v>
      </c>
      <c r="W187">
        <v>-3.6411092044428273E-3</v>
      </c>
    </row>
    <row r="188" spans="1:23" x14ac:dyDescent="0.2">
      <c r="A188" s="1">
        <v>41178</v>
      </c>
      <c r="B188">
        <v>2</v>
      </c>
      <c r="C188" t="s">
        <v>11</v>
      </c>
      <c r="D188">
        <v>-3.8739999999999998E-3</v>
      </c>
      <c r="E188">
        <f t="shared" si="4"/>
        <v>0.99612599999999996</v>
      </c>
      <c r="F188" s="1">
        <f t="shared" si="5"/>
        <v>41176</v>
      </c>
      <c r="G188" cm="1">
        <f t="array" ref="G188">PRODUCT( _xlfn._xlws.FILTER($E:$E, ($C:$C=C188)*($F:$F=F188)) ) - 1</f>
        <v>1.1276069826540169E-2</v>
      </c>
      <c r="J188" t="str">
        <v>CNR</v>
      </c>
      <c r="K188" s="1">
        <v>42205</v>
      </c>
      <c r="L188">
        <v>1.4779316416841271E-2</v>
      </c>
      <c r="R188">
        <v>-7.3367065622764738E-3</v>
      </c>
      <c r="S188">
        <v>-1.8518475541899448E-2</v>
      </c>
      <c r="T188">
        <v>2.0563480827839431E-2</v>
      </c>
      <c r="U188">
        <v>1.4489580228585375E-2</v>
      </c>
      <c r="V188">
        <v>1.2752121767332758E-2</v>
      </c>
      <c r="W188">
        <v>1.8658061545925753E-2</v>
      </c>
    </row>
    <row r="189" spans="1:23" x14ac:dyDescent="0.2">
      <c r="A189" s="1">
        <v>41179</v>
      </c>
      <c r="B189">
        <v>2</v>
      </c>
      <c r="C189" t="s">
        <v>11</v>
      </c>
      <c r="D189">
        <v>6.8599999999999998E-4</v>
      </c>
      <c r="E189">
        <f t="shared" si="4"/>
        <v>1.000686</v>
      </c>
      <c r="F189" s="1">
        <f t="shared" si="5"/>
        <v>41176</v>
      </c>
      <c r="G189" cm="1">
        <f t="array" ref="G189">PRODUCT( _xlfn._xlws.FILTER($E:$E, ($C:$C=C189)*($F:$F=F189)) ) - 1</f>
        <v>1.1276069826540169E-2</v>
      </c>
      <c r="J189" t="str">
        <v>CNR</v>
      </c>
      <c r="K189" s="1">
        <v>42212</v>
      </c>
      <c r="L189">
        <v>3.3308754159414145E-2</v>
      </c>
      <c r="R189">
        <v>-8.6016517375384627E-3</v>
      </c>
      <c r="S189">
        <v>-4.7171287323960476E-3</v>
      </c>
      <c r="T189">
        <v>-1.6541277649376851E-2</v>
      </c>
      <c r="U189">
        <v>-2.0480268563272896E-2</v>
      </c>
      <c r="V189">
        <v>5.9392426093254347E-3</v>
      </c>
      <c r="W189">
        <v>-2.4103407279546518E-3</v>
      </c>
    </row>
    <row r="190" spans="1:23" x14ac:dyDescent="0.2">
      <c r="A190" s="1">
        <v>41180</v>
      </c>
      <c r="B190">
        <v>2</v>
      </c>
      <c r="C190" t="s">
        <v>11</v>
      </c>
      <c r="D190">
        <v>-5.7149999999999996E-3</v>
      </c>
      <c r="E190">
        <f t="shared" si="4"/>
        <v>0.99428499999999997</v>
      </c>
      <c r="F190" s="1">
        <f t="shared" si="5"/>
        <v>41176</v>
      </c>
      <c r="G190" cm="1">
        <f t="array" ref="G190">PRODUCT( _xlfn._xlws.FILTER($E:$E, ($C:$C=C190)*($F:$F=F190)) ) - 1</f>
        <v>1.1276069826540169E-2</v>
      </c>
      <c r="J190" t="str">
        <v>CNR</v>
      </c>
      <c r="K190" s="1">
        <v>42219</v>
      </c>
      <c r="L190">
        <v>2.4408968793854235E-4</v>
      </c>
      <c r="R190">
        <v>7.1156975885600104E-4</v>
      </c>
      <c r="S190">
        <v>-4.3970732039855132E-2</v>
      </c>
      <c r="T190">
        <v>6.4505811776920385E-3</v>
      </c>
      <c r="U190">
        <v>-1.6787112804679261E-3</v>
      </c>
      <c r="V190">
        <v>-1.4175009887750223E-3</v>
      </c>
      <c r="W190">
        <v>-1.1679719514307019E-2</v>
      </c>
    </row>
    <row r="191" spans="1:23" x14ac:dyDescent="0.2">
      <c r="A191" s="1">
        <v>41183</v>
      </c>
      <c r="B191">
        <v>2</v>
      </c>
      <c r="C191" t="s">
        <v>11</v>
      </c>
      <c r="D191">
        <v>3.5639999999999999E-3</v>
      </c>
      <c r="E191">
        <f t="shared" si="4"/>
        <v>1.0035639999999999</v>
      </c>
      <c r="F191" s="1">
        <f t="shared" si="5"/>
        <v>41183</v>
      </c>
      <c r="G191" cm="1">
        <f t="array" ref="G191">PRODUCT( _xlfn._xlws.FILTER($E:$E, ($C:$C=C191)*($F:$F=F191)) ) - 1</f>
        <v>1.4600375820443823E-2</v>
      </c>
      <c r="J191" t="str">
        <v>CNR</v>
      </c>
      <c r="K191" s="1">
        <v>42226</v>
      </c>
      <c r="L191">
        <v>-8.0869909910576965E-3</v>
      </c>
      <c r="R191">
        <v>-6.8017135462358214E-3</v>
      </c>
      <c r="S191">
        <v>-1.6249019077149485E-2</v>
      </c>
      <c r="T191">
        <v>-1.7341412865263028E-2</v>
      </c>
      <c r="U191">
        <v>-3.3600190689730969E-2</v>
      </c>
      <c r="V191">
        <v>-2.3584257400372288E-2</v>
      </c>
      <c r="W191">
        <v>-2.343084669407236E-2</v>
      </c>
    </row>
    <row r="192" spans="1:23" x14ac:dyDescent="0.2">
      <c r="A192" s="1">
        <v>41184</v>
      </c>
      <c r="B192">
        <v>2</v>
      </c>
      <c r="C192" t="s">
        <v>11</v>
      </c>
      <c r="D192">
        <v>1.833E-3</v>
      </c>
      <c r="E192">
        <f t="shared" si="4"/>
        <v>1.001833</v>
      </c>
      <c r="F192" s="1">
        <f t="shared" si="5"/>
        <v>41183</v>
      </c>
      <c r="G192" cm="1">
        <f t="array" ref="G192">PRODUCT( _xlfn._xlws.FILTER($E:$E, ($C:$C=C192)*($F:$F=F192)) ) - 1</f>
        <v>1.4600375820443823E-2</v>
      </c>
      <c r="J192" t="str">
        <v>CNR</v>
      </c>
      <c r="K192" s="1">
        <v>42233</v>
      </c>
      <c r="L192">
        <v>-8.350769397130775E-2</v>
      </c>
      <c r="R192">
        <v>1.7121152220693325E-2</v>
      </c>
      <c r="S192">
        <v>7.8388336529944258E-3</v>
      </c>
      <c r="T192">
        <v>-1.7647533587649589E-2</v>
      </c>
      <c r="U192">
        <v>-3.1610450083930486E-2</v>
      </c>
      <c r="V192">
        <v>3.2051601984993683E-2</v>
      </c>
      <c r="W192">
        <v>1.668066058235107E-3</v>
      </c>
    </row>
    <row r="193" spans="1:23" x14ac:dyDescent="0.2">
      <c r="A193" s="1">
        <v>41185</v>
      </c>
      <c r="B193">
        <v>2</v>
      </c>
      <c r="C193" t="s">
        <v>11</v>
      </c>
      <c r="D193">
        <v>1.944E-3</v>
      </c>
      <c r="E193">
        <f t="shared" si="4"/>
        <v>1.0019439999999999</v>
      </c>
      <c r="F193" s="1">
        <f t="shared" si="5"/>
        <v>41183</v>
      </c>
      <c r="G193" cm="1">
        <f t="array" ref="G193">PRODUCT( _xlfn._xlws.FILTER($E:$E, ($C:$C=C193)*($F:$F=F193)) ) - 1</f>
        <v>1.4600375820443823E-2</v>
      </c>
      <c r="J193" t="str">
        <v>CNR</v>
      </c>
      <c r="K193" s="1">
        <v>42240</v>
      </c>
      <c r="L193">
        <v>-8.7608032917181333E-3</v>
      </c>
      <c r="R193">
        <v>-2.1545615659809725E-2</v>
      </c>
      <c r="S193">
        <v>-1.2500545495388815E-2</v>
      </c>
      <c r="T193">
        <v>1.874531590400208E-2</v>
      </c>
      <c r="U193">
        <v>1.988050581934675E-2</v>
      </c>
      <c r="V193">
        <v>2.0624823047576957E-2</v>
      </c>
      <c r="W193">
        <v>4.3751199781920658E-3</v>
      </c>
    </row>
    <row r="194" spans="1:23" x14ac:dyDescent="0.2">
      <c r="A194" s="1">
        <v>41186</v>
      </c>
      <c r="B194">
        <v>2</v>
      </c>
      <c r="C194" t="s">
        <v>11</v>
      </c>
      <c r="D194">
        <v>1.255E-3</v>
      </c>
      <c r="E194">
        <f t="shared" si="4"/>
        <v>1.001255</v>
      </c>
      <c r="F194" s="1">
        <f t="shared" si="5"/>
        <v>41183</v>
      </c>
      <c r="G194" cm="1">
        <f t="array" ref="G194">PRODUCT( _xlfn._xlws.FILTER($E:$E, ($C:$C=C194)*($F:$F=F194)) ) - 1</f>
        <v>1.4600375820443823E-2</v>
      </c>
      <c r="J194" t="str">
        <v>CNR</v>
      </c>
      <c r="K194" s="1">
        <v>42247</v>
      </c>
      <c r="L194">
        <v>-3.3009448354905491E-2</v>
      </c>
      <c r="R194">
        <v>1.6514936612963105E-2</v>
      </c>
      <c r="S194">
        <v>1.6315233312845123E-2</v>
      </c>
      <c r="T194">
        <v>-1.980647245828604E-2</v>
      </c>
      <c r="U194">
        <v>6.6926434219420905E-3</v>
      </c>
      <c r="V194">
        <v>1.835099471423729E-2</v>
      </c>
      <c r="W194">
        <v>-3.6702585370917973E-7</v>
      </c>
    </row>
    <row r="195" spans="1:23" x14ac:dyDescent="0.2">
      <c r="A195" s="1">
        <v>41187</v>
      </c>
      <c r="B195">
        <v>2</v>
      </c>
      <c r="C195" t="s">
        <v>11</v>
      </c>
      <c r="D195">
        <v>5.927E-3</v>
      </c>
      <c r="E195">
        <f t="shared" si="4"/>
        <v>1.005927</v>
      </c>
      <c r="F195" s="1">
        <f t="shared" si="5"/>
        <v>41183</v>
      </c>
      <c r="G195" cm="1">
        <f t="array" ref="G195">PRODUCT( _xlfn._xlws.FILTER($E:$E, ($C:$C=C195)*($F:$F=F195)) ) - 1</f>
        <v>1.4600375820443823E-2</v>
      </c>
      <c r="J195" t="str">
        <v>CNR</v>
      </c>
      <c r="K195" s="1">
        <v>42254</v>
      </c>
      <c r="L195">
        <v>3.4322790877171938E-2</v>
      </c>
      <c r="R195">
        <v>-1.2456345372661271E-2</v>
      </c>
      <c r="S195">
        <v>4.1513069532044256E-3</v>
      </c>
      <c r="T195">
        <v>-1.6946538087089236E-3</v>
      </c>
      <c r="U195">
        <v>-1.7340295035810804E-2</v>
      </c>
      <c r="V195">
        <v>3.1924915144625476E-3</v>
      </c>
      <c r="W195">
        <v>6.6360499602191592E-3</v>
      </c>
    </row>
    <row r="196" spans="1:23" x14ac:dyDescent="0.2">
      <c r="A196" s="1">
        <v>41191</v>
      </c>
      <c r="B196">
        <v>2</v>
      </c>
      <c r="C196" t="s">
        <v>11</v>
      </c>
      <c r="D196">
        <v>-1.5976000000000001E-2</v>
      </c>
      <c r="E196">
        <f t="shared" ref="E196:E259" si="6">D196+1</f>
        <v>0.98402400000000001</v>
      </c>
      <c r="F196" s="1">
        <f t="shared" ref="F196:F259" si="7">A196 - (WEEKDAY(A196, 2) - 1)</f>
        <v>41190</v>
      </c>
      <c r="G196" cm="1">
        <f t="array" ref="G196">PRODUCT( _xlfn._xlws.FILTER($E:$E, ($C:$C=C196)*($F:$F=F196)) ) - 1</f>
        <v>-1.2576883027763275E-2</v>
      </c>
      <c r="J196" t="str">
        <v>CNR</v>
      </c>
      <c r="K196" s="1">
        <v>42261</v>
      </c>
      <c r="L196">
        <v>2.0211112546090426E-2</v>
      </c>
      <c r="R196">
        <v>6.6766342046874483E-2</v>
      </c>
      <c r="S196">
        <v>5.3748190240989091E-2</v>
      </c>
      <c r="T196">
        <v>9.4016254001130228E-3</v>
      </c>
      <c r="U196">
        <v>1.7057286570429264E-2</v>
      </c>
      <c r="V196">
        <v>2.3191522668431608E-2</v>
      </c>
      <c r="W196">
        <v>3.0078008824093727E-2</v>
      </c>
    </row>
    <row r="197" spans="1:23" x14ac:dyDescent="0.2">
      <c r="A197" s="1">
        <v>41192</v>
      </c>
      <c r="B197">
        <v>2</v>
      </c>
      <c r="C197" t="s">
        <v>11</v>
      </c>
      <c r="D197">
        <v>-1.382E-3</v>
      </c>
      <c r="E197">
        <f t="shared" si="6"/>
        <v>0.99861800000000001</v>
      </c>
      <c r="F197" s="1">
        <f t="shared" si="7"/>
        <v>41190</v>
      </c>
      <c r="G197" cm="1">
        <f t="array" ref="G197">PRODUCT( _xlfn._xlws.FILTER($E:$E, ($C:$C=C197)*($F:$F=F197)) ) - 1</f>
        <v>-1.2576883027763275E-2</v>
      </c>
      <c r="J197" t="str">
        <v>CNR</v>
      </c>
      <c r="K197" s="1">
        <v>42268</v>
      </c>
      <c r="L197">
        <v>-4.5512104685916377E-3</v>
      </c>
      <c r="R197">
        <v>1.4779316416841271E-2</v>
      </c>
      <c r="S197">
        <v>-4.1591194340291349E-2</v>
      </c>
      <c r="T197">
        <v>-2.5220294170843593E-2</v>
      </c>
      <c r="U197">
        <v>-4.3376946026554841E-2</v>
      </c>
      <c r="V197">
        <v>-1.8445476683690676E-2</v>
      </c>
      <c r="W197">
        <v>-1.9200287360949142E-2</v>
      </c>
    </row>
    <row r="198" spans="1:23" x14ac:dyDescent="0.2">
      <c r="A198" s="1">
        <v>41193</v>
      </c>
      <c r="B198">
        <v>2</v>
      </c>
      <c r="C198" t="s">
        <v>11</v>
      </c>
      <c r="D198">
        <v>3.3440000000000002E-3</v>
      </c>
      <c r="E198">
        <f t="shared" si="6"/>
        <v>1.003344</v>
      </c>
      <c r="F198" s="1">
        <f t="shared" si="7"/>
        <v>41190</v>
      </c>
      <c r="G198" cm="1">
        <f t="array" ref="G198">PRODUCT( _xlfn._xlws.FILTER($E:$E, ($C:$C=C198)*($F:$F=F198)) ) - 1</f>
        <v>-1.2576883027763275E-2</v>
      </c>
      <c r="J198" t="str">
        <v>CNR</v>
      </c>
      <c r="K198" s="1">
        <v>42275</v>
      </c>
      <c r="L198">
        <v>2.8237646461942933E-2</v>
      </c>
      <c r="R198">
        <v>3.3308754159414145E-2</v>
      </c>
      <c r="S198">
        <v>2.2107046663815799E-2</v>
      </c>
      <c r="T198">
        <v>2.2389400816401395E-2</v>
      </c>
      <c r="U198">
        <v>0.11366401617659672</v>
      </c>
      <c r="V198">
        <v>1.0868201830093627E-2</v>
      </c>
      <c r="W198">
        <v>7.9730442928245493E-2</v>
      </c>
    </row>
    <row r="199" spans="1:23" x14ac:dyDescent="0.2">
      <c r="A199" s="1">
        <v>41194</v>
      </c>
      <c r="B199">
        <v>2</v>
      </c>
      <c r="C199" t="s">
        <v>11</v>
      </c>
      <c r="D199">
        <v>1.4940000000000001E-3</v>
      </c>
      <c r="E199">
        <f t="shared" si="6"/>
        <v>1.0014940000000001</v>
      </c>
      <c r="F199" s="1">
        <f t="shared" si="7"/>
        <v>41190</v>
      </c>
      <c r="G199" cm="1">
        <f t="array" ref="G199">PRODUCT( _xlfn._xlws.FILTER($E:$E, ($C:$C=C199)*($F:$F=F199)) ) - 1</f>
        <v>-1.2576883027763275E-2</v>
      </c>
      <c r="J199" t="str">
        <v>CNR</v>
      </c>
      <c r="K199" s="1">
        <v>42282</v>
      </c>
      <c r="L199">
        <v>5.1785230563840212E-2</v>
      </c>
      <c r="R199">
        <v>2.4408968793854235E-4</v>
      </c>
      <c r="S199">
        <v>-5.8756210539947507E-3</v>
      </c>
      <c r="T199">
        <v>9.1843260035306962E-4</v>
      </c>
      <c r="U199">
        <v>1.3843548918539561E-2</v>
      </c>
      <c r="V199">
        <v>-1.7910086301929917E-3</v>
      </c>
      <c r="W199">
        <v>8.121359759345026E-3</v>
      </c>
    </row>
    <row r="200" spans="1:23" x14ac:dyDescent="0.2">
      <c r="A200" s="1">
        <v>41197</v>
      </c>
      <c r="B200">
        <v>2</v>
      </c>
      <c r="C200" t="s">
        <v>11</v>
      </c>
      <c r="D200">
        <v>1.2620000000000001E-3</v>
      </c>
      <c r="E200">
        <f t="shared" si="6"/>
        <v>1.0012620000000001</v>
      </c>
      <c r="F200" s="1">
        <f t="shared" si="7"/>
        <v>41197</v>
      </c>
      <c r="G200" cm="1">
        <f t="array" ref="G200">PRODUCT( _xlfn._xlws.FILTER($E:$E, ($C:$C=C200)*($F:$F=F200)) ) - 1</f>
        <v>6.0817103088104396E-3</v>
      </c>
      <c r="J200" t="str">
        <v>CNR</v>
      </c>
      <c r="K200" s="1">
        <v>42289</v>
      </c>
      <c r="L200">
        <v>-4.5380913456135707E-2</v>
      </c>
      <c r="R200">
        <v>-8.0869909910576965E-3</v>
      </c>
      <c r="S200">
        <v>3.9485712419708996E-2</v>
      </c>
      <c r="T200">
        <v>-4.7174244060659287E-3</v>
      </c>
      <c r="U200">
        <v>-2.40846901677505E-3</v>
      </c>
      <c r="V200">
        <v>-1.7947451411004511E-3</v>
      </c>
      <c r="W200">
        <v>9.1782438586016646E-3</v>
      </c>
    </row>
    <row r="201" spans="1:23" x14ac:dyDescent="0.2">
      <c r="A201" s="1">
        <v>41198</v>
      </c>
      <c r="B201">
        <v>2</v>
      </c>
      <c r="C201" t="s">
        <v>11</v>
      </c>
      <c r="D201">
        <v>1.7305000000000001E-2</v>
      </c>
      <c r="E201">
        <f t="shared" si="6"/>
        <v>1.0173049999999999</v>
      </c>
      <c r="F201" s="1">
        <f t="shared" si="7"/>
        <v>41197</v>
      </c>
      <c r="G201" cm="1">
        <f t="array" ref="G201">PRODUCT( _xlfn._xlws.FILTER($E:$E, ($C:$C=C201)*($F:$F=F201)) ) - 1</f>
        <v>6.0817103088104396E-3</v>
      </c>
      <c r="J201" t="str">
        <v>CNR</v>
      </c>
      <c r="K201" s="1">
        <v>42296</v>
      </c>
      <c r="L201">
        <v>6.0431713974097967E-2</v>
      </c>
      <c r="R201">
        <v>-8.350769397130775E-2</v>
      </c>
      <c r="S201">
        <v>-5.3469123774323446E-2</v>
      </c>
      <c r="T201">
        <v>-4.1727160023016463E-2</v>
      </c>
      <c r="U201">
        <v>-7.9978742565995686E-2</v>
      </c>
      <c r="V201">
        <v>-1.0563638894931948E-2</v>
      </c>
      <c r="W201">
        <v>-4.3822696831632535E-2</v>
      </c>
    </row>
    <row r="202" spans="1:23" x14ac:dyDescent="0.2">
      <c r="A202" s="1">
        <v>41199</v>
      </c>
      <c r="B202">
        <v>2</v>
      </c>
      <c r="C202" t="s">
        <v>11</v>
      </c>
      <c r="D202">
        <v>-1.2392E-2</v>
      </c>
      <c r="E202">
        <f t="shared" si="6"/>
        <v>0.98760800000000004</v>
      </c>
      <c r="F202" s="1">
        <f t="shared" si="7"/>
        <v>41197</v>
      </c>
      <c r="G202" cm="1">
        <f t="array" ref="G202">PRODUCT( _xlfn._xlws.FILTER($E:$E, ($C:$C=C202)*($F:$F=F202)) ) - 1</f>
        <v>6.0817103088104396E-3</v>
      </c>
      <c r="J202" t="str">
        <v>CNR</v>
      </c>
      <c r="K202" s="1">
        <v>42303</v>
      </c>
      <c r="L202">
        <v>-1.9036837032380571E-2</v>
      </c>
      <c r="R202">
        <v>-8.7608032917181333E-3</v>
      </c>
      <c r="S202">
        <v>2.7540874213445976E-2</v>
      </c>
      <c r="T202">
        <v>1.2363675357968118E-2</v>
      </c>
      <c r="U202">
        <v>7.3803987010980787E-2</v>
      </c>
      <c r="V202">
        <v>-1.8627929659954079E-2</v>
      </c>
      <c r="W202">
        <v>1.0764984068108774E-2</v>
      </c>
    </row>
    <row r="203" spans="1:23" x14ac:dyDescent="0.2">
      <c r="A203" s="1">
        <v>41200</v>
      </c>
      <c r="B203">
        <v>2</v>
      </c>
      <c r="C203" t="s">
        <v>11</v>
      </c>
      <c r="D203">
        <v>-2.0530000000000001E-3</v>
      </c>
      <c r="E203">
        <f t="shared" si="6"/>
        <v>0.99794700000000003</v>
      </c>
      <c r="F203" s="1">
        <f t="shared" si="7"/>
        <v>41197</v>
      </c>
      <c r="G203" cm="1">
        <f t="array" ref="G203">PRODUCT( _xlfn._xlws.FILTER($E:$E, ($C:$C=C203)*($F:$F=F203)) ) - 1</f>
        <v>6.0817103088104396E-3</v>
      </c>
      <c r="J203" t="str">
        <v>CNR</v>
      </c>
      <c r="K203" s="1">
        <v>42310</v>
      </c>
      <c r="L203">
        <v>-1.5023886836544209E-2</v>
      </c>
      <c r="R203">
        <v>-3.3009448354905491E-2</v>
      </c>
      <c r="S203">
        <v>-6.3522627942458443E-2</v>
      </c>
      <c r="T203">
        <v>-3.8263513815860239E-2</v>
      </c>
      <c r="U203">
        <v>-4.1292778835786303E-2</v>
      </c>
      <c r="V203">
        <v>-6.2511604539576826E-3</v>
      </c>
      <c r="W203">
        <v>-7.748979640465059E-4</v>
      </c>
    </row>
    <row r="204" spans="1:23" x14ac:dyDescent="0.2">
      <c r="A204" s="1">
        <v>41201</v>
      </c>
      <c r="B204">
        <v>2</v>
      </c>
      <c r="C204" t="s">
        <v>11</v>
      </c>
      <c r="D204">
        <v>2.1719999999999999E-3</v>
      </c>
      <c r="E204">
        <f t="shared" si="6"/>
        <v>1.0021720000000001</v>
      </c>
      <c r="F204" s="1">
        <f t="shared" si="7"/>
        <v>41197</v>
      </c>
      <c r="G204" cm="1">
        <f t="array" ref="G204">PRODUCT( _xlfn._xlws.FILTER($E:$E, ($C:$C=C204)*($F:$F=F204)) ) - 1</f>
        <v>6.0817103088104396E-3</v>
      </c>
      <c r="J204" t="str">
        <v>CNR</v>
      </c>
      <c r="K204" s="1">
        <v>42317</v>
      </c>
      <c r="L204">
        <v>-2.8601801288334339E-2</v>
      </c>
      <c r="R204">
        <v>3.4322790877171938E-2</v>
      </c>
      <c r="S204">
        <v>8.0136985625101076E-3</v>
      </c>
      <c r="T204">
        <v>2.1445536116375452E-2</v>
      </c>
      <c r="U204">
        <v>-2.6285516855124369E-2</v>
      </c>
      <c r="V204">
        <v>-1.4347275766849465E-2</v>
      </c>
      <c r="W204">
        <v>2.3837256037261945E-2</v>
      </c>
    </row>
    <row r="205" spans="1:23" x14ac:dyDescent="0.2">
      <c r="A205" s="1">
        <v>41204</v>
      </c>
      <c r="B205">
        <v>2</v>
      </c>
      <c r="C205" t="s">
        <v>11</v>
      </c>
      <c r="D205">
        <v>-6.9569999999999996E-3</v>
      </c>
      <c r="E205">
        <f t="shared" si="6"/>
        <v>0.99304300000000001</v>
      </c>
      <c r="F205" s="1">
        <f t="shared" si="7"/>
        <v>41204</v>
      </c>
      <c r="G205" cm="1">
        <f t="array" ref="G205">PRODUCT( _xlfn._xlws.FILTER($E:$E, ($C:$C=C205)*($F:$F=F205)) ) - 1</f>
        <v>-1.2887101896750797E-2</v>
      </c>
      <c r="J205" t="str">
        <v>CNR</v>
      </c>
      <c r="K205" s="1">
        <v>42324</v>
      </c>
      <c r="L205">
        <v>5.2473807163332387E-2</v>
      </c>
      <c r="R205">
        <v>2.0211112546090426E-2</v>
      </c>
      <c r="S205">
        <v>3.946594790096003E-2</v>
      </c>
      <c r="T205">
        <v>1.3670529848841539E-4</v>
      </c>
      <c r="U205">
        <v>-8.7999468982724594E-4</v>
      </c>
      <c r="V205">
        <v>1.7184739001654847E-2</v>
      </c>
      <c r="W205">
        <v>-1.5148628086021354E-3</v>
      </c>
    </row>
    <row r="206" spans="1:23" x14ac:dyDescent="0.2">
      <c r="A206" s="1">
        <v>41205</v>
      </c>
      <c r="B206">
        <v>2</v>
      </c>
      <c r="C206" t="s">
        <v>11</v>
      </c>
      <c r="D206">
        <v>-8.9580000000000007E-3</v>
      </c>
      <c r="E206">
        <f t="shared" si="6"/>
        <v>0.99104199999999998</v>
      </c>
      <c r="F206" s="1">
        <f t="shared" si="7"/>
        <v>41204</v>
      </c>
      <c r="G206" cm="1">
        <f t="array" ref="G206">PRODUCT( _xlfn._xlws.FILTER($E:$E, ($C:$C=C206)*($F:$F=F206)) ) - 1</f>
        <v>-1.2887101896750797E-2</v>
      </c>
      <c r="J206" t="str">
        <v>CNR</v>
      </c>
      <c r="K206" s="1">
        <v>42331</v>
      </c>
      <c r="L206">
        <v>-9.4478198049007256E-3</v>
      </c>
      <c r="R206">
        <v>-4.5512104685916377E-3</v>
      </c>
      <c r="S206">
        <v>-1.0935994168282948E-3</v>
      </c>
      <c r="T206">
        <v>-6.9049797059178575E-3</v>
      </c>
      <c r="U206">
        <v>2.9955446423436394E-2</v>
      </c>
      <c r="V206">
        <v>1.642980801335181E-3</v>
      </c>
      <c r="W206">
        <v>6.636000078920512E-3</v>
      </c>
    </row>
    <row r="207" spans="1:23" x14ac:dyDescent="0.2">
      <c r="A207" s="1">
        <v>41206</v>
      </c>
      <c r="B207">
        <v>2</v>
      </c>
      <c r="C207" t="s">
        <v>11</v>
      </c>
      <c r="D207">
        <v>1.738E-3</v>
      </c>
      <c r="E207">
        <f t="shared" si="6"/>
        <v>1.001738</v>
      </c>
      <c r="F207" s="1">
        <f t="shared" si="7"/>
        <v>41204</v>
      </c>
      <c r="G207" cm="1">
        <f t="array" ref="G207">PRODUCT( _xlfn._xlws.FILTER($E:$E, ($C:$C=C207)*($F:$F=F207)) ) - 1</f>
        <v>-1.2887101896750797E-2</v>
      </c>
      <c r="J207" t="str">
        <v>CNR</v>
      </c>
      <c r="K207" s="1">
        <v>42338</v>
      </c>
      <c r="L207">
        <v>-4.4308411380191703E-2</v>
      </c>
      <c r="R207">
        <v>2.8237646461942933E-2</v>
      </c>
      <c r="S207">
        <v>2.8984865080184274E-2</v>
      </c>
      <c r="T207">
        <v>8.3522978406946891E-4</v>
      </c>
      <c r="U207">
        <v>8.5545362308212525E-3</v>
      </c>
      <c r="V207">
        <v>-5.1534716243373246E-3</v>
      </c>
      <c r="W207">
        <v>7.1561888504596549E-3</v>
      </c>
    </row>
    <row r="208" spans="1:23" x14ac:dyDescent="0.2">
      <c r="A208" s="1">
        <v>41207</v>
      </c>
      <c r="B208">
        <v>2</v>
      </c>
      <c r="C208" t="s">
        <v>11</v>
      </c>
      <c r="D208">
        <v>1.16E-4</v>
      </c>
      <c r="E208">
        <f t="shared" si="6"/>
        <v>1.000116</v>
      </c>
      <c r="F208" s="1">
        <f t="shared" si="7"/>
        <v>41204</v>
      </c>
      <c r="G208" cm="1">
        <f t="array" ref="G208">PRODUCT( _xlfn._xlws.FILTER($E:$E, ($C:$C=C208)*($F:$F=F208)) ) - 1</f>
        <v>-1.2887101896750797E-2</v>
      </c>
      <c r="J208" t="str">
        <v>CNR</v>
      </c>
      <c r="K208" s="1">
        <v>42345</v>
      </c>
      <c r="L208">
        <v>-4.4125426490178921E-2</v>
      </c>
      <c r="R208">
        <v>5.1785230563840212E-2</v>
      </c>
      <c r="S208">
        <v>3.1890858428085256E-2</v>
      </c>
      <c r="T208">
        <v>2.6816745232927763E-2</v>
      </c>
      <c r="U208">
        <v>3.6753748882101256E-2</v>
      </c>
      <c r="V208">
        <v>2.1202339344859045E-3</v>
      </c>
      <c r="W208">
        <v>2.0576647756171962E-3</v>
      </c>
    </row>
    <row r="209" spans="1:23" x14ac:dyDescent="0.2">
      <c r="A209" s="1">
        <v>41208</v>
      </c>
      <c r="B209">
        <v>2</v>
      </c>
      <c r="C209" t="s">
        <v>11</v>
      </c>
      <c r="D209">
        <v>1.157E-3</v>
      </c>
      <c r="E209">
        <f t="shared" si="6"/>
        <v>1.0011570000000001</v>
      </c>
      <c r="F209" s="1">
        <f t="shared" si="7"/>
        <v>41204</v>
      </c>
      <c r="G209" cm="1">
        <f t="array" ref="G209">PRODUCT( _xlfn._xlws.FILTER($E:$E, ($C:$C=C209)*($F:$F=F209)) ) - 1</f>
        <v>-1.2887101896750797E-2</v>
      </c>
      <c r="J209" t="str">
        <v>CNR</v>
      </c>
      <c r="K209" s="1">
        <v>42352</v>
      </c>
      <c r="L209">
        <v>7.4236918113878225E-2</v>
      </c>
      <c r="R209">
        <v>-4.5380913456135707E-2</v>
      </c>
      <c r="S209">
        <v>-9.7858813176604498E-3</v>
      </c>
      <c r="T209">
        <v>1.6241360065625265E-3</v>
      </c>
      <c r="U209">
        <v>5.1816147951346814E-3</v>
      </c>
      <c r="V209">
        <v>-8.4582360251933553E-3</v>
      </c>
      <c r="W209">
        <v>-1.874418575426029E-4</v>
      </c>
    </row>
    <row r="210" spans="1:23" x14ac:dyDescent="0.2">
      <c r="A210" s="1">
        <v>41211</v>
      </c>
      <c r="B210">
        <v>2</v>
      </c>
      <c r="C210" t="s">
        <v>11</v>
      </c>
      <c r="D210">
        <v>4.3899999999999998E-3</v>
      </c>
      <c r="E210">
        <f t="shared" si="6"/>
        <v>1.0043899999999999</v>
      </c>
      <c r="F210" s="1">
        <f t="shared" si="7"/>
        <v>41211</v>
      </c>
      <c r="G210" cm="1">
        <f t="array" ref="G210">PRODUCT( _xlfn._xlws.FILTER($E:$E, ($C:$C=C210)*($F:$F=F210)) ) - 1</f>
        <v>5.6598195143269248E-3</v>
      </c>
      <c r="J210" t="str">
        <v>CNR</v>
      </c>
      <c r="K210" s="1">
        <v>42359</v>
      </c>
      <c r="L210">
        <v>1.1945878611859584E-2</v>
      </c>
      <c r="R210">
        <v>6.0431713974097967E-2</v>
      </c>
      <c r="S210">
        <v>2.5747795435408838E-2</v>
      </c>
      <c r="T210">
        <v>2.1951461961071894E-2</v>
      </c>
      <c r="U210">
        <v>1.7363273450935246E-2</v>
      </c>
      <c r="V210">
        <v>4.7630145354109921E-2</v>
      </c>
      <c r="W210">
        <v>1.9036422976254741E-2</v>
      </c>
    </row>
    <row r="211" spans="1:23" x14ac:dyDescent="0.2">
      <c r="A211" s="1">
        <v>41212</v>
      </c>
      <c r="B211">
        <v>2</v>
      </c>
      <c r="C211" t="s">
        <v>11</v>
      </c>
      <c r="D211">
        <v>-8.6280000000000003E-3</v>
      </c>
      <c r="E211">
        <f t="shared" si="6"/>
        <v>0.99137200000000003</v>
      </c>
      <c r="F211" s="1">
        <f t="shared" si="7"/>
        <v>41211</v>
      </c>
      <c r="G211" cm="1">
        <f t="array" ref="G211">PRODUCT( _xlfn._xlws.FILTER($E:$E, ($C:$C=C211)*($F:$F=F211)) ) - 1</f>
        <v>5.6598195143269248E-3</v>
      </c>
      <c r="J211" t="str">
        <v>CNR</v>
      </c>
      <c r="K211" s="1">
        <v>42366</v>
      </c>
      <c r="L211">
        <v>-1.8151540148857448E-2</v>
      </c>
      <c r="R211">
        <v>-1.9036837032380571E-2</v>
      </c>
      <c r="S211">
        <v>-4.0314238285187209E-2</v>
      </c>
      <c r="T211">
        <v>-1.0688058392080979E-3</v>
      </c>
      <c r="U211">
        <v>3.7599844636144741E-2</v>
      </c>
      <c r="V211">
        <v>-1.2893004945906061E-2</v>
      </c>
      <c r="W211">
        <v>-1.6850546398427535E-2</v>
      </c>
    </row>
    <row r="212" spans="1:23" x14ac:dyDescent="0.2">
      <c r="A212" s="1">
        <v>41213</v>
      </c>
      <c r="B212">
        <v>2</v>
      </c>
      <c r="C212" t="s">
        <v>11</v>
      </c>
      <c r="D212">
        <v>6.96E-4</v>
      </c>
      <c r="E212">
        <f t="shared" si="6"/>
        <v>1.000696</v>
      </c>
      <c r="F212" s="1">
        <f t="shared" si="7"/>
        <v>41211</v>
      </c>
      <c r="G212" cm="1">
        <f t="array" ref="G212">PRODUCT( _xlfn._xlws.FILTER($E:$E, ($C:$C=C212)*($F:$F=F212)) ) - 1</f>
        <v>5.6598195143269248E-3</v>
      </c>
      <c r="J212" t="str">
        <v>CNR</v>
      </c>
      <c r="K212" s="1">
        <v>42373</v>
      </c>
      <c r="L212">
        <v>-6.1150457676899084E-2</v>
      </c>
      <c r="R212">
        <v>-1.5023886836544209E-2</v>
      </c>
      <c r="S212">
        <v>-6.6052449940700031E-3</v>
      </c>
      <c r="T212">
        <v>2.5143609020069846E-2</v>
      </c>
      <c r="U212">
        <v>1.4392800490185209E-2</v>
      </c>
      <c r="V212">
        <v>-4.8808155290580246E-2</v>
      </c>
      <c r="W212">
        <v>-6.1476068739523271E-3</v>
      </c>
    </row>
    <row r="213" spans="1:23" x14ac:dyDescent="0.2">
      <c r="A213" s="1">
        <v>41214</v>
      </c>
      <c r="B213">
        <v>2</v>
      </c>
      <c r="C213" t="s">
        <v>11</v>
      </c>
      <c r="D213">
        <v>1.4726E-2</v>
      </c>
      <c r="E213">
        <f t="shared" si="6"/>
        <v>1.014726</v>
      </c>
      <c r="F213" s="1">
        <f t="shared" si="7"/>
        <v>41211</v>
      </c>
      <c r="G213" cm="1">
        <f t="array" ref="G213">PRODUCT( _xlfn._xlws.FILTER($E:$E, ($C:$C=C213)*($F:$F=F213)) ) - 1</f>
        <v>5.6598195143269248E-3</v>
      </c>
      <c r="J213" t="str">
        <v>CNR</v>
      </c>
      <c r="K213" s="1">
        <v>42380</v>
      </c>
      <c r="L213">
        <v>-2.753639847221101E-3</v>
      </c>
      <c r="R213">
        <v>-2.8601801288334339E-2</v>
      </c>
      <c r="S213">
        <v>-2.6590654747342679E-3</v>
      </c>
      <c r="T213">
        <v>-3.5354459391434778E-2</v>
      </c>
      <c r="U213">
        <v>-6.4352487625743193E-2</v>
      </c>
      <c r="V213">
        <v>-3.2763283008569566E-2</v>
      </c>
      <c r="W213">
        <v>-2.6616812187134964E-2</v>
      </c>
    </row>
    <row r="214" spans="1:23" x14ac:dyDescent="0.2">
      <c r="A214" s="1">
        <v>41215</v>
      </c>
      <c r="B214">
        <v>2</v>
      </c>
      <c r="C214" t="s">
        <v>11</v>
      </c>
      <c r="D214">
        <v>-5.3709999999999999E-3</v>
      </c>
      <c r="E214">
        <f t="shared" si="6"/>
        <v>0.99462899999999999</v>
      </c>
      <c r="F214" s="1">
        <f t="shared" si="7"/>
        <v>41211</v>
      </c>
      <c r="G214" cm="1">
        <f t="array" ref="G214">PRODUCT( _xlfn._xlws.FILTER($E:$E, ($C:$C=C214)*($F:$F=F214)) ) - 1</f>
        <v>5.6598195143269248E-3</v>
      </c>
      <c r="J214" t="str">
        <v>CNR</v>
      </c>
      <c r="K214" s="1">
        <v>42387</v>
      </c>
      <c r="L214">
        <v>-2.7064758485745855E-2</v>
      </c>
      <c r="R214">
        <v>5.2473807163332387E-2</v>
      </c>
      <c r="S214">
        <v>2.3386511772641505E-2</v>
      </c>
      <c r="T214">
        <v>2.8805837676016299E-2</v>
      </c>
      <c r="U214">
        <v>-8.9354491396932412E-3</v>
      </c>
      <c r="V214">
        <v>4.0347738883084627E-2</v>
      </c>
      <c r="W214">
        <v>2.9662225102106365E-2</v>
      </c>
    </row>
    <row r="215" spans="1:23" x14ac:dyDescent="0.2">
      <c r="A215" s="1">
        <v>41218</v>
      </c>
      <c r="B215">
        <v>2</v>
      </c>
      <c r="C215" t="s">
        <v>11</v>
      </c>
      <c r="D215">
        <v>5.9740000000000001E-3</v>
      </c>
      <c r="E215">
        <f t="shared" si="6"/>
        <v>1.0059739999999999</v>
      </c>
      <c r="F215" s="1">
        <f t="shared" si="7"/>
        <v>41218</v>
      </c>
      <c r="G215" cm="1">
        <f t="array" ref="G215">PRODUCT( _xlfn._xlws.FILTER($E:$E, ($C:$C=C215)*($F:$F=F215)) ) - 1</f>
        <v>-7.5832265793653875E-3</v>
      </c>
      <c r="J215" t="str">
        <v>CNR</v>
      </c>
      <c r="K215" s="1">
        <v>42394</v>
      </c>
      <c r="L215">
        <v>6.3013373786327875E-2</v>
      </c>
      <c r="R215">
        <v>-9.4478198049007256E-3</v>
      </c>
      <c r="S215">
        <v>-3.0527424137004489E-2</v>
      </c>
      <c r="T215">
        <v>-1.0780595292052442E-2</v>
      </c>
      <c r="U215">
        <v>-8.7430363841444203E-3</v>
      </c>
      <c r="V215">
        <v>4.7870493191894958E-3</v>
      </c>
      <c r="W215">
        <v>8.4873477860767377E-3</v>
      </c>
    </row>
    <row r="216" spans="1:23" x14ac:dyDescent="0.2">
      <c r="A216" s="1">
        <v>41219</v>
      </c>
      <c r="B216">
        <v>2</v>
      </c>
      <c r="C216" t="s">
        <v>11</v>
      </c>
      <c r="D216">
        <v>-5.9389999999999998E-3</v>
      </c>
      <c r="E216">
        <f t="shared" si="6"/>
        <v>0.99406099999999997</v>
      </c>
      <c r="F216" s="1">
        <f t="shared" si="7"/>
        <v>41218</v>
      </c>
      <c r="G216" cm="1">
        <f t="array" ref="G216">PRODUCT( _xlfn._xlws.FILTER($E:$E, ($C:$C=C216)*($F:$F=F216)) ) - 1</f>
        <v>-7.5832265793653875E-3</v>
      </c>
      <c r="J216" t="str">
        <v>CNR</v>
      </c>
      <c r="K216" s="1">
        <v>42401</v>
      </c>
      <c r="L216">
        <v>-9.0784412872919606E-3</v>
      </c>
      <c r="R216">
        <v>-4.4308411380191703E-2</v>
      </c>
      <c r="S216">
        <v>2.2801180764337348E-2</v>
      </c>
      <c r="T216">
        <v>1.7806753130289232E-2</v>
      </c>
      <c r="U216">
        <v>9.1417077996580609E-4</v>
      </c>
      <c r="V216">
        <v>-1.6680740135273098E-3</v>
      </c>
      <c r="W216">
        <v>1.271688272346827E-2</v>
      </c>
    </row>
    <row r="217" spans="1:23" x14ac:dyDescent="0.2">
      <c r="A217" s="1">
        <v>41220</v>
      </c>
      <c r="B217">
        <v>2</v>
      </c>
      <c r="C217" t="s">
        <v>11</v>
      </c>
      <c r="D217">
        <v>-8.5019999999999991E-3</v>
      </c>
      <c r="E217">
        <f t="shared" si="6"/>
        <v>0.99149799999999999</v>
      </c>
      <c r="F217" s="1">
        <f t="shared" si="7"/>
        <v>41218</v>
      </c>
      <c r="G217" cm="1">
        <f t="array" ref="G217">PRODUCT( _xlfn._xlws.FILTER($E:$E, ($C:$C=C217)*($F:$F=F217)) ) - 1</f>
        <v>-7.5832265793653875E-3</v>
      </c>
      <c r="J217" t="str">
        <v>CNR</v>
      </c>
      <c r="K217" s="1">
        <v>42408</v>
      </c>
      <c r="L217">
        <v>3.1257529008089646E-2</v>
      </c>
      <c r="R217">
        <v>-4.4125426490178921E-2</v>
      </c>
      <c r="S217">
        <v>-3.4767076356747251E-2</v>
      </c>
      <c r="T217">
        <v>-4.7004494777419525E-2</v>
      </c>
      <c r="U217">
        <v>-2.2481653115275835E-2</v>
      </c>
      <c r="V217">
        <v>-5.6716153006387771E-2</v>
      </c>
      <c r="W217">
        <v>-3.2318241602619424E-2</v>
      </c>
    </row>
    <row r="218" spans="1:23" x14ac:dyDescent="0.2">
      <c r="A218" s="1">
        <v>41221</v>
      </c>
      <c r="B218">
        <v>2</v>
      </c>
      <c r="C218" t="s">
        <v>11</v>
      </c>
      <c r="D218">
        <v>3.1289999999999998E-3</v>
      </c>
      <c r="E218">
        <f t="shared" si="6"/>
        <v>1.0031289999999999</v>
      </c>
      <c r="F218" s="1">
        <f t="shared" si="7"/>
        <v>41218</v>
      </c>
      <c r="G218" cm="1">
        <f t="array" ref="G218">PRODUCT( _xlfn._xlws.FILTER($E:$E, ($C:$C=C218)*($F:$F=F218)) ) - 1</f>
        <v>-7.5832265793653875E-3</v>
      </c>
      <c r="J218" t="str">
        <v>CNR</v>
      </c>
      <c r="K218" s="1">
        <v>42415</v>
      </c>
      <c r="L218">
        <v>2.5345789214351599E-2</v>
      </c>
      <c r="R218">
        <v>7.4236918113878225E-2</v>
      </c>
      <c r="S218">
        <v>3.9044324469805991E-2</v>
      </c>
      <c r="T218">
        <v>1.7263005715626667E-2</v>
      </c>
      <c r="U218">
        <v>2.1861811440130774E-2</v>
      </c>
      <c r="V218">
        <v>-1.6883895160946349E-2</v>
      </c>
      <c r="W218">
        <v>7.6377941573224639E-4</v>
      </c>
    </row>
    <row r="219" spans="1:23" x14ac:dyDescent="0.2">
      <c r="A219" s="1">
        <v>41222</v>
      </c>
      <c r="B219">
        <v>2</v>
      </c>
      <c r="C219" t="s">
        <v>11</v>
      </c>
      <c r="D219">
        <v>-2.1949999999999999E-3</v>
      </c>
      <c r="E219">
        <f t="shared" si="6"/>
        <v>0.99780500000000005</v>
      </c>
      <c r="F219" s="1">
        <f t="shared" si="7"/>
        <v>41218</v>
      </c>
      <c r="G219" cm="1">
        <f t="array" ref="G219">PRODUCT( _xlfn._xlws.FILTER($E:$E, ($C:$C=C219)*($F:$F=F219)) ) - 1</f>
        <v>-7.5832265793653875E-3</v>
      </c>
      <c r="J219" t="str">
        <v>CNR</v>
      </c>
      <c r="K219" s="1">
        <v>42422</v>
      </c>
      <c r="L219">
        <v>5.9886490918745761E-3</v>
      </c>
      <c r="R219">
        <v>1.1945878611859584E-2</v>
      </c>
      <c r="S219">
        <v>6.0867118973650935E-3</v>
      </c>
      <c r="T219">
        <v>1.871997990724994E-2</v>
      </c>
      <c r="U219">
        <v>2.5006546013722097E-2</v>
      </c>
      <c r="V219">
        <v>1.6653884919902273E-2</v>
      </c>
      <c r="W219">
        <v>7.0560120125198189E-3</v>
      </c>
    </row>
    <row r="220" spans="1:23" x14ac:dyDescent="0.2">
      <c r="A220" s="1">
        <v>41225</v>
      </c>
      <c r="B220">
        <v>2</v>
      </c>
      <c r="C220" t="s">
        <v>11</v>
      </c>
      <c r="D220">
        <v>6.483E-3</v>
      </c>
      <c r="E220">
        <f t="shared" si="6"/>
        <v>1.006483</v>
      </c>
      <c r="F220" s="1">
        <f t="shared" si="7"/>
        <v>41225</v>
      </c>
      <c r="G220" cm="1">
        <f t="array" ref="G220">PRODUCT( _xlfn._xlws.FILTER($E:$E, ($C:$C=C220)*($F:$F=F220)) ) - 1</f>
        <v>-1.5280349424194872E-2</v>
      </c>
      <c r="J220" t="str">
        <v>CNR</v>
      </c>
      <c r="K220" s="1">
        <v>42429</v>
      </c>
      <c r="L220">
        <v>-1.6475774786527397E-3</v>
      </c>
      <c r="R220">
        <v>-1.8151540148857448E-2</v>
      </c>
      <c r="S220">
        <v>-1.6044106926792923E-2</v>
      </c>
      <c r="T220">
        <v>-1.9698628007494334E-2</v>
      </c>
      <c r="U220">
        <v>-3.1716143678185871E-2</v>
      </c>
      <c r="V220">
        <v>-2.0731984538653547E-2</v>
      </c>
      <c r="W220">
        <v>-7.5745987777325885E-3</v>
      </c>
    </row>
    <row r="221" spans="1:23" x14ac:dyDescent="0.2">
      <c r="A221" s="1">
        <v>41226</v>
      </c>
      <c r="B221">
        <v>2</v>
      </c>
      <c r="C221" t="s">
        <v>11</v>
      </c>
      <c r="D221">
        <v>-1.8400000000000001E-3</v>
      </c>
      <c r="E221">
        <f t="shared" si="6"/>
        <v>0.99816000000000005</v>
      </c>
      <c r="F221" s="1">
        <f t="shared" si="7"/>
        <v>41225</v>
      </c>
      <c r="G221" cm="1">
        <f t="array" ref="G221">PRODUCT( _xlfn._xlws.FILTER($E:$E, ($C:$C=C221)*($F:$F=F221)) ) - 1</f>
        <v>-1.5280349424194872E-2</v>
      </c>
      <c r="J221" t="str">
        <v>CNR</v>
      </c>
      <c r="K221" s="1">
        <v>42436</v>
      </c>
      <c r="L221">
        <v>1.8209012356307896E-2</v>
      </c>
      <c r="R221">
        <v>-6.1150457676899084E-2</v>
      </c>
      <c r="S221">
        <v>-4.8120873605227432E-3</v>
      </c>
      <c r="T221">
        <v>-5.502352940085653E-2</v>
      </c>
      <c r="U221">
        <v>-6.9149158255976451E-2</v>
      </c>
      <c r="V221">
        <v>-2.1955348849454714E-2</v>
      </c>
      <c r="W221">
        <v>-4.0259266919377312E-2</v>
      </c>
    </row>
    <row r="222" spans="1:23" x14ac:dyDescent="0.2">
      <c r="A222" s="1">
        <v>41227</v>
      </c>
      <c r="B222">
        <v>2</v>
      </c>
      <c r="C222" t="s">
        <v>11</v>
      </c>
      <c r="D222">
        <v>-1.4404E-2</v>
      </c>
      <c r="E222">
        <f t="shared" si="6"/>
        <v>0.98559600000000003</v>
      </c>
      <c r="F222" s="1">
        <f t="shared" si="7"/>
        <v>41225</v>
      </c>
      <c r="G222" cm="1">
        <f t="array" ref="G222">PRODUCT( _xlfn._xlws.FILTER($E:$E, ($C:$C=C222)*($F:$F=F222)) ) - 1</f>
        <v>-1.5280349424194872E-2</v>
      </c>
      <c r="J222" t="str">
        <v>CNR</v>
      </c>
      <c r="K222" s="1">
        <v>42443</v>
      </c>
      <c r="L222">
        <v>1.2769330236555021E-2</v>
      </c>
      <c r="R222">
        <v>-2.753639847221101E-3</v>
      </c>
      <c r="S222">
        <v>-1.9070168078737959E-2</v>
      </c>
      <c r="T222">
        <v>-4.3099863245293468E-2</v>
      </c>
      <c r="U222">
        <v>-6.1052662504070931E-2</v>
      </c>
      <c r="V222">
        <v>-2.8594719754978515E-2</v>
      </c>
      <c r="W222">
        <v>1.5904699700389768E-2</v>
      </c>
    </row>
    <row r="223" spans="1:23" x14ac:dyDescent="0.2">
      <c r="A223" s="1">
        <v>41228</v>
      </c>
      <c r="B223">
        <v>2</v>
      </c>
      <c r="C223" t="s">
        <v>11</v>
      </c>
      <c r="D223">
        <v>-6.7809999999999997E-3</v>
      </c>
      <c r="E223">
        <f t="shared" si="6"/>
        <v>0.99321899999999996</v>
      </c>
      <c r="F223" s="1">
        <f t="shared" si="7"/>
        <v>41225</v>
      </c>
      <c r="G223" cm="1">
        <f t="array" ref="G223">PRODUCT( _xlfn._xlws.FILTER($E:$E, ($C:$C=C223)*($F:$F=F223)) ) - 1</f>
        <v>-1.5280349424194872E-2</v>
      </c>
      <c r="J223" t="str">
        <v>CNR</v>
      </c>
      <c r="K223" s="1">
        <v>42450</v>
      </c>
      <c r="L223">
        <v>-5.4388634547531955E-3</v>
      </c>
      <c r="R223">
        <v>-2.7064758485745855E-2</v>
      </c>
      <c r="S223">
        <v>5.3942886818211022E-2</v>
      </c>
      <c r="T223">
        <v>4.593505388715502E-2</v>
      </c>
      <c r="U223">
        <v>3.5229981674023136E-3</v>
      </c>
      <c r="V223">
        <v>3.246201911879365E-2</v>
      </c>
      <c r="W223">
        <v>1.1546066652927012E-2</v>
      </c>
    </row>
    <row r="224" spans="1:23" x14ac:dyDescent="0.2">
      <c r="A224" s="1">
        <v>41229</v>
      </c>
      <c r="B224">
        <v>2</v>
      </c>
      <c r="C224" t="s">
        <v>11</v>
      </c>
      <c r="D224">
        <v>1.2949999999999999E-3</v>
      </c>
      <c r="E224">
        <f t="shared" si="6"/>
        <v>1.001295</v>
      </c>
      <c r="F224" s="1">
        <f t="shared" si="7"/>
        <v>41225</v>
      </c>
      <c r="G224" cm="1">
        <f t="array" ref="G224">PRODUCT( _xlfn._xlws.FILTER($E:$E, ($C:$C=C224)*($F:$F=F224)) ) - 1</f>
        <v>-1.5280349424194872E-2</v>
      </c>
      <c r="J224" t="str">
        <v>CNR</v>
      </c>
      <c r="K224" s="1">
        <v>42457</v>
      </c>
      <c r="L224">
        <v>8.2040734056796349E-3</v>
      </c>
      <c r="R224">
        <v>6.3013373786327875E-2</v>
      </c>
      <c r="S224">
        <v>5.7677248020107319E-2</v>
      </c>
      <c r="T224">
        <v>4.6293853612384694E-2</v>
      </c>
      <c r="U224">
        <v>5.9049854043411454E-2</v>
      </c>
      <c r="V224">
        <v>3.8369204773833543E-2</v>
      </c>
      <c r="W224">
        <v>1.3735655908690525E-2</v>
      </c>
    </row>
    <row r="225" spans="1:23" x14ac:dyDescent="0.2">
      <c r="A225" s="1">
        <v>41232</v>
      </c>
      <c r="B225">
        <v>2</v>
      </c>
      <c r="C225" t="s">
        <v>11</v>
      </c>
      <c r="D225">
        <v>1.6459999999999999E-3</v>
      </c>
      <c r="E225">
        <f t="shared" si="6"/>
        <v>1.001646</v>
      </c>
      <c r="F225" s="1">
        <f t="shared" si="7"/>
        <v>41232</v>
      </c>
      <c r="G225" cm="1">
        <f t="array" ref="G225">PRODUCT( _xlfn._xlws.FILTER($E:$E, ($C:$C=C225)*($F:$F=F225)) ) - 1</f>
        <v>2.7039893935220549E-2</v>
      </c>
      <c r="J225" t="str">
        <v>CNR</v>
      </c>
      <c r="K225" s="1">
        <v>42464</v>
      </c>
      <c r="L225">
        <v>-5.9171357508146505E-3</v>
      </c>
      <c r="R225">
        <v>-9.0784412872919606E-3</v>
      </c>
      <c r="S225">
        <v>1.8668261566480826E-2</v>
      </c>
      <c r="T225">
        <v>-1.9434567412794035E-2</v>
      </c>
      <c r="U225">
        <v>-3.9179158089506672E-2</v>
      </c>
      <c r="V225">
        <v>3.7979208558808875E-2</v>
      </c>
      <c r="W225">
        <v>-3.0152793801941025E-2</v>
      </c>
    </row>
    <row r="226" spans="1:23" x14ac:dyDescent="0.2">
      <c r="A226" s="1">
        <v>41233</v>
      </c>
      <c r="B226">
        <v>2</v>
      </c>
      <c r="C226" t="s">
        <v>11</v>
      </c>
      <c r="D226">
        <v>-4.6950000000000004E-3</v>
      </c>
      <c r="E226">
        <f t="shared" si="6"/>
        <v>0.995305</v>
      </c>
      <c r="F226" s="1">
        <f t="shared" si="7"/>
        <v>41232</v>
      </c>
      <c r="G226" cm="1">
        <f t="array" ref="G226">PRODUCT( _xlfn._xlws.FILTER($E:$E, ($C:$C=C226)*($F:$F=F226)) ) - 1</f>
        <v>2.7039893935220549E-2</v>
      </c>
      <c r="J226" t="str">
        <v>CNR</v>
      </c>
      <c r="K226" s="1">
        <v>42471</v>
      </c>
      <c r="L226">
        <v>6.6960512455958021E-3</v>
      </c>
      <c r="R226">
        <v>3.1257529008089646E-2</v>
      </c>
      <c r="S226">
        <v>-0.11803695534529024</v>
      </c>
      <c r="T226">
        <v>-4.4419997123457788E-2</v>
      </c>
      <c r="U226">
        <v>-4.1090679394449103E-2</v>
      </c>
      <c r="V226">
        <v>-2.4721766553406632E-2</v>
      </c>
      <c r="W226">
        <v>-2.6761190165285997E-2</v>
      </c>
    </row>
    <row r="227" spans="1:23" x14ac:dyDescent="0.2">
      <c r="A227" s="1">
        <v>41234</v>
      </c>
      <c r="B227">
        <v>2</v>
      </c>
      <c r="C227" t="s">
        <v>11</v>
      </c>
      <c r="D227">
        <v>1.1320999999999999E-2</v>
      </c>
      <c r="E227">
        <f t="shared" si="6"/>
        <v>1.0113209999999999</v>
      </c>
      <c r="F227" s="1">
        <f t="shared" si="7"/>
        <v>41232</v>
      </c>
      <c r="G227" cm="1">
        <f t="array" ref="G227">PRODUCT( _xlfn._xlws.FILTER($E:$E, ($C:$C=C227)*($F:$F=F227)) ) - 1</f>
        <v>2.7039893935220549E-2</v>
      </c>
      <c r="J227" t="str">
        <v>CNR</v>
      </c>
      <c r="K227" s="1">
        <v>42478</v>
      </c>
      <c r="L227">
        <v>2.7963192267287829E-2</v>
      </c>
      <c r="R227">
        <v>2.5345789214351599E-2</v>
      </c>
      <c r="S227">
        <v>5.718248480664756E-2</v>
      </c>
      <c r="T227">
        <v>4.8544741267084079E-2</v>
      </c>
      <c r="U227">
        <v>7.4911248908796191E-2</v>
      </c>
      <c r="V227">
        <v>-1.5218890440160671E-3</v>
      </c>
      <c r="W227">
        <v>1.02744205694274E-2</v>
      </c>
    </row>
    <row r="228" spans="1:23" x14ac:dyDescent="0.2">
      <c r="A228" s="1">
        <v>41235</v>
      </c>
      <c r="B228">
        <v>2</v>
      </c>
      <c r="C228" t="s">
        <v>11</v>
      </c>
      <c r="D228">
        <v>1.5858000000000001E-2</v>
      </c>
      <c r="E228">
        <f t="shared" si="6"/>
        <v>1.0158579999999999</v>
      </c>
      <c r="F228" s="1">
        <f t="shared" si="7"/>
        <v>41232</v>
      </c>
      <c r="G228" cm="1">
        <f t="array" ref="G228">PRODUCT( _xlfn._xlws.FILTER($E:$E, ($C:$C=C228)*($F:$F=F228)) ) - 1</f>
        <v>2.7039893935220549E-2</v>
      </c>
      <c r="J228" t="str">
        <v>CNR</v>
      </c>
      <c r="K228" s="1">
        <v>42485</v>
      </c>
      <c r="L228">
        <v>-7.4176964207944396E-2</v>
      </c>
      <c r="R228">
        <v>5.9886490918745761E-3</v>
      </c>
      <c r="S228">
        <v>-2.1164655466669902E-2</v>
      </c>
      <c r="T228">
        <v>-4.1946671323119578E-2</v>
      </c>
      <c r="U228">
        <v>9.1343690604217542E-4</v>
      </c>
      <c r="V228">
        <v>-5.8382065352040602E-3</v>
      </c>
      <c r="W228">
        <v>-1.818486724915247E-3</v>
      </c>
    </row>
    <row r="229" spans="1:23" x14ac:dyDescent="0.2">
      <c r="A229" s="1">
        <v>41236</v>
      </c>
      <c r="B229">
        <v>2</v>
      </c>
      <c r="C229" t="s">
        <v>11</v>
      </c>
      <c r="D229">
        <v>2.7550000000000001E-3</v>
      </c>
      <c r="E229">
        <f t="shared" si="6"/>
        <v>1.0027550000000001</v>
      </c>
      <c r="F229" s="1">
        <f t="shared" si="7"/>
        <v>41232</v>
      </c>
      <c r="G229" cm="1">
        <f t="array" ref="G229">PRODUCT( _xlfn._xlws.FILTER($E:$E, ($C:$C=C229)*($F:$F=F229)) ) - 1</f>
        <v>2.7039893935220549E-2</v>
      </c>
      <c r="J229" t="str">
        <v>CNR</v>
      </c>
      <c r="K229" s="1">
        <v>42492</v>
      </c>
      <c r="L229">
        <v>-7.8950357192825171E-3</v>
      </c>
      <c r="R229">
        <v>-1.6475774786527397E-3</v>
      </c>
      <c r="S229">
        <v>4.805156678164213E-2</v>
      </c>
      <c r="T229">
        <v>4.5248046268971054E-2</v>
      </c>
      <c r="U229">
        <v>3.5061003497596666E-2</v>
      </c>
      <c r="V229">
        <v>7.6623075931947504E-4</v>
      </c>
      <c r="W229">
        <v>-1.0523661874114132E-2</v>
      </c>
    </row>
    <row r="230" spans="1:23" x14ac:dyDescent="0.2">
      <c r="A230" s="1">
        <v>41239</v>
      </c>
      <c r="B230">
        <v>2</v>
      </c>
      <c r="C230" t="s">
        <v>11</v>
      </c>
      <c r="D230">
        <v>3.4299999999999999E-4</v>
      </c>
      <c r="E230">
        <f t="shared" si="6"/>
        <v>1.000343</v>
      </c>
      <c r="F230" s="1">
        <f t="shared" si="7"/>
        <v>41239</v>
      </c>
      <c r="G230" cm="1">
        <f t="array" ref="G230">PRODUCT( _xlfn._xlws.FILTER($E:$E, ($C:$C=C230)*($F:$F=F230)) ) - 1</f>
        <v>2.2663586830873772E-2</v>
      </c>
      <c r="J230" t="str">
        <v>CNR</v>
      </c>
      <c r="K230" s="1">
        <v>42499</v>
      </c>
      <c r="L230">
        <v>-8.0892889540733481E-3</v>
      </c>
      <c r="R230">
        <v>1.8209012356307896E-2</v>
      </c>
      <c r="S230">
        <v>2.445230847660862E-2</v>
      </c>
      <c r="T230">
        <v>4.020677627904834E-2</v>
      </c>
      <c r="U230">
        <v>2.5777244133538435E-2</v>
      </c>
      <c r="V230">
        <v>5.3464110838026269E-2</v>
      </c>
      <c r="W230">
        <v>2.7203677637661405E-2</v>
      </c>
    </row>
    <row r="231" spans="1:23" x14ac:dyDescent="0.2">
      <c r="A231" s="1">
        <v>41240</v>
      </c>
      <c r="B231">
        <v>2</v>
      </c>
      <c r="C231" t="s">
        <v>11</v>
      </c>
      <c r="D231">
        <v>6.9800000000000001E-3</v>
      </c>
      <c r="E231">
        <f t="shared" si="6"/>
        <v>1.00698</v>
      </c>
      <c r="F231" s="1">
        <f t="shared" si="7"/>
        <v>41239</v>
      </c>
      <c r="G231" cm="1">
        <f t="array" ref="G231">PRODUCT( _xlfn._xlws.FILTER($E:$E, ($C:$C=C231)*($F:$F=F231)) ) - 1</f>
        <v>2.2663586830873772E-2</v>
      </c>
      <c r="J231" t="str">
        <v>CNR</v>
      </c>
      <c r="K231" s="1">
        <v>42506</v>
      </c>
      <c r="L231">
        <v>5.6557198128606156E-3</v>
      </c>
      <c r="R231">
        <v>1.2769330236555021E-2</v>
      </c>
      <c r="S231">
        <v>-3.0084598413675501E-2</v>
      </c>
      <c r="T231">
        <v>1.3064126679732224E-2</v>
      </c>
      <c r="U231">
        <v>3.9862223962588983E-2</v>
      </c>
      <c r="V231">
        <v>4.895934088331666E-3</v>
      </c>
      <c r="W231">
        <v>1.8519611832997329E-2</v>
      </c>
    </row>
    <row r="232" spans="1:23" x14ac:dyDescent="0.2">
      <c r="A232" s="1">
        <v>41241</v>
      </c>
      <c r="B232">
        <v>2</v>
      </c>
      <c r="C232" t="s">
        <v>11</v>
      </c>
      <c r="D232">
        <v>6.5909999999999996E-3</v>
      </c>
      <c r="E232">
        <f t="shared" si="6"/>
        <v>1.006591</v>
      </c>
      <c r="F232" s="1">
        <f t="shared" si="7"/>
        <v>41239</v>
      </c>
      <c r="G232" cm="1">
        <f t="array" ref="G232">PRODUCT( _xlfn._xlws.FILTER($E:$E, ($C:$C=C232)*($F:$F=F232)) ) - 1</f>
        <v>2.2663586830873772E-2</v>
      </c>
      <c r="J232" t="str">
        <v>CNR</v>
      </c>
      <c r="K232" s="1">
        <v>42513</v>
      </c>
      <c r="L232">
        <v>2.3018251254099287E-2</v>
      </c>
      <c r="R232">
        <v>-5.4388634547531955E-3</v>
      </c>
      <c r="S232">
        <v>2.2815968281231669E-2</v>
      </c>
      <c r="T232">
        <v>-1.6618632984086279E-2</v>
      </c>
      <c r="U232">
        <v>-3.8887080301297505E-3</v>
      </c>
      <c r="V232">
        <v>1.4863624354912952E-2</v>
      </c>
      <c r="W232">
        <v>1.9160230850775006E-2</v>
      </c>
    </row>
    <row r="233" spans="1:23" x14ac:dyDescent="0.2">
      <c r="A233" s="1">
        <v>41242</v>
      </c>
      <c r="B233">
        <v>2</v>
      </c>
      <c r="C233" t="s">
        <v>11</v>
      </c>
      <c r="D233">
        <v>7.7889999999999999E-3</v>
      </c>
      <c r="E233">
        <f t="shared" si="6"/>
        <v>1.007789</v>
      </c>
      <c r="F233" s="1">
        <f t="shared" si="7"/>
        <v>41239</v>
      </c>
      <c r="G233" cm="1">
        <f t="array" ref="G233">PRODUCT( _xlfn._xlws.FILTER($E:$E, ($C:$C=C233)*($F:$F=F233)) ) - 1</f>
        <v>2.2663586830873772E-2</v>
      </c>
      <c r="J233" t="str">
        <v>CNR</v>
      </c>
      <c r="K233" s="1">
        <v>42520</v>
      </c>
      <c r="L233">
        <v>-8.054246603518167E-3</v>
      </c>
      <c r="R233">
        <v>8.2040734056796349E-3</v>
      </c>
      <c r="S233">
        <v>2.1804327878878871E-2</v>
      </c>
      <c r="T233">
        <v>1.5276130461727933E-2</v>
      </c>
      <c r="U233">
        <v>4.7401894479970341E-3</v>
      </c>
      <c r="V233">
        <v>1.1524797737911152E-2</v>
      </c>
      <c r="W233">
        <v>1.1318237716954949E-2</v>
      </c>
    </row>
    <row r="234" spans="1:23" x14ac:dyDescent="0.2">
      <c r="A234" s="1">
        <v>41243</v>
      </c>
      <c r="B234">
        <v>2</v>
      </c>
      <c r="C234" t="s">
        <v>11</v>
      </c>
      <c r="D234">
        <v>7.8399999999999997E-4</v>
      </c>
      <c r="E234">
        <f t="shared" si="6"/>
        <v>1.0007839999999999</v>
      </c>
      <c r="F234" s="1">
        <f t="shared" si="7"/>
        <v>41239</v>
      </c>
      <c r="G234" cm="1">
        <f t="array" ref="G234">PRODUCT( _xlfn._xlws.FILTER($E:$E, ($C:$C=C234)*($F:$F=F234)) ) - 1</f>
        <v>2.2663586830873772E-2</v>
      </c>
      <c r="J234" t="str">
        <v>CNR</v>
      </c>
      <c r="K234" s="1">
        <v>42527</v>
      </c>
      <c r="L234">
        <v>-2.2743547411007703E-2</v>
      </c>
      <c r="R234">
        <v>-5.9171357508146505E-3</v>
      </c>
      <c r="S234">
        <v>-2.2320893220061255E-2</v>
      </c>
      <c r="T234">
        <v>-3.8616232784346449E-3</v>
      </c>
      <c r="U234">
        <v>-5.8290318896652149E-3</v>
      </c>
      <c r="V234">
        <v>-1.827581079283469E-2</v>
      </c>
      <c r="W234">
        <v>-1.3846507190375834E-2</v>
      </c>
    </row>
    <row r="235" spans="1:23" x14ac:dyDescent="0.2">
      <c r="A235" s="1">
        <v>41246</v>
      </c>
      <c r="B235">
        <v>2</v>
      </c>
      <c r="C235" t="s">
        <v>11</v>
      </c>
      <c r="D235">
        <v>-6.3800000000000003E-3</v>
      </c>
      <c r="E235">
        <f t="shared" si="6"/>
        <v>0.99361999999999995</v>
      </c>
      <c r="F235" s="1">
        <f t="shared" si="7"/>
        <v>41246</v>
      </c>
      <c r="G235" cm="1">
        <f t="array" ref="G235">PRODUCT( _xlfn._xlws.FILTER($E:$E, ($C:$C=C235)*($F:$F=F235)) ) - 1</f>
        <v>1.9135469004784023E-2</v>
      </c>
      <c r="J235" t="str">
        <v>CNR</v>
      </c>
      <c r="K235" s="1">
        <v>42534</v>
      </c>
      <c r="L235">
        <v>-4.5063355196417465E-3</v>
      </c>
      <c r="R235">
        <v>6.6960512455958021E-3</v>
      </c>
      <c r="S235">
        <v>-5.5007860100264594E-7</v>
      </c>
      <c r="T235">
        <v>3.6492301088037582E-2</v>
      </c>
      <c r="U235">
        <v>2.7916107173284743E-3</v>
      </c>
      <c r="V235">
        <v>-2.3936490852118575E-2</v>
      </c>
      <c r="W235">
        <v>4.0383063607234426E-3</v>
      </c>
    </row>
    <row r="236" spans="1:23" x14ac:dyDescent="0.2">
      <c r="A236" s="1">
        <v>41247</v>
      </c>
      <c r="B236">
        <v>2</v>
      </c>
      <c r="C236" t="s">
        <v>11</v>
      </c>
      <c r="D236">
        <v>2.14E-3</v>
      </c>
      <c r="E236">
        <f t="shared" si="6"/>
        <v>1.00214</v>
      </c>
      <c r="F236" s="1">
        <f t="shared" si="7"/>
        <v>41246</v>
      </c>
      <c r="G236" cm="1">
        <f t="array" ref="G236">PRODUCT( _xlfn._xlws.FILTER($E:$E, ($C:$C=C236)*($F:$F=F236)) ) - 1</f>
        <v>1.9135469004784023E-2</v>
      </c>
      <c r="J236" t="str">
        <v>CNR</v>
      </c>
      <c r="K236" s="1">
        <v>42541</v>
      </c>
      <c r="L236">
        <v>-1.3845155027584211E-2</v>
      </c>
      <c r="R236">
        <v>2.7963192267287829E-2</v>
      </c>
      <c r="S236">
        <v>-2.4586636701769193E-2</v>
      </c>
      <c r="T236">
        <v>1.0971546441921332E-2</v>
      </c>
      <c r="U236">
        <v>1.0579763188053093E-2</v>
      </c>
      <c r="V236">
        <v>-2.4027301435177506E-2</v>
      </c>
      <c r="W236">
        <v>-9.5771720497813684E-3</v>
      </c>
    </row>
    <row r="237" spans="1:23" x14ac:dyDescent="0.2">
      <c r="A237" s="1">
        <v>41248</v>
      </c>
      <c r="B237">
        <v>2</v>
      </c>
      <c r="C237" t="s">
        <v>11</v>
      </c>
      <c r="D237">
        <v>5.1710000000000002E-3</v>
      </c>
      <c r="E237">
        <f t="shared" si="6"/>
        <v>1.005171</v>
      </c>
      <c r="F237" s="1">
        <f t="shared" si="7"/>
        <v>41246</v>
      </c>
      <c r="G237" cm="1">
        <f t="array" ref="G237">PRODUCT( _xlfn._xlws.FILTER($E:$E, ($C:$C=C237)*($F:$F=F237)) ) - 1</f>
        <v>1.9135469004784023E-2</v>
      </c>
      <c r="J237" t="str">
        <v>CNR</v>
      </c>
      <c r="K237" s="1">
        <v>42548</v>
      </c>
      <c r="L237">
        <v>2.9832163604377016E-2</v>
      </c>
      <c r="R237">
        <v>-7.4176964207944396E-2</v>
      </c>
      <c r="S237">
        <v>2.3662270624967174E-2</v>
      </c>
      <c r="T237">
        <v>4.3828970382080445E-3</v>
      </c>
      <c r="U237">
        <v>1.4601372420145031E-2</v>
      </c>
      <c r="V237">
        <v>9.6453076146316707E-3</v>
      </c>
      <c r="W237">
        <v>-1.1609447240011894E-3</v>
      </c>
    </row>
    <row r="238" spans="1:23" x14ac:dyDescent="0.2">
      <c r="A238" s="1">
        <v>41249</v>
      </c>
      <c r="B238">
        <v>2</v>
      </c>
      <c r="C238" t="s">
        <v>11</v>
      </c>
      <c r="D238">
        <v>5.9829999999999996E-3</v>
      </c>
      <c r="E238">
        <f t="shared" si="6"/>
        <v>1.0059830000000001</v>
      </c>
      <c r="F238" s="1">
        <f t="shared" si="7"/>
        <v>41246</v>
      </c>
      <c r="G238" cm="1">
        <f t="array" ref="G238">PRODUCT( _xlfn._xlws.FILTER($E:$E, ($C:$C=C238)*($F:$F=F238)) ) - 1</f>
        <v>1.9135469004784023E-2</v>
      </c>
      <c r="J238" t="str">
        <v>CNR</v>
      </c>
      <c r="K238" s="1">
        <v>42555</v>
      </c>
      <c r="L238">
        <v>2.385641428235874E-2</v>
      </c>
      <c r="R238">
        <v>-7.8950357192825171E-3</v>
      </c>
      <c r="S238">
        <v>1.7335859940109444E-2</v>
      </c>
      <c r="T238">
        <v>-2.348609056316342E-2</v>
      </c>
      <c r="U238">
        <v>-8.1183690700403877E-2</v>
      </c>
      <c r="V238">
        <v>3.7715021804534121E-3</v>
      </c>
      <c r="W238">
        <v>1.4524335861213489E-2</v>
      </c>
    </row>
    <row r="239" spans="1:23" x14ac:dyDescent="0.2">
      <c r="A239" s="1">
        <v>41250</v>
      </c>
      <c r="B239">
        <v>2</v>
      </c>
      <c r="C239" t="s">
        <v>11</v>
      </c>
      <c r="D239">
        <v>1.2168E-2</v>
      </c>
      <c r="E239">
        <f t="shared" si="6"/>
        <v>1.012168</v>
      </c>
      <c r="F239" s="1">
        <f t="shared" si="7"/>
        <v>41246</v>
      </c>
      <c r="G239" cm="1">
        <f t="array" ref="G239">PRODUCT( _xlfn._xlws.FILTER($E:$E, ($C:$C=C239)*($F:$F=F239)) ) - 1</f>
        <v>1.9135469004784023E-2</v>
      </c>
      <c r="J239" t="str">
        <v>CNR</v>
      </c>
      <c r="K239" s="1">
        <v>42562</v>
      </c>
      <c r="L239">
        <v>3.1622163259492186E-2</v>
      </c>
      <c r="R239">
        <v>-8.0892889540733481E-3</v>
      </c>
      <c r="S239">
        <v>3.4569693973627302E-3</v>
      </c>
      <c r="T239">
        <v>9.5943049584319429E-3</v>
      </c>
      <c r="U239">
        <v>6.7973470235971334E-3</v>
      </c>
      <c r="V239">
        <v>1.5026193065536431E-2</v>
      </c>
      <c r="W239">
        <v>1.469762914657835E-2</v>
      </c>
    </row>
    <row r="240" spans="1:23" x14ac:dyDescent="0.2">
      <c r="A240" s="1">
        <v>41253</v>
      </c>
      <c r="B240">
        <v>2</v>
      </c>
      <c r="C240" t="s">
        <v>11</v>
      </c>
      <c r="D240">
        <v>6.6200000000000005E-4</v>
      </c>
      <c r="E240">
        <f t="shared" si="6"/>
        <v>1.0006619999999999</v>
      </c>
      <c r="F240" s="1">
        <f t="shared" si="7"/>
        <v>41253</v>
      </c>
      <c r="G240" cm="1">
        <f t="array" ref="G240">PRODUCT( _xlfn._xlws.FILTER($E:$E, ($C:$C=C240)*($F:$F=F240)) ) - 1</f>
        <v>-1.2461916559502573E-2</v>
      </c>
      <c r="J240" t="str">
        <v>CNR</v>
      </c>
      <c r="K240" s="1">
        <v>42569</v>
      </c>
      <c r="L240">
        <v>3.3010437877975862E-2</v>
      </c>
      <c r="R240">
        <v>5.6557198128606156E-3</v>
      </c>
      <c r="S240">
        <v>3.8274159261917351E-3</v>
      </c>
      <c r="T240">
        <v>1.3407563032298286E-2</v>
      </c>
      <c r="U240">
        <v>1.2621282467211614E-2</v>
      </c>
      <c r="V240">
        <v>1.72695767305453E-3</v>
      </c>
      <c r="W240">
        <v>2.6789676195603462E-2</v>
      </c>
    </row>
    <row r="241" spans="1:23" x14ac:dyDescent="0.2">
      <c r="A241" s="1">
        <v>41254</v>
      </c>
      <c r="B241">
        <v>2</v>
      </c>
      <c r="C241" t="s">
        <v>11</v>
      </c>
      <c r="D241">
        <v>-4.078E-3</v>
      </c>
      <c r="E241">
        <f t="shared" si="6"/>
        <v>0.99592199999999997</v>
      </c>
      <c r="F241" s="1">
        <f t="shared" si="7"/>
        <v>41253</v>
      </c>
      <c r="G241" cm="1">
        <f t="array" ref="G241">PRODUCT( _xlfn._xlws.FILTER($E:$E, ($C:$C=C241)*($F:$F=F241)) ) - 1</f>
        <v>-1.2461916559502573E-2</v>
      </c>
      <c r="J241" t="str">
        <v>CNR</v>
      </c>
      <c r="K241" s="1">
        <v>42576</v>
      </c>
      <c r="L241">
        <v>-5.6470940000494796E-3</v>
      </c>
      <c r="R241">
        <v>2.3018251254099287E-2</v>
      </c>
      <c r="S241">
        <v>1.3610769566864356E-2</v>
      </c>
      <c r="T241">
        <v>3.4682069446640096E-2</v>
      </c>
      <c r="U241">
        <v>4.0579835983595824E-2</v>
      </c>
      <c r="V241">
        <v>2.3891833400686568E-2</v>
      </c>
      <c r="W241">
        <v>1.7920715491988037E-2</v>
      </c>
    </row>
    <row r="242" spans="1:23" x14ac:dyDescent="0.2">
      <c r="A242" s="1">
        <v>41255</v>
      </c>
      <c r="B242">
        <v>2</v>
      </c>
      <c r="C242" t="s">
        <v>11</v>
      </c>
      <c r="D242">
        <v>-4.8690000000000001E-3</v>
      </c>
      <c r="E242">
        <f t="shared" si="6"/>
        <v>0.99513099999999999</v>
      </c>
      <c r="F242" s="1">
        <f t="shared" si="7"/>
        <v>41253</v>
      </c>
      <c r="G242" cm="1">
        <f t="array" ref="G242">PRODUCT( _xlfn._xlws.FILTER($E:$E, ($C:$C=C242)*($F:$F=F242)) ) - 1</f>
        <v>-1.2461916559502573E-2</v>
      </c>
      <c r="J242" t="str">
        <v>CNR</v>
      </c>
      <c r="K242" s="1">
        <v>42583</v>
      </c>
      <c r="L242">
        <v>-1.4860424730142596E-2</v>
      </c>
      <c r="R242">
        <v>-8.054246603518167E-3</v>
      </c>
      <c r="S242">
        <v>3.9058077664844149E-3</v>
      </c>
      <c r="T242">
        <v>-1.6013735127774376E-2</v>
      </c>
      <c r="U242">
        <v>-2.2338493772777746E-4</v>
      </c>
      <c r="V242">
        <v>1.2026178841586521E-3</v>
      </c>
      <c r="W242">
        <v>-6.3520860148494895E-3</v>
      </c>
    </row>
    <row r="243" spans="1:23" x14ac:dyDescent="0.2">
      <c r="A243" s="1">
        <v>41256</v>
      </c>
      <c r="B243">
        <v>2</v>
      </c>
      <c r="C243" t="s">
        <v>11</v>
      </c>
      <c r="D243">
        <v>1.668E-3</v>
      </c>
      <c r="E243">
        <f t="shared" si="6"/>
        <v>1.001668</v>
      </c>
      <c r="F243" s="1">
        <f t="shared" si="7"/>
        <v>41253</v>
      </c>
      <c r="G243" cm="1">
        <f t="array" ref="G243">PRODUCT( _xlfn._xlws.FILTER($E:$E, ($C:$C=C243)*($F:$F=F243)) ) - 1</f>
        <v>-1.2461916559502573E-2</v>
      </c>
      <c r="J243" t="str">
        <v>CNR</v>
      </c>
      <c r="K243" s="1">
        <v>42590</v>
      </c>
      <c r="L243">
        <v>3.188991787962614E-3</v>
      </c>
      <c r="R243">
        <v>-2.2743547411007703E-2</v>
      </c>
      <c r="S243">
        <v>1.7996105675277763E-2</v>
      </c>
      <c r="T243">
        <v>-8.7054926852377923E-3</v>
      </c>
      <c r="U243">
        <v>-3.4268971884844568E-2</v>
      </c>
      <c r="V243">
        <v>-1.404894597272266E-2</v>
      </c>
      <c r="W243">
        <v>-2.3012605628738192E-2</v>
      </c>
    </row>
    <row r="244" spans="1:23" x14ac:dyDescent="0.2">
      <c r="A244" s="1">
        <v>41257</v>
      </c>
      <c r="B244">
        <v>2</v>
      </c>
      <c r="C244" t="s">
        <v>11</v>
      </c>
      <c r="D244">
        <v>-5.8840000000000003E-3</v>
      </c>
      <c r="E244">
        <f t="shared" si="6"/>
        <v>0.994116</v>
      </c>
      <c r="F244" s="1">
        <f t="shared" si="7"/>
        <v>41253</v>
      </c>
      <c r="G244" cm="1">
        <f t="array" ref="G244">PRODUCT( _xlfn._xlws.FILTER($E:$E, ($C:$C=C244)*($F:$F=F244)) ) - 1</f>
        <v>-1.2461916559502573E-2</v>
      </c>
      <c r="J244" t="str">
        <v>CNR</v>
      </c>
      <c r="K244" s="1">
        <v>42597</v>
      </c>
      <c r="L244">
        <v>1.8826230912802444E-2</v>
      </c>
      <c r="R244">
        <v>-4.5063355196417465E-3</v>
      </c>
      <c r="S244">
        <v>-6.2110762949777465E-3</v>
      </c>
      <c r="T244">
        <v>-1.2346649035855917E-2</v>
      </c>
      <c r="U244">
        <v>-1.1638395086220887E-3</v>
      </c>
      <c r="V244">
        <v>1.9713504638884993E-2</v>
      </c>
      <c r="W244">
        <v>-1.2899464030424523E-2</v>
      </c>
    </row>
    <row r="245" spans="1:23" x14ac:dyDescent="0.2">
      <c r="A245" s="1">
        <v>41260</v>
      </c>
      <c r="B245">
        <v>2</v>
      </c>
      <c r="C245" t="s">
        <v>11</v>
      </c>
      <c r="D245">
        <v>4.8019999999999998E-3</v>
      </c>
      <c r="E245">
        <f t="shared" si="6"/>
        <v>1.004802</v>
      </c>
      <c r="F245" s="1">
        <f t="shared" si="7"/>
        <v>41260</v>
      </c>
      <c r="G245" cm="1">
        <f t="array" ref="G245">PRODUCT( _xlfn._xlws.FILTER($E:$E, ($C:$C=C245)*($F:$F=F245)) ) - 1</f>
        <v>1.1838114553744727E-2</v>
      </c>
      <c r="J245" t="str">
        <v>CNR</v>
      </c>
      <c r="K245" s="1">
        <v>42604</v>
      </c>
      <c r="L245">
        <v>1.5597992188033372E-2</v>
      </c>
      <c r="R245">
        <v>-1.3845155027584211E-2</v>
      </c>
      <c r="S245">
        <v>2.3076729501175341E-2</v>
      </c>
      <c r="T245">
        <v>-5.0256429085743237E-3</v>
      </c>
      <c r="U245">
        <v>1.4851676989444895E-2</v>
      </c>
      <c r="V245">
        <v>-1.0633283300020113E-2</v>
      </c>
      <c r="W245">
        <v>-1.4772365473884164E-2</v>
      </c>
    </row>
    <row r="246" spans="1:23" x14ac:dyDescent="0.2">
      <c r="A246" s="1">
        <v>41261</v>
      </c>
      <c r="B246">
        <v>2</v>
      </c>
      <c r="C246" t="s">
        <v>11</v>
      </c>
      <c r="D246">
        <v>1.0559000000000001E-2</v>
      </c>
      <c r="E246">
        <f t="shared" si="6"/>
        <v>1.010559</v>
      </c>
      <c r="F246" s="1">
        <f t="shared" si="7"/>
        <v>41260</v>
      </c>
      <c r="G246" cm="1">
        <f t="array" ref="G246">PRODUCT( _xlfn._xlws.FILTER($E:$E, ($C:$C=C246)*($F:$F=F246)) ) - 1</f>
        <v>1.1838114553744727E-2</v>
      </c>
      <c r="J246" t="str">
        <v>CNR</v>
      </c>
      <c r="K246" s="1">
        <v>42611</v>
      </c>
      <c r="L246">
        <v>5.3166396080250866E-3</v>
      </c>
      <c r="R246">
        <v>2.9832163604377016E-2</v>
      </c>
      <c r="S246">
        <v>2.6081314220847585E-2</v>
      </c>
      <c r="T246">
        <v>-1.1267457508186141E-2</v>
      </c>
      <c r="U246">
        <v>2.8407064897411738E-2</v>
      </c>
      <c r="V246">
        <v>1.6121356763388217E-2</v>
      </c>
      <c r="W246">
        <v>4.8052867005237143E-3</v>
      </c>
    </row>
    <row r="247" spans="1:23" x14ac:dyDescent="0.2">
      <c r="A247" s="1">
        <v>41262</v>
      </c>
      <c r="B247">
        <v>2</v>
      </c>
      <c r="C247" t="s">
        <v>11</v>
      </c>
      <c r="D247">
        <v>-5.4990000000000004E-3</v>
      </c>
      <c r="E247">
        <f t="shared" si="6"/>
        <v>0.99450099999999997</v>
      </c>
      <c r="F247" s="1">
        <f t="shared" si="7"/>
        <v>41260</v>
      </c>
      <c r="G247" cm="1">
        <f t="array" ref="G247">PRODUCT( _xlfn._xlws.FILTER($E:$E, ($C:$C=C247)*($F:$F=F247)) ) - 1</f>
        <v>1.1838114553744727E-2</v>
      </c>
      <c r="J247" t="str">
        <v>CNR</v>
      </c>
      <c r="K247" s="1">
        <v>42618</v>
      </c>
      <c r="L247">
        <v>-4.2162605302662803E-2</v>
      </c>
      <c r="R247">
        <v>2.385641428235874E-2</v>
      </c>
      <c r="S247">
        <v>3.2060583280990596E-3</v>
      </c>
      <c r="T247">
        <v>1.3230161856962352E-2</v>
      </c>
      <c r="U247">
        <v>1.2277037774720556E-2</v>
      </c>
      <c r="V247">
        <v>2.932747559711113E-2</v>
      </c>
      <c r="W247">
        <v>1.9130441449607627E-2</v>
      </c>
    </row>
    <row r="248" spans="1:23" x14ac:dyDescent="0.2">
      <c r="A248" s="1">
        <v>41263</v>
      </c>
      <c r="B248">
        <v>2</v>
      </c>
      <c r="C248" t="s">
        <v>11</v>
      </c>
      <c r="D248">
        <v>2.5439999999999998E-3</v>
      </c>
      <c r="E248">
        <f t="shared" si="6"/>
        <v>1.0025440000000001</v>
      </c>
      <c r="F248" s="1">
        <f t="shared" si="7"/>
        <v>41260</v>
      </c>
      <c r="G248" cm="1">
        <f t="array" ref="G248">PRODUCT( _xlfn._xlws.FILTER($E:$E, ($C:$C=C248)*($F:$F=F248)) ) - 1</f>
        <v>1.1838114553744727E-2</v>
      </c>
      <c r="J248" t="str">
        <v>CNR</v>
      </c>
      <c r="K248" s="1">
        <v>42625</v>
      </c>
      <c r="L248">
        <v>2.501777781279424E-2</v>
      </c>
      <c r="R248">
        <v>3.1622163259492186E-2</v>
      </c>
      <c r="S248">
        <v>-1.1641760836391901E-2</v>
      </c>
      <c r="T248">
        <v>3.5551980589818566E-2</v>
      </c>
      <c r="U248">
        <v>-5.5128302689169129E-3</v>
      </c>
      <c r="V248">
        <v>3.503683092844101E-3</v>
      </c>
      <c r="W248">
        <v>4.1486133649539791E-2</v>
      </c>
    </row>
    <row r="249" spans="1:23" x14ac:dyDescent="0.2">
      <c r="A249" s="1">
        <v>41264</v>
      </c>
      <c r="B249">
        <v>2</v>
      </c>
      <c r="C249" t="s">
        <v>11</v>
      </c>
      <c r="D249">
        <v>-5.5199999999999997E-4</v>
      </c>
      <c r="E249">
        <f t="shared" si="6"/>
        <v>0.999448</v>
      </c>
      <c r="F249" s="1">
        <f t="shared" si="7"/>
        <v>41260</v>
      </c>
      <c r="G249" cm="1">
        <f t="array" ref="G249">PRODUCT( _xlfn._xlws.FILTER($E:$E, ($C:$C=C249)*($F:$F=F249)) ) - 1</f>
        <v>1.1838114553744727E-2</v>
      </c>
      <c r="J249" t="str">
        <v>CNR</v>
      </c>
      <c r="K249" s="1">
        <v>42632</v>
      </c>
      <c r="L249">
        <v>1.5510095913319866E-2</v>
      </c>
      <c r="R249">
        <v>3.3010437877975862E-2</v>
      </c>
      <c r="S249">
        <v>1.6859445276047547E-2</v>
      </c>
      <c r="T249">
        <v>3.869193719977515E-3</v>
      </c>
      <c r="U249">
        <v>-2.2169701275603915E-3</v>
      </c>
      <c r="V249">
        <v>2.3038743422758579E-2</v>
      </c>
      <c r="W249">
        <v>2.9019526819662467E-2</v>
      </c>
    </row>
    <row r="250" spans="1:23" x14ac:dyDescent="0.2">
      <c r="A250" s="1">
        <v>41267</v>
      </c>
      <c r="B250">
        <v>2</v>
      </c>
      <c r="C250" t="s">
        <v>11</v>
      </c>
      <c r="D250">
        <v>-1.3240000000000001E-3</v>
      </c>
      <c r="E250">
        <f t="shared" si="6"/>
        <v>0.99867600000000001</v>
      </c>
      <c r="F250" s="1">
        <f t="shared" si="7"/>
        <v>41267</v>
      </c>
      <c r="G250" cm="1">
        <f t="array" ref="G250">PRODUCT( _xlfn._xlws.FILTER($E:$E, ($C:$C=C250)*($F:$F=F250)) ) - 1</f>
        <v>-7.06343429855949E-3</v>
      </c>
      <c r="J250" t="str">
        <v>CNR</v>
      </c>
      <c r="K250" s="1">
        <v>42639</v>
      </c>
      <c r="L250">
        <v>1.5392135917374317E-2</v>
      </c>
      <c r="R250">
        <v>-5.6470940000494796E-3</v>
      </c>
      <c r="S250">
        <v>-1.7715370207506353E-2</v>
      </c>
      <c r="T250">
        <v>-1.270516006716127E-4</v>
      </c>
      <c r="U250">
        <v>-2.3889626678576525E-2</v>
      </c>
      <c r="V250">
        <v>-6.1421069670650752E-3</v>
      </c>
      <c r="W250">
        <v>-3.6432910723626422E-2</v>
      </c>
    </row>
    <row r="251" spans="1:23" x14ac:dyDescent="0.2">
      <c r="A251" s="1">
        <v>41270</v>
      </c>
      <c r="B251">
        <v>2</v>
      </c>
      <c r="C251" t="s">
        <v>11</v>
      </c>
      <c r="D251">
        <v>7.7399999999999995E-4</v>
      </c>
      <c r="E251">
        <f t="shared" si="6"/>
        <v>1.0007740000000001</v>
      </c>
      <c r="F251" s="1">
        <f t="shared" si="7"/>
        <v>41267</v>
      </c>
      <c r="G251" cm="1">
        <f t="array" ref="G251">PRODUCT( _xlfn._xlws.FILTER($E:$E, ($C:$C=C251)*($F:$F=F251)) ) - 1</f>
        <v>-7.06343429855949E-3</v>
      </c>
      <c r="J251" t="str">
        <v>CNR</v>
      </c>
      <c r="K251" s="1">
        <v>42646</v>
      </c>
      <c r="L251">
        <v>2.9267832528649507E-2</v>
      </c>
      <c r="R251">
        <v>-1.4860424730142596E-2</v>
      </c>
      <c r="S251">
        <v>-6.9413610161017658E-4</v>
      </c>
      <c r="T251">
        <v>-1.6331790244596966E-3</v>
      </c>
      <c r="U251">
        <v>-3.1293098643532247E-3</v>
      </c>
      <c r="V251">
        <v>-5.4929607697997707E-3</v>
      </c>
      <c r="W251">
        <v>-1.2542721811092394E-2</v>
      </c>
    </row>
    <row r="252" spans="1:23" x14ac:dyDescent="0.2">
      <c r="A252" s="1">
        <v>41271</v>
      </c>
      <c r="B252">
        <v>2</v>
      </c>
      <c r="C252" t="s">
        <v>11</v>
      </c>
      <c r="D252">
        <v>-6.5160000000000001E-3</v>
      </c>
      <c r="E252">
        <f t="shared" si="6"/>
        <v>0.99348400000000003</v>
      </c>
      <c r="F252" s="1">
        <f t="shared" si="7"/>
        <v>41267</v>
      </c>
      <c r="G252" cm="1">
        <f t="array" ref="G252">PRODUCT( _xlfn._xlws.FILTER($E:$E, ($C:$C=C252)*($F:$F=F252)) ) - 1</f>
        <v>-7.06343429855949E-3</v>
      </c>
      <c r="J252" t="str">
        <v>CNR</v>
      </c>
      <c r="K252" s="1">
        <v>42653</v>
      </c>
      <c r="L252">
        <v>-1.2688296607810234E-2</v>
      </c>
      <c r="R252">
        <v>3.188991787962614E-3</v>
      </c>
      <c r="S252">
        <v>-1.3882764303395634E-3</v>
      </c>
      <c r="T252">
        <v>8.6832227390365446E-3</v>
      </c>
      <c r="U252">
        <v>4.0537813476942075E-2</v>
      </c>
      <c r="V252">
        <v>5.293101262440647E-3</v>
      </c>
      <c r="W252">
        <v>3.6819673846189005E-4</v>
      </c>
    </row>
    <row r="253" spans="1:23" x14ac:dyDescent="0.2">
      <c r="A253" s="1">
        <v>41274</v>
      </c>
      <c r="B253">
        <v>2</v>
      </c>
      <c r="C253" t="s">
        <v>11</v>
      </c>
      <c r="D253">
        <v>4.1130000000000003E-3</v>
      </c>
      <c r="E253">
        <f t="shared" si="6"/>
        <v>1.004113</v>
      </c>
      <c r="F253" s="1">
        <f t="shared" si="7"/>
        <v>41274</v>
      </c>
      <c r="G253" cm="1">
        <f t="array" ref="G253">PRODUCT( _xlfn._xlws.FILTER($E:$E, ($C:$C=C253)*($F:$F=F253)) ) - 1</f>
        <v>6.7812195264860264E-3</v>
      </c>
      <c r="J253" t="str">
        <v>CNR</v>
      </c>
      <c r="K253" s="1">
        <v>42660</v>
      </c>
      <c r="L253">
        <v>2.9835634723898163E-3</v>
      </c>
      <c r="R253">
        <v>1.8826230912802444E-2</v>
      </c>
      <c r="S253">
        <v>3.8887875246123027E-3</v>
      </c>
      <c r="T253">
        <v>1.0106371985720841E-2</v>
      </c>
      <c r="U253">
        <v>2.7433263210576708E-3</v>
      </c>
      <c r="V253">
        <v>-1.2133420638558379E-2</v>
      </c>
      <c r="W253">
        <v>-7.5329487244950588E-3</v>
      </c>
    </row>
    <row r="254" spans="1:23" x14ac:dyDescent="0.2">
      <c r="A254" s="1">
        <v>41276</v>
      </c>
      <c r="B254">
        <v>2</v>
      </c>
      <c r="C254" t="s">
        <v>11</v>
      </c>
      <c r="D254">
        <v>4.8710000000000003E-3</v>
      </c>
      <c r="E254">
        <f t="shared" si="6"/>
        <v>1.0048710000000001</v>
      </c>
      <c r="F254" s="1">
        <f t="shared" si="7"/>
        <v>41274</v>
      </c>
      <c r="G254" cm="1">
        <f t="array" ref="G254">PRODUCT( _xlfn._xlws.FILTER($E:$E, ($C:$C=C254)*($F:$F=F254)) ) - 1</f>
        <v>6.7812195264860264E-3</v>
      </c>
      <c r="J254" t="str">
        <v>CNR</v>
      </c>
      <c r="K254" s="1">
        <v>42667</v>
      </c>
      <c r="L254">
        <v>-3.3862931405219565E-2</v>
      </c>
      <c r="R254">
        <v>1.5597992188033372E-2</v>
      </c>
      <c r="S254">
        <v>-1.6995978624714803E-2</v>
      </c>
      <c r="T254">
        <v>7.163886282907983E-3</v>
      </c>
      <c r="U254">
        <v>-1.9161581478924772E-3</v>
      </c>
      <c r="V254">
        <v>-1.1590280542372877E-3</v>
      </c>
      <c r="W254">
        <v>7.8514429065599245E-3</v>
      </c>
    </row>
    <row r="255" spans="1:23" x14ac:dyDescent="0.2">
      <c r="A255" s="1">
        <v>41277</v>
      </c>
      <c r="B255">
        <v>2</v>
      </c>
      <c r="C255" t="s">
        <v>11</v>
      </c>
      <c r="D255">
        <v>-1.542E-3</v>
      </c>
      <c r="E255">
        <f t="shared" si="6"/>
        <v>0.99845799999999996</v>
      </c>
      <c r="F255" s="1">
        <f t="shared" si="7"/>
        <v>41274</v>
      </c>
      <c r="G255" cm="1">
        <f t="array" ref="G255">PRODUCT( _xlfn._xlws.FILTER($E:$E, ($C:$C=C255)*($F:$F=F255)) ) - 1</f>
        <v>6.7812195264860264E-3</v>
      </c>
      <c r="J255" t="str">
        <v>CNR</v>
      </c>
      <c r="K255" s="1">
        <v>42674</v>
      </c>
      <c r="L255">
        <v>-1.6577498400169866E-2</v>
      </c>
      <c r="R255">
        <v>5.3166396080250866E-3</v>
      </c>
      <c r="S255">
        <v>-1.0658043092847569E-2</v>
      </c>
      <c r="T255">
        <v>-4.9186155825065025E-4</v>
      </c>
      <c r="U255">
        <v>-1.5253246123098196E-2</v>
      </c>
      <c r="V255">
        <v>1.9025232298690131E-2</v>
      </c>
      <c r="W255">
        <v>2.1146359960955818E-2</v>
      </c>
    </row>
    <row r="256" spans="1:23" x14ac:dyDescent="0.2">
      <c r="A256" s="1">
        <v>41278</v>
      </c>
      <c r="B256">
        <v>2</v>
      </c>
      <c r="C256" t="s">
        <v>11</v>
      </c>
      <c r="D256">
        <v>-6.6200000000000005E-4</v>
      </c>
      <c r="E256">
        <f t="shared" si="6"/>
        <v>0.99933799999999995</v>
      </c>
      <c r="F256" s="1">
        <f t="shared" si="7"/>
        <v>41274</v>
      </c>
      <c r="G256" cm="1">
        <f t="array" ref="G256">PRODUCT( _xlfn._xlws.FILTER($E:$E, ($C:$C=C256)*($F:$F=F256)) ) - 1</f>
        <v>6.7812195264860264E-3</v>
      </c>
      <c r="J256" t="str">
        <v>CNR</v>
      </c>
      <c r="K256" s="1">
        <v>42681</v>
      </c>
      <c r="L256">
        <v>3.1547366637378227E-2</v>
      </c>
      <c r="R256">
        <v>-4.2162605302662803E-2</v>
      </c>
      <c r="S256">
        <v>-2.0111384089920414E-2</v>
      </c>
      <c r="T256">
        <v>-9.569877488805445E-3</v>
      </c>
      <c r="U256">
        <v>-1.6279518444300978E-2</v>
      </c>
      <c r="V256">
        <v>-3.2769513395765171E-2</v>
      </c>
      <c r="W256">
        <v>-3.6512651840433397E-2</v>
      </c>
    </row>
    <row r="257" spans="1:23" x14ac:dyDescent="0.2">
      <c r="A257" s="1">
        <v>41281</v>
      </c>
      <c r="B257">
        <v>2</v>
      </c>
      <c r="C257" t="s">
        <v>11</v>
      </c>
      <c r="D257">
        <v>8.83E-4</v>
      </c>
      <c r="E257">
        <f t="shared" si="6"/>
        <v>1.000883</v>
      </c>
      <c r="F257" s="1">
        <f t="shared" si="7"/>
        <v>41281</v>
      </c>
      <c r="G257" cm="1">
        <f t="array" ref="G257">PRODUCT( _xlfn._xlws.FILTER($E:$E, ($C:$C=C257)*($F:$F=F257)) ) - 1</f>
        <v>2.4180122342576826E-2</v>
      </c>
      <c r="J257" t="str">
        <v>CNR</v>
      </c>
      <c r="K257" s="1">
        <v>42688</v>
      </c>
      <c r="L257">
        <v>1.5525451522113487E-2</v>
      </c>
      <c r="R257">
        <v>2.501777781279424E-2</v>
      </c>
      <c r="S257">
        <v>1.5637045500220381E-2</v>
      </c>
      <c r="T257">
        <v>4.9503788236382462E-4</v>
      </c>
      <c r="U257">
        <v>-2.2824993431869167E-2</v>
      </c>
      <c r="V257">
        <v>-4.3537559635264955E-7</v>
      </c>
      <c r="W257">
        <v>3.2994189274554442E-2</v>
      </c>
    </row>
    <row r="258" spans="1:23" x14ac:dyDescent="0.2">
      <c r="A258" s="1">
        <v>41282</v>
      </c>
      <c r="B258">
        <v>2</v>
      </c>
      <c r="C258" t="s">
        <v>11</v>
      </c>
      <c r="D258">
        <v>2.0960000000000002E-3</v>
      </c>
      <c r="E258">
        <f t="shared" si="6"/>
        <v>1.0020960000000001</v>
      </c>
      <c r="F258" s="1">
        <f t="shared" si="7"/>
        <v>41281</v>
      </c>
      <c r="G258" cm="1">
        <f t="array" ref="G258">PRODUCT( _xlfn._xlws.FILTER($E:$E, ($C:$C=C258)*($F:$F=F258)) ) - 1</f>
        <v>2.4180122342576826E-2</v>
      </c>
      <c r="J258" t="str">
        <v>CNR</v>
      </c>
      <c r="K258" s="1">
        <v>42695</v>
      </c>
      <c r="L258">
        <v>3.6780434063999889E-2</v>
      </c>
      <c r="R258">
        <v>1.5510095913319866E-2</v>
      </c>
      <c r="S258">
        <v>1.9485720891602387E-2</v>
      </c>
      <c r="T258">
        <v>7.925140949966325E-3</v>
      </c>
      <c r="U258">
        <v>1.7517603321081987E-2</v>
      </c>
      <c r="V258">
        <v>2.1176389114542227E-2</v>
      </c>
      <c r="W258">
        <v>-5.6577039658382011E-3</v>
      </c>
    </row>
    <row r="259" spans="1:23" x14ac:dyDescent="0.2">
      <c r="A259" s="1">
        <v>41283</v>
      </c>
      <c r="B259">
        <v>2</v>
      </c>
      <c r="C259" t="s">
        <v>11</v>
      </c>
      <c r="D259">
        <v>5.3940000000000004E-3</v>
      </c>
      <c r="E259">
        <f t="shared" si="6"/>
        <v>1.0053939999999999</v>
      </c>
      <c r="F259" s="1">
        <f t="shared" si="7"/>
        <v>41281</v>
      </c>
      <c r="G259" cm="1">
        <f t="array" ref="G259">PRODUCT( _xlfn._xlws.FILTER($E:$E, ($C:$C=C259)*($F:$F=F259)) ) - 1</f>
        <v>2.4180122342576826E-2</v>
      </c>
      <c r="J259" t="str">
        <v>CNR</v>
      </c>
      <c r="K259" s="1">
        <v>42702</v>
      </c>
      <c r="L259">
        <v>-6.6508452060233259E-3</v>
      </c>
      <c r="R259">
        <v>1.5392135917374317E-2</v>
      </c>
      <c r="S259">
        <v>-4.483122353634017E-3</v>
      </c>
      <c r="T259">
        <v>-1.7192213578760551E-3</v>
      </c>
      <c r="U259">
        <v>4.5050805624088808E-2</v>
      </c>
      <c r="V259">
        <v>8.6208553647402208E-3</v>
      </c>
      <c r="W259">
        <v>-4.2211991357681278E-3</v>
      </c>
    </row>
    <row r="260" spans="1:23" x14ac:dyDescent="0.2">
      <c r="A260" s="1">
        <v>41284</v>
      </c>
      <c r="B260">
        <v>2</v>
      </c>
      <c r="C260" t="s">
        <v>11</v>
      </c>
      <c r="D260">
        <v>7.8840000000000004E-3</v>
      </c>
      <c r="E260">
        <f t="shared" ref="E260:E323" si="8">D260+1</f>
        <v>1.007884</v>
      </c>
      <c r="F260" s="1">
        <f t="shared" ref="F260:F323" si="9">A260 - (WEEKDAY(A260, 2) - 1)</f>
        <v>41281</v>
      </c>
      <c r="G260" cm="1">
        <f t="array" ref="G260">PRODUCT( _xlfn._xlws.FILTER($E:$E, ($C:$C=C260)*($F:$F=F260)) ) - 1</f>
        <v>2.4180122342576826E-2</v>
      </c>
      <c r="J260" t="str">
        <v>CNR</v>
      </c>
      <c r="K260" s="1">
        <v>42709</v>
      </c>
      <c r="L260">
        <v>2.6959787008868474E-2</v>
      </c>
      <c r="R260">
        <v>2.9267832528649507E-2</v>
      </c>
      <c r="S260">
        <v>-3.9345347316958046E-2</v>
      </c>
      <c r="T260">
        <v>7.8765225577623887E-3</v>
      </c>
      <c r="U260">
        <v>1.2630436334957418E-2</v>
      </c>
      <c r="V260">
        <v>-2.2869765082562776E-2</v>
      </c>
      <c r="W260">
        <v>-8.1098888809461034E-3</v>
      </c>
    </row>
    <row r="261" spans="1:23" x14ac:dyDescent="0.2">
      <c r="A261" s="1">
        <v>41285</v>
      </c>
      <c r="B261">
        <v>2</v>
      </c>
      <c r="C261" t="s">
        <v>11</v>
      </c>
      <c r="D261">
        <v>7.7130000000000002E-3</v>
      </c>
      <c r="E261">
        <f t="shared" si="8"/>
        <v>1.0077130000000001</v>
      </c>
      <c r="F261" s="1">
        <f t="shared" si="9"/>
        <v>41281</v>
      </c>
      <c r="G261" cm="1">
        <f t="array" ref="G261">PRODUCT( _xlfn._xlws.FILTER($E:$E, ($C:$C=C261)*($F:$F=F261)) ) - 1</f>
        <v>2.4180122342576826E-2</v>
      </c>
      <c r="J261" t="str">
        <v>CNR</v>
      </c>
      <c r="K261" s="1">
        <v>42716</v>
      </c>
      <c r="L261">
        <v>-2.3242501847850705E-2</v>
      </c>
      <c r="R261">
        <v>-1.2688296607810234E-2</v>
      </c>
      <c r="S261">
        <v>3.5035958957470914E-2</v>
      </c>
      <c r="T261">
        <v>8.6681567646618163E-3</v>
      </c>
      <c r="U261">
        <v>1.35576793175749E-2</v>
      </c>
      <c r="V261">
        <v>9.6938607824752498E-3</v>
      </c>
      <c r="W261">
        <v>-2.7875748524642807E-2</v>
      </c>
    </row>
    <row r="262" spans="1:23" x14ac:dyDescent="0.2">
      <c r="A262" s="1">
        <v>41288</v>
      </c>
      <c r="B262">
        <v>2</v>
      </c>
      <c r="C262" t="s">
        <v>11</v>
      </c>
      <c r="D262">
        <v>2.8029999999999999E-3</v>
      </c>
      <c r="E262">
        <f t="shared" si="8"/>
        <v>1.0028030000000001</v>
      </c>
      <c r="F262" s="1">
        <f t="shared" si="9"/>
        <v>41288</v>
      </c>
      <c r="G262" cm="1">
        <f t="array" ref="G262">PRODUCT( _xlfn._xlws.FILTER($E:$E, ($C:$C=C262)*($F:$F=F262)) ) - 1</f>
        <v>1.8973651772589584E-2</v>
      </c>
      <c r="J262" t="str">
        <v>CNR</v>
      </c>
      <c r="K262" s="1">
        <v>42723</v>
      </c>
      <c r="L262">
        <v>2.2455825593959533E-2</v>
      </c>
      <c r="R262">
        <v>2.9835634723898163E-3</v>
      </c>
      <c r="S262">
        <v>1.9547164113170146E-2</v>
      </c>
      <c r="T262">
        <v>2.2877685182125518E-2</v>
      </c>
      <c r="U262">
        <v>4.8422141680770636E-2</v>
      </c>
      <c r="V262">
        <v>4.9164168693911492E-3</v>
      </c>
      <c r="W262">
        <v>1.2617572179212111E-2</v>
      </c>
    </row>
    <row r="263" spans="1:23" x14ac:dyDescent="0.2">
      <c r="A263" s="1">
        <v>41289</v>
      </c>
      <c r="B263">
        <v>2</v>
      </c>
      <c r="C263" t="s">
        <v>11</v>
      </c>
      <c r="D263">
        <v>6.5579999999999996E-3</v>
      </c>
      <c r="E263">
        <f t="shared" si="8"/>
        <v>1.0065580000000001</v>
      </c>
      <c r="F263" s="1">
        <f t="shared" si="9"/>
        <v>41288</v>
      </c>
      <c r="G263" cm="1">
        <f t="array" ref="G263">PRODUCT( _xlfn._xlws.FILTER($E:$E, ($C:$C=C263)*($F:$F=F263)) ) - 1</f>
        <v>1.8973651772589584E-2</v>
      </c>
      <c r="J263" t="str">
        <v>CNR</v>
      </c>
      <c r="K263" s="1">
        <v>42730</v>
      </c>
      <c r="L263">
        <v>-1.2674727677101205E-2</v>
      </c>
      <c r="R263">
        <v>-3.3862931405219565E-2</v>
      </c>
      <c r="S263">
        <v>2.2445152172281491E-2</v>
      </c>
      <c r="T263">
        <v>5.8245300150727708E-4</v>
      </c>
      <c r="U263">
        <v>5.3585439186142114E-2</v>
      </c>
      <c r="V263">
        <v>8.154592563452745E-3</v>
      </c>
      <c r="W263">
        <v>-1.5111485886105669E-3</v>
      </c>
    </row>
    <row r="264" spans="1:23" x14ac:dyDescent="0.2">
      <c r="A264" s="1">
        <v>41290</v>
      </c>
      <c r="B264">
        <v>2</v>
      </c>
      <c r="C264" t="s">
        <v>11</v>
      </c>
      <c r="D264">
        <v>3.8449999999999999E-3</v>
      </c>
      <c r="E264">
        <f t="shared" si="8"/>
        <v>1.0038450000000001</v>
      </c>
      <c r="F264" s="1">
        <f t="shared" si="9"/>
        <v>41288</v>
      </c>
      <c r="G264" cm="1">
        <f t="array" ref="G264">PRODUCT( _xlfn._xlws.FILTER($E:$E, ($C:$C=C264)*($F:$F=F264)) ) - 1</f>
        <v>1.8973651772589584E-2</v>
      </c>
      <c r="J264" t="str">
        <v>FTS</v>
      </c>
      <c r="K264" s="1">
        <v>40910</v>
      </c>
      <c r="L264">
        <v>-1.1986274411430409E-2</v>
      </c>
      <c r="R264">
        <v>-1.6577498400169866E-2</v>
      </c>
      <c r="S264">
        <v>-8.6909795421127312E-3</v>
      </c>
      <c r="T264">
        <v>-1.9827654862517474E-2</v>
      </c>
      <c r="U264">
        <v>-5.2312922488204627E-2</v>
      </c>
      <c r="V264">
        <v>-2.0104963442076684E-2</v>
      </c>
      <c r="W264">
        <v>3.6112208361177123E-2</v>
      </c>
    </row>
    <row r="265" spans="1:23" x14ac:dyDescent="0.2">
      <c r="A265" s="1">
        <v>41291</v>
      </c>
      <c r="B265">
        <v>2</v>
      </c>
      <c r="C265" t="s">
        <v>11</v>
      </c>
      <c r="D265">
        <v>-2.1280000000000001E-3</v>
      </c>
      <c r="E265">
        <f t="shared" si="8"/>
        <v>0.99787199999999998</v>
      </c>
      <c r="F265" s="1">
        <f t="shared" si="9"/>
        <v>41288</v>
      </c>
      <c r="G265" cm="1">
        <f t="array" ref="G265">PRODUCT( _xlfn._xlws.FILTER($E:$E, ($C:$C=C265)*($F:$F=F265)) ) - 1</f>
        <v>1.8973651772589584E-2</v>
      </c>
      <c r="J265" t="str">
        <v>FTS</v>
      </c>
      <c r="K265" s="1">
        <v>40917</v>
      </c>
      <c r="L265">
        <v>-5.4596118617219469E-3</v>
      </c>
      <c r="R265">
        <v>3.1547366637378227E-2</v>
      </c>
      <c r="S265">
        <v>-6.5282375208398191E-2</v>
      </c>
      <c r="T265">
        <v>4.7771081031280138E-2</v>
      </c>
      <c r="U265">
        <v>1.0221501672086131E-2</v>
      </c>
      <c r="V265">
        <v>-1.6509795483198086E-2</v>
      </c>
      <c r="W265">
        <v>2.4635467518449694E-2</v>
      </c>
    </row>
    <row r="266" spans="1:23" x14ac:dyDescent="0.2">
      <c r="A266" s="1">
        <v>41292</v>
      </c>
      <c r="B266">
        <v>2</v>
      </c>
      <c r="C266" t="s">
        <v>11</v>
      </c>
      <c r="D266">
        <v>7.783E-3</v>
      </c>
      <c r="E266">
        <f t="shared" si="8"/>
        <v>1.0077830000000001</v>
      </c>
      <c r="F266" s="1">
        <f t="shared" si="9"/>
        <v>41288</v>
      </c>
      <c r="G266" cm="1">
        <f t="array" ref="G266">PRODUCT( _xlfn._xlws.FILTER($E:$E, ($C:$C=C266)*($F:$F=F266)) ) - 1</f>
        <v>1.8973651772589584E-2</v>
      </c>
      <c r="J266" t="str">
        <v>FTS</v>
      </c>
      <c r="K266" s="1">
        <v>40924</v>
      </c>
      <c r="L266">
        <v>1.4943313492695731E-2</v>
      </c>
      <c r="R266">
        <v>1.5525451522113487E-2</v>
      </c>
      <c r="S266">
        <v>8.0681487804901142E-3</v>
      </c>
      <c r="T266">
        <v>1.5003328001310212E-2</v>
      </c>
      <c r="U266">
        <v>5.7677116217367042E-2</v>
      </c>
      <c r="V266">
        <v>3.1178151814241772E-3</v>
      </c>
      <c r="W266">
        <v>2.2910502952579126E-2</v>
      </c>
    </row>
    <row r="267" spans="1:23" x14ac:dyDescent="0.2">
      <c r="A267" s="1">
        <v>41295</v>
      </c>
      <c r="B267">
        <v>2</v>
      </c>
      <c r="C267" t="s">
        <v>11</v>
      </c>
      <c r="D267">
        <v>2.539E-3</v>
      </c>
      <c r="E267">
        <f t="shared" si="8"/>
        <v>1.0025390000000001</v>
      </c>
      <c r="F267" s="1">
        <f t="shared" si="9"/>
        <v>41295</v>
      </c>
      <c r="G267" cm="1">
        <f t="array" ref="G267">PRODUCT( _xlfn._xlws.FILTER($E:$E, ($C:$C=C267)*($F:$F=F267)) ) - 1</f>
        <v>1.0896515356600966E-2</v>
      </c>
      <c r="J267" t="str">
        <v>FTS</v>
      </c>
      <c r="K267" s="1">
        <v>40931</v>
      </c>
      <c r="L267">
        <v>1.8021941944219577E-3</v>
      </c>
      <c r="R267">
        <v>3.6780434063999889E-2</v>
      </c>
      <c r="S267">
        <v>3.7097360896420906E-3</v>
      </c>
      <c r="T267">
        <v>2.8188928043042516E-2</v>
      </c>
      <c r="U267">
        <v>3.5884296787829228E-3</v>
      </c>
      <c r="V267">
        <v>1.4582890822705696E-2</v>
      </c>
      <c r="W267">
        <v>1.8957764024270629E-2</v>
      </c>
    </row>
    <row r="268" spans="1:23" x14ac:dyDescent="0.2">
      <c r="A268" s="1">
        <v>41296</v>
      </c>
      <c r="B268">
        <v>2</v>
      </c>
      <c r="C268" t="s">
        <v>11</v>
      </c>
      <c r="D268">
        <v>-1.0448000000000001E-2</v>
      </c>
      <c r="E268">
        <f t="shared" si="8"/>
        <v>0.98955199999999999</v>
      </c>
      <c r="F268" s="1">
        <f t="shared" si="9"/>
        <v>41295</v>
      </c>
      <c r="G268" cm="1">
        <f t="array" ref="G268">PRODUCT( _xlfn._xlws.FILTER($E:$E, ($C:$C=C268)*($F:$F=F268)) ) - 1</f>
        <v>1.0896515356600966E-2</v>
      </c>
      <c r="J268" t="str">
        <v>FTS</v>
      </c>
      <c r="K268" s="1">
        <v>40938</v>
      </c>
      <c r="L268">
        <v>1.8295615278672628E-2</v>
      </c>
      <c r="R268">
        <v>-6.6508452060233259E-3</v>
      </c>
      <c r="S268">
        <v>-1.2071836115678858E-2</v>
      </c>
      <c r="T268">
        <v>-2.2290409449392312E-2</v>
      </c>
      <c r="U268">
        <v>2.7412635155487308E-2</v>
      </c>
      <c r="V268">
        <v>-8.247196867121942E-3</v>
      </c>
      <c r="W268">
        <v>-8.9576429621506248E-3</v>
      </c>
    </row>
    <row r="269" spans="1:23" x14ac:dyDescent="0.2">
      <c r="A269" s="1">
        <v>41297</v>
      </c>
      <c r="B269">
        <v>2</v>
      </c>
      <c r="C269" t="s">
        <v>11</v>
      </c>
      <c r="D269">
        <v>-1.3860000000000001E-3</v>
      </c>
      <c r="E269">
        <f t="shared" si="8"/>
        <v>0.998614</v>
      </c>
      <c r="F269" s="1">
        <f t="shared" si="9"/>
        <v>41295</v>
      </c>
      <c r="G269" cm="1">
        <f t="array" ref="G269">PRODUCT( _xlfn._xlws.FILTER($E:$E, ($C:$C=C269)*($F:$F=F269)) ) - 1</f>
        <v>1.0896515356600966E-2</v>
      </c>
      <c r="J269" t="str">
        <v>FTS</v>
      </c>
      <c r="K269" s="1">
        <v>40945</v>
      </c>
      <c r="L269">
        <v>-1.0014912342683258E-2</v>
      </c>
      <c r="R269">
        <v>2.6959787008868474E-2</v>
      </c>
      <c r="S269">
        <v>8.4789829944409423E-3</v>
      </c>
      <c r="T269">
        <v>2.9293774052674859E-2</v>
      </c>
      <c r="U269">
        <v>3.5020902061630999E-3</v>
      </c>
      <c r="V269">
        <v>2.1254127897932351E-2</v>
      </c>
      <c r="W269">
        <v>2.5552117273282215E-2</v>
      </c>
    </row>
    <row r="270" spans="1:23" x14ac:dyDescent="0.2">
      <c r="A270" s="1">
        <v>41298</v>
      </c>
      <c r="B270">
        <v>2</v>
      </c>
      <c r="C270" t="s">
        <v>11</v>
      </c>
      <c r="D270">
        <v>1.0252000000000001E-2</v>
      </c>
      <c r="E270">
        <f t="shared" si="8"/>
        <v>1.0102519999999999</v>
      </c>
      <c r="F270" s="1">
        <f t="shared" si="9"/>
        <v>41295</v>
      </c>
      <c r="G270" cm="1">
        <f t="array" ref="G270">PRODUCT( _xlfn._xlws.FILTER($E:$E, ($C:$C=C270)*($F:$F=F270)) ) - 1</f>
        <v>1.0896515356600966E-2</v>
      </c>
      <c r="J270" t="str">
        <v>FTS</v>
      </c>
      <c r="K270" s="1">
        <v>40952</v>
      </c>
      <c r="L270">
        <v>-1.3791177889500239E-2</v>
      </c>
      <c r="R270">
        <v>-2.3242501847850705E-2</v>
      </c>
      <c r="S270">
        <v>2.4728864579797172E-3</v>
      </c>
      <c r="T270">
        <v>1.4286549619746847E-2</v>
      </c>
      <c r="U270">
        <v>1.9082983435677825E-2</v>
      </c>
      <c r="V270">
        <v>3.5299314062238185E-3</v>
      </c>
      <c r="W270">
        <v>2.8810085731199031E-3</v>
      </c>
    </row>
    <row r="271" spans="1:23" x14ac:dyDescent="0.2">
      <c r="A271" s="1">
        <v>41299</v>
      </c>
      <c r="B271">
        <v>2</v>
      </c>
      <c r="C271" t="s">
        <v>11</v>
      </c>
      <c r="D271">
        <v>1.0042000000000001E-2</v>
      </c>
      <c r="E271">
        <f t="shared" si="8"/>
        <v>1.0100420000000001</v>
      </c>
      <c r="F271" s="1">
        <f t="shared" si="9"/>
        <v>41295</v>
      </c>
      <c r="G271" cm="1">
        <f t="array" ref="G271">PRODUCT( _xlfn._xlws.FILTER($E:$E, ($C:$C=C271)*($F:$F=F271)) ) - 1</f>
        <v>1.0896515356600966E-2</v>
      </c>
      <c r="J271" t="str">
        <v>FTS</v>
      </c>
      <c r="K271" s="1">
        <v>40959</v>
      </c>
      <c r="L271">
        <v>-2.4656822385980437E-2</v>
      </c>
      <c r="R271">
        <v>2.2455825593959533E-2</v>
      </c>
      <c r="S271">
        <v>2.3680507829471065E-2</v>
      </c>
      <c r="T271">
        <v>9.8252186081748683E-4</v>
      </c>
      <c r="U271">
        <v>1.3016915656821171E-2</v>
      </c>
      <c r="V271">
        <v>2.8136637186984004E-3</v>
      </c>
      <c r="W271">
        <v>4.7320653891078646E-3</v>
      </c>
    </row>
    <row r="272" spans="1:23" x14ac:dyDescent="0.2">
      <c r="A272" s="1">
        <v>41302</v>
      </c>
      <c r="B272">
        <v>2</v>
      </c>
      <c r="C272" t="s">
        <v>11</v>
      </c>
      <c r="D272">
        <v>-5.2300000000000003E-4</v>
      </c>
      <c r="E272">
        <f t="shared" si="8"/>
        <v>0.99947699999999995</v>
      </c>
      <c r="F272" s="1">
        <f t="shared" si="9"/>
        <v>41302</v>
      </c>
      <c r="G272" cm="1">
        <f t="array" ref="G272">PRODUCT( _xlfn._xlws.FILTER($E:$E, ($C:$C=C272)*($F:$F=F272)) ) - 1</f>
        <v>1.5707486495311063E-3</v>
      </c>
      <c r="J272" t="str">
        <v>FTS</v>
      </c>
      <c r="K272" s="1">
        <v>40966</v>
      </c>
      <c r="L272">
        <v>2.3409732097621649E-2</v>
      </c>
      <c r="R272">
        <v>-1.2674727677101205E-2</v>
      </c>
      <c r="S272">
        <v>-9.6310107266428524E-4</v>
      </c>
      <c r="T272">
        <v>-8.8341671123467469E-3</v>
      </c>
      <c r="U272">
        <v>-1.0370709386774424E-2</v>
      </c>
      <c r="V272">
        <v>-4.6763938484695178E-4</v>
      </c>
      <c r="W272">
        <v>-1.1607050467077773E-2</v>
      </c>
    </row>
    <row r="273" spans="1:12" x14ac:dyDescent="0.2">
      <c r="A273" s="1">
        <v>41303</v>
      </c>
      <c r="B273">
        <v>2</v>
      </c>
      <c r="C273" t="s">
        <v>11</v>
      </c>
      <c r="D273">
        <v>4.189E-3</v>
      </c>
      <c r="E273">
        <f t="shared" si="8"/>
        <v>1.004189</v>
      </c>
      <c r="F273" s="1">
        <f t="shared" si="9"/>
        <v>41302</v>
      </c>
      <c r="G273" cm="1">
        <f t="array" ref="G273">PRODUCT( _xlfn._xlws.FILTER($E:$E, ($C:$C=C273)*($F:$F=F273)) ) - 1</f>
        <v>1.5707486495311063E-3</v>
      </c>
      <c r="J273" t="str">
        <v>FTS</v>
      </c>
      <c r="K273" s="1">
        <v>40973</v>
      </c>
      <c r="L273">
        <v>-1.0674714551777931E-2</v>
      </c>
    </row>
    <row r="274" spans="1:12" x14ac:dyDescent="0.2">
      <c r="A274" s="1">
        <v>41304</v>
      </c>
      <c r="B274">
        <v>2</v>
      </c>
      <c r="C274" t="s">
        <v>11</v>
      </c>
      <c r="D274">
        <v>-4.5880000000000001E-3</v>
      </c>
      <c r="E274">
        <f t="shared" si="8"/>
        <v>0.99541199999999996</v>
      </c>
      <c r="F274" s="1">
        <f t="shared" si="9"/>
        <v>41302</v>
      </c>
      <c r="G274" cm="1">
        <f t="array" ref="G274">PRODUCT( _xlfn._xlws.FILTER($E:$E, ($C:$C=C274)*($F:$F=F274)) ) - 1</f>
        <v>1.5707486495311063E-3</v>
      </c>
      <c r="J274" t="str">
        <v>FTS</v>
      </c>
      <c r="K274" s="1">
        <v>40980</v>
      </c>
      <c r="L274">
        <v>6.782130603751213E-3</v>
      </c>
    </row>
    <row r="275" spans="1:12" x14ac:dyDescent="0.2">
      <c r="A275" s="1">
        <v>41305</v>
      </c>
      <c r="B275">
        <v>2</v>
      </c>
      <c r="C275" t="s">
        <v>11</v>
      </c>
      <c r="D275">
        <v>2.8279999999999998E-3</v>
      </c>
      <c r="E275">
        <f t="shared" si="8"/>
        <v>1.0028280000000001</v>
      </c>
      <c r="F275" s="1">
        <f t="shared" si="9"/>
        <v>41302</v>
      </c>
      <c r="G275" cm="1">
        <f t="array" ref="G275">PRODUCT( _xlfn._xlws.FILTER($E:$E, ($C:$C=C275)*($F:$F=F275)) ) - 1</f>
        <v>1.5707486495311063E-3</v>
      </c>
      <c r="J275" t="str">
        <v>FTS</v>
      </c>
      <c r="K275" s="1">
        <v>40987</v>
      </c>
      <c r="L275">
        <v>-6.7365956477845046E-3</v>
      </c>
    </row>
    <row r="276" spans="1:12" x14ac:dyDescent="0.2">
      <c r="A276" s="1">
        <v>41306</v>
      </c>
      <c r="B276">
        <v>2</v>
      </c>
      <c r="C276" t="s">
        <v>11</v>
      </c>
      <c r="D276">
        <v>-3.1300000000000002E-4</v>
      </c>
      <c r="E276">
        <f t="shared" si="8"/>
        <v>0.99968699999999999</v>
      </c>
      <c r="F276" s="1">
        <f t="shared" si="9"/>
        <v>41302</v>
      </c>
      <c r="G276" cm="1">
        <f t="array" ref="G276">PRODUCT( _xlfn._xlws.FILTER($E:$E, ($C:$C=C276)*($F:$F=F276)) ) - 1</f>
        <v>1.5707486495311063E-3</v>
      </c>
      <c r="J276" t="str">
        <v>FTS</v>
      </c>
      <c r="K276" s="1">
        <v>40994</v>
      </c>
      <c r="L276">
        <v>-5.240416526911762E-3</v>
      </c>
    </row>
    <row r="277" spans="1:12" x14ac:dyDescent="0.2">
      <c r="A277" s="1">
        <v>41309</v>
      </c>
      <c r="B277">
        <v>2</v>
      </c>
      <c r="C277" t="s">
        <v>11</v>
      </c>
      <c r="D277">
        <v>-5.7470000000000004E-3</v>
      </c>
      <c r="E277">
        <f t="shared" si="8"/>
        <v>0.99425300000000005</v>
      </c>
      <c r="F277" s="1">
        <f t="shared" si="9"/>
        <v>41309</v>
      </c>
      <c r="G277" cm="1">
        <f t="array" ref="G277">PRODUCT( _xlfn._xlws.FILTER($E:$E, ($C:$C=C277)*($F:$F=F277)) ) - 1</f>
        <v>2.2151952869022606E-2</v>
      </c>
      <c r="J277" t="str">
        <v>FTS</v>
      </c>
      <c r="K277" s="1">
        <v>41001</v>
      </c>
      <c r="L277">
        <v>-4.9570636637450427E-3</v>
      </c>
    </row>
    <row r="278" spans="1:12" x14ac:dyDescent="0.2">
      <c r="A278" s="1">
        <v>41310</v>
      </c>
      <c r="B278">
        <v>2</v>
      </c>
      <c r="C278" t="s">
        <v>11</v>
      </c>
      <c r="D278">
        <v>3.5729999999999998E-3</v>
      </c>
      <c r="E278">
        <f t="shared" si="8"/>
        <v>1.003573</v>
      </c>
      <c r="F278" s="1">
        <f t="shared" si="9"/>
        <v>41309</v>
      </c>
      <c r="G278" cm="1">
        <f t="array" ref="G278">PRODUCT( _xlfn._xlws.FILTER($E:$E, ($C:$C=C278)*($F:$F=F278)) ) - 1</f>
        <v>2.2151952869022606E-2</v>
      </c>
      <c r="J278" t="str">
        <v>FTS</v>
      </c>
      <c r="K278" s="1">
        <v>41008</v>
      </c>
      <c r="L278">
        <v>1.1522894206036138E-2</v>
      </c>
    </row>
    <row r="279" spans="1:12" x14ac:dyDescent="0.2">
      <c r="A279" s="1">
        <v>41311</v>
      </c>
      <c r="B279">
        <v>2</v>
      </c>
      <c r="C279" t="s">
        <v>11</v>
      </c>
      <c r="D279">
        <v>7.4349999999999998E-3</v>
      </c>
      <c r="E279">
        <f t="shared" si="8"/>
        <v>1.0074350000000001</v>
      </c>
      <c r="F279" s="1">
        <f t="shared" si="9"/>
        <v>41309</v>
      </c>
      <c r="G279" cm="1">
        <f t="array" ref="G279">PRODUCT( _xlfn._xlws.FILTER($E:$E, ($C:$C=C279)*($F:$F=F279)) ) - 1</f>
        <v>2.2151952869022606E-2</v>
      </c>
      <c r="J279" t="str">
        <v>FTS</v>
      </c>
      <c r="K279" s="1">
        <v>41015</v>
      </c>
      <c r="L279">
        <v>2.8017341331814327E-2</v>
      </c>
    </row>
    <row r="280" spans="1:12" x14ac:dyDescent="0.2">
      <c r="A280" s="1">
        <v>41312</v>
      </c>
      <c r="B280">
        <v>2</v>
      </c>
      <c r="C280" t="s">
        <v>11</v>
      </c>
      <c r="D280">
        <v>4.1599999999999997E-4</v>
      </c>
      <c r="E280">
        <f t="shared" si="8"/>
        <v>1.000416</v>
      </c>
      <c r="F280" s="1">
        <f t="shared" si="9"/>
        <v>41309</v>
      </c>
      <c r="G280" cm="1">
        <f t="array" ref="G280">PRODUCT( _xlfn._xlws.FILTER($E:$E, ($C:$C=C280)*($F:$F=F280)) ) - 1</f>
        <v>2.2151952869022606E-2</v>
      </c>
      <c r="J280" t="str">
        <v>FTS</v>
      </c>
      <c r="K280" s="1">
        <v>41022</v>
      </c>
      <c r="L280">
        <v>2.4259324444478203E-2</v>
      </c>
    </row>
    <row r="281" spans="1:12" x14ac:dyDescent="0.2">
      <c r="A281" s="1">
        <v>41313</v>
      </c>
      <c r="B281">
        <v>2</v>
      </c>
      <c r="C281" t="s">
        <v>11</v>
      </c>
      <c r="D281">
        <v>1.6417000000000001E-2</v>
      </c>
      <c r="E281">
        <f t="shared" si="8"/>
        <v>1.0164169999999999</v>
      </c>
      <c r="F281" s="1">
        <f t="shared" si="9"/>
        <v>41309</v>
      </c>
      <c r="G281" cm="1">
        <f t="array" ref="G281">PRODUCT( _xlfn._xlws.FILTER($E:$E, ($C:$C=C281)*($F:$F=F281)) ) - 1</f>
        <v>2.2151952869022606E-2</v>
      </c>
      <c r="J281" t="str">
        <v>FTS</v>
      </c>
      <c r="K281" s="1">
        <v>41029</v>
      </c>
      <c r="L281">
        <v>-1.6374746740848933E-2</v>
      </c>
    </row>
    <row r="282" spans="1:12" x14ac:dyDescent="0.2">
      <c r="A282" s="1">
        <v>41316</v>
      </c>
      <c r="B282">
        <v>2</v>
      </c>
      <c r="C282" t="s">
        <v>11</v>
      </c>
      <c r="D282">
        <v>5.0090000000000004E-3</v>
      </c>
      <c r="E282">
        <f t="shared" si="8"/>
        <v>1.005009</v>
      </c>
      <c r="F282" s="1">
        <f t="shared" si="9"/>
        <v>41316</v>
      </c>
      <c r="G282" cm="1">
        <f t="array" ref="G282">PRODUCT( _xlfn._xlws.FILTER($E:$E, ($C:$C=C282)*($F:$F=F282)) ) - 1</f>
        <v>2.8316827936698763E-2</v>
      </c>
      <c r="J282" t="str">
        <v>FTS</v>
      </c>
      <c r="K282" s="1">
        <v>41036</v>
      </c>
      <c r="L282">
        <v>1.0403531119319798E-2</v>
      </c>
    </row>
    <row r="283" spans="1:12" x14ac:dyDescent="0.2">
      <c r="A283" s="1">
        <v>41317</v>
      </c>
      <c r="B283">
        <v>2</v>
      </c>
      <c r="C283" t="s">
        <v>11</v>
      </c>
      <c r="D283">
        <v>6.0010000000000003E-3</v>
      </c>
      <c r="E283">
        <f t="shared" si="8"/>
        <v>1.0060009999999999</v>
      </c>
      <c r="F283" s="1">
        <f t="shared" si="9"/>
        <v>41316</v>
      </c>
      <c r="G283" cm="1">
        <f t="array" ref="G283">PRODUCT( _xlfn._xlws.FILTER($E:$E, ($C:$C=C283)*($F:$F=F283)) ) - 1</f>
        <v>2.8316827936698763E-2</v>
      </c>
      <c r="J283" t="str">
        <v>FTS</v>
      </c>
      <c r="K283" s="1">
        <v>41043</v>
      </c>
      <c r="L283">
        <v>-1.7431974426083352E-2</v>
      </c>
    </row>
    <row r="284" spans="1:12" x14ac:dyDescent="0.2">
      <c r="A284" s="1">
        <v>41318</v>
      </c>
      <c r="B284">
        <v>2</v>
      </c>
      <c r="C284" t="s">
        <v>11</v>
      </c>
      <c r="D284">
        <v>5.4599999999999996E-3</v>
      </c>
      <c r="E284">
        <f t="shared" si="8"/>
        <v>1.00546</v>
      </c>
      <c r="F284" s="1">
        <f t="shared" si="9"/>
        <v>41316</v>
      </c>
      <c r="G284" cm="1">
        <f t="array" ref="G284">PRODUCT( _xlfn._xlws.FILTER($E:$E, ($C:$C=C284)*($F:$F=F284)) ) - 1</f>
        <v>2.8316827936698763E-2</v>
      </c>
      <c r="J284" t="str">
        <v>FTS</v>
      </c>
      <c r="K284" s="1">
        <v>41050</v>
      </c>
      <c r="L284">
        <v>1.8117797437138261E-3</v>
      </c>
    </row>
    <row r="285" spans="1:12" x14ac:dyDescent="0.2">
      <c r="A285" s="1">
        <v>41319</v>
      </c>
      <c r="B285">
        <v>2</v>
      </c>
      <c r="C285" t="s">
        <v>11</v>
      </c>
      <c r="D285">
        <v>-1.106E-3</v>
      </c>
      <c r="E285">
        <f t="shared" si="8"/>
        <v>0.99889399999999995</v>
      </c>
      <c r="F285" s="1">
        <f t="shared" si="9"/>
        <v>41316</v>
      </c>
      <c r="G285" cm="1">
        <f t="array" ref="G285">PRODUCT( _xlfn._xlws.FILTER($E:$E, ($C:$C=C285)*($F:$F=F285)) ) - 1</f>
        <v>2.8316827936698763E-2</v>
      </c>
      <c r="J285" t="str">
        <v>FTS</v>
      </c>
      <c r="K285" s="1">
        <v>41057</v>
      </c>
      <c r="L285">
        <v>-2.2920047408837352E-2</v>
      </c>
    </row>
    <row r="286" spans="1:12" x14ac:dyDescent="0.2">
      <c r="A286" s="1">
        <v>41320</v>
      </c>
      <c r="B286">
        <v>2</v>
      </c>
      <c r="C286" t="s">
        <v>11</v>
      </c>
      <c r="D286">
        <v>1.2685E-2</v>
      </c>
      <c r="E286">
        <f t="shared" si="8"/>
        <v>1.0126850000000001</v>
      </c>
      <c r="F286" s="1">
        <f t="shared" si="9"/>
        <v>41316</v>
      </c>
      <c r="G286" cm="1">
        <f t="array" ref="G286">PRODUCT( _xlfn._xlws.FILTER($E:$E, ($C:$C=C286)*($F:$F=F286)) ) - 1</f>
        <v>2.8316827936698763E-2</v>
      </c>
      <c r="J286" t="str">
        <v>FTS</v>
      </c>
      <c r="K286" s="1">
        <v>41064</v>
      </c>
      <c r="L286">
        <v>4.166718877859843E-2</v>
      </c>
    </row>
    <row r="287" spans="1:12" x14ac:dyDescent="0.2">
      <c r="A287" s="1">
        <v>41324</v>
      </c>
      <c r="B287">
        <v>2</v>
      </c>
      <c r="C287" t="s">
        <v>11</v>
      </c>
      <c r="D287">
        <v>9.0469999999999995E-3</v>
      </c>
      <c r="E287">
        <f t="shared" si="8"/>
        <v>1.009047</v>
      </c>
      <c r="F287" s="1">
        <f t="shared" si="9"/>
        <v>41323</v>
      </c>
      <c r="G287" cm="1">
        <f t="array" ref="G287">PRODUCT( _xlfn._xlws.FILTER($E:$E, ($C:$C=C287)*($F:$F=F287)) ) - 1</f>
        <v>-5.467393244401153E-3</v>
      </c>
      <c r="J287" t="str">
        <v>FTS</v>
      </c>
      <c r="K287" s="1">
        <v>41071</v>
      </c>
      <c r="L287">
        <v>-3.7036436025503106E-2</v>
      </c>
    </row>
    <row r="288" spans="1:12" x14ac:dyDescent="0.2">
      <c r="A288" s="1">
        <v>41325</v>
      </c>
      <c r="B288">
        <v>2</v>
      </c>
      <c r="C288" t="s">
        <v>11</v>
      </c>
      <c r="D288">
        <v>-8.6700000000000006E-3</v>
      </c>
      <c r="E288">
        <f t="shared" si="8"/>
        <v>0.99133000000000004</v>
      </c>
      <c r="F288" s="1">
        <f t="shared" si="9"/>
        <v>41323</v>
      </c>
      <c r="G288" cm="1">
        <f t="array" ref="G288">PRODUCT( _xlfn._xlws.FILTER($E:$E, ($C:$C=C288)*($F:$F=F288)) ) - 1</f>
        <v>-5.467393244401153E-3</v>
      </c>
      <c r="J288" t="str">
        <v>FTS</v>
      </c>
      <c r="K288" s="1">
        <v>41078</v>
      </c>
      <c r="L288">
        <v>-1.5373717251766505E-3</v>
      </c>
    </row>
    <row r="289" spans="1:12" x14ac:dyDescent="0.2">
      <c r="A289" s="1">
        <v>41326</v>
      </c>
      <c r="B289">
        <v>2</v>
      </c>
      <c r="C289" t="s">
        <v>11</v>
      </c>
      <c r="D289">
        <v>-4.7699999999999999E-3</v>
      </c>
      <c r="E289">
        <f t="shared" si="8"/>
        <v>0.99522999999999995</v>
      </c>
      <c r="F289" s="1">
        <f t="shared" si="9"/>
        <v>41323</v>
      </c>
      <c r="G289" cm="1">
        <f t="array" ref="G289">PRODUCT( _xlfn._xlws.FILTER($E:$E, ($C:$C=C289)*($F:$F=F289)) ) - 1</f>
        <v>-5.467393244401153E-3</v>
      </c>
      <c r="J289" t="str">
        <v>FTS</v>
      </c>
      <c r="K289" s="1">
        <v>41085</v>
      </c>
      <c r="L289">
        <v>-4.929171499311269E-3</v>
      </c>
    </row>
    <row r="290" spans="1:12" x14ac:dyDescent="0.2">
      <c r="A290" s="1">
        <v>41327</v>
      </c>
      <c r="B290">
        <v>2</v>
      </c>
      <c r="C290" t="s">
        <v>11</v>
      </c>
      <c r="D290">
        <v>-9.990000000000001E-4</v>
      </c>
      <c r="E290">
        <f t="shared" si="8"/>
        <v>0.99900100000000003</v>
      </c>
      <c r="F290" s="1">
        <f t="shared" si="9"/>
        <v>41323</v>
      </c>
      <c r="G290" cm="1">
        <f t="array" ref="G290">PRODUCT( _xlfn._xlws.FILTER($E:$E, ($C:$C=C290)*($F:$F=F290)) ) - 1</f>
        <v>-5.467393244401153E-3</v>
      </c>
      <c r="J290" t="str">
        <v>FTS</v>
      </c>
      <c r="K290" s="1">
        <v>41092</v>
      </c>
      <c r="L290">
        <v>7.4329116342832791E-3</v>
      </c>
    </row>
    <row r="291" spans="1:12" x14ac:dyDescent="0.2">
      <c r="A291" s="1">
        <v>41330</v>
      </c>
      <c r="B291">
        <v>2</v>
      </c>
      <c r="C291" t="s">
        <v>11</v>
      </c>
      <c r="D291">
        <v>-1.3990000000000001E-3</v>
      </c>
      <c r="E291">
        <f t="shared" si="8"/>
        <v>0.99860099999999996</v>
      </c>
      <c r="F291" s="1">
        <f t="shared" si="9"/>
        <v>41330</v>
      </c>
      <c r="G291" cm="1">
        <f t="array" ref="G291">PRODUCT( _xlfn._xlws.FILTER($E:$E, ($C:$C=C291)*($F:$F=F291)) ) - 1</f>
        <v>3.828517918272456E-2</v>
      </c>
      <c r="J291" t="str">
        <v>FTS</v>
      </c>
      <c r="K291" s="1">
        <v>41099</v>
      </c>
      <c r="L291">
        <v>1.321896021937552E-2</v>
      </c>
    </row>
    <row r="292" spans="1:12" x14ac:dyDescent="0.2">
      <c r="A292" s="1">
        <v>41331</v>
      </c>
      <c r="B292">
        <v>2</v>
      </c>
      <c r="C292" t="s">
        <v>11</v>
      </c>
      <c r="D292">
        <v>8.208E-3</v>
      </c>
      <c r="E292">
        <f t="shared" si="8"/>
        <v>1.008208</v>
      </c>
      <c r="F292" s="1">
        <f t="shared" si="9"/>
        <v>41330</v>
      </c>
      <c r="G292" cm="1">
        <f t="array" ref="G292">PRODUCT( _xlfn._xlws.FILTER($E:$E, ($C:$C=C292)*($F:$F=F292)) ) - 1</f>
        <v>3.828517918272456E-2</v>
      </c>
      <c r="J292" t="str">
        <v>FTS</v>
      </c>
      <c r="K292" s="1">
        <v>41106</v>
      </c>
      <c r="L292">
        <v>5.4616055206295755E-3</v>
      </c>
    </row>
    <row r="293" spans="1:12" x14ac:dyDescent="0.2">
      <c r="A293" s="1">
        <v>41332</v>
      </c>
      <c r="B293">
        <v>2</v>
      </c>
      <c r="C293" t="s">
        <v>11</v>
      </c>
      <c r="D293">
        <v>9.5309999999999995E-3</v>
      </c>
      <c r="E293">
        <f t="shared" si="8"/>
        <v>1.009531</v>
      </c>
      <c r="F293" s="1">
        <f t="shared" si="9"/>
        <v>41330</v>
      </c>
      <c r="G293" cm="1">
        <f t="array" ref="G293">PRODUCT( _xlfn._xlws.FILTER($E:$E, ($C:$C=C293)*($F:$F=F293)) ) - 1</f>
        <v>3.828517918272456E-2</v>
      </c>
      <c r="J293" t="str">
        <v>FTS</v>
      </c>
      <c r="K293" s="1">
        <v>41113</v>
      </c>
      <c r="L293">
        <v>4.8278116438613683E-3</v>
      </c>
    </row>
    <row r="294" spans="1:12" x14ac:dyDescent="0.2">
      <c r="A294" s="1">
        <v>41333</v>
      </c>
      <c r="B294">
        <v>2</v>
      </c>
      <c r="C294" t="s">
        <v>11</v>
      </c>
      <c r="D294">
        <v>2.9308000000000001E-2</v>
      </c>
      <c r="E294">
        <f t="shared" si="8"/>
        <v>1.0293079999999999</v>
      </c>
      <c r="F294" s="1">
        <f t="shared" si="9"/>
        <v>41330</v>
      </c>
      <c r="G294" cm="1">
        <f t="array" ref="G294">PRODUCT( _xlfn._xlws.FILTER($E:$E, ($C:$C=C294)*($F:$F=F294)) ) - 1</f>
        <v>3.828517918272456E-2</v>
      </c>
      <c r="J294" t="str">
        <v>FTS</v>
      </c>
      <c r="K294" s="1">
        <v>41120</v>
      </c>
      <c r="L294">
        <v>-2.7022506764323717E-3</v>
      </c>
    </row>
    <row r="295" spans="1:12" x14ac:dyDescent="0.2">
      <c r="A295" s="1">
        <v>41334</v>
      </c>
      <c r="B295">
        <v>2</v>
      </c>
      <c r="C295" t="s">
        <v>11</v>
      </c>
      <c r="D295">
        <v>-7.548E-3</v>
      </c>
      <c r="E295">
        <f t="shared" si="8"/>
        <v>0.992452</v>
      </c>
      <c r="F295" s="1">
        <f t="shared" si="9"/>
        <v>41330</v>
      </c>
      <c r="G295" cm="1">
        <f t="array" ref="G295">PRODUCT( _xlfn._xlws.FILTER($E:$E, ($C:$C=C295)*($F:$F=F295)) ) - 1</f>
        <v>3.828517918272456E-2</v>
      </c>
      <c r="J295" t="str">
        <v>FTS</v>
      </c>
      <c r="K295" s="1">
        <v>41127</v>
      </c>
      <c r="L295">
        <v>1.927136297091292E-2</v>
      </c>
    </row>
    <row r="296" spans="1:12" x14ac:dyDescent="0.2">
      <c r="A296" s="1">
        <v>41337</v>
      </c>
      <c r="B296">
        <v>2</v>
      </c>
      <c r="C296" t="s">
        <v>11</v>
      </c>
      <c r="D296">
        <v>1.6367E-2</v>
      </c>
      <c r="E296">
        <f t="shared" si="8"/>
        <v>1.016367</v>
      </c>
      <c r="F296" s="1">
        <f t="shared" si="9"/>
        <v>41337</v>
      </c>
      <c r="G296" cm="1">
        <f t="array" ref="G296">PRODUCT( _xlfn._xlws.FILTER($E:$E, ($C:$C=C296)*($F:$F=F296)) ) - 1</f>
        <v>-6.088663818432094E-4</v>
      </c>
      <c r="J296" t="str">
        <v>FTS</v>
      </c>
      <c r="K296" s="1">
        <v>41134</v>
      </c>
      <c r="L296">
        <v>2.3761501696044629E-3</v>
      </c>
    </row>
    <row r="297" spans="1:12" x14ac:dyDescent="0.2">
      <c r="A297" s="1">
        <v>41338</v>
      </c>
      <c r="B297">
        <v>2</v>
      </c>
      <c r="C297" t="s">
        <v>11</v>
      </c>
      <c r="D297">
        <v>-9.188E-3</v>
      </c>
      <c r="E297">
        <f t="shared" si="8"/>
        <v>0.99081200000000003</v>
      </c>
      <c r="F297" s="1">
        <f t="shared" si="9"/>
        <v>41337</v>
      </c>
      <c r="G297" cm="1">
        <f t="array" ref="G297">PRODUCT( _xlfn._xlws.FILTER($E:$E, ($C:$C=C297)*($F:$F=F297)) ) - 1</f>
        <v>-6.088663818432094E-4</v>
      </c>
      <c r="J297" t="str">
        <v>FTS</v>
      </c>
      <c r="K297" s="1">
        <v>41141</v>
      </c>
      <c r="L297">
        <v>-2.3780230870009689E-3</v>
      </c>
    </row>
    <row r="298" spans="1:12" x14ac:dyDescent="0.2">
      <c r="A298" s="1">
        <v>41339</v>
      </c>
      <c r="B298">
        <v>2</v>
      </c>
      <c r="C298" t="s">
        <v>11</v>
      </c>
      <c r="D298">
        <v>-2.2079999999999999E-3</v>
      </c>
      <c r="E298">
        <f t="shared" si="8"/>
        <v>0.99779200000000001</v>
      </c>
      <c r="F298" s="1">
        <f t="shared" si="9"/>
        <v>41337</v>
      </c>
      <c r="G298" cm="1">
        <f t="array" ref="G298">PRODUCT( _xlfn._xlws.FILTER($E:$E, ($C:$C=C298)*($F:$F=F298)) ) - 1</f>
        <v>-6.088663818432094E-4</v>
      </c>
      <c r="J298" t="str">
        <v>FTS</v>
      </c>
      <c r="K298" s="1">
        <v>41148</v>
      </c>
      <c r="L298">
        <v>-3.1596158708468214E-2</v>
      </c>
    </row>
    <row r="299" spans="1:12" x14ac:dyDescent="0.2">
      <c r="A299" s="1">
        <v>41340</v>
      </c>
      <c r="B299">
        <v>2</v>
      </c>
      <c r="C299" t="s">
        <v>11</v>
      </c>
      <c r="D299">
        <v>-5.5799999999999999E-3</v>
      </c>
      <c r="E299">
        <f t="shared" si="8"/>
        <v>0.99441999999999997</v>
      </c>
      <c r="F299" s="1">
        <f t="shared" si="9"/>
        <v>41337</v>
      </c>
      <c r="G299" cm="1">
        <f t="array" ref="G299">PRODUCT( _xlfn._xlws.FILTER($E:$E, ($C:$C=C299)*($F:$F=F299)) ) - 1</f>
        <v>-6.088663818432094E-4</v>
      </c>
      <c r="J299" t="str">
        <v>FTS</v>
      </c>
      <c r="K299" s="1">
        <v>41155</v>
      </c>
      <c r="L299">
        <v>2.154557063701068E-2</v>
      </c>
    </row>
    <row r="300" spans="1:12" x14ac:dyDescent="0.2">
      <c r="A300" s="1">
        <v>41341</v>
      </c>
      <c r="B300">
        <v>2</v>
      </c>
      <c r="C300" t="s">
        <v>11</v>
      </c>
      <c r="D300">
        <v>1.93E-4</v>
      </c>
      <c r="E300">
        <f t="shared" si="8"/>
        <v>1.0001930000000001</v>
      </c>
      <c r="F300" s="1">
        <f t="shared" si="9"/>
        <v>41337</v>
      </c>
      <c r="G300" cm="1">
        <f t="array" ref="G300">PRODUCT( _xlfn._xlws.FILTER($E:$E, ($C:$C=C300)*($F:$F=F300)) ) - 1</f>
        <v>-6.088663818432094E-4</v>
      </c>
      <c r="J300" t="str">
        <v>FTS</v>
      </c>
      <c r="K300" s="1">
        <v>41162</v>
      </c>
      <c r="L300">
        <v>-5.7249628590427815E-3</v>
      </c>
    </row>
    <row r="301" spans="1:12" x14ac:dyDescent="0.2">
      <c r="A301" s="1">
        <v>41344</v>
      </c>
      <c r="B301">
        <v>2</v>
      </c>
      <c r="C301" t="s">
        <v>11</v>
      </c>
      <c r="D301">
        <v>-2.9020000000000001E-3</v>
      </c>
      <c r="E301">
        <f t="shared" si="8"/>
        <v>0.99709800000000004</v>
      </c>
      <c r="F301" s="1">
        <f t="shared" si="9"/>
        <v>41344</v>
      </c>
      <c r="G301" cm="1">
        <f t="array" ref="G301">PRODUCT( _xlfn._xlws.FILTER($E:$E, ($C:$C=C301)*($F:$F=F301)) ) - 1</f>
        <v>-1.3349015505929596E-2</v>
      </c>
      <c r="J301" t="str">
        <v>FTS</v>
      </c>
      <c r="K301" s="1">
        <v>41169</v>
      </c>
      <c r="L301">
        <v>1.5155144407303922E-3</v>
      </c>
    </row>
    <row r="302" spans="1:12" x14ac:dyDescent="0.2">
      <c r="A302" s="1">
        <v>41345</v>
      </c>
      <c r="B302">
        <v>2</v>
      </c>
      <c r="C302" t="s">
        <v>11</v>
      </c>
      <c r="D302">
        <v>1.94E-4</v>
      </c>
      <c r="E302">
        <f t="shared" si="8"/>
        <v>1.000194</v>
      </c>
      <c r="F302" s="1">
        <f t="shared" si="9"/>
        <v>41344</v>
      </c>
      <c r="G302" cm="1">
        <f t="array" ref="G302">PRODUCT( _xlfn._xlws.FILTER($E:$E, ($C:$C=C302)*($F:$F=F302)) ) - 1</f>
        <v>-1.3349015505929596E-2</v>
      </c>
      <c r="J302" t="str">
        <v>FTS</v>
      </c>
      <c r="K302" s="1">
        <v>41176</v>
      </c>
      <c r="L302">
        <v>1.4522552483673845E-2</v>
      </c>
    </row>
    <row r="303" spans="1:12" x14ac:dyDescent="0.2">
      <c r="A303" s="1">
        <v>41346</v>
      </c>
      <c r="B303">
        <v>2</v>
      </c>
      <c r="C303" t="s">
        <v>11</v>
      </c>
      <c r="D303">
        <v>-5.7229999999999998E-3</v>
      </c>
      <c r="E303">
        <f t="shared" si="8"/>
        <v>0.99427699999999997</v>
      </c>
      <c r="F303" s="1">
        <f t="shared" si="9"/>
        <v>41344</v>
      </c>
      <c r="G303" cm="1">
        <f t="array" ref="G303">PRODUCT( _xlfn._xlws.FILTER($E:$E, ($C:$C=C303)*($F:$F=F303)) ) - 1</f>
        <v>-1.3349015505929596E-2</v>
      </c>
      <c r="J303" t="str">
        <v>FTS</v>
      </c>
      <c r="K303" s="1">
        <v>41183</v>
      </c>
      <c r="L303">
        <v>4.175315886204567E-3</v>
      </c>
    </row>
    <row r="304" spans="1:12" x14ac:dyDescent="0.2">
      <c r="A304" s="1">
        <v>41347</v>
      </c>
      <c r="B304">
        <v>2</v>
      </c>
      <c r="C304" t="s">
        <v>11</v>
      </c>
      <c r="D304">
        <v>5.6579999999999998E-3</v>
      </c>
      <c r="E304">
        <f t="shared" si="8"/>
        <v>1.0056579999999999</v>
      </c>
      <c r="F304" s="1">
        <f t="shared" si="9"/>
        <v>41344</v>
      </c>
      <c r="G304" cm="1">
        <f t="array" ref="G304">PRODUCT( _xlfn._xlws.FILTER($E:$E, ($C:$C=C304)*($F:$F=F304)) ) - 1</f>
        <v>-1.3349015505929596E-2</v>
      </c>
      <c r="J304" t="str">
        <v>FTS</v>
      </c>
      <c r="K304" s="1">
        <v>41190</v>
      </c>
      <c r="L304">
        <v>-1.2177278690029159E-2</v>
      </c>
    </row>
    <row r="305" spans="1:12" x14ac:dyDescent="0.2">
      <c r="A305" s="1">
        <v>41348</v>
      </c>
      <c r="B305">
        <v>2</v>
      </c>
      <c r="C305" t="s">
        <v>11</v>
      </c>
      <c r="D305">
        <v>-1.0573000000000001E-2</v>
      </c>
      <c r="E305">
        <f t="shared" si="8"/>
        <v>0.98942699999999995</v>
      </c>
      <c r="F305" s="1">
        <f t="shared" si="9"/>
        <v>41344</v>
      </c>
      <c r="G305" cm="1">
        <f t="array" ref="G305">PRODUCT( _xlfn._xlws.FILTER($E:$E, ($C:$C=C305)*($F:$F=F305)) ) - 1</f>
        <v>-1.3349015505929596E-2</v>
      </c>
      <c r="J305" t="str">
        <v>FTS</v>
      </c>
      <c r="K305" s="1">
        <v>41197</v>
      </c>
      <c r="L305">
        <v>1.0222121651887406E-2</v>
      </c>
    </row>
    <row r="306" spans="1:12" x14ac:dyDescent="0.2">
      <c r="A306" s="1">
        <v>41351</v>
      </c>
      <c r="B306">
        <v>2</v>
      </c>
      <c r="C306" t="s">
        <v>11</v>
      </c>
      <c r="D306">
        <v>-9.3139999999999994E-3</v>
      </c>
      <c r="E306">
        <f t="shared" si="8"/>
        <v>0.99068599999999996</v>
      </c>
      <c r="F306" s="1">
        <f t="shared" si="9"/>
        <v>41351</v>
      </c>
      <c r="G306" cm="1">
        <f t="array" ref="G306">PRODUCT( _xlfn._xlws.FILTER($E:$E, ($C:$C=C306)*($F:$F=F306)) ) - 1</f>
        <v>-2.450921915497839E-2</v>
      </c>
      <c r="J306" t="str">
        <v>FTS</v>
      </c>
      <c r="K306" s="1">
        <v>41204</v>
      </c>
      <c r="L306">
        <v>-5.952779508584416E-3</v>
      </c>
    </row>
    <row r="307" spans="1:12" x14ac:dyDescent="0.2">
      <c r="A307" s="1">
        <v>41352</v>
      </c>
      <c r="B307">
        <v>2</v>
      </c>
      <c r="C307" t="s">
        <v>11</v>
      </c>
      <c r="D307">
        <v>-6.7289999999999997E-3</v>
      </c>
      <c r="E307">
        <f t="shared" si="8"/>
        <v>0.99327100000000002</v>
      </c>
      <c r="F307" s="1">
        <f t="shared" si="9"/>
        <v>41351</v>
      </c>
      <c r="G307" cm="1">
        <f t="array" ref="G307">PRODUCT( _xlfn._xlws.FILTER($E:$E, ($C:$C=C307)*($F:$F=F307)) ) - 1</f>
        <v>-2.450921915497839E-2</v>
      </c>
      <c r="J307" t="str">
        <v>FTS</v>
      </c>
      <c r="K307" s="1">
        <v>41211</v>
      </c>
      <c r="L307">
        <v>1.676709870875559E-2</v>
      </c>
    </row>
    <row r="308" spans="1:12" x14ac:dyDescent="0.2">
      <c r="A308" s="1">
        <v>41353</v>
      </c>
      <c r="B308">
        <v>2</v>
      </c>
      <c r="C308" t="s">
        <v>11</v>
      </c>
      <c r="D308">
        <v>1.0362E-2</v>
      </c>
      <c r="E308">
        <f t="shared" si="8"/>
        <v>1.010362</v>
      </c>
      <c r="F308" s="1">
        <f t="shared" si="9"/>
        <v>41351</v>
      </c>
      <c r="G308" cm="1">
        <f t="array" ref="G308">PRODUCT( _xlfn._xlws.FILTER($E:$E, ($C:$C=C308)*($F:$F=F308)) ) - 1</f>
        <v>-2.450921915497839E-2</v>
      </c>
      <c r="J308" t="str">
        <v>FTS</v>
      </c>
      <c r="K308" s="1">
        <v>41218</v>
      </c>
      <c r="L308">
        <v>-4.7113494302333248E-3</v>
      </c>
    </row>
    <row r="309" spans="1:12" x14ac:dyDescent="0.2">
      <c r="A309" s="1">
        <v>41354</v>
      </c>
      <c r="B309">
        <v>2</v>
      </c>
      <c r="C309" t="s">
        <v>11</v>
      </c>
      <c r="D309">
        <v>-2.5343000000000001E-2</v>
      </c>
      <c r="E309">
        <f t="shared" si="8"/>
        <v>0.974657</v>
      </c>
      <c r="F309" s="1">
        <f t="shared" si="9"/>
        <v>41351</v>
      </c>
      <c r="G309" cm="1">
        <f t="array" ref="G309">PRODUCT( _xlfn._xlws.FILTER($E:$E, ($C:$C=C309)*($F:$F=F309)) ) - 1</f>
        <v>-2.450921915497839E-2</v>
      </c>
      <c r="J309" t="str">
        <v>FTS</v>
      </c>
      <c r="K309" s="1">
        <v>41225</v>
      </c>
      <c r="L309">
        <v>-2.2928193613535486E-2</v>
      </c>
    </row>
    <row r="310" spans="1:12" x14ac:dyDescent="0.2">
      <c r="A310" s="1">
        <v>41355</v>
      </c>
      <c r="B310">
        <v>2</v>
      </c>
      <c r="C310" t="s">
        <v>11</v>
      </c>
      <c r="D310">
        <v>6.6779999999999999E-3</v>
      </c>
      <c r="E310">
        <f t="shared" si="8"/>
        <v>1.006678</v>
      </c>
      <c r="F310" s="1">
        <f t="shared" si="9"/>
        <v>41351</v>
      </c>
      <c r="G310" cm="1">
        <f t="array" ref="G310">PRODUCT( _xlfn._xlws.FILTER($E:$E, ($C:$C=C310)*($F:$F=F310)) ) - 1</f>
        <v>-2.450921915497839E-2</v>
      </c>
      <c r="J310" t="str">
        <v>FTS</v>
      </c>
      <c r="K310" s="1">
        <v>41232</v>
      </c>
      <c r="L310">
        <v>7.0256941874617951E-3</v>
      </c>
    </row>
    <row r="311" spans="1:12" x14ac:dyDescent="0.2">
      <c r="A311" s="1">
        <v>41358</v>
      </c>
      <c r="B311">
        <v>2</v>
      </c>
      <c r="C311" t="s">
        <v>11</v>
      </c>
      <c r="D311">
        <v>-6.5329999999999997E-3</v>
      </c>
      <c r="E311">
        <f t="shared" si="8"/>
        <v>0.99346699999999999</v>
      </c>
      <c r="F311" s="1">
        <f t="shared" si="9"/>
        <v>41358</v>
      </c>
      <c r="G311" cm="1">
        <f t="array" ref="G311">PRODUCT( _xlfn._xlws.FILTER($E:$E, ($C:$C=C311)*($F:$F=F311)) ) - 1</f>
        <v>2.6129702660137921E-2</v>
      </c>
      <c r="J311" t="str">
        <v>FTS</v>
      </c>
      <c r="K311" s="1">
        <v>41239</v>
      </c>
      <c r="L311">
        <v>1.274273123696279E-2</v>
      </c>
    </row>
    <row r="312" spans="1:12" x14ac:dyDescent="0.2">
      <c r="A312" s="1">
        <v>41359</v>
      </c>
      <c r="B312">
        <v>2</v>
      </c>
      <c r="C312" t="s">
        <v>11</v>
      </c>
      <c r="D312">
        <v>1.0116E-2</v>
      </c>
      <c r="E312">
        <f t="shared" si="8"/>
        <v>1.010116</v>
      </c>
      <c r="F312" s="1">
        <f t="shared" si="9"/>
        <v>41358</v>
      </c>
      <c r="G312" cm="1">
        <f t="array" ref="G312">PRODUCT( _xlfn._xlws.FILTER($E:$E, ($C:$C=C312)*($F:$F=F312)) ) - 1</f>
        <v>2.6129702660137921E-2</v>
      </c>
      <c r="J312" t="str">
        <v>FTS</v>
      </c>
      <c r="K312" s="1">
        <v>41246</v>
      </c>
      <c r="L312">
        <v>-2.0966692886691396E-3</v>
      </c>
    </row>
    <row r="313" spans="1:12" x14ac:dyDescent="0.2">
      <c r="A313" s="1">
        <v>41360</v>
      </c>
      <c r="B313">
        <v>2</v>
      </c>
      <c r="C313" t="s">
        <v>11</v>
      </c>
      <c r="D313">
        <v>1.5020000000000001E-3</v>
      </c>
      <c r="E313">
        <f t="shared" si="8"/>
        <v>1.0015019999999999</v>
      </c>
      <c r="F313" s="1">
        <f t="shared" si="9"/>
        <v>41358</v>
      </c>
      <c r="G313" cm="1">
        <f t="array" ref="G313">PRODUCT( _xlfn._xlws.FILTER($E:$E, ($C:$C=C313)*($F:$F=F313)) ) - 1</f>
        <v>2.6129702660137921E-2</v>
      </c>
      <c r="J313" t="str">
        <v>FTS</v>
      </c>
      <c r="K313" s="1">
        <v>41253</v>
      </c>
      <c r="L313">
        <v>1.5010814701221564E-2</v>
      </c>
    </row>
    <row r="314" spans="1:12" x14ac:dyDescent="0.2">
      <c r="A314" s="1">
        <v>41361</v>
      </c>
      <c r="B314">
        <v>2</v>
      </c>
      <c r="C314" t="s">
        <v>11</v>
      </c>
      <c r="D314">
        <v>2.1000000000000001E-2</v>
      </c>
      <c r="E314">
        <f t="shared" si="8"/>
        <v>1.0209999999999999</v>
      </c>
      <c r="F314" s="1">
        <f t="shared" si="9"/>
        <v>41358</v>
      </c>
      <c r="G314" cm="1">
        <f t="array" ref="G314">PRODUCT( _xlfn._xlws.FILTER($E:$E, ($C:$C=C314)*($F:$F=F314)) ) - 1</f>
        <v>2.6129702660137921E-2</v>
      </c>
      <c r="J314" t="str">
        <v>FTS</v>
      </c>
      <c r="K314" s="1">
        <v>41260</v>
      </c>
      <c r="L314">
        <v>5.9154461103099187E-3</v>
      </c>
    </row>
    <row r="315" spans="1:12" x14ac:dyDescent="0.2">
      <c r="A315" s="1">
        <v>41365</v>
      </c>
      <c r="B315">
        <v>2</v>
      </c>
      <c r="C315" t="s">
        <v>11</v>
      </c>
      <c r="D315">
        <v>-1.8022E-2</v>
      </c>
      <c r="E315">
        <f t="shared" si="8"/>
        <v>0.98197800000000002</v>
      </c>
      <c r="F315" s="1">
        <f t="shared" si="9"/>
        <v>41365</v>
      </c>
      <c r="G315" cm="1">
        <f t="array" ref="G315">PRODUCT( _xlfn._xlws.FILTER($E:$E, ($C:$C=C315)*($F:$F=F315)) ) - 1</f>
        <v>-3.6729742837636747E-2</v>
      </c>
      <c r="J315" t="str">
        <v>FTS</v>
      </c>
      <c r="K315" s="1">
        <v>41267</v>
      </c>
      <c r="L315">
        <v>-3.2344568119387906E-3</v>
      </c>
    </row>
    <row r="316" spans="1:12" x14ac:dyDescent="0.2">
      <c r="A316" s="1">
        <v>41366</v>
      </c>
      <c r="B316">
        <v>2</v>
      </c>
      <c r="C316" t="s">
        <v>11</v>
      </c>
      <c r="D316">
        <v>2.1940000000000002E-3</v>
      </c>
      <c r="E316">
        <f t="shared" si="8"/>
        <v>1.002194</v>
      </c>
      <c r="F316" s="1">
        <f t="shared" si="9"/>
        <v>41365</v>
      </c>
      <c r="G316" cm="1">
        <f t="array" ref="G316">PRODUCT( _xlfn._xlws.FILTER($E:$E, ($C:$C=C316)*($F:$F=F316)) ) - 1</f>
        <v>-3.6729742837636747E-2</v>
      </c>
      <c r="J316" t="str">
        <v>FTS</v>
      </c>
      <c r="K316" s="1">
        <v>41274</v>
      </c>
      <c r="L316">
        <v>1.7994444658174791E-2</v>
      </c>
    </row>
    <row r="317" spans="1:12" x14ac:dyDescent="0.2">
      <c r="A317" s="1">
        <v>41367</v>
      </c>
      <c r="B317">
        <v>2</v>
      </c>
      <c r="C317" t="s">
        <v>11</v>
      </c>
      <c r="D317">
        <v>-1.881E-2</v>
      </c>
      <c r="E317">
        <f t="shared" si="8"/>
        <v>0.98119000000000001</v>
      </c>
      <c r="F317" s="1">
        <f t="shared" si="9"/>
        <v>41365</v>
      </c>
      <c r="G317" cm="1">
        <f t="array" ref="G317">PRODUCT( _xlfn._xlws.FILTER($E:$E, ($C:$C=C317)*($F:$F=F317)) ) - 1</f>
        <v>-3.6729742837636747E-2</v>
      </c>
      <c r="J317" t="str">
        <v>FTS</v>
      </c>
      <c r="K317" s="1">
        <v>41281</v>
      </c>
      <c r="L317">
        <v>-4.6353501435201228E-3</v>
      </c>
    </row>
    <row r="318" spans="1:12" x14ac:dyDescent="0.2">
      <c r="A318" s="1">
        <v>41368</v>
      </c>
      <c r="B318">
        <v>2</v>
      </c>
      <c r="C318" t="s">
        <v>11</v>
      </c>
      <c r="D318">
        <v>-6.1869999999999998E-3</v>
      </c>
      <c r="E318">
        <f t="shared" si="8"/>
        <v>0.99381299999999995</v>
      </c>
      <c r="F318" s="1">
        <f t="shared" si="9"/>
        <v>41365</v>
      </c>
      <c r="G318" cm="1">
        <f t="array" ref="G318">PRODUCT( _xlfn._xlws.FILTER($E:$E, ($C:$C=C318)*($F:$F=F318)) ) - 1</f>
        <v>-3.6729742837636747E-2</v>
      </c>
      <c r="J318" t="str">
        <v>FTS</v>
      </c>
      <c r="K318" s="1">
        <v>41288</v>
      </c>
      <c r="L318">
        <v>4.0752281108260568E-3</v>
      </c>
    </row>
    <row r="319" spans="1:12" x14ac:dyDescent="0.2">
      <c r="A319" s="1">
        <v>41369</v>
      </c>
      <c r="B319">
        <v>2</v>
      </c>
      <c r="C319" t="s">
        <v>11</v>
      </c>
      <c r="D319">
        <v>3.7759999999999998E-3</v>
      </c>
      <c r="E319">
        <f t="shared" si="8"/>
        <v>1.003776</v>
      </c>
      <c r="F319" s="1">
        <f t="shared" si="9"/>
        <v>41365</v>
      </c>
      <c r="G319" cm="1">
        <f t="array" ref="G319">PRODUCT( _xlfn._xlws.FILTER($E:$E, ($C:$C=C319)*($F:$F=F319)) ) - 1</f>
        <v>-3.6729742837636747E-2</v>
      </c>
      <c r="J319" t="str">
        <v>FTS</v>
      </c>
      <c r="K319" s="1">
        <v>41295</v>
      </c>
      <c r="L319">
        <v>-3.1904109204851094E-3</v>
      </c>
    </row>
    <row r="320" spans="1:12" x14ac:dyDescent="0.2">
      <c r="A320" s="1">
        <v>41372</v>
      </c>
      <c r="B320">
        <v>2</v>
      </c>
      <c r="C320" t="s">
        <v>11</v>
      </c>
      <c r="D320">
        <v>5.0799999999999999E-4</v>
      </c>
      <c r="E320">
        <f t="shared" si="8"/>
        <v>1.000508</v>
      </c>
      <c r="F320" s="1">
        <f t="shared" si="9"/>
        <v>41372</v>
      </c>
      <c r="G320" cm="1">
        <f t="array" ref="G320">PRODUCT( _xlfn._xlws.FILTER($E:$E, ($C:$C=C320)*($F:$F=F320)) ) - 1</f>
        <v>7.7263635436670697E-3</v>
      </c>
      <c r="J320" t="str">
        <v>FTS</v>
      </c>
      <c r="K320" s="1">
        <v>41302</v>
      </c>
      <c r="L320">
        <v>4.3623262487095804E-3</v>
      </c>
    </row>
    <row r="321" spans="1:12" x14ac:dyDescent="0.2">
      <c r="A321" s="1">
        <v>41373</v>
      </c>
      <c r="B321">
        <v>2</v>
      </c>
      <c r="C321" t="s">
        <v>11</v>
      </c>
      <c r="D321">
        <v>-2.947E-3</v>
      </c>
      <c r="E321">
        <f t="shared" si="8"/>
        <v>0.99705299999999997</v>
      </c>
      <c r="F321" s="1">
        <f t="shared" si="9"/>
        <v>41372</v>
      </c>
      <c r="G321" cm="1">
        <f t="array" ref="G321">PRODUCT( _xlfn._xlws.FILTER($E:$E, ($C:$C=C321)*($F:$F=F321)) ) - 1</f>
        <v>7.7263635436670697E-3</v>
      </c>
      <c r="J321" t="str">
        <v>FTS</v>
      </c>
      <c r="K321" s="1">
        <v>41309</v>
      </c>
      <c r="L321">
        <v>-2.1721342938743393E-2</v>
      </c>
    </row>
    <row r="322" spans="1:12" x14ac:dyDescent="0.2">
      <c r="A322" s="1">
        <v>41374</v>
      </c>
      <c r="B322">
        <v>2</v>
      </c>
      <c r="C322" t="s">
        <v>11</v>
      </c>
      <c r="D322">
        <v>9.2750000000000003E-3</v>
      </c>
      <c r="E322">
        <f t="shared" si="8"/>
        <v>1.0092749999999999</v>
      </c>
      <c r="F322" s="1">
        <f t="shared" si="9"/>
        <v>41372</v>
      </c>
      <c r="G322" cm="1">
        <f t="array" ref="G322">PRODUCT( _xlfn._xlws.FILTER($E:$E, ($C:$C=C322)*($F:$F=F322)) ) - 1</f>
        <v>7.7263635436670697E-3</v>
      </c>
      <c r="J322" t="str">
        <v>FTS</v>
      </c>
      <c r="K322" s="1">
        <v>41316</v>
      </c>
      <c r="L322">
        <v>-1.2717867026691754E-2</v>
      </c>
    </row>
    <row r="323" spans="1:12" x14ac:dyDescent="0.2">
      <c r="A323" s="1">
        <v>41375</v>
      </c>
      <c r="B323">
        <v>2</v>
      </c>
      <c r="C323" t="s">
        <v>11</v>
      </c>
      <c r="D323">
        <v>-2.5249999999999999E-3</v>
      </c>
      <c r="E323">
        <f t="shared" si="8"/>
        <v>0.997475</v>
      </c>
      <c r="F323" s="1">
        <f t="shared" si="9"/>
        <v>41372</v>
      </c>
      <c r="G323" cm="1">
        <f t="array" ref="G323">PRODUCT( _xlfn._xlws.FILTER($E:$E, ($C:$C=C323)*($F:$F=F323)) ) - 1</f>
        <v>7.7263635436670697E-3</v>
      </c>
      <c r="J323" t="str">
        <v>FTS</v>
      </c>
      <c r="K323" s="1">
        <v>41323</v>
      </c>
      <c r="L323">
        <v>2.3304967233850782E-2</v>
      </c>
    </row>
    <row r="324" spans="1:12" x14ac:dyDescent="0.2">
      <c r="A324" s="1">
        <v>41376</v>
      </c>
      <c r="B324">
        <v>2</v>
      </c>
      <c r="C324" t="s">
        <v>11</v>
      </c>
      <c r="D324">
        <v>3.4420000000000002E-3</v>
      </c>
      <c r="E324">
        <f t="shared" ref="E324:E387" si="10">D324+1</f>
        <v>1.0034419999999999</v>
      </c>
      <c r="F324" s="1">
        <f t="shared" ref="F324:F387" si="11">A324 - (WEEKDAY(A324, 2) - 1)</f>
        <v>41372</v>
      </c>
      <c r="G324" cm="1">
        <f t="array" ref="G324">PRODUCT( _xlfn._xlws.FILTER($E:$E, ($C:$C=C324)*($F:$F=F324)) ) - 1</f>
        <v>7.7263635436670697E-3</v>
      </c>
      <c r="J324" t="str">
        <v>FTS</v>
      </c>
      <c r="K324" s="1">
        <v>41330</v>
      </c>
      <c r="L324">
        <v>-5.0278588450963779E-3</v>
      </c>
    </row>
    <row r="325" spans="1:12" x14ac:dyDescent="0.2">
      <c r="A325" s="1">
        <v>41379</v>
      </c>
      <c r="B325">
        <v>2</v>
      </c>
      <c r="C325" t="s">
        <v>11</v>
      </c>
      <c r="D325">
        <v>-7.6680000000000003E-3</v>
      </c>
      <c r="E325">
        <f t="shared" si="10"/>
        <v>0.99233199999999999</v>
      </c>
      <c r="F325" s="1">
        <f t="shared" si="11"/>
        <v>41379</v>
      </c>
      <c r="G325" cm="1">
        <f t="array" ref="G325">PRODUCT( _xlfn._xlws.FILTER($E:$E, ($C:$C=C325)*($F:$F=F325)) ) - 1</f>
        <v>-6.3557043874172825E-3</v>
      </c>
      <c r="J325" t="str">
        <v>FTS</v>
      </c>
      <c r="K325" s="1">
        <v>41337</v>
      </c>
      <c r="L325">
        <v>2.6762819458638898E-3</v>
      </c>
    </row>
    <row r="326" spans="1:12" x14ac:dyDescent="0.2">
      <c r="A326" s="1">
        <v>41380</v>
      </c>
      <c r="B326">
        <v>2</v>
      </c>
      <c r="C326" t="s">
        <v>11</v>
      </c>
      <c r="D326">
        <v>6.6090000000000003E-3</v>
      </c>
      <c r="E326">
        <f t="shared" si="10"/>
        <v>1.0066090000000001</v>
      </c>
      <c r="F326" s="1">
        <f t="shared" si="11"/>
        <v>41379</v>
      </c>
      <c r="G326" cm="1">
        <f t="array" ref="G326">PRODUCT( _xlfn._xlws.FILTER($E:$E, ($C:$C=C326)*($F:$F=F326)) ) - 1</f>
        <v>-6.3557043874172825E-3</v>
      </c>
      <c r="J326" t="str">
        <v>FTS</v>
      </c>
      <c r="K326" s="1">
        <v>41344</v>
      </c>
      <c r="L326">
        <v>-1.1266549440128615E-2</v>
      </c>
    </row>
    <row r="327" spans="1:12" x14ac:dyDescent="0.2">
      <c r="A327" s="1">
        <v>41381</v>
      </c>
      <c r="B327">
        <v>2</v>
      </c>
      <c r="C327" t="s">
        <v>11</v>
      </c>
      <c r="D327">
        <v>-1.4444E-2</v>
      </c>
      <c r="E327">
        <f t="shared" si="10"/>
        <v>0.98555599999999999</v>
      </c>
      <c r="F327" s="1">
        <f t="shared" si="11"/>
        <v>41379</v>
      </c>
      <c r="G327" cm="1">
        <f t="array" ref="G327">PRODUCT( _xlfn._xlws.FILTER($E:$E, ($C:$C=C327)*($F:$F=F327)) ) - 1</f>
        <v>-6.3557043874172825E-3</v>
      </c>
      <c r="J327" t="str">
        <v>FTS</v>
      </c>
      <c r="K327" s="1">
        <v>41351</v>
      </c>
      <c r="L327">
        <v>1.0493725352853867E-2</v>
      </c>
    </row>
    <row r="328" spans="1:12" x14ac:dyDescent="0.2">
      <c r="A328" s="1">
        <v>41382</v>
      </c>
      <c r="B328">
        <v>2</v>
      </c>
      <c r="C328" t="s">
        <v>11</v>
      </c>
      <c r="D328">
        <v>-5.842E-3</v>
      </c>
      <c r="E328">
        <f t="shared" si="10"/>
        <v>0.99415799999999999</v>
      </c>
      <c r="F328" s="1">
        <f t="shared" si="11"/>
        <v>41379</v>
      </c>
      <c r="G328" cm="1">
        <f t="array" ref="G328">PRODUCT( _xlfn._xlws.FILTER($E:$E, ($C:$C=C328)*($F:$F=F328)) ) - 1</f>
        <v>-6.3557043874172825E-3</v>
      </c>
      <c r="J328" t="str">
        <v>FTS</v>
      </c>
      <c r="K328" s="1">
        <v>41358</v>
      </c>
      <c r="L328">
        <v>1.335314280065969E-2</v>
      </c>
    </row>
    <row r="329" spans="1:12" x14ac:dyDescent="0.2">
      <c r="A329" s="1">
        <v>41383</v>
      </c>
      <c r="B329">
        <v>2</v>
      </c>
      <c r="C329" t="s">
        <v>11</v>
      </c>
      <c r="D329">
        <v>1.5258000000000001E-2</v>
      </c>
      <c r="E329">
        <f t="shared" si="10"/>
        <v>1.015258</v>
      </c>
      <c r="F329" s="1">
        <f t="shared" si="11"/>
        <v>41379</v>
      </c>
      <c r="G329" cm="1">
        <f t="array" ref="G329">PRODUCT( _xlfn._xlws.FILTER($E:$E, ($C:$C=C329)*($F:$F=F329)) ) - 1</f>
        <v>-6.3557043874172825E-3</v>
      </c>
      <c r="J329" t="str">
        <v>FTS</v>
      </c>
      <c r="K329" s="1">
        <v>41365</v>
      </c>
      <c r="L329">
        <v>-1.1418663669110374E-2</v>
      </c>
    </row>
    <row r="330" spans="1:12" x14ac:dyDescent="0.2">
      <c r="A330" s="1">
        <v>41386</v>
      </c>
      <c r="B330">
        <v>2</v>
      </c>
      <c r="C330" t="s">
        <v>11</v>
      </c>
      <c r="D330">
        <v>-8.5299999999999994E-3</v>
      </c>
      <c r="E330">
        <f t="shared" si="10"/>
        <v>0.99146999999999996</v>
      </c>
      <c r="F330" s="1">
        <f t="shared" si="11"/>
        <v>41386</v>
      </c>
      <c r="G330" cm="1">
        <f t="array" ref="G330">PRODUCT( _xlfn._xlws.FILTER($E:$E, ($C:$C=C330)*($F:$F=F330)) ) - 1</f>
        <v>-9.7484690957974074E-3</v>
      </c>
      <c r="J330" t="str">
        <v>FTS</v>
      </c>
      <c r="K330" s="1">
        <v>41372</v>
      </c>
      <c r="L330">
        <v>-1.1844232062250271E-3</v>
      </c>
    </row>
    <row r="331" spans="1:12" x14ac:dyDescent="0.2">
      <c r="A331" s="1">
        <v>41387</v>
      </c>
      <c r="B331">
        <v>2</v>
      </c>
      <c r="C331" t="s">
        <v>11</v>
      </c>
      <c r="D331">
        <v>-6.6569999999999997E-3</v>
      </c>
      <c r="E331">
        <f t="shared" si="10"/>
        <v>0.99334299999999998</v>
      </c>
      <c r="F331" s="1">
        <f t="shared" si="11"/>
        <v>41386</v>
      </c>
      <c r="G331" cm="1">
        <f t="array" ref="G331">PRODUCT( _xlfn._xlws.FILTER($E:$E, ($C:$C=C331)*($F:$F=F331)) ) - 1</f>
        <v>-9.7484690957974074E-3</v>
      </c>
      <c r="J331" t="str">
        <v>FTS</v>
      </c>
      <c r="K331" s="1">
        <v>41379</v>
      </c>
      <c r="L331">
        <v>-3.2616507725877764E-3</v>
      </c>
    </row>
    <row r="332" spans="1:12" x14ac:dyDescent="0.2">
      <c r="A332" s="1">
        <v>41388</v>
      </c>
      <c r="B332">
        <v>2</v>
      </c>
      <c r="C332" t="s">
        <v>11</v>
      </c>
      <c r="D332">
        <v>9.2790000000000008E-3</v>
      </c>
      <c r="E332">
        <f t="shared" si="10"/>
        <v>1.009279</v>
      </c>
      <c r="F332" s="1">
        <f t="shared" si="11"/>
        <v>41386</v>
      </c>
      <c r="G332" cm="1">
        <f t="array" ref="G332">PRODUCT( _xlfn._xlws.FILTER($E:$E, ($C:$C=C332)*($F:$F=F332)) ) - 1</f>
        <v>-9.7484690957974074E-3</v>
      </c>
      <c r="J332" t="str">
        <v>FTS</v>
      </c>
      <c r="K332" s="1">
        <v>41386</v>
      </c>
      <c r="L332">
        <v>2.2313987248431699E-2</v>
      </c>
    </row>
    <row r="333" spans="1:12" x14ac:dyDescent="0.2">
      <c r="A333" s="1">
        <v>41389</v>
      </c>
      <c r="B333">
        <v>2</v>
      </c>
      <c r="C333" t="s">
        <v>11</v>
      </c>
      <c r="D333">
        <v>1.124E-3</v>
      </c>
      <c r="E333">
        <f t="shared" si="10"/>
        <v>1.0011239999999999</v>
      </c>
      <c r="F333" s="1">
        <f t="shared" si="11"/>
        <v>41386</v>
      </c>
      <c r="G333" cm="1">
        <f t="array" ref="G333">PRODUCT( _xlfn._xlws.FILTER($E:$E, ($C:$C=C333)*($F:$F=F333)) ) - 1</f>
        <v>-9.7484690957974074E-3</v>
      </c>
      <c r="J333" t="str">
        <v>FTS</v>
      </c>
      <c r="K333" s="1">
        <v>41393</v>
      </c>
      <c r="L333">
        <v>1.5133839884427625E-2</v>
      </c>
    </row>
    <row r="334" spans="1:12" x14ac:dyDescent="0.2">
      <c r="A334" s="1">
        <v>41390</v>
      </c>
      <c r="B334">
        <v>2</v>
      </c>
      <c r="C334" t="s">
        <v>11</v>
      </c>
      <c r="D334">
        <v>-4.8979999999999996E-3</v>
      </c>
      <c r="E334">
        <f t="shared" si="10"/>
        <v>0.99510200000000004</v>
      </c>
      <c r="F334" s="1">
        <f t="shared" si="11"/>
        <v>41386</v>
      </c>
      <c r="G334" cm="1">
        <f t="array" ref="G334">PRODUCT( _xlfn._xlws.FILTER($E:$E, ($C:$C=C334)*($F:$F=F334)) ) - 1</f>
        <v>-9.7484690957974074E-3</v>
      </c>
      <c r="J334" t="str">
        <v>FTS</v>
      </c>
      <c r="K334" s="1">
        <v>41400</v>
      </c>
      <c r="L334">
        <v>-1.1467473076374413E-2</v>
      </c>
    </row>
    <row r="335" spans="1:12" x14ac:dyDescent="0.2">
      <c r="A335" s="1">
        <v>41393</v>
      </c>
      <c r="B335">
        <v>2</v>
      </c>
      <c r="C335" t="s">
        <v>11</v>
      </c>
      <c r="D335">
        <v>3.8969999999999999E-3</v>
      </c>
      <c r="E335">
        <f t="shared" si="10"/>
        <v>1.003897</v>
      </c>
      <c r="F335" s="1">
        <f t="shared" si="11"/>
        <v>41393</v>
      </c>
      <c r="G335" cm="1">
        <f t="array" ref="G335">PRODUCT( _xlfn._xlws.FILTER($E:$E, ($C:$C=C335)*($F:$F=F335)) ) - 1</f>
        <v>2.091975601568441E-2</v>
      </c>
      <c r="J335" t="str">
        <v>FTS</v>
      </c>
      <c r="K335" s="1">
        <v>41407</v>
      </c>
      <c r="L335">
        <v>-5.1272762858770582E-3</v>
      </c>
    </row>
    <row r="336" spans="1:12" x14ac:dyDescent="0.2">
      <c r="A336" s="1">
        <v>41394</v>
      </c>
      <c r="B336">
        <v>2</v>
      </c>
      <c r="C336" t="s">
        <v>11</v>
      </c>
      <c r="D336">
        <v>7.4570000000000001E-3</v>
      </c>
      <c r="E336">
        <f t="shared" si="10"/>
        <v>1.007457</v>
      </c>
      <c r="F336" s="1">
        <f t="shared" si="11"/>
        <v>41393</v>
      </c>
      <c r="G336" cm="1">
        <f t="array" ref="G336">PRODUCT( _xlfn._xlws.FILTER($E:$E, ($C:$C=C336)*($F:$F=F336)) ) - 1</f>
        <v>2.091975601568441E-2</v>
      </c>
      <c r="J336" t="str">
        <v>FTS</v>
      </c>
      <c r="K336" s="1">
        <v>41414</v>
      </c>
      <c r="L336">
        <v>-1.0590434404971538E-2</v>
      </c>
    </row>
    <row r="337" spans="1:12" x14ac:dyDescent="0.2">
      <c r="A337" s="1">
        <v>41395</v>
      </c>
      <c r="B337">
        <v>2</v>
      </c>
      <c r="C337" t="s">
        <v>11</v>
      </c>
      <c r="D337">
        <v>-1.3586000000000001E-2</v>
      </c>
      <c r="E337">
        <f t="shared" si="10"/>
        <v>0.98641400000000001</v>
      </c>
      <c r="F337" s="1">
        <f t="shared" si="11"/>
        <v>41393</v>
      </c>
      <c r="G337" cm="1">
        <f t="array" ref="G337">PRODUCT( _xlfn._xlws.FILTER($E:$E, ($C:$C=C337)*($F:$F=F337)) ) - 1</f>
        <v>2.091975601568441E-2</v>
      </c>
      <c r="J337" t="str">
        <v>FTS</v>
      </c>
      <c r="K337" s="1">
        <v>41421</v>
      </c>
      <c r="L337">
        <v>-1.843522813729237E-2</v>
      </c>
    </row>
    <row r="338" spans="1:12" x14ac:dyDescent="0.2">
      <c r="A338" s="1">
        <v>41396</v>
      </c>
      <c r="B338">
        <v>2</v>
      </c>
      <c r="C338" t="s">
        <v>11</v>
      </c>
      <c r="D338">
        <v>1.2026E-2</v>
      </c>
      <c r="E338">
        <f t="shared" si="10"/>
        <v>1.0120260000000001</v>
      </c>
      <c r="F338" s="1">
        <f t="shared" si="11"/>
        <v>41393</v>
      </c>
      <c r="G338" cm="1">
        <f t="array" ref="G338">PRODUCT( _xlfn._xlws.FILTER($E:$E, ($C:$C=C338)*($F:$F=F338)) ) - 1</f>
        <v>2.091975601568441E-2</v>
      </c>
      <c r="J338" t="str">
        <v>FTS</v>
      </c>
      <c r="K338" s="1">
        <v>41428</v>
      </c>
      <c r="L338">
        <v>-1.6661529116495211E-2</v>
      </c>
    </row>
    <row r="339" spans="1:12" x14ac:dyDescent="0.2">
      <c r="A339" s="1">
        <v>41397</v>
      </c>
      <c r="B339">
        <v>2</v>
      </c>
      <c r="C339" t="s">
        <v>11</v>
      </c>
      <c r="D339">
        <v>1.1172E-2</v>
      </c>
      <c r="E339">
        <f t="shared" si="10"/>
        <v>1.011172</v>
      </c>
      <c r="F339" s="1">
        <f t="shared" si="11"/>
        <v>41393</v>
      </c>
      <c r="G339" cm="1">
        <f t="array" ref="G339">PRODUCT( _xlfn._xlws.FILTER($E:$E, ($C:$C=C339)*($F:$F=F339)) ) - 1</f>
        <v>2.091975601568441E-2</v>
      </c>
      <c r="J339" t="str">
        <v>FTS</v>
      </c>
      <c r="K339" s="1">
        <v>41435</v>
      </c>
      <c r="L339">
        <v>1.663586228043612E-2</v>
      </c>
    </row>
    <row r="340" spans="1:12" x14ac:dyDescent="0.2">
      <c r="A340" s="1">
        <v>41400</v>
      </c>
      <c r="B340">
        <v>2</v>
      </c>
      <c r="C340" t="s">
        <v>11</v>
      </c>
      <c r="D340">
        <v>1.1049E-2</v>
      </c>
      <c r="E340">
        <f t="shared" si="10"/>
        <v>1.0110490000000001</v>
      </c>
      <c r="F340" s="1">
        <f t="shared" si="11"/>
        <v>41400</v>
      </c>
      <c r="G340" cm="1">
        <f t="array" ref="G340">PRODUCT( _xlfn._xlws.FILTER($E:$E, ($C:$C=C340)*($F:$F=F340)) ) - 1</f>
        <v>2.9128610172069358E-2</v>
      </c>
      <c r="J340" t="str">
        <v>FTS</v>
      </c>
      <c r="K340" s="1">
        <v>41442</v>
      </c>
      <c r="L340">
        <v>-5.0607079078926032E-2</v>
      </c>
    </row>
    <row r="341" spans="1:12" x14ac:dyDescent="0.2">
      <c r="A341" s="1">
        <v>41401</v>
      </c>
      <c r="B341">
        <v>2</v>
      </c>
      <c r="C341" t="s">
        <v>11</v>
      </c>
      <c r="D341">
        <v>8.2450000000000006E-3</v>
      </c>
      <c r="E341">
        <f t="shared" si="10"/>
        <v>1.0082450000000001</v>
      </c>
      <c r="F341" s="1">
        <f t="shared" si="11"/>
        <v>41400</v>
      </c>
      <c r="G341" cm="1">
        <f t="array" ref="G341">PRODUCT( _xlfn._xlws.FILTER($E:$E, ($C:$C=C341)*($F:$F=F341)) ) - 1</f>
        <v>2.9128610172069358E-2</v>
      </c>
      <c r="J341" t="str">
        <v>FTS</v>
      </c>
      <c r="K341" s="1">
        <v>41449</v>
      </c>
      <c r="L341">
        <v>2.7448928692628938E-2</v>
      </c>
    </row>
    <row r="342" spans="1:12" x14ac:dyDescent="0.2">
      <c r="A342" s="1">
        <v>41402</v>
      </c>
      <c r="B342">
        <v>2</v>
      </c>
      <c r="C342" t="s">
        <v>11</v>
      </c>
      <c r="D342">
        <v>4.927E-3</v>
      </c>
      <c r="E342">
        <f t="shared" si="10"/>
        <v>1.0049269999999999</v>
      </c>
      <c r="F342" s="1">
        <f t="shared" si="11"/>
        <v>41400</v>
      </c>
      <c r="G342" cm="1">
        <f t="array" ref="G342">PRODUCT( _xlfn._xlws.FILTER($E:$E, ($C:$C=C342)*($F:$F=F342)) ) - 1</f>
        <v>2.9128610172069358E-2</v>
      </c>
      <c r="J342" t="str">
        <v>FTS</v>
      </c>
      <c r="K342" s="1">
        <v>41456</v>
      </c>
      <c r="L342">
        <v>-2.1435850230930309E-2</v>
      </c>
    </row>
    <row r="343" spans="1:12" x14ac:dyDescent="0.2">
      <c r="A343" s="1">
        <v>41403</v>
      </c>
      <c r="B343">
        <v>2</v>
      </c>
      <c r="C343" t="s">
        <v>11</v>
      </c>
      <c r="D343">
        <v>-9.7999999999999997E-4</v>
      </c>
      <c r="E343">
        <f t="shared" si="10"/>
        <v>0.99902000000000002</v>
      </c>
      <c r="F343" s="1">
        <f t="shared" si="11"/>
        <v>41400</v>
      </c>
      <c r="G343" cm="1">
        <f t="array" ref="G343">PRODUCT( _xlfn._xlws.FILTER($E:$E, ($C:$C=C343)*($F:$F=F343)) ) - 1</f>
        <v>2.9128610172069358E-2</v>
      </c>
      <c r="J343" t="str">
        <v>FTS</v>
      </c>
      <c r="K343" s="1">
        <v>41463</v>
      </c>
      <c r="L343">
        <v>2.7300663498477151E-2</v>
      </c>
    </row>
    <row r="344" spans="1:12" x14ac:dyDescent="0.2">
      <c r="A344" s="1">
        <v>41404</v>
      </c>
      <c r="B344">
        <v>2</v>
      </c>
      <c r="C344" t="s">
        <v>11</v>
      </c>
      <c r="D344">
        <v>5.594E-3</v>
      </c>
      <c r="E344">
        <f t="shared" si="10"/>
        <v>1.0055940000000001</v>
      </c>
      <c r="F344" s="1">
        <f t="shared" si="11"/>
        <v>41400</v>
      </c>
      <c r="G344" cm="1">
        <f t="array" ref="G344">PRODUCT( _xlfn._xlws.FILTER($E:$E, ($C:$C=C344)*($F:$F=F344)) ) - 1</f>
        <v>2.9128610172069358E-2</v>
      </c>
      <c r="J344" t="str">
        <v>FTS</v>
      </c>
      <c r="K344" s="1">
        <v>41470</v>
      </c>
      <c r="L344">
        <v>-6.1760716439540619E-4</v>
      </c>
    </row>
    <row r="345" spans="1:12" x14ac:dyDescent="0.2">
      <c r="A345" s="1">
        <v>41407</v>
      </c>
      <c r="B345">
        <v>2</v>
      </c>
      <c r="C345" t="s">
        <v>11</v>
      </c>
      <c r="D345">
        <v>-3.3180000000000002E-3</v>
      </c>
      <c r="E345">
        <f t="shared" si="10"/>
        <v>0.99668199999999996</v>
      </c>
      <c r="F345" s="1">
        <f t="shared" si="11"/>
        <v>41407</v>
      </c>
      <c r="G345" cm="1">
        <f t="array" ref="G345">PRODUCT( _xlfn._xlws.FILTER($E:$E, ($C:$C=C345)*($F:$F=F345)) ) - 1</f>
        <v>3.142776051679852E-2</v>
      </c>
      <c r="J345" t="str">
        <v>FTS</v>
      </c>
      <c r="K345" s="1">
        <v>41477</v>
      </c>
      <c r="L345">
        <v>-3.4014024747959226E-3</v>
      </c>
    </row>
    <row r="346" spans="1:12" x14ac:dyDescent="0.2">
      <c r="A346" s="1">
        <v>41408</v>
      </c>
      <c r="B346">
        <v>2</v>
      </c>
      <c r="C346" t="s">
        <v>11</v>
      </c>
      <c r="D346">
        <v>1.5765999999999999E-2</v>
      </c>
      <c r="E346">
        <f t="shared" si="10"/>
        <v>1.0157659999999999</v>
      </c>
      <c r="F346" s="1">
        <f t="shared" si="11"/>
        <v>41407</v>
      </c>
      <c r="G346" cm="1">
        <f t="array" ref="G346">PRODUCT( _xlfn._xlws.FILTER($E:$E, ($C:$C=C346)*($F:$F=F346)) ) - 1</f>
        <v>3.142776051679852E-2</v>
      </c>
      <c r="J346" t="str">
        <v>FTS</v>
      </c>
      <c r="K346" s="1">
        <v>41484</v>
      </c>
      <c r="L346">
        <v>-2.4827397733971912E-3</v>
      </c>
    </row>
    <row r="347" spans="1:12" x14ac:dyDescent="0.2">
      <c r="A347" s="1">
        <v>41409</v>
      </c>
      <c r="B347">
        <v>2</v>
      </c>
      <c r="C347" t="s">
        <v>11</v>
      </c>
      <c r="D347">
        <v>-5.1089999999999998E-3</v>
      </c>
      <c r="E347">
        <f t="shared" si="10"/>
        <v>0.99489099999999997</v>
      </c>
      <c r="F347" s="1">
        <f t="shared" si="11"/>
        <v>41407</v>
      </c>
      <c r="G347" cm="1">
        <f t="array" ref="G347">PRODUCT( _xlfn._xlws.FILTER($E:$E, ($C:$C=C347)*($F:$F=F347)) ) - 1</f>
        <v>3.142776051679852E-2</v>
      </c>
      <c r="J347" t="str">
        <v>FTS</v>
      </c>
      <c r="K347" s="1">
        <v>41491</v>
      </c>
      <c r="L347">
        <v>-1.2753342010540569E-2</v>
      </c>
    </row>
    <row r="348" spans="1:12" x14ac:dyDescent="0.2">
      <c r="A348" s="1">
        <v>41410</v>
      </c>
      <c r="B348">
        <v>2</v>
      </c>
      <c r="C348" t="s">
        <v>11</v>
      </c>
      <c r="D348">
        <v>3.8760000000000001E-3</v>
      </c>
      <c r="E348">
        <f t="shared" si="10"/>
        <v>1.003876</v>
      </c>
      <c r="F348" s="1">
        <f t="shared" si="11"/>
        <v>41407</v>
      </c>
      <c r="G348" cm="1">
        <f t="array" ref="G348">PRODUCT( _xlfn._xlws.FILTER($E:$E, ($C:$C=C348)*($F:$F=F348)) ) - 1</f>
        <v>3.142776051679852E-2</v>
      </c>
      <c r="J348" t="str">
        <v>FTS</v>
      </c>
      <c r="K348" s="1">
        <v>41498</v>
      </c>
      <c r="L348">
        <v>-6.9008625284094904E-3</v>
      </c>
    </row>
    <row r="349" spans="1:12" x14ac:dyDescent="0.2">
      <c r="A349" s="1">
        <v>41411</v>
      </c>
      <c r="B349">
        <v>2</v>
      </c>
      <c r="C349" t="s">
        <v>11</v>
      </c>
      <c r="D349">
        <v>2.0077000000000001E-2</v>
      </c>
      <c r="E349">
        <f t="shared" si="10"/>
        <v>1.0200769999999999</v>
      </c>
      <c r="F349" s="1">
        <f t="shared" si="11"/>
        <v>41407</v>
      </c>
      <c r="G349" cm="1">
        <f t="array" ref="G349">PRODUCT( _xlfn._xlws.FILTER($E:$E, ($C:$C=C349)*($F:$F=F349)) ) - 1</f>
        <v>3.142776051679852E-2</v>
      </c>
      <c r="J349" t="str">
        <v>FTS</v>
      </c>
      <c r="K349" s="1">
        <v>41505</v>
      </c>
      <c r="L349">
        <v>-2.3711229721562477E-2</v>
      </c>
    </row>
    <row r="350" spans="1:12" x14ac:dyDescent="0.2">
      <c r="A350" s="1">
        <v>41415</v>
      </c>
      <c r="B350">
        <v>2</v>
      </c>
      <c r="C350" t="s">
        <v>11</v>
      </c>
      <c r="D350">
        <v>9.4600000000000001E-4</v>
      </c>
      <c r="E350">
        <f t="shared" si="10"/>
        <v>1.0009459999999999</v>
      </c>
      <c r="F350" s="1">
        <f t="shared" si="11"/>
        <v>41414</v>
      </c>
      <c r="G350" cm="1">
        <f t="array" ref="G350">PRODUCT( _xlfn._xlws.FILTER($E:$E, ($C:$C=C350)*($F:$F=F350)) ) - 1</f>
        <v>-1.107194287733626E-2</v>
      </c>
      <c r="J350" t="str">
        <v>FTS</v>
      </c>
      <c r="K350" s="1">
        <v>41512</v>
      </c>
      <c r="L350">
        <v>-3.9388028119800023E-3</v>
      </c>
    </row>
    <row r="351" spans="1:12" x14ac:dyDescent="0.2">
      <c r="A351" s="1">
        <v>41416</v>
      </c>
      <c r="B351">
        <v>2</v>
      </c>
      <c r="C351" t="s">
        <v>11</v>
      </c>
      <c r="D351">
        <v>1.8910000000000001E-3</v>
      </c>
      <c r="E351">
        <f t="shared" si="10"/>
        <v>1.0018910000000001</v>
      </c>
      <c r="F351" s="1">
        <f t="shared" si="11"/>
        <v>41414</v>
      </c>
      <c r="G351" cm="1">
        <f t="array" ref="G351">PRODUCT( _xlfn._xlws.FILTER($E:$E, ($C:$C=C351)*($F:$F=F351)) ) - 1</f>
        <v>-1.107194287733626E-2</v>
      </c>
      <c r="J351" t="str">
        <v>FTS</v>
      </c>
      <c r="K351" s="1">
        <v>41519</v>
      </c>
      <c r="L351">
        <v>1.1861611118493487E-2</v>
      </c>
    </row>
    <row r="352" spans="1:12" x14ac:dyDescent="0.2">
      <c r="A352" s="1">
        <v>41417</v>
      </c>
      <c r="B352">
        <v>2</v>
      </c>
      <c r="C352" t="s">
        <v>11</v>
      </c>
      <c r="D352">
        <v>-1.6513E-2</v>
      </c>
      <c r="E352">
        <f t="shared" si="10"/>
        <v>0.983487</v>
      </c>
      <c r="F352" s="1">
        <f t="shared" si="11"/>
        <v>41414</v>
      </c>
      <c r="G352" cm="1">
        <f t="array" ref="G352">PRODUCT( _xlfn._xlws.FILTER($E:$E, ($C:$C=C352)*($F:$F=F352)) ) - 1</f>
        <v>-1.107194287733626E-2</v>
      </c>
      <c r="J352" t="str">
        <v>FTS</v>
      </c>
      <c r="K352" s="1">
        <v>41526</v>
      </c>
      <c r="L352">
        <v>-2.2794192905133959E-2</v>
      </c>
    </row>
    <row r="353" spans="1:12" x14ac:dyDescent="0.2">
      <c r="A353" s="1">
        <v>41418</v>
      </c>
      <c r="B353">
        <v>2</v>
      </c>
      <c r="C353" t="s">
        <v>11</v>
      </c>
      <c r="D353">
        <v>2.686E-3</v>
      </c>
      <c r="E353">
        <f t="shared" si="10"/>
        <v>1.002686</v>
      </c>
      <c r="F353" s="1">
        <f t="shared" si="11"/>
        <v>41414</v>
      </c>
      <c r="G353" cm="1">
        <f t="array" ref="G353">PRODUCT( _xlfn._xlws.FILTER($E:$E, ($C:$C=C353)*($F:$F=F353)) ) - 1</f>
        <v>-1.107194287733626E-2</v>
      </c>
      <c r="J353" t="str">
        <v>FTS</v>
      </c>
      <c r="K353" s="1">
        <v>41533</v>
      </c>
      <c r="L353">
        <v>4.8317841604937684E-2</v>
      </c>
    </row>
    <row r="354" spans="1:12" x14ac:dyDescent="0.2">
      <c r="A354" s="1">
        <v>41421</v>
      </c>
      <c r="B354">
        <v>2</v>
      </c>
      <c r="C354" t="s">
        <v>11</v>
      </c>
      <c r="D354">
        <v>-3.4450000000000001E-3</v>
      </c>
      <c r="E354">
        <f t="shared" si="10"/>
        <v>0.99655499999999997</v>
      </c>
      <c r="F354" s="1">
        <f t="shared" si="11"/>
        <v>41421</v>
      </c>
      <c r="G354" cm="1">
        <f t="array" ref="G354">PRODUCT( _xlfn._xlws.FILTER($E:$E, ($C:$C=C354)*($F:$F=F354)) ) - 1</f>
        <v>6.6980112975569828E-3</v>
      </c>
      <c r="J354" t="str">
        <v>FTS</v>
      </c>
      <c r="K354" s="1">
        <v>41540</v>
      </c>
      <c r="L354">
        <v>-4.4490723024821488E-3</v>
      </c>
    </row>
    <row r="355" spans="1:12" x14ac:dyDescent="0.2">
      <c r="A355" s="1">
        <v>41422</v>
      </c>
      <c r="B355">
        <v>2</v>
      </c>
      <c r="C355" t="s">
        <v>11</v>
      </c>
      <c r="D355">
        <v>1.0370000000000001E-2</v>
      </c>
      <c r="E355">
        <f t="shared" si="10"/>
        <v>1.01037</v>
      </c>
      <c r="F355" s="1">
        <f t="shared" si="11"/>
        <v>41421</v>
      </c>
      <c r="G355" cm="1">
        <f t="array" ref="G355">PRODUCT( _xlfn._xlws.FILTER($E:$E, ($C:$C=C355)*($F:$F=F355)) ) - 1</f>
        <v>6.6980112975569828E-3</v>
      </c>
      <c r="J355" t="str">
        <v>FTS</v>
      </c>
      <c r="K355" s="1">
        <v>41547</v>
      </c>
      <c r="L355">
        <v>-1.1813300365490886E-2</v>
      </c>
    </row>
    <row r="356" spans="1:12" x14ac:dyDescent="0.2">
      <c r="A356" s="1">
        <v>41423</v>
      </c>
      <c r="B356">
        <v>2</v>
      </c>
      <c r="C356" t="s">
        <v>11</v>
      </c>
      <c r="D356">
        <v>-7.6000000000000004E-4</v>
      </c>
      <c r="E356">
        <f t="shared" si="10"/>
        <v>0.99924000000000002</v>
      </c>
      <c r="F356" s="1">
        <f t="shared" si="11"/>
        <v>41421</v>
      </c>
      <c r="G356" cm="1">
        <f t="array" ref="G356">PRODUCT( _xlfn._xlws.FILTER($E:$E, ($C:$C=C356)*($F:$F=F356)) ) - 1</f>
        <v>6.6980112975569828E-3</v>
      </c>
      <c r="J356" t="str">
        <v>FTS</v>
      </c>
      <c r="K356" s="1">
        <v>41554</v>
      </c>
      <c r="L356">
        <v>2.4554876399546455E-2</v>
      </c>
    </row>
    <row r="357" spans="1:12" x14ac:dyDescent="0.2">
      <c r="A357" s="1">
        <v>41424</v>
      </c>
      <c r="B357">
        <v>2</v>
      </c>
      <c r="C357" t="s">
        <v>11</v>
      </c>
      <c r="D357">
        <v>7.7029999999999998E-3</v>
      </c>
      <c r="E357">
        <f t="shared" si="10"/>
        <v>1.007703</v>
      </c>
      <c r="F357" s="1">
        <f t="shared" si="11"/>
        <v>41421</v>
      </c>
      <c r="G357" cm="1">
        <f t="array" ref="G357">PRODUCT( _xlfn._xlws.FILTER($E:$E, ($C:$C=C357)*($F:$F=F357)) ) - 1</f>
        <v>6.6980112975569828E-3</v>
      </c>
      <c r="J357" t="str">
        <v>FTS</v>
      </c>
      <c r="K357" s="1">
        <v>41561</v>
      </c>
      <c r="L357">
        <v>9.4612480498632578E-3</v>
      </c>
    </row>
    <row r="358" spans="1:12" x14ac:dyDescent="0.2">
      <c r="A358" s="1">
        <v>41425</v>
      </c>
      <c r="B358">
        <v>2</v>
      </c>
      <c r="C358" t="s">
        <v>11</v>
      </c>
      <c r="D358">
        <v>-7.0780000000000001E-3</v>
      </c>
      <c r="E358">
        <f t="shared" si="10"/>
        <v>0.99292199999999997</v>
      </c>
      <c r="F358" s="1">
        <f t="shared" si="11"/>
        <v>41421</v>
      </c>
      <c r="G358" cm="1">
        <f t="array" ref="G358">PRODUCT( _xlfn._xlws.FILTER($E:$E, ($C:$C=C358)*($F:$F=F358)) ) - 1</f>
        <v>6.6980112975569828E-3</v>
      </c>
      <c r="J358" t="str">
        <v>FTS</v>
      </c>
      <c r="K358" s="1">
        <v>41568</v>
      </c>
      <c r="L358">
        <v>2.1868587877892143E-2</v>
      </c>
    </row>
    <row r="359" spans="1:12" x14ac:dyDescent="0.2">
      <c r="A359" s="1">
        <v>41428</v>
      </c>
      <c r="B359">
        <v>2</v>
      </c>
      <c r="C359" t="s">
        <v>11</v>
      </c>
      <c r="D359">
        <v>3.042E-3</v>
      </c>
      <c r="E359">
        <f t="shared" si="10"/>
        <v>1.003042</v>
      </c>
      <c r="F359" s="1">
        <f t="shared" si="11"/>
        <v>41428</v>
      </c>
      <c r="G359" cm="1">
        <f t="array" ref="G359">PRODUCT( _xlfn._xlws.FILTER($E:$E, ($C:$C=C359)*($F:$F=F359)) ) - 1</f>
        <v>-2.7756092364462415E-2</v>
      </c>
      <c r="J359" t="str">
        <v>FTS</v>
      </c>
      <c r="K359" s="1">
        <v>41575</v>
      </c>
      <c r="L359">
        <v>-7.3380166578755901E-3</v>
      </c>
    </row>
    <row r="360" spans="1:12" x14ac:dyDescent="0.2">
      <c r="A360" s="1">
        <v>41429</v>
      </c>
      <c r="B360">
        <v>2</v>
      </c>
      <c r="C360" t="s">
        <v>11</v>
      </c>
      <c r="D360">
        <v>9.4799999999999995E-4</v>
      </c>
      <c r="E360">
        <f t="shared" si="10"/>
        <v>1.0009479999999999</v>
      </c>
      <c r="F360" s="1">
        <f t="shared" si="11"/>
        <v>41428</v>
      </c>
      <c r="G360" cm="1">
        <f t="array" ref="G360">PRODUCT( _xlfn._xlws.FILTER($E:$E, ($C:$C=C360)*($F:$F=F360)) ) - 1</f>
        <v>-2.7756092364462415E-2</v>
      </c>
      <c r="J360" t="str">
        <v>FTS</v>
      </c>
      <c r="K360" s="1">
        <v>41582</v>
      </c>
      <c r="L360">
        <v>-1.8170338276968789E-2</v>
      </c>
    </row>
    <row r="361" spans="1:12" x14ac:dyDescent="0.2">
      <c r="A361" s="1">
        <v>41430</v>
      </c>
      <c r="B361">
        <v>2</v>
      </c>
      <c r="C361" t="s">
        <v>11</v>
      </c>
      <c r="D361">
        <v>-3.1052E-2</v>
      </c>
      <c r="E361">
        <f t="shared" si="10"/>
        <v>0.96894800000000003</v>
      </c>
      <c r="F361" s="1">
        <f t="shared" si="11"/>
        <v>41428</v>
      </c>
      <c r="G361" cm="1">
        <f t="array" ref="G361">PRODUCT( _xlfn._xlws.FILTER($E:$E, ($C:$C=C361)*($F:$F=F361)) ) - 1</f>
        <v>-2.7756092364462415E-2</v>
      </c>
      <c r="J361" t="str">
        <v>FTS</v>
      </c>
      <c r="K361" s="1">
        <v>41589</v>
      </c>
      <c r="L361">
        <v>5.0829633307118982E-3</v>
      </c>
    </row>
    <row r="362" spans="1:12" x14ac:dyDescent="0.2">
      <c r="A362" s="1">
        <v>41431</v>
      </c>
      <c r="B362">
        <v>2</v>
      </c>
      <c r="C362" t="s">
        <v>11</v>
      </c>
      <c r="D362">
        <v>-5.8900000000000001E-4</v>
      </c>
      <c r="E362">
        <f t="shared" si="10"/>
        <v>0.99941100000000005</v>
      </c>
      <c r="F362" s="1">
        <f t="shared" si="11"/>
        <v>41428</v>
      </c>
      <c r="G362" cm="1">
        <f t="array" ref="G362">PRODUCT( _xlfn._xlws.FILTER($E:$E, ($C:$C=C362)*($F:$F=F362)) ) - 1</f>
        <v>-2.7756092364462415E-2</v>
      </c>
      <c r="J362" t="str">
        <v>FTS</v>
      </c>
      <c r="K362" s="1">
        <v>41596</v>
      </c>
      <c r="L362">
        <v>-5.3589328671936887E-3</v>
      </c>
    </row>
    <row r="363" spans="1:12" x14ac:dyDescent="0.2">
      <c r="A363" s="1">
        <v>41432</v>
      </c>
      <c r="B363">
        <v>2</v>
      </c>
      <c r="C363" t="s">
        <v>11</v>
      </c>
      <c r="D363">
        <v>0</v>
      </c>
      <c r="E363">
        <f t="shared" si="10"/>
        <v>1</v>
      </c>
      <c r="F363" s="1">
        <f t="shared" si="11"/>
        <v>41428</v>
      </c>
      <c r="G363" cm="1">
        <f t="array" ref="G363">PRODUCT( _xlfn._xlws.FILTER($E:$E, ($C:$C=C363)*($F:$F=F363)) ) - 1</f>
        <v>-2.7756092364462415E-2</v>
      </c>
      <c r="J363" t="str">
        <v>FTS</v>
      </c>
      <c r="K363" s="1">
        <v>41603</v>
      </c>
      <c r="L363">
        <v>-1.2990181595987638E-2</v>
      </c>
    </row>
    <row r="364" spans="1:12" x14ac:dyDescent="0.2">
      <c r="A364" s="1">
        <v>41435</v>
      </c>
      <c r="B364">
        <v>2</v>
      </c>
      <c r="C364" t="s">
        <v>11</v>
      </c>
      <c r="D364">
        <v>-5.3010000000000002E-3</v>
      </c>
      <c r="E364">
        <f t="shared" si="10"/>
        <v>0.994699</v>
      </c>
      <c r="F364" s="1">
        <f t="shared" si="11"/>
        <v>41435</v>
      </c>
      <c r="G364" cm="1">
        <f t="array" ref="G364">PRODUCT( _xlfn._xlws.FILTER($E:$E, ($C:$C=C364)*($F:$F=F364)) ) - 1</f>
        <v>-1.9437354616859026E-2</v>
      </c>
      <c r="J364" t="str">
        <v>FTS</v>
      </c>
      <c r="K364" s="1">
        <v>41610</v>
      </c>
      <c r="L364">
        <v>8.3470595296648575E-3</v>
      </c>
    </row>
    <row r="365" spans="1:12" x14ac:dyDescent="0.2">
      <c r="A365" s="1">
        <v>41436</v>
      </c>
      <c r="B365">
        <v>2</v>
      </c>
      <c r="C365" t="s">
        <v>11</v>
      </c>
      <c r="D365">
        <v>-8.685E-3</v>
      </c>
      <c r="E365">
        <f t="shared" si="10"/>
        <v>0.99131499999999995</v>
      </c>
      <c r="F365" s="1">
        <f t="shared" si="11"/>
        <v>41435</v>
      </c>
      <c r="G365" cm="1">
        <f t="array" ref="G365">PRODUCT( _xlfn._xlws.FILTER($E:$E, ($C:$C=C365)*($F:$F=F365)) ) - 1</f>
        <v>-1.9437354616859026E-2</v>
      </c>
      <c r="J365" t="str">
        <v>FTS</v>
      </c>
      <c r="K365" s="1">
        <v>41617</v>
      </c>
      <c r="L365">
        <v>-4.1070139025888186E-2</v>
      </c>
    </row>
    <row r="366" spans="1:12" x14ac:dyDescent="0.2">
      <c r="A366" s="1">
        <v>41437</v>
      </c>
      <c r="B366">
        <v>2</v>
      </c>
      <c r="C366" t="s">
        <v>11</v>
      </c>
      <c r="D366">
        <v>-3.385E-3</v>
      </c>
      <c r="E366">
        <f t="shared" si="10"/>
        <v>0.99661500000000003</v>
      </c>
      <c r="F366" s="1">
        <f t="shared" si="11"/>
        <v>41435</v>
      </c>
      <c r="G366" cm="1">
        <f t="array" ref="G366">PRODUCT( _xlfn._xlws.FILTER($E:$E, ($C:$C=C366)*($F:$F=F366)) ) - 1</f>
        <v>-1.9437354616859026E-2</v>
      </c>
      <c r="J366" t="str">
        <v>FTS</v>
      </c>
      <c r="K366" s="1">
        <v>41624</v>
      </c>
      <c r="L366">
        <v>1.328140374591813E-2</v>
      </c>
    </row>
    <row r="367" spans="1:12" x14ac:dyDescent="0.2">
      <c r="A367" s="1">
        <v>41438</v>
      </c>
      <c r="B367">
        <v>2</v>
      </c>
      <c r="C367" t="s">
        <v>11</v>
      </c>
      <c r="D367">
        <v>9.9900000000000006E-3</v>
      </c>
      <c r="E367">
        <f t="shared" si="10"/>
        <v>1.0099899999999999</v>
      </c>
      <c r="F367" s="1">
        <f t="shared" si="11"/>
        <v>41435</v>
      </c>
      <c r="G367" cm="1">
        <f t="array" ref="G367">PRODUCT( _xlfn._xlws.FILTER($E:$E, ($C:$C=C367)*($F:$F=F367)) ) - 1</f>
        <v>-1.9437354616859026E-2</v>
      </c>
      <c r="J367" t="str">
        <v>FTS</v>
      </c>
      <c r="K367" s="1">
        <v>41631</v>
      </c>
      <c r="L367">
        <v>-4.2593223447163764E-3</v>
      </c>
    </row>
    <row r="368" spans="1:12" x14ac:dyDescent="0.2">
      <c r="A368" s="1">
        <v>41439</v>
      </c>
      <c r="B368">
        <v>2</v>
      </c>
      <c r="C368" t="s">
        <v>11</v>
      </c>
      <c r="D368">
        <v>-1.2067E-2</v>
      </c>
      <c r="E368">
        <f t="shared" si="10"/>
        <v>0.98793299999999995</v>
      </c>
      <c r="F368" s="1">
        <f t="shared" si="11"/>
        <v>41435</v>
      </c>
      <c r="G368" cm="1">
        <f t="array" ref="G368">PRODUCT( _xlfn._xlws.FILTER($E:$E, ($C:$C=C368)*($F:$F=F368)) ) - 1</f>
        <v>-1.9437354616859026E-2</v>
      </c>
      <c r="J368" t="str">
        <v>FTS</v>
      </c>
      <c r="K368" s="1">
        <v>41638</v>
      </c>
      <c r="L368">
        <v>9.8661278344769343E-4</v>
      </c>
    </row>
    <row r="369" spans="1:12" x14ac:dyDescent="0.2">
      <c r="A369" s="1">
        <v>41442</v>
      </c>
      <c r="B369">
        <v>2</v>
      </c>
      <c r="C369" t="s">
        <v>11</v>
      </c>
      <c r="D369">
        <v>-2.0019999999999999E-3</v>
      </c>
      <c r="E369">
        <f t="shared" si="10"/>
        <v>0.99799800000000005</v>
      </c>
      <c r="F369" s="1">
        <f t="shared" si="11"/>
        <v>41442</v>
      </c>
      <c r="G369" cm="1">
        <f t="array" ref="G369">PRODUCT( _xlfn._xlws.FILTER($E:$E, ($C:$C=C369)*($F:$F=F369)) ) - 1</f>
        <v>-5.2054127343613699E-3</v>
      </c>
      <c r="J369" t="str">
        <v>FTS</v>
      </c>
      <c r="K369" s="1">
        <v>41645</v>
      </c>
      <c r="L369">
        <v>-9.8756626185692031E-4</v>
      </c>
    </row>
    <row r="370" spans="1:12" x14ac:dyDescent="0.2">
      <c r="A370" s="1">
        <v>41443</v>
      </c>
      <c r="B370">
        <v>2</v>
      </c>
      <c r="C370" t="s">
        <v>11</v>
      </c>
      <c r="D370">
        <v>1.5650000000000001E-2</v>
      </c>
      <c r="E370">
        <f t="shared" si="10"/>
        <v>1.0156499999999999</v>
      </c>
      <c r="F370" s="1">
        <f t="shared" si="11"/>
        <v>41442</v>
      </c>
      <c r="G370" cm="1">
        <f t="array" ref="G370">PRODUCT( _xlfn._xlws.FILTER($E:$E, ($C:$C=C370)*($F:$F=F370)) ) - 1</f>
        <v>-5.2054127343613699E-3</v>
      </c>
      <c r="J370" t="str">
        <v>FTS</v>
      </c>
      <c r="K370" s="1">
        <v>41652</v>
      </c>
      <c r="L370">
        <v>-5.2652687389326269E-3</v>
      </c>
    </row>
    <row r="371" spans="1:12" x14ac:dyDescent="0.2">
      <c r="A371" s="1">
        <v>41444</v>
      </c>
      <c r="B371">
        <v>2</v>
      </c>
      <c r="C371" t="s">
        <v>11</v>
      </c>
      <c r="D371">
        <v>-7.9019999999999993E-3</v>
      </c>
      <c r="E371">
        <f t="shared" si="10"/>
        <v>0.99209800000000004</v>
      </c>
      <c r="F371" s="1">
        <f t="shared" si="11"/>
        <v>41442</v>
      </c>
      <c r="G371" cm="1">
        <f t="array" ref="G371">PRODUCT( _xlfn._xlws.FILTER($E:$E, ($C:$C=C371)*($F:$F=F371)) ) - 1</f>
        <v>-5.2054127343613699E-3</v>
      </c>
      <c r="J371" t="str">
        <v>FTS</v>
      </c>
      <c r="K371" s="1">
        <v>41659</v>
      </c>
      <c r="L371">
        <v>2.6461255785550364E-3</v>
      </c>
    </row>
    <row r="372" spans="1:12" x14ac:dyDescent="0.2">
      <c r="A372" s="1">
        <v>41445</v>
      </c>
      <c r="B372">
        <v>2</v>
      </c>
      <c r="C372" t="s">
        <v>11</v>
      </c>
      <c r="D372">
        <v>-9.757E-3</v>
      </c>
      <c r="E372">
        <f t="shared" si="10"/>
        <v>0.99024299999999998</v>
      </c>
      <c r="F372" s="1">
        <f t="shared" si="11"/>
        <v>41442</v>
      </c>
      <c r="G372" cm="1">
        <f t="array" ref="G372">PRODUCT( _xlfn._xlws.FILTER($E:$E, ($C:$C=C372)*($F:$F=F372)) ) - 1</f>
        <v>-5.2054127343613699E-3</v>
      </c>
      <c r="J372" t="str">
        <v>FTS</v>
      </c>
      <c r="K372" s="1">
        <v>41666</v>
      </c>
      <c r="L372">
        <v>1.0227794195793782E-2</v>
      </c>
    </row>
    <row r="373" spans="1:12" x14ac:dyDescent="0.2">
      <c r="A373" s="1">
        <v>41446</v>
      </c>
      <c r="B373">
        <v>2</v>
      </c>
      <c r="C373" t="s">
        <v>11</v>
      </c>
      <c r="D373">
        <v>-1.005E-3</v>
      </c>
      <c r="E373">
        <f t="shared" si="10"/>
        <v>0.99899499999999997</v>
      </c>
      <c r="F373" s="1">
        <f t="shared" si="11"/>
        <v>41442</v>
      </c>
      <c r="G373" cm="1">
        <f t="array" ref="G373">PRODUCT( _xlfn._xlws.FILTER($E:$E, ($C:$C=C373)*($F:$F=F373)) ) - 1</f>
        <v>-5.2054127343613699E-3</v>
      </c>
      <c r="J373" t="str">
        <v>FTS</v>
      </c>
      <c r="K373" s="1">
        <v>41673</v>
      </c>
      <c r="L373">
        <v>1.2083769059409999E-2</v>
      </c>
    </row>
    <row r="374" spans="1:12" x14ac:dyDescent="0.2">
      <c r="A374" s="1">
        <v>41449</v>
      </c>
      <c r="B374">
        <v>2</v>
      </c>
      <c r="C374" t="s">
        <v>11</v>
      </c>
      <c r="D374">
        <v>-7.8499999999999993E-3</v>
      </c>
      <c r="E374">
        <f t="shared" si="10"/>
        <v>0.99214999999999998</v>
      </c>
      <c r="F374" s="1">
        <f t="shared" si="11"/>
        <v>41449</v>
      </c>
      <c r="G374" cm="1">
        <f t="array" ref="G374">PRODUCT( _xlfn._xlws.FILTER($E:$E, ($C:$C=C374)*($F:$F=F374)) ) - 1</f>
        <v>3.0595742043085794E-2</v>
      </c>
      <c r="J374" t="str">
        <v>FTS</v>
      </c>
      <c r="K374" s="1">
        <v>41680</v>
      </c>
      <c r="L374">
        <v>1.2871750542777782E-3</v>
      </c>
    </row>
    <row r="375" spans="1:12" x14ac:dyDescent="0.2">
      <c r="A375" s="1">
        <v>41450</v>
      </c>
      <c r="B375">
        <v>2</v>
      </c>
      <c r="C375" t="s">
        <v>11</v>
      </c>
      <c r="D375">
        <v>2.1911E-2</v>
      </c>
      <c r="E375">
        <f t="shared" si="10"/>
        <v>1.021911</v>
      </c>
      <c r="F375" s="1">
        <f t="shared" si="11"/>
        <v>41449</v>
      </c>
      <c r="G375" cm="1">
        <f t="array" ref="G375">PRODUCT( _xlfn._xlws.FILTER($E:$E, ($C:$C=C375)*($F:$F=F375)) ) - 1</f>
        <v>3.0595742043085794E-2</v>
      </c>
      <c r="J375" t="str">
        <v>FTS</v>
      </c>
      <c r="K375" s="1">
        <v>41687</v>
      </c>
      <c r="L375">
        <v>3.2565274485474305E-4</v>
      </c>
    </row>
    <row r="376" spans="1:12" x14ac:dyDescent="0.2">
      <c r="A376" s="1">
        <v>41451</v>
      </c>
      <c r="B376">
        <v>2</v>
      </c>
      <c r="C376" t="s">
        <v>11</v>
      </c>
      <c r="D376">
        <v>7.9410000000000001E-3</v>
      </c>
      <c r="E376">
        <f t="shared" si="10"/>
        <v>1.007941</v>
      </c>
      <c r="F376" s="1">
        <f t="shared" si="11"/>
        <v>41449</v>
      </c>
      <c r="G376" cm="1">
        <f t="array" ref="G376">PRODUCT( _xlfn._xlws.FILTER($E:$E, ($C:$C=C376)*($F:$F=F376)) ) - 1</f>
        <v>3.0595742043085794E-2</v>
      </c>
      <c r="J376" t="str">
        <v>FTS</v>
      </c>
      <c r="K376" s="1">
        <v>41694</v>
      </c>
      <c r="L376">
        <v>-2.9288868455854544E-3</v>
      </c>
    </row>
    <row r="377" spans="1:12" x14ac:dyDescent="0.2">
      <c r="A377" s="1">
        <v>41452</v>
      </c>
      <c r="B377">
        <v>2</v>
      </c>
      <c r="C377" t="s">
        <v>11</v>
      </c>
      <c r="D377">
        <v>3.7420000000000001E-3</v>
      </c>
      <c r="E377">
        <f t="shared" si="10"/>
        <v>1.0037419999999999</v>
      </c>
      <c r="F377" s="1">
        <f t="shared" si="11"/>
        <v>41449</v>
      </c>
      <c r="G377" cm="1">
        <f t="array" ref="G377">PRODUCT( _xlfn._xlws.FILTER($E:$E, ($C:$C=C377)*($F:$F=F377)) ) - 1</f>
        <v>3.0595742043085794E-2</v>
      </c>
      <c r="J377" t="str">
        <v>FTS</v>
      </c>
      <c r="K377" s="1">
        <v>41701</v>
      </c>
      <c r="L377">
        <v>8.0315248673912265E-8</v>
      </c>
    </row>
    <row r="378" spans="1:12" x14ac:dyDescent="0.2">
      <c r="A378" s="1">
        <v>41453</v>
      </c>
      <c r="B378">
        <v>2</v>
      </c>
      <c r="C378" t="s">
        <v>11</v>
      </c>
      <c r="D378">
        <v>4.7099999999999998E-3</v>
      </c>
      <c r="E378">
        <f t="shared" si="10"/>
        <v>1.00471</v>
      </c>
      <c r="F378" s="1">
        <f t="shared" si="11"/>
        <v>41449</v>
      </c>
      <c r="G378" cm="1">
        <f t="array" ref="G378">PRODUCT( _xlfn._xlws.FILTER($E:$E, ($C:$C=C378)*($F:$F=F378)) ) - 1</f>
        <v>3.0595742043085794E-2</v>
      </c>
      <c r="J378" t="str">
        <v>FTS</v>
      </c>
      <c r="K378" s="1">
        <v>41708</v>
      </c>
      <c r="L378">
        <v>2.1220688013727562E-2</v>
      </c>
    </row>
    <row r="379" spans="1:12" x14ac:dyDescent="0.2">
      <c r="A379" s="1">
        <v>41457</v>
      </c>
      <c r="B379">
        <v>2</v>
      </c>
      <c r="C379" t="s">
        <v>11</v>
      </c>
      <c r="D379">
        <v>1.123E-2</v>
      </c>
      <c r="E379">
        <f t="shared" si="10"/>
        <v>1.0112300000000001</v>
      </c>
      <c r="F379" s="1">
        <f t="shared" si="11"/>
        <v>41456</v>
      </c>
      <c r="G379" cm="1">
        <f t="array" ref="G379">PRODUCT( _xlfn._xlws.FILTER($E:$E, ($C:$C=C379)*($F:$F=F379)) ) - 1</f>
        <v>1.0350253022861189E-2</v>
      </c>
      <c r="J379" t="str">
        <v>FTS</v>
      </c>
      <c r="K379" s="1">
        <v>41715</v>
      </c>
      <c r="L379">
        <v>-2.8767831921880926E-3</v>
      </c>
    </row>
    <row r="380" spans="1:12" x14ac:dyDescent="0.2">
      <c r="A380" s="1">
        <v>41458</v>
      </c>
      <c r="B380">
        <v>2</v>
      </c>
      <c r="C380" t="s">
        <v>11</v>
      </c>
      <c r="D380">
        <v>-9.5610000000000001E-3</v>
      </c>
      <c r="E380">
        <f t="shared" si="10"/>
        <v>0.99043899999999996</v>
      </c>
      <c r="F380" s="1">
        <f t="shared" si="11"/>
        <v>41456</v>
      </c>
      <c r="G380" cm="1">
        <f t="array" ref="G380">PRODUCT( _xlfn._xlws.FILTER($E:$E, ($C:$C=C380)*($F:$F=F380)) ) - 1</f>
        <v>1.0350253022861189E-2</v>
      </c>
      <c r="J380" t="str">
        <v>FTS</v>
      </c>
      <c r="K380" s="1">
        <v>41722</v>
      </c>
      <c r="L380">
        <v>1.0258297992829624E-2</v>
      </c>
    </row>
    <row r="381" spans="1:12" x14ac:dyDescent="0.2">
      <c r="A381" s="1">
        <v>41459</v>
      </c>
      <c r="B381">
        <v>2</v>
      </c>
      <c r="C381" t="s">
        <v>11</v>
      </c>
      <c r="D381">
        <v>4.875E-3</v>
      </c>
      <c r="E381">
        <f t="shared" si="10"/>
        <v>1.004875</v>
      </c>
      <c r="F381" s="1">
        <f t="shared" si="11"/>
        <v>41456</v>
      </c>
      <c r="G381" cm="1">
        <f t="array" ref="G381">PRODUCT( _xlfn._xlws.FILTER($E:$E, ($C:$C=C381)*($F:$F=F381)) ) - 1</f>
        <v>1.0350253022861189E-2</v>
      </c>
      <c r="J381" t="str">
        <v>FTS</v>
      </c>
      <c r="K381" s="1">
        <v>41729</v>
      </c>
      <c r="L381">
        <v>-1.2703117406596132E-3</v>
      </c>
    </row>
    <row r="382" spans="1:12" x14ac:dyDescent="0.2">
      <c r="A382" s="1">
        <v>41460</v>
      </c>
      <c r="B382">
        <v>2</v>
      </c>
      <c r="C382" t="s">
        <v>11</v>
      </c>
      <c r="D382">
        <v>3.8809999999999999E-3</v>
      </c>
      <c r="E382">
        <f t="shared" si="10"/>
        <v>1.003881</v>
      </c>
      <c r="F382" s="1">
        <f t="shared" si="11"/>
        <v>41456</v>
      </c>
      <c r="G382" cm="1">
        <f t="array" ref="G382">PRODUCT( _xlfn._xlws.FILTER($E:$E, ($C:$C=C382)*($F:$F=F382)) ) - 1</f>
        <v>1.0350253022861189E-2</v>
      </c>
      <c r="J382" t="str">
        <v>FTS</v>
      </c>
      <c r="K382" s="1">
        <v>41736</v>
      </c>
      <c r="L382">
        <v>1.8429844326269818E-2</v>
      </c>
    </row>
    <row r="383" spans="1:12" x14ac:dyDescent="0.2">
      <c r="A383" s="1">
        <v>41463</v>
      </c>
      <c r="B383">
        <v>2</v>
      </c>
      <c r="C383" t="s">
        <v>11</v>
      </c>
      <c r="D383">
        <v>-7.0559999999999998E-3</v>
      </c>
      <c r="E383">
        <f t="shared" si="10"/>
        <v>0.99294400000000005</v>
      </c>
      <c r="F383" s="1">
        <f t="shared" si="11"/>
        <v>41463</v>
      </c>
      <c r="G383" cm="1">
        <f t="array" ref="G383">PRODUCT( _xlfn._xlws.FILTER($E:$E, ($C:$C=C383)*($F:$F=F383)) ) - 1</f>
        <v>1.4207517380216084E-2</v>
      </c>
      <c r="J383" t="str">
        <v>FTS</v>
      </c>
      <c r="K383" s="1">
        <v>41743</v>
      </c>
      <c r="L383">
        <v>-1.2478203935527565E-3</v>
      </c>
    </row>
    <row r="384" spans="1:12" x14ac:dyDescent="0.2">
      <c r="A384" s="1">
        <v>41464</v>
      </c>
      <c r="B384">
        <v>2</v>
      </c>
      <c r="C384" t="s">
        <v>11</v>
      </c>
      <c r="D384">
        <v>1.1778E-2</v>
      </c>
      <c r="E384">
        <f t="shared" si="10"/>
        <v>1.0117780000000001</v>
      </c>
      <c r="F384" s="1">
        <f t="shared" si="11"/>
        <v>41463</v>
      </c>
      <c r="G384" cm="1">
        <f t="array" ref="G384">PRODUCT( _xlfn._xlws.FILTER($E:$E, ($C:$C=C384)*($F:$F=F384)) ) - 1</f>
        <v>1.4207517380216084E-2</v>
      </c>
      <c r="J384" t="str">
        <v>FTS</v>
      </c>
      <c r="K384" s="1">
        <v>41750</v>
      </c>
      <c r="L384">
        <v>4.6856488552515785E-3</v>
      </c>
    </row>
    <row r="385" spans="1:12" x14ac:dyDescent="0.2">
      <c r="A385" s="1">
        <v>41465</v>
      </c>
      <c r="B385">
        <v>2</v>
      </c>
      <c r="C385" t="s">
        <v>11</v>
      </c>
      <c r="D385">
        <v>-4.7140000000000003E-3</v>
      </c>
      <c r="E385">
        <f t="shared" si="10"/>
        <v>0.995286</v>
      </c>
      <c r="F385" s="1">
        <f t="shared" si="11"/>
        <v>41463</v>
      </c>
      <c r="G385" cm="1">
        <f t="array" ref="G385">PRODUCT( _xlfn._xlws.FILTER($E:$E, ($C:$C=C385)*($F:$F=F385)) ) - 1</f>
        <v>1.4207517380216084E-2</v>
      </c>
      <c r="J385" t="str">
        <v>FTS</v>
      </c>
      <c r="K385" s="1">
        <v>41757</v>
      </c>
      <c r="L385">
        <v>1.1505104301352542E-2</v>
      </c>
    </row>
    <row r="386" spans="1:12" x14ac:dyDescent="0.2">
      <c r="A386" s="1">
        <v>41466</v>
      </c>
      <c r="B386">
        <v>2</v>
      </c>
      <c r="C386" t="s">
        <v>11</v>
      </c>
      <c r="D386">
        <v>5.4130000000000003E-3</v>
      </c>
      <c r="E386">
        <f t="shared" si="10"/>
        <v>1.0054129999999999</v>
      </c>
      <c r="F386" s="1">
        <f t="shared" si="11"/>
        <v>41463</v>
      </c>
      <c r="G386" cm="1">
        <f t="array" ref="G386">PRODUCT( _xlfn._xlws.FILTER($E:$E, ($C:$C=C386)*($F:$F=F386)) ) - 1</f>
        <v>1.4207517380216084E-2</v>
      </c>
      <c r="J386" t="str">
        <v>FTS</v>
      </c>
      <c r="K386" s="1">
        <v>41764</v>
      </c>
      <c r="L386">
        <v>3.0642155023108408E-4</v>
      </c>
    </row>
    <row r="387" spans="1:12" x14ac:dyDescent="0.2">
      <c r="A387" s="1">
        <v>41467</v>
      </c>
      <c r="B387">
        <v>2</v>
      </c>
      <c r="C387" t="s">
        <v>11</v>
      </c>
      <c r="D387">
        <v>8.8450000000000004E-3</v>
      </c>
      <c r="E387">
        <f t="shared" si="10"/>
        <v>1.008845</v>
      </c>
      <c r="F387" s="1">
        <f t="shared" si="11"/>
        <v>41463</v>
      </c>
      <c r="G387" cm="1">
        <f t="array" ref="G387">PRODUCT( _xlfn._xlws.FILTER($E:$E, ($C:$C=C387)*($F:$F=F387)) ) - 1</f>
        <v>1.4207517380216084E-2</v>
      </c>
      <c r="J387" t="str">
        <v>FTS</v>
      </c>
      <c r="K387" s="1">
        <v>41771</v>
      </c>
      <c r="L387">
        <v>3.3740961830883709E-3</v>
      </c>
    </row>
    <row r="388" spans="1:12" x14ac:dyDescent="0.2">
      <c r="A388" s="1">
        <v>41470</v>
      </c>
      <c r="B388">
        <v>2</v>
      </c>
      <c r="C388" t="s">
        <v>11</v>
      </c>
      <c r="D388">
        <v>2.287E-3</v>
      </c>
      <c r="E388">
        <f t="shared" ref="E388:E451" si="12">D388+1</f>
        <v>1.0022869999999999</v>
      </c>
      <c r="F388" s="1">
        <f t="shared" ref="F388:F451" si="13">A388 - (WEEKDAY(A388, 2) - 1)</f>
        <v>41470</v>
      </c>
      <c r="G388" cm="1">
        <f t="array" ref="G388">PRODUCT( _xlfn._xlws.FILTER($E:$E, ($C:$C=C388)*($F:$F=F388)) ) - 1</f>
        <v>5.9082195297259776E-3</v>
      </c>
      <c r="J388" t="str">
        <v>FTS</v>
      </c>
      <c r="K388" s="1">
        <v>41778</v>
      </c>
      <c r="L388">
        <v>1.0515953164312197E-2</v>
      </c>
    </row>
    <row r="389" spans="1:12" x14ac:dyDescent="0.2">
      <c r="A389" s="1">
        <v>41471</v>
      </c>
      <c r="B389">
        <v>2</v>
      </c>
      <c r="C389" t="s">
        <v>11</v>
      </c>
      <c r="D389">
        <v>-7.7019999999999996E-3</v>
      </c>
      <c r="E389">
        <f t="shared" si="12"/>
        <v>0.99229800000000001</v>
      </c>
      <c r="F389" s="1">
        <f t="shared" si="13"/>
        <v>41470</v>
      </c>
      <c r="G389" cm="1">
        <f t="array" ref="G389">PRODUCT( _xlfn._xlws.FILTER($E:$E, ($C:$C=C389)*($F:$F=F389)) ) - 1</f>
        <v>5.9082195297259776E-3</v>
      </c>
      <c r="J389" t="str">
        <v>FTS</v>
      </c>
      <c r="K389" s="1">
        <v>41785</v>
      </c>
      <c r="L389">
        <v>-3.9791269510618399E-3</v>
      </c>
    </row>
    <row r="390" spans="1:12" x14ac:dyDescent="0.2">
      <c r="A390" s="1">
        <v>41472</v>
      </c>
      <c r="B390">
        <v>2</v>
      </c>
      <c r="C390" t="s">
        <v>11</v>
      </c>
      <c r="D390">
        <v>1.0732E-2</v>
      </c>
      <c r="E390">
        <f t="shared" si="12"/>
        <v>1.010732</v>
      </c>
      <c r="F390" s="1">
        <f t="shared" si="13"/>
        <v>41470</v>
      </c>
      <c r="G390" cm="1">
        <f t="array" ref="G390">PRODUCT( _xlfn._xlws.FILTER($E:$E, ($C:$C=C390)*($F:$F=F390)) ) - 1</f>
        <v>5.9082195297259776E-3</v>
      </c>
      <c r="J390" t="str">
        <v>FTS</v>
      </c>
      <c r="K390" s="1">
        <v>41792</v>
      </c>
      <c r="L390">
        <v>-1.8437587418879464E-2</v>
      </c>
    </row>
    <row r="391" spans="1:12" x14ac:dyDescent="0.2">
      <c r="A391" s="1">
        <v>41473</v>
      </c>
      <c r="B391">
        <v>2</v>
      </c>
      <c r="C391" t="s">
        <v>11</v>
      </c>
      <c r="D391">
        <v>-1.2329999999999999E-3</v>
      </c>
      <c r="E391">
        <f t="shared" si="12"/>
        <v>0.99876699999999996</v>
      </c>
      <c r="F391" s="1">
        <f t="shared" si="13"/>
        <v>41470</v>
      </c>
      <c r="G391" cm="1">
        <f t="array" ref="G391">PRODUCT( _xlfn._xlws.FILTER($E:$E, ($C:$C=C391)*($F:$F=F391)) ) - 1</f>
        <v>5.9082195297259776E-3</v>
      </c>
      <c r="J391" t="str">
        <v>FTS</v>
      </c>
      <c r="K391" s="1">
        <v>41799</v>
      </c>
      <c r="L391">
        <v>-5.9486453224082414E-3</v>
      </c>
    </row>
    <row r="392" spans="1:12" x14ac:dyDescent="0.2">
      <c r="A392" s="1">
        <v>41474</v>
      </c>
      <c r="B392">
        <v>2</v>
      </c>
      <c r="C392" t="s">
        <v>11</v>
      </c>
      <c r="D392">
        <v>1.8990000000000001E-3</v>
      </c>
      <c r="E392">
        <f t="shared" si="12"/>
        <v>1.0018990000000001</v>
      </c>
      <c r="F392" s="1">
        <f t="shared" si="13"/>
        <v>41470</v>
      </c>
      <c r="G392" cm="1">
        <f t="array" ref="G392">PRODUCT( _xlfn._xlws.FILTER($E:$E, ($C:$C=C392)*($F:$F=F392)) ) - 1</f>
        <v>5.9082195297259776E-3</v>
      </c>
      <c r="J392" t="str">
        <v>FTS</v>
      </c>
      <c r="K392" s="1">
        <v>41806</v>
      </c>
      <c r="L392">
        <v>1.5747914879217229E-2</v>
      </c>
    </row>
    <row r="393" spans="1:12" x14ac:dyDescent="0.2">
      <c r="A393" s="1">
        <v>41477</v>
      </c>
      <c r="B393">
        <v>2</v>
      </c>
      <c r="C393" t="s">
        <v>11</v>
      </c>
      <c r="D393">
        <v>-4.6420000000000003E-3</v>
      </c>
      <c r="E393">
        <f t="shared" si="12"/>
        <v>0.99535799999999997</v>
      </c>
      <c r="F393" s="1">
        <f t="shared" si="13"/>
        <v>41477</v>
      </c>
      <c r="G393" cm="1">
        <f t="array" ref="G393">PRODUCT( _xlfn._xlws.FILTER($E:$E, ($C:$C=C393)*($F:$F=F393)) ) - 1</f>
        <v>-2.1885080006491031E-2</v>
      </c>
      <c r="J393" t="str">
        <v>FTS</v>
      </c>
      <c r="K393" s="1">
        <v>41813</v>
      </c>
      <c r="L393">
        <v>3.7204979302707386E-3</v>
      </c>
    </row>
    <row r="394" spans="1:12" x14ac:dyDescent="0.2">
      <c r="A394" s="1">
        <v>41478</v>
      </c>
      <c r="B394">
        <v>2</v>
      </c>
      <c r="C394" t="s">
        <v>11</v>
      </c>
      <c r="D394">
        <v>-3.2077000000000001E-2</v>
      </c>
      <c r="E394">
        <f t="shared" si="12"/>
        <v>0.96792299999999998</v>
      </c>
      <c r="F394" s="1">
        <f t="shared" si="13"/>
        <v>41477</v>
      </c>
      <c r="G394" cm="1">
        <f t="array" ref="G394">PRODUCT( _xlfn._xlws.FILTER($E:$E, ($C:$C=C394)*($F:$F=F394)) ) - 1</f>
        <v>-2.1885080006491031E-2</v>
      </c>
      <c r="J394" t="str">
        <v>FTS</v>
      </c>
      <c r="K394" s="1">
        <v>41820</v>
      </c>
      <c r="L394">
        <v>-6.0098570897615389E-8</v>
      </c>
    </row>
    <row r="395" spans="1:12" x14ac:dyDescent="0.2">
      <c r="A395" s="1">
        <v>41479</v>
      </c>
      <c r="B395">
        <v>2</v>
      </c>
      <c r="C395" t="s">
        <v>11</v>
      </c>
      <c r="D395">
        <v>7.7689999999999999E-3</v>
      </c>
      <c r="E395">
        <f t="shared" si="12"/>
        <v>1.0077689999999999</v>
      </c>
      <c r="F395" s="1">
        <f t="shared" si="13"/>
        <v>41477</v>
      </c>
      <c r="G395" cm="1">
        <f t="array" ref="G395">PRODUCT( _xlfn._xlws.FILTER($E:$E, ($C:$C=C395)*($F:$F=F395)) ) - 1</f>
        <v>-2.1885080006491031E-2</v>
      </c>
      <c r="J395" t="str">
        <v>FTS</v>
      </c>
      <c r="K395" s="1">
        <v>41827</v>
      </c>
      <c r="L395">
        <v>1.3282892080967335E-2</v>
      </c>
    </row>
    <row r="396" spans="1:12" x14ac:dyDescent="0.2">
      <c r="A396" s="1">
        <v>41480</v>
      </c>
      <c r="B396">
        <v>2</v>
      </c>
      <c r="C396" t="s">
        <v>11</v>
      </c>
      <c r="D396">
        <v>5.0740000000000004E-3</v>
      </c>
      <c r="E396">
        <f t="shared" si="12"/>
        <v>1.005074</v>
      </c>
      <c r="F396" s="1">
        <f t="shared" si="13"/>
        <v>41477</v>
      </c>
      <c r="G396" cm="1">
        <f t="array" ref="G396">PRODUCT( _xlfn._xlws.FILTER($E:$E, ($C:$C=C396)*($F:$F=F396)) ) - 1</f>
        <v>-2.1885080006491031E-2</v>
      </c>
      <c r="J396" t="str">
        <v>FTS</v>
      </c>
      <c r="K396" s="1">
        <v>41834</v>
      </c>
      <c r="L396">
        <v>-3.0581495052495189E-4</v>
      </c>
    </row>
    <row r="397" spans="1:12" x14ac:dyDescent="0.2">
      <c r="A397" s="1">
        <v>41481</v>
      </c>
      <c r="B397">
        <v>2</v>
      </c>
      <c r="C397" t="s">
        <v>11</v>
      </c>
      <c r="D397">
        <v>2.33E-3</v>
      </c>
      <c r="E397">
        <f t="shared" si="12"/>
        <v>1.0023299999999999</v>
      </c>
      <c r="F397" s="1">
        <f t="shared" si="13"/>
        <v>41477</v>
      </c>
      <c r="G397" cm="1">
        <f t="array" ref="G397">PRODUCT( _xlfn._xlws.FILTER($E:$E, ($C:$C=C397)*($F:$F=F397)) ) - 1</f>
        <v>-2.1885080006491031E-2</v>
      </c>
      <c r="J397" t="str">
        <v>FTS</v>
      </c>
      <c r="K397" s="1">
        <v>41841</v>
      </c>
      <c r="L397">
        <v>5.1841043196743097E-3</v>
      </c>
    </row>
    <row r="398" spans="1:12" x14ac:dyDescent="0.2">
      <c r="A398" s="1">
        <v>41484</v>
      </c>
      <c r="B398">
        <v>2</v>
      </c>
      <c r="C398" t="s">
        <v>11</v>
      </c>
      <c r="D398">
        <v>3.003E-3</v>
      </c>
      <c r="E398">
        <f t="shared" si="12"/>
        <v>1.0030030000000001</v>
      </c>
      <c r="F398" s="1">
        <f t="shared" si="13"/>
        <v>41484</v>
      </c>
      <c r="G398" cm="1">
        <f t="array" ref="G398">PRODUCT( _xlfn._xlws.FILTER($E:$E, ($C:$C=C398)*($F:$F=F398)) ) - 1</f>
        <v>1.084761414701374E-2</v>
      </c>
      <c r="J398" t="str">
        <v>FTS</v>
      </c>
      <c r="K398" s="1">
        <v>41848</v>
      </c>
      <c r="L398">
        <v>3.9441135915554426E-3</v>
      </c>
    </row>
    <row r="399" spans="1:12" x14ac:dyDescent="0.2">
      <c r="A399" s="1">
        <v>41485</v>
      </c>
      <c r="B399">
        <v>2</v>
      </c>
      <c r="C399" t="s">
        <v>11</v>
      </c>
      <c r="D399">
        <v>1.062E-3</v>
      </c>
      <c r="E399">
        <f t="shared" si="12"/>
        <v>1.0010619999999999</v>
      </c>
      <c r="F399" s="1">
        <f t="shared" si="13"/>
        <v>41484</v>
      </c>
      <c r="G399" cm="1">
        <f t="array" ref="G399">PRODUCT( _xlfn._xlws.FILTER($E:$E, ($C:$C=C399)*($F:$F=F399)) ) - 1</f>
        <v>1.084761414701374E-2</v>
      </c>
      <c r="J399" t="str">
        <v>FTS</v>
      </c>
      <c r="K399" s="1">
        <v>41855</v>
      </c>
      <c r="L399">
        <v>1.1181551457888572E-2</v>
      </c>
    </row>
    <row r="400" spans="1:12" x14ac:dyDescent="0.2">
      <c r="A400" s="1">
        <v>41486</v>
      </c>
      <c r="B400">
        <v>2</v>
      </c>
      <c r="C400" t="s">
        <v>11</v>
      </c>
      <c r="D400">
        <v>-9.6469999999999993E-3</v>
      </c>
      <c r="E400">
        <f t="shared" si="12"/>
        <v>0.99035300000000004</v>
      </c>
      <c r="F400" s="1">
        <f t="shared" si="13"/>
        <v>41484</v>
      </c>
      <c r="G400" cm="1">
        <f t="array" ref="G400">PRODUCT( _xlfn._xlws.FILTER($E:$E, ($C:$C=C400)*($F:$F=F400)) ) - 1</f>
        <v>1.084761414701374E-2</v>
      </c>
      <c r="J400" t="str">
        <v>FTS</v>
      </c>
      <c r="K400" s="1">
        <v>41862</v>
      </c>
      <c r="L400">
        <v>1.3586535525891952E-2</v>
      </c>
    </row>
    <row r="401" spans="1:12" x14ac:dyDescent="0.2">
      <c r="A401" s="1">
        <v>41487</v>
      </c>
      <c r="B401">
        <v>2</v>
      </c>
      <c r="C401" t="s">
        <v>11</v>
      </c>
      <c r="D401">
        <v>1.6071999999999999E-2</v>
      </c>
      <c r="E401">
        <f t="shared" si="12"/>
        <v>1.0160720000000001</v>
      </c>
      <c r="F401" s="1">
        <f t="shared" si="13"/>
        <v>41484</v>
      </c>
      <c r="G401" cm="1">
        <f t="array" ref="G401">PRODUCT( _xlfn._xlws.FILTER($E:$E, ($C:$C=C401)*($F:$F=F401)) ) - 1</f>
        <v>1.084761414701374E-2</v>
      </c>
      <c r="J401" t="str">
        <v>FTS</v>
      </c>
      <c r="K401" s="1">
        <v>41869</v>
      </c>
      <c r="L401">
        <v>-3.2747874044929404E-3</v>
      </c>
    </row>
    <row r="402" spans="1:12" x14ac:dyDescent="0.2">
      <c r="A402" s="1">
        <v>41488</v>
      </c>
      <c r="B402">
        <v>2</v>
      </c>
      <c r="C402" t="s">
        <v>11</v>
      </c>
      <c r="D402">
        <v>4.7899999999999999E-4</v>
      </c>
      <c r="E402">
        <f t="shared" si="12"/>
        <v>1.0004789999999999</v>
      </c>
      <c r="F402" s="1">
        <f t="shared" si="13"/>
        <v>41484</v>
      </c>
      <c r="G402" cm="1">
        <f t="array" ref="G402">PRODUCT( _xlfn._xlws.FILTER($E:$E, ($C:$C=C402)*($F:$F=F402)) ) - 1</f>
        <v>1.084761414701374E-2</v>
      </c>
      <c r="J402" t="str">
        <v>FTS</v>
      </c>
      <c r="K402" s="1">
        <v>41876</v>
      </c>
      <c r="L402">
        <v>2.0912983748215819E-3</v>
      </c>
    </row>
    <row r="403" spans="1:12" x14ac:dyDescent="0.2">
      <c r="A403" s="1">
        <v>41492</v>
      </c>
      <c r="B403">
        <v>2</v>
      </c>
      <c r="C403" t="s">
        <v>11</v>
      </c>
      <c r="D403">
        <v>-1.4947999999999999E-2</v>
      </c>
      <c r="E403">
        <f t="shared" si="12"/>
        <v>0.98505200000000004</v>
      </c>
      <c r="F403" s="1">
        <f t="shared" si="13"/>
        <v>41491</v>
      </c>
      <c r="G403" cm="1">
        <f t="array" ref="G403">PRODUCT( _xlfn._xlws.FILTER($E:$E, ($C:$C=C403)*($F:$F=F403)) ) - 1</f>
        <v>-2.6925736114693732E-2</v>
      </c>
      <c r="J403" t="str">
        <v>FTS</v>
      </c>
      <c r="K403" s="1">
        <v>41883</v>
      </c>
      <c r="L403">
        <v>1.3412633475451186E-2</v>
      </c>
    </row>
    <row r="404" spans="1:12" x14ac:dyDescent="0.2">
      <c r="A404" s="1">
        <v>41493</v>
      </c>
      <c r="B404">
        <v>2</v>
      </c>
      <c r="C404" t="s">
        <v>11</v>
      </c>
      <c r="D404">
        <v>-3.1129999999999999E-3</v>
      </c>
      <c r="E404">
        <f t="shared" si="12"/>
        <v>0.99688699999999997</v>
      </c>
      <c r="F404" s="1">
        <f t="shared" si="13"/>
        <v>41491</v>
      </c>
      <c r="G404" cm="1">
        <f t="array" ref="G404">PRODUCT( _xlfn._xlws.FILTER($E:$E, ($C:$C=C404)*($F:$F=F404)) ) - 1</f>
        <v>-2.6925736114693732E-2</v>
      </c>
      <c r="J404" t="str">
        <v>FTS</v>
      </c>
      <c r="K404" s="1">
        <v>41890</v>
      </c>
      <c r="L404">
        <v>9.999483128822817E-3</v>
      </c>
    </row>
    <row r="405" spans="1:12" x14ac:dyDescent="0.2">
      <c r="A405" s="1">
        <v>41494</v>
      </c>
      <c r="B405">
        <v>2</v>
      </c>
      <c r="C405" t="s">
        <v>11</v>
      </c>
      <c r="D405">
        <v>2.049E-3</v>
      </c>
      <c r="E405">
        <f t="shared" si="12"/>
        <v>1.002049</v>
      </c>
      <c r="F405" s="1">
        <f t="shared" si="13"/>
        <v>41491</v>
      </c>
      <c r="G405" cm="1">
        <f t="array" ref="G405">PRODUCT( _xlfn._xlws.FILTER($E:$E, ($C:$C=C405)*($F:$F=F405)) ) - 1</f>
        <v>-2.6925736114693732E-2</v>
      </c>
      <c r="J405" t="str">
        <v>FTS</v>
      </c>
      <c r="K405" s="1">
        <v>41897</v>
      </c>
      <c r="L405">
        <v>6.6984109374668144E-3</v>
      </c>
    </row>
    <row r="406" spans="1:12" x14ac:dyDescent="0.2">
      <c r="A406" s="1">
        <v>41495</v>
      </c>
      <c r="B406">
        <v>2</v>
      </c>
      <c r="C406" t="s">
        <v>11</v>
      </c>
      <c r="D406">
        <v>-1.1101E-2</v>
      </c>
      <c r="E406">
        <f t="shared" si="12"/>
        <v>0.98889899999999997</v>
      </c>
      <c r="F406" s="1">
        <f t="shared" si="13"/>
        <v>41491</v>
      </c>
      <c r="G406" cm="1">
        <f t="array" ref="G406">PRODUCT( _xlfn._xlws.FILTER($E:$E, ($C:$C=C406)*($F:$F=F406)) ) - 1</f>
        <v>-2.6925736114693732E-2</v>
      </c>
      <c r="J406" t="str">
        <v>FTS</v>
      </c>
      <c r="K406" s="1">
        <v>41904</v>
      </c>
      <c r="L406">
        <v>-1.3017069008899984E-2</v>
      </c>
    </row>
    <row r="407" spans="1:12" x14ac:dyDescent="0.2">
      <c r="A407" s="1">
        <v>41498</v>
      </c>
      <c r="B407">
        <v>2</v>
      </c>
      <c r="C407" t="s">
        <v>11</v>
      </c>
      <c r="D407">
        <v>-2.2650000000000001E-3</v>
      </c>
      <c r="E407">
        <f t="shared" si="12"/>
        <v>0.99773500000000004</v>
      </c>
      <c r="F407" s="1">
        <f t="shared" si="13"/>
        <v>41498</v>
      </c>
      <c r="G407" cm="1">
        <f t="array" ref="G407">PRODUCT( _xlfn._xlws.FILTER($E:$E, ($C:$C=C407)*($F:$F=F407)) ) - 1</f>
        <v>9.8202071016073589E-5</v>
      </c>
      <c r="J407" t="str">
        <v>FTS</v>
      </c>
      <c r="K407" s="1">
        <v>41911</v>
      </c>
      <c r="L407">
        <v>2.6670986030827626E-2</v>
      </c>
    </row>
    <row r="408" spans="1:12" x14ac:dyDescent="0.2">
      <c r="A408" s="1">
        <v>41499</v>
      </c>
      <c r="B408">
        <v>2</v>
      </c>
      <c r="C408" t="s">
        <v>11</v>
      </c>
      <c r="D408">
        <v>1.0462000000000001E-2</v>
      </c>
      <c r="E408">
        <f t="shared" si="12"/>
        <v>1.010462</v>
      </c>
      <c r="F408" s="1">
        <f t="shared" si="13"/>
        <v>41498</v>
      </c>
      <c r="G408" cm="1">
        <f t="array" ref="G408">PRODUCT( _xlfn._xlws.FILTER($E:$E, ($C:$C=C408)*($F:$F=F408)) ) - 1</f>
        <v>9.8202071016073589E-5</v>
      </c>
      <c r="J408" t="str">
        <v>FTS</v>
      </c>
      <c r="K408" s="1">
        <v>41918</v>
      </c>
      <c r="L408">
        <v>-9.7064320047425268E-3</v>
      </c>
    </row>
    <row r="409" spans="1:12" x14ac:dyDescent="0.2">
      <c r="A409" s="1">
        <v>41500</v>
      </c>
      <c r="B409">
        <v>2</v>
      </c>
      <c r="C409" t="s">
        <v>11</v>
      </c>
      <c r="D409">
        <v>-1.1233E-2</v>
      </c>
      <c r="E409">
        <f t="shared" si="12"/>
        <v>0.98876699999999995</v>
      </c>
      <c r="F409" s="1">
        <f t="shared" si="13"/>
        <v>41498</v>
      </c>
      <c r="G409" cm="1">
        <f t="array" ref="G409">PRODUCT( _xlfn._xlws.FILTER($E:$E, ($C:$C=C409)*($F:$F=F409)) ) - 1</f>
        <v>9.8202071016073589E-5</v>
      </c>
      <c r="J409" t="str">
        <v>FTS</v>
      </c>
      <c r="K409" s="1">
        <v>41925</v>
      </c>
      <c r="L409">
        <v>4.6124169452066432E-3</v>
      </c>
    </row>
    <row r="410" spans="1:12" x14ac:dyDescent="0.2">
      <c r="A410" s="1">
        <v>41501</v>
      </c>
      <c r="B410">
        <v>2</v>
      </c>
      <c r="C410" t="s">
        <v>11</v>
      </c>
      <c r="D410">
        <v>-5.0379999999999999E-3</v>
      </c>
      <c r="E410">
        <f t="shared" si="12"/>
        <v>0.99496200000000001</v>
      </c>
      <c r="F410" s="1">
        <f t="shared" si="13"/>
        <v>41498</v>
      </c>
      <c r="G410" cm="1">
        <f t="array" ref="G410">PRODUCT( _xlfn._xlws.FILTER($E:$E, ($C:$C=C410)*($F:$F=F410)) ) - 1</f>
        <v>9.8202071016073589E-5</v>
      </c>
      <c r="J410" t="str">
        <v>FTS</v>
      </c>
      <c r="K410" s="1">
        <v>41932</v>
      </c>
      <c r="L410">
        <v>1.4821180707182524E-2</v>
      </c>
    </row>
    <row r="411" spans="1:12" x14ac:dyDescent="0.2">
      <c r="A411" s="1">
        <v>41502</v>
      </c>
      <c r="B411">
        <v>2</v>
      </c>
      <c r="C411" t="s">
        <v>11</v>
      </c>
      <c r="D411">
        <v>8.3400000000000002E-3</v>
      </c>
      <c r="E411">
        <f t="shared" si="12"/>
        <v>1.00834</v>
      </c>
      <c r="F411" s="1">
        <f t="shared" si="13"/>
        <v>41498</v>
      </c>
      <c r="G411" cm="1">
        <f t="array" ref="G411">PRODUCT( _xlfn._xlws.FILTER($E:$E, ($C:$C=C411)*($F:$F=F411)) ) - 1</f>
        <v>9.8202071016073589E-5</v>
      </c>
      <c r="J411" t="str">
        <v>FTS</v>
      </c>
      <c r="K411" s="1">
        <v>41939</v>
      </c>
      <c r="L411">
        <v>4.7944636064285895E-2</v>
      </c>
    </row>
    <row r="412" spans="1:12" x14ac:dyDescent="0.2">
      <c r="A412" s="1">
        <v>41505</v>
      </c>
      <c r="B412">
        <v>2</v>
      </c>
      <c r="C412" t="s">
        <v>11</v>
      </c>
      <c r="D412">
        <v>-6.9909999999999998E-3</v>
      </c>
      <c r="E412">
        <f t="shared" si="12"/>
        <v>0.99300900000000003</v>
      </c>
      <c r="F412" s="1">
        <f t="shared" si="13"/>
        <v>41505</v>
      </c>
      <c r="G412" cm="1">
        <f t="array" ref="G412">PRODUCT( _xlfn._xlws.FILTER($E:$E, ($C:$C=C412)*($F:$F=F412)) ) - 1</f>
        <v>-3.8395427738765475E-3</v>
      </c>
      <c r="J412" t="str">
        <v>FTS</v>
      </c>
      <c r="K412" s="1">
        <v>41946</v>
      </c>
      <c r="L412">
        <v>2.7777823925019041E-2</v>
      </c>
    </row>
    <row r="413" spans="1:12" x14ac:dyDescent="0.2">
      <c r="A413" s="1">
        <v>41506</v>
      </c>
      <c r="B413">
        <v>2</v>
      </c>
      <c r="C413" t="s">
        <v>11</v>
      </c>
      <c r="D413">
        <v>-4.8589999999999996E-3</v>
      </c>
      <c r="E413">
        <f t="shared" si="12"/>
        <v>0.99514100000000005</v>
      </c>
      <c r="F413" s="1">
        <f t="shared" si="13"/>
        <v>41505</v>
      </c>
      <c r="G413" cm="1">
        <f t="array" ref="G413">PRODUCT( _xlfn._xlws.FILTER($E:$E, ($C:$C=C413)*($F:$F=F413)) ) - 1</f>
        <v>-3.8395427738765475E-3</v>
      </c>
      <c r="J413" t="str">
        <v>FTS</v>
      </c>
      <c r="K413" s="1">
        <v>41953</v>
      </c>
      <c r="L413">
        <v>2.3845639531179241E-3</v>
      </c>
    </row>
    <row r="414" spans="1:12" x14ac:dyDescent="0.2">
      <c r="A414" s="1">
        <v>41507</v>
      </c>
      <c r="B414">
        <v>2</v>
      </c>
      <c r="C414" t="s">
        <v>11</v>
      </c>
      <c r="D414">
        <v>-1.0761E-2</v>
      </c>
      <c r="E414">
        <f t="shared" si="12"/>
        <v>0.98923899999999998</v>
      </c>
      <c r="F414" s="1">
        <f t="shared" si="13"/>
        <v>41505</v>
      </c>
      <c r="G414" cm="1">
        <f t="array" ref="G414">PRODUCT( _xlfn._xlws.FILTER($E:$E, ($C:$C=C414)*($F:$F=F414)) ) - 1</f>
        <v>-3.8395427738765475E-3</v>
      </c>
      <c r="J414" t="str">
        <v>FTS</v>
      </c>
      <c r="K414" s="1">
        <v>41960</v>
      </c>
      <c r="L414">
        <v>2.7754342772482898E-2</v>
      </c>
    </row>
    <row r="415" spans="1:12" x14ac:dyDescent="0.2">
      <c r="A415" s="1">
        <v>41508</v>
      </c>
      <c r="B415">
        <v>2</v>
      </c>
      <c r="C415" t="s">
        <v>11</v>
      </c>
      <c r="D415">
        <v>1.4807000000000001E-2</v>
      </c>
      <c r="E415">
        <f t="shared" si="12"/>
        <v>1.014807</v>
      </c>
      <c r="F415" s="1">
        <f t="shared" si="13"/>
        <v>41505</v>
      </c>
      <c r="G415" cm="1">
        <f t="array" ref="G415">PRODUCT( _xlfn._xlws.FILTER($E:$E, ($C:$C=C415)*($F:$F=F415)) ) - 1</f>
        <v>-3.8395427738765475E-3</v>
      </c>
      <c r="J415" t="str">
        <v>FTS</v>
      </c>
      <c r="K415" s="1">
        <v>41967</v>
      </c>
      <c r="L415">
        <v>4.4496187723430225E-2</v>
      </c>
    </row>
    <row r="416" spans="1:12" x14ac:dyDescent="0.2">
      <c r="A416" s="1">
        <v>41509</v>
      </c>
      <c r="B416">
        <v>2</v>
      </c>
      <c r="C416" t="s">
        <v>11</v>
      </c>
      <c r="D416">
        <v>4.169E-3</v>
      </c>
      <c r="E416">
        <f t="shared" si="12"/>
        <v>1.0041690000000001</v>
      </c>
      <c r="F416" s="1">
        <f t="shared" si="13"/>
        <v>41505</v>
      </c>
      <c r="G416" cm="1">
        <f t="array" ref="G416">PRODUCT( _xlfn._xlws.FILTER($E:$E, ($C:$C=C416)*($F:$F=F416)) ) - 1</f>
        <v>-3.8395427738765475E-3</v>
      </c>
      <c r="J416" t="str">
        <v>FTS</v>
      </c>
      <c r="K416" s="1">
        <v>41974</v>
      </c>
      <c r="L416">
        <v>-2.4871402352068306E-2</v>
      </c>
    </row>
    <row r="417" spans="1:12" x14ac:dyDescent="0.2">
      <c r="A417" s="1">
        <v>41512</v>
      </c>
      <c r="B417">
        <v>2</v>
      </c>
      <c r="C417" t="s">
        <v>11</v>
      </c>
      <c r="D417">
        <v>-6.7210000000000004E-3</v>
      </c>
      <c r="E417">
        <f t="shared" si="12"/>
        <v>0.99327900000000002</v>
      </c>
      <c r="F417" s="1">
        <f t="shared" si="13"/>
        <v>41512</v>
      </c>
      <c r="G417" cm="1">
        <f t="array" ref="G417">PRODUCT( _xlfn._xlws.FILTER($E:$E, ($C:$C=C417)*($F:$F=F417)) ) - 1</f>
        <v>-2.362266858821227E-2</v>
      </c>
      <c r="J417" t="str">
        <v>FTS</v>
      </c>
      <c r="K417" s="1">
        <v>41981</v>
      </c>
      <c r="L417">
        <v>-3.8383467201878685E-2</v>
      </c>
    </row>
    <row r="418" spans="1:12" x14ac:dyDescent="0.2">
      <c r="A418" s="1">
        <v>41513</v>
      </c>
      <c r="B418">
        <v>2</v>
      </c>
      <c r="C418" t="s">
        <v>11</v>
      </c>
      <c r="D418">
        <v>-2.0996999999999998E-2</v>
      </c>
      <c r="E418">
        <f t="shared" si="12"/>
        <v>0.97900299999999996</v>
      </c>
      <c r="F418" s="1">
        <f t="shared" si="13"/>
        <v>41512</v>
      </c>
      <c r="G418" cm="1">
        <f t="array" ref="G418">PRODUCT( _xlfn._xlws.FILTER($E:$E, ($C:$C=C418)*($F:$F=F418)) ) - 1</f>
        <v>-2.362266858821227E-2</v>
      </c>
      <c r="J418" t="str">
        <v>FTS</v>
      </c>
      <c r="K418" s="1">
        <v>41988</v>
      </c>
      <c r="L418">
        <v>-3.1519648375448739E-3</v>
      </c>
    </row>
    <row r="419" spans="1:12" x14ac:dyDescent="0.2">
      <c r="A419" s="1">
        <v>41514</v>
      </c>
      <c r="B419">
        <v>2</v>
      </c>
      <c r="C419" t="s">
        <v>11</v>
      </c>
      <c r="D419">
        <v>7.8270000000000006E-3</v>
      </c>
      <c r="E419">
        <f t="shared" si="12"/>
        <v>1.007827</v>
      </c>
      <c r="F419" s="1">
        <f t="shared" si="13"/>
        <v>41512</v>
      </c>
      <c r="G419" cm="1">
        <f t="array" ref="G419">PRODUCT( _xlfn._xlws.FILTER($E:$E, ($C:$C=C419)*($F:$F=F419)) ) - 1</f>
        <v>-2.362266858821227E-2</v>
      </c>
      <c r="J419" t="str">
        <v>FTS</v>
      </c>
      <c r="K419" s="1">
        <v>41995</v>
      </c>
      <c r="L419">
        <v>2.7134684196682857E-2</v>
      </c>
    </row>
    <row r="420" spans="1:12" x14ac:dyDescent="0.2">
      <c r="A420" s="1">
        <v>41515</v>
      </c>
      <c r="B420">
        <v>2</v>
      </c>
      <c r="C420" t="s">
        <v>11</v>
      </c>
      <c r="D420">
        <v>7.1609999999999998E-3</v>
      </c>
      <c r="E420">
        <f t="shared" si="12"/>
        <v>1.007161</v>
      </c>
      <c r="F420" s="1">
        <f t="shared" si="13"/>
        <v>41512</v>
      </c>
      <c r="G420" cm="1">
        <f t="array" ref="G420">PRODUCT( _xlfn._xlws.FILTER($E:$E, ($C:$C=C420)*($F:$F=F420)) ) - 1</f>
        <v>-2.362266858821227E-2</v>
      </c>
      <c r="J420" t="str">
        <v>FTS</v>
      </c>
      <c r="K420" s="1">
        <v>42002</v>
      </c>
      <c r="L420">
        <v>5.8993590225455694E-3</v>
      </c>
    </row>
    <row r="421" spans="1:12" x14ac:dyDescent="0.2">
      <c r="A421" s="1">
        <v>41516</v>
      </c>
      <c r="B421">
        <v>2</v>
      </c>
      <c r="C421" t="s">
        <v>11</v>
      </c>
      <c r="D421">
        <v>-1.0815E-2</v>
      </c>
      <c r="E421">
        <f t="shared" si="12"/>
        <v>0.98918499999999998</v>
      </c>
      <c r="F421" s="1">
        <f t="shared" si="13"/>
        <v>41512</v>
      </c>
      <c r="G421" cm="1">
        <f t="array" ref="G421">PRODUCT( _xlfn._xlws.FILTER($E:$E, ($C:$C=C421)*($F:$F=F421)) ) - 1</f>
        <v>-2.362266858821227E-2</v>
      </c>
      <c r="J421" t="str">
        <v>FTS</v>
      </c>
      <c r="K421" s="1">
        <v>42009</v>
      </c>
      <c r="L421">
        <v>4.334626168809752E-3</v>
      </c>
    </row>
    <row r="422" spans="1:12" x14ac:dyDescent="0.2">
      <c r="A422" s="1">
        <v>41520</v>
      </c>
      <c r="B422">
        <v>2</v>
      </c>
      <c r="C422" t="s">
        <v>11</v>
      </c>
      <c r="D422">
        <v>8.2000000000000007E-3</v>
      </c>
      <c r="E422">
        <f t="shared" si="12"/>
        <v>1.0082</v>
      </c>
      <c r="F422" s="1">
        <f t="shared" si="13"/>
        <v>41519</v>
      </c>
      <c r="G422" cm="1">
        <f t="array" ref="G422">PRODUCT( _xlfn._xlws.FILTER($E:$E, ($C:$C=C422)*($F:$F=F422)) ) - 1</f>
        <v>2.0025147461002701E-2</v>
      </c>
      <c r="J422" t="str">
        <v>FTS</v>
      </c>
      <c r="K422" s="1">
        <v>42016</v>
      </c>
      <c r="L422">
        <v>2.4879329178096654E-2</v>
      </c>
    </row>
    <row r="423" spans="1:12" x14ac:dyDescent="0.2">
      <c r="A423" s="1">
        <v>41521</v>
      </c>
      <c r="B423">
        <v>2</v>
      </c>
      <c r="C423" t="s">
        <v>11</v>
      </c>
      <c r="D423">
        <v>8.234E-3</v>
      </c>
      <c r="E423">
        <f t="shared" si="12"/>
        <v>1.0082340000000001</v>
      </c>
      <c r="F423" s="1">
        <f t="shared" si="13"/>
        <v>41519</v>
      </c>
      <c r="G423" cm="1">
        <f t="array" ref="G423">PRODUCT( _xlfn._xlws.FILTER($E:$E, ($C:$C=C423)*($F:$F=F423)) ) - 1</f>
        <v>2.0025147461002701E-2</v>
      </c>
      <c r="J423" t="str">
        <v>FTS</v>
      </c>
      <c r="K423" s="1">
        <v>42023</v>
      </c>
      <c r="L423">
        <v>1.0155408436617552E-2</v>
      </c>
    </row>
    <row r="424" spans="1:12" x14ac:dyDescent="0.2">
      <c r="A424" s="1">
        <v>41522</v>
      </c>
      <c r="B424">
        <v>2</v>
      </c>
      <c r="C424" t="s">
        <v>11</v>
      </c>
      <c r="D424">
        <v>7.9670000000000001E-3</v>
      </c>
      <c r="E424">
        <f t="shared" si="12"/>
        <v>1.0079670000000001</v>
      </c>
      <c r="F424" s="1">
        <f t="shared" si="13"/>
        <v>41519</v>
      </c>
      <c r="G424" cm="1">
        <f t="array" ref="G424">PRODUCT( _xlfn._xlws.FILTER($E:$E, ($C:$C=C424)*($F:$F=F424)) ) - 1</f>
        <v>2.0025147461002701E-2</v>
      </c>
      <c r="J424" t="str">
        <v>FTS</v>
      </c>
      <c r="K424" s="1">
        <v>42030</v>
      </c>
      <c r="L424">
        <v>2.7709277110875785E-2</v>
      </c>
    </row>
    <row r="425" spans="1:12" x14ac:dyDescent="0.2">
      <c r="A425" s="1">
        <v>41523</v>
      </c>
      <c r="B425">
        <v>2</v>
      </c>
      <c r="C425" t="s">
        <v>11</v>
      </c>
      <c r="D425">
        <v>-4.4650000000000002E-3</v>
      </c>
      <c r="E425">
        <f t="shared" si="12"/>
        <v>0.99553499999999995</v>
      </c>
      <c r="F425" s="1">
        <f t="shared" si="13"/>
        <v>41519</v>
      </c>
      <c r="G425" cm="1">
        <f t="array" ref="G425">PRODUCT( _xlfn._xlws.FILTER($E:$E, ($C:$C=C425)*($F:$F=F425)) ) - 1</f>
        <v>2.0025147461002701E-2</v>
      </c>
      <c r="J425" t="str">
        <v>FTS</v>
      </c>
      <c r="K425" s="1">
        <v>42037</v>
      </c>
      <c r="L425">
        <v>-4.5573641264623488E-2</v>
      </c>
    </row>
    <row r="426" spans="1:12" x14ac:dyDescent="0.2">
      <c r="A426" s="1">
        <v>41526</v>
      </c>
      <c r="B426">
        <v>2</v>
      </c>
      <c r="C426" t="s">
        <v>11</v>
      </c>
      <c r="D426">
        <v>-4.9839999999999997E-3</v>
      </c>
      <c r="E426">
        <f t="shared" si="12"/>
        <v>0.99501600000000001</v>
      </c>
      <c r="F426" s="1">
        <f t="shared" si="13"/>
        <v>41526</v>
      </c>
      <c r="G426" cm="1">
        <f t="array" ref="G426">PRODUCT( _xlfn._xlws.FILTER($E:$E, ($C:$C=C426)*($F:$F=F426)) ) - 1</f>
        <v>9.4679657104219661E-3</v>
      </c>
      <c r="J426" t="str">
        <v>FTS</v>
      </c>
      <c r="K426" s="1">
        <v>42044</v>
      </c>
      <c r="L426">
        <v>-8.6402211971935428E-3</v>
      </c>
    </row>
    <row r="427" spans="1:12" x14ac:dyDescent="0.2">
      <c r="A427" s="1">
        <v>41527</v>
      </c>
      <c r="B427">
        <v>2</v>
      </c>
      <c r="C427" t="s">
        <v>11</v>
      </c>
      <c r="D427">
        <v>1.7030000000000001E-3</v>
      </c>
      <c r="E427">
        <f t="shared" si="12"/>
        <v>1.001703</v>
      </c>
      <c r="F427" s="1">
        <f t="shared" si="13"/>
        <v>41526</v>
      </c>
      <c r="G427" cm="1">
        <f t="array" ref="G427">PRODUCT( _xlfn._xlws.FILTER($E:$E, ($C:$C=C427)*($F:$F=F427)) ) - 1</f>
        <v>9.4679657104219661E-3</v>
      </c>
      <c r="J427" t="str">
        <v>FTS</v>
      </c>
      <c r="K427" s="1">
        <v>42051</v>
      </c>
      <c r="L427">
        <v>9.918985915303935E-3</v>
      </c>
    </row>
    <row r="428" spans="1:12" x14ac:dyDescent="0.2">
      <c r="A428" s="1">
        <v>41528</v>
      </c>
      <c r="B428">
        <v>2</v>
      </c>
      <c r="C428" t="s">
        <v>11</v>
      </c>
      <c r="D428">
        <v>7.3000000000000001E-3</v>
      </c>
      <c r="E428">
        <f t="shared" si="12"/>
        <v>1.0073000000000001</v>
      </c>
      <c r="F428" s="1">
        <f t="shared" si="13"/>
        <v>41526</v>
      </c>
      <c r="G428" cm="1">
        <f t="array" ref="G428">PRODUCT( _xlfn._xlws.FILTER($E:$E, ($C:$C=C428)*($F:$F=F428)) ) - 1</f>
        <v>9.4679657104219661E-3</v>
      </c>
      <c r="J428" t="str">
        <v>FTS</v>
      </c>
      <c r="K428" s="1">
        <v>42058</v>
      </c>
      <c r="L428">
        <v>-3.2739825841486825E-3</v>
      </c>
    </row>
    <row r="429" spans="1:12" x14ac:dyDescent="0.2">
      <c r="A429" s="1">
        <v>41529</v>
      </c>
      <c r="B429">
        <v>2</v>
      </c>
      <c r="C429" t="s">
        <v>11</v>
      </c>
      <c r="D429">
        <v>7.94E-4</v>
      </c>
      <c r="E429">
        <f t="shared" si="12"/>
        <v>1.000794</v>
      </c>
      <c r="F429" s="1">
        <f t="shared" si="13"/>
        <v>41526</v>
      </c>
      <c r="G429" cm="1">
        <f t="array" ref="G429">PRODUCT( _xlfn._xlws.FILTER($E:$E, ($C:$C=C429)*($F:$F=F429)) ) - 1</f>
        <v>9.4679657104219661E-3</v>
      </c>
      <c r="J429" t="str">
        <v>FTS</v>
      </c>
      <c r="K429" s="1">
        <v>42065</v>
      </c>
      <c r="L429">
        <v>-2.2234300474362922E-2</v>
      </c>
    </row>
    <row r="430" spans="1:12" x14ac:dyDescent="0.2">
      <c r="A430" s="1">
        <v>41530</v>
      </c>
      <c r="B430">
        <v>2</v>
      </c>
      <c r="C430" t="s">
        <v>11</v>
      </c>
      <c r="D430">
        <v>4.6620000000000003E-3</v>
      </c>
      <c r="E430">
        <f t="shared" si="12"/>
        <v>1.0046619999999999</v>
      </c>
      <c r="F430" s="1">
        <f t="shared" si="13"/>
        <v>41526</v>
      </c>
      <c r="G430" cm="1">
        <f t="array" ref="G430">PRODUCT( _xlfn._xlws.FILTER($E:$E, ($C:$C=C430)*($F:$F=F430)) ) - 1</f>
        <v>9.4679657104219661E-3</v>
      </c>
      <c r="J430" t="str">
        <v>FTS</v>
      </c>
      <c r="K430" s="1">
        <v>42072</v>
      </c>
      <c r="L430">
        <v>1.7054035255388733E-2</v>
      </c>
    </row>
    <row r="431" spans="1:12" x14ac:dyDescent="0.2">
      <c r="A431" s="1">
        <v>41533</v>
      </c>
      <c r="B431">
        <v>2</v>
      </c>
      <c r="C431" t="s">
        <v>11</v>
      </c>
      <c r="D431">
        <v>1.7080999999999999E-2</v>
      </c>
      <c r="E431">
        <f t="shared" si="12"/>
        <v>1.0170809999999999</v>
      </c>
      <c r="F431" s="1">
        <f t="shared" si="13"/>
        <v>41533</v>
      </c>
      <c r="G431" cm="1">
        <f t="array" ref="G431">PRODUCT( _xlfn._xlws.FILTER($E:$E, ($C:$C=C431)*($F:$F=F431)) ) - 1</f>
        <v>2.7645877293854149E-2</v>
      </c>
      <c r="J431" t="str">
        <v>FTS</v>
      </c>
      <c r="K431" s="1">
        <v>42079</v>
      </c>
      <c r="L431">
        <v>-1.0924010401505702E-2</v>
      </c>
    </row>
    <row r="432" spans="1:12" x14ac:dyDescent="0.2">
      <c r="A432" s="1">
        <v>41534</v>
      </c>
      <c r="B432">
        <v>2</v>
      </c>
      <c r="C432" t="s">
        <v>11</v>
      </c>
      <c r="D432">
        <v>3.88E-4</v>
      </c>
      <c r="E432">
        <f t="shared" si="12"/>
        <v>1.0003880000000001</v>
      </c>
      <c r="F432" s="1">
        <f t="shared" si="13"/>
        <v>41533</v>
      </c>
      <c r="G432" cm="1">
        <f t="array" ref="G432">PRODUCT( _xlfn._xlws.FILTER($E:$E, ($C:$C=C432)*($F:$F=F432)) ) - 1</f>
        <v>2.7645877293854149E-2</v>
      </c>
      <c r="J432" t="str">
        <v>FTS</v>
      </c>
      <c r="K432" s="1">
        <v>42086</v>
      </c>
      <c r="L432">
        <v>-2.3120003471699402E-3</v>
      </c>
    </row>
    <row r="433" spans="1:12" x14ac:dyDescent="0.2">
      <c r="A433" s="1">
        <v>41535</v>
      </c>
      <c r="B433">
        <v>2</v>
      </c>
      <c r="C433" t="s">
        <v>11</v>
      </c>
      <c r="D433">
        <v>9.8010000000000007E-3</v>
      </c>
      <c r="E433">
        <f t="shared" si="12"/>
        <v>1.0098009999999999</v>
      </c>
      <c r="F433" s="1">
        <f t="shared" si="13"/>
        <v>41533</v>
      </c>
      <c r="G433" cm="1">
        <f t="array" ref="G433">PRODUCT( _xlfn._xlws.FILTER($E:$E, ($C:$C=C433)*($F:$F=F433)) ) - 1</f>
        <v>2.7645877293854149E-2</v>
      </c>
      <c r="J433" t="str">
        <v>FTS</v>
      </c>
      <c r="K433" s="1">
        <v>42093</v>
      </c>
      <c r="L433">
        <v>2.0599914880090608E-3</v>
      </c>
    </row>
    <row r="434" spans="1:12" x14ac:dyDescent="0.2">
      <c r="A434" s="1">
        <v>41536</v>
      </c>
      <c r="B434">
        <v>2</v>
      </c>
      <c r="C434" t="s">
        <v>11</v>
      </c>
      <c r="D434">
        <v>9.3220000000000004E-3</v>
      </c>
      <c r="E434">
        <f t="shared" si="12"/>
        <v>1.0093220000000001</v>
      </c>
      <c r="F434" s="1">
        <f t="shared" si="13"/>
        <v>41533</v>
      </c>
      <c r="G434" cm="1">
        <f t="array" ref="G434">PRODUCT( _xlfn._xlws.FILTER($E:$E, ($C:$C=C434)*($F:$F=F434)) ) - 1</f>
        <v>2.7645877293854149E-2</v>
      </c>
      <c r="J434" t="str">
        <v>FTS</v>
      </c>
      <c r="K434" s="1">
        <v>42100</v>
      </c>
      <c r="L434">
        <v>1.4902122706401677E-2</v>
      </c>
    </row>
    <row r="435" spans="1:12" x14ac:dyDescent="0.2">
      <c r="A435" s="1">
        <v>41537</v>
      </c>
      <c r="B435">
        <v>2</v>
      </c>
      <c r="C435" t="s">
        <v>11</v>
      </c>
      <c r="D435">
        <v>-9.0449999999999992E-3</v>
      </c>
      <c r="E435">
        <f t="shared" si="12"/>
        <v>0.99095500000000003</v>
      </c>
      <c r="F435" s="1">
        <f t="shared" si="13"/>
        <v>41533</v>
      </c>
      <c r="G435" cm="1">
        <f t="array" ref="G435">PRODUCT( _xlfn._xlws.FILTER($E:$E, ($C:$C=C435)*($F:$F=F435)) ) - 1</f>
        <v>2.7645877293854149E-2</v>
      </c>
      <c r="J435" t="str">
        <v>FTS</v>
      </c>
      <c r="K435" s="1">
        <v>42107</v>
      </c>
      <c r="L435">
        <v>-5.8225540268865839E-3</v>
      </c>
    </row>
    <row r="436" spans="1:12" x14ac:dyDescent="0.2">
      <c r="A436" s="1">
        <v>41540</v>
      </c>
      <c r="B436">
        <v>2</v>
      </c>
      <c r="C436" t="s">
        <v>11</v>
      </c>
      <c r="D436">
        <v>1.537E-3</v>
      </c>
      <c r="E436">
        <f t="shared" si="12"/>
        <v>1.0015369999999999</v>
      </c>
      <c r="F436" s="1">
        <f t="shared" si="13"/>
        <v>41540</v>
      </c>
      <c r="G436" cm="1">
        <f t="array" ref="G436">PRODUCT( _xlfn._xlws.FILTER($E:$E, ($C:$C=C436)*($F:$F=F436)) ) - 1</f>
        <v>5.9570435710418757E-3</v>
      </c>
      <c r="J436" t="str">
        <v>FTS</v>
      </c>
      <c r="K436" s="1">
        <v>42114</v>
      </c>
      <c r="L436">
        <v>9.9308228731680437E-3</v>
      </c>
    </row>
    <row r="437" spans="1:12" x14ac:dyDescent="0.2">
      <c r="A437" s="1">
        <v>41541</v>
      </c>
      <c r="B437">
        <v>2</v>
      </c>
      <c r="C437" t="s">
        <v>11</v>
      </c>
      <c r="D437">
        <v>-1.343E-3</v>
      </c>
      <c r="E437">
        <f t="shared" si="12"/>
        <v>0.99865700000000002</v>
      </c>
      <c r="F437" s="1">
        <f t="shared" si="13"/>
        <v>41540</v>
      </c>
      <c r="G437" cm="1">
        <f t="array" ref="G437">PRODUCT( _xlfn._xlws.FILTER($E:$E, ($C:$C=C437)*($F:$F=F437)) ) - 1</f>
        <v>5.9570435710418757E-3</v>
      </c>
      <c r="J437" t="str">
        <v>FTS</v>
      </c>
      <c r="K437" s="1">
        <v>42121</v>
      </c>
      <c r="L437">
        <v>-1.4876364847274948E-2</v>
      </c>
    </row>
    <row r="438" spans="1:12" x14ac:dyDescent="0.2">
      <c r="A438" s="1">
        <v>41542</v>
      </c>
      <c r="B438">
        <v>2</v>
      </c>
      <c r="C438" t="s">
        <v>11</v>
      </c>
      <c r="D438">
        <v>-1.2775999999999999E-2</v>
      </c>
      <c r="E438">
        <f t="shared" si="12"/>
        <v>0.98722399999999999</v>
      </c>
      <c r="F438" s="1">
        <f t="shared" si="13"/>
        <v>41540</v>
      </c>
      <c r="G438" cm="1">
        <f t="array" ref="G438">PRODUCT( _xlfn._xlws.FILTER($E:$E, ($C:$C=C438)*($F:$F=F438)) ) - 1</f>
        <v>5.9570435710418757E-3</v>
      </c>
      <c r="J438" t="str">
        <v>FTS</v>
      </c>
      <c r="K438" s="1">
        <v>42128</v>
      </c>
      <c r="L438">
        <v>-7.684223893070774E-4</v>
      </c>
    </row>
    <row r="439" spans="1:12" x14ac:dyDescent="0.2">
      <c r="A439" s="1">
        <v>41543</v>
      </c>
      <c r="B439">
        <v>2</v>
      </c>
      <c r="C439" t="s">
        <v>11</v>
      </c>
      <c r="D439">
        <v>1.2747E-2</v>
      </c>
      <c r="E439">
        <f t="shared" si="12"/>
        <v>1.0127470000000001</v>
      </c>
      <c r="F439" s="1">
        <f t="shared" si="13"/>
        <v>41540</v>
      </c>
      <c r="G439" cm="1">
        <f t="array" ref="G439">PRODUCT( _xlfn._xlws.FILTER($E:$E, ($C:$C=C439)*($F:$F=F439)) ) - 1</f>
        <v>5.9570435710418757E-3</v>
      </c>
      <c r="J439" t="str">
        <v>FTS</v>
      </c>
      <c r="K439" s="1">
        <v>42135</v>
      </c>
      <c r="L439">
        <v>4.734094899972785E-3</v>
      </c>
    </row>
    <row r="440" spans="1:12" x14ac:dyDescent="0.2">
      <c r="A440" s="1">
        <v>41544</v>
      </c>
      <c r="B440">
        <v>2</v>
      </c>
      <c r="C440" t="s">
        <v>11</v>
      </c>
      <c r="D440">
        <v>5.9569999999999996E-3</v>
      </c>
      <c r="E440">
        <f t="shared" si="12"/>
        <v>1.005957</v>
      </c>
      <c r="F440" s="1">
        <f t="shared" si="13"/>
        <v>41540</v>
      </c>
      <c r="G440" cm="1">
        <f t="array" ref="G440">PRODUCT( _xlfn._xlws.FILTER($E:$E, ($C:$C=C440)*($F:$F=F440)) ) - 1</f>
        <v>5.9570435710418757E-3</v>
      </c>
      <c r="J440" t="str">
        <v>FTS</v>
      </c>
      <c r="K440" s="1">
        <v>42142</v>
      </c>
      <c r="L440">
        <v>-1.8518475541899448E-2</v>
      </c>
    </row>
    <row r="441" spans="1:12" x14ac:dyDescent="0.2">
      <c r="A441" s="1">
        <v>41547</v>
      </c>
      <c r="B441">
        <v>2</v>
      </c>
      <c r="C441" t="s">
        <v>11</v>
      </c>
      <c r="D441">
        <v>-3.1519999999999999E-3</v>
      </c>
      <c r="E441">
        <f t="shared" si="12"/>
        <v>0.99684799999999996</v>
      </c>
      <c r="F441" s="1">
        <f t="shared" si="13"/>
        <v>41547</v>
      </c>
      <c r="G441" cm="1">
        <f t="array" ref="G441">PRODUCT( _xlfn._xlws.FILTER($E:$E, ($C:$C=C441)*($F:$F=F441)) ) - 1</f>
        <v>1.2511899941313631E-2</v>
      </c>
      <c r="J441" t="str">
        <v>FTS</v>
      </c>
      <c r="K441" s="1">
        <v>42149</v>
      </c>
      <c r="L441">
        <v>-4.7171287323960476E-3</v>
      </c>
    </row>
    <row r="442" spans="1:12" x14ac:dyDescent="0.2">
      <c r="A442" s="1">
        <v>41548</v>
      </c>
      <c r="B442">
        <v>2</v>
      </c>
      <c r="C442" t="s">
        <v>11</v>
      </c>
      <c r="D442">
        <v>1.5904999999999999E-2</v>
      </c>
      <c r="E442">
        <f t="shared" si="12"/>
        <v>1.0159050000000001</v>
      </c>
      <c r="F442" s="1">
        <f t="shared" si="13"/>
        <v>41547</v>
      </c>
      <c r="G442" cm="1">
        <f t="array" ref="G442">PRODUCT( _xlfn._xlws.FILTER($E:$E, ($C:$C=C442)*($F:$F=F442)) ) - 1</f>
        <v>1.2511899941313631E-2</v>
      </c>
      <c r="J442" t="str">
        <v>FTS</v>
      </c>
      <c r="K442" s="1">
        <v>42156</v>
      </c>
      <c r="L442">
        <v>-4.3970732039855132E-2</v>
      </c>
    </row>
    <row r="443" spans="1:12" x14ac:dyDescent="0.2">
      <c r="A443" s="1">
        <v>41549</v>
      </c>
      <c r="B443">
        <v>2</v>
      </c>
      <c r="C443" t="s">
        <v>11</v>
      </c>
      <c r="D443">
        <v>9.2429999999999995E-3</v>
      </c>
      <c r="E443">
        <f t="shared" si="12"/>
        <v>1.0092429999999999</v>
      </c>
      <c r="F443" s="1">
        <f t="shared" si="13"/>
        <v>41547</v>
      </c>
      <c r="G443" cm="1">
        <f t="array" ref="G443">PRODUCT( _xlfn._xlws.FILTER($E:$E, ($C:$C=C443)*($F:$F=F443)) ) - 1</f>
        <v>1.2511899941313631E-2</v>
      </c>
      <c r="J443" t="str">
        <v>FTS</v>
      </c>
      <c r="K443" s="1">
        <v>42163</v>
      </c>
      <c r="L443">
        <v>-1.6249019077149485E-2</v>
      </c>
    </row>
    <row r="444" spans="1:12" x14ac:dyDescent="0.2">
      <c r="A444" s="1">
        <v>41550</v>
      </c>
      <c r="B444">
        <v>2</v>
      </c>
      <c r="C444" t="s">
        <v>11</v>
      </c>
      <c r="D444">
        <v>-1.1214E-2</v>
      </c>
      <c r="E444">
        <f t="shared" si="12"/>
        <v>0.98878600000000005</v>
      </c>
      <c r="F444" s="1">
        <f t="shared" si="13"/>
        <v>41547</v>
      </c>
      <c r="G444" cm="1">
        <f t="array" ref="G444">PRODUCT( _xlfn._xlws.FILTER($E:$E, ($C:$C=C444)*($F:$F=F444)) ) - 1</f>
        <v>1.2511899941313631E-2</v>
      </c>
      <c r="J444" t="str">
        <v>FTS</v>
      </c>
      <c r="K444" s="1">
        <v>42170</v>
      </c>
      <c r="L444">
        <v>7.8388336529944258E-3</v>
      </c>
    </row>
    <row r="445" spans="1:12" x14ac:dyDescent="0.2">
      <c r="A445" s="1">
        <v>41551</v>
      </c>
      <c r="B445">
        <v>2</v>
      </c>
      <c r="C445" t="s">
        <v>11</v>
      </c>
      <c r="D445">
        <v>1.89E-3</v>
      </c>
      <c r="E445">
        <f t="shared" si="12"/>
        <v>1.0018899999999999</v>
      </c>
      <c r="F445" s="1">
        <f t="shared" si="13"/>
        <v>41547</v>
      </c>
      <c r="G445" cm="1">
        <f t="array" ref="G445">PRODUCT( _xlfn._xlws.FILTER($E:$E, ($C:$C=C445)*($F:$F=F445)) ) - 1</f>
        <v>1.2511899941313631E-2</v>
      </c>
      <c r="J445" t="str">
        <v>FTS</v>
      </c>
      <c r="K445" s="1">
        <v>42177</v>
      </c>
      <c r="L445">
        <v>-1.2500545495388815E-2</v>
      </c>
    </row>
    <row r="446" spans="1:12" x14ac:dyDescent="0.2">
      <c r="A446" s="1">
        <v>41554</v>
      </c>
      <c r="B446">
        <v>2</v>
      </c>
      <c r="C446" t="s">
        <v>11</v>
      </c>
      <c r="D446">
        <v>1.1603E-2</v>
      </c>
      <c r="E446">
        <f t="shared" si="12"/>
        <v>1.011603</v>
      </c>
      <c r="F446" s="1">
        <f t="shared" si="13"/>
        <v>41554</v>
      </c>
      <c r="G446" cm="1">
        <f t="array" ref="G446">PRODUCT( _xlfn._xlws.FILTER($E:$E, ($C:$C=C446)*($F:$F=F446)) ) - 1</f>
        <v>3.2828556258398978E-2</v>
      </c>
      <c r="J446" t="str">
        <v>FTS</v>
      </c>
      <c r="K446" s="1">
        <v>42184</v>
      </c>
      <c r="L446">
        <v>1.6315233312845123E-2</v>
      </c>
    </row>
    <row r="447" spans="1:12" x14ac:dyDescent="0.2">
      <c r="A447" s="1">
        <v>41555</v>
      </c>
      <c r="B447">
        <v>2</v>
      </c>
      <c r="C447" t="s">
        <v>11</v>
      </c>
      <c r="D447">
        <v>5.5999999999999995E-4</v>
      </c>
      <c r="E447">
        <f t="shared" si="12"/>
        <v>1.0005599999999999</v>
      </c>
      <c r="F447" s="1">
        <f t="shared" si="13"/>
        <v>41554</v>
      </c>
      <c r="G447" cm="1">
        <f t="array" ref="G447">PRODUCT( _xlfn._xlws.FILTER($E:$E, ($C:$C=C447)*($F:$F=F447)) ) - 1</f>
        <v>3.2828556258398978E-2</v>
      </c>
      <c r="J447" t="str">
        <v>FTS</v>
      </c>
      <c r="K447" s="1">
        <v>42191</v>
      </c>
      <c r="L447">
        <v>4.1513069532044256E-3</v>
      </c>
    </row>
    <row r="448" spans="1:12" x14ac:dyDescent="0.2">
      <c r="A448" s="1">
        <v>41556</v>
      </c>
      <c r="B448">
        <v>2</v>
      </c>
      <c r="C448" t="s">
        <v>11</v>
      </c>
      <c r="D448">
        <v>5.9649999999999998E-3</v>
      </c>
      <c r="E448">
        <f t="shared" si="12"/>
        <v>1.005965</v>
      </c>
      <c r="F448" s="1">
        <f t="shared" si="13"/>
        <v>41554</v>
      </c>
      <c r="G448" cm="1">
        <f t="array" ref="G448">PRODUCT( _xlfn._xlws.FILTER($E:$E, ($C:$C=C448)*($F:$F=F448)) ) - 1</f>
        <v>3.2828556258398978E-2</v>
      </c>
      <c r="J448" t="str">
        <v>FTS</v>
      </c>
      <c r="K448" s="1">
        <v>42198</v>
      </c>
      <c r="L448">
        <v>5.3748190240989091E-2</v>
      </c>
    </row>
    <row r="449" spans="1:12" x14ac:dyDescent="0.2">
      <c r="A449" s="1">
        <v>41557</v>
      </c>
      <c r="B449">
        <v>2</v>
      </c>
      <c r="C449" t="s">
        <v>11</v>
      </c>
      <c r="D449">
        <v>1.7694999999999999E-2</v>
      </c>
      <c r="E449">
        <f t="shared" si="12"/>
        <v>1.017695</v>
      </c>
      <c r="F449" s="1">
        <f t="shared" si="13"/>
        <v>41554</v>
      </c>
      <c r="G449" cm="1">
        <f t="array" ref="G449">PRODUCT( _xlfn._xlws.FILTER($E:$E, ($C:$C=C449)*($F:$F=F449)) ) - 1</f>
        <v>3.2828556258398978E-2</v>
      </c>
      <c r="J449" t="str">
        <v>FTS</v>
      </c>
      <c r="K449" s="1">
        <v>42205</v>
      </c>
      <c r="L449">
        <v>-4.1591194340291349E-2</v>
      </c>
    </row>
    <row r="450" spans="1:12" x14ac:dyDescent="0.2">
      <c r="A450" s="1">
        <v>41558</v>
      </c>
      <c r="B450">
        <v>2</v>
      </c>
      <c r="C450" t="s">
        <v>11</v>
      </c>
      <c r="D450">
        <v>-3.277E-3</v>
      </c>
      <c r="E450">
        <f t="shared" si="12"/>
        <v>0.99672300000000003</v>
      </c>
      <c r="F450" s="1">
        <f t="shared" si="13"/>
        <v>41554</v>
      </c>
      <c r="G450" cm="1">
        <f t="array" ref="G450">PRODUCT( _xlfn._xlws.FILTER($E:$E, ($C:$C=C450)*($F:$F=F450)) ) - 1</f>
        <v>3.2828556258398978E-2</v>
      </c>
      <c r="J450" t="str">
        <v>FTS</v>
      </c>
      <c r="K450" s="1">
        <v>42212</v>
      </c>
      <c r="L450">
        <v>2.2107046663815799E-2</v>
      </c>
    </row>
    <row r="451" spans="1:12" x14ac:dyDescent="0.2">
      <c r="A451" s="1">
        <v>41562</v>
      </c>
      <c r="B451">
        <v>2</v>
      </c>
      <c r="C451" t="s">
        <v>11</v>
      </c>
      <c r="D451">
        <v>-3.836E-3</v>
      </c>
      <c r="E451">
        <f t="shared" si="12"/>
        <v>0.99616400000000005</v>
      </c>
      <c r="F451" s="1">
        <f t="shared" si="13"/>
        <v>41561</v>
      </c>
      <c r="G451" cm="1">
        <f t="array" ref="G451">PRODUCT( _xlfn._xlws.FILTER($E:$E, ($C:$C=C451)*($F:$F=F451)) ) - 1</f>
        <v>3.1970307230080319E-3</v>
      </c>
      <c r="J451" t="str">
        <v>FTS</v>
      </c>
      <c r="K451" s="1">
        <v>42219</v>
      </c>
      <c r="L451">
        <v>-5.8756210539947507E-3</v>
      </c>
    </row>
    <row r="452" spans="1:12" x14ac:dyDescent="0.2">
      <c r="A452" s="1">
        <v>41563</v>
      </c>
      <c r="B452">
        <v>2</v>
      </c>
      <c r="C452" t="s">
        <v>11</v>
      </c>
      <c r="D452">
        <v>-3.6699999999999998E-4</v>
      </c>
      <c r="E452">
        <f t="shared" ref="E452:E515" si="14">D452+1</f>
        <v>0.99963299999999999</v>
      </c>
      <c r="F452" s="1">
        <f t="shared" ref="F452:F515" si="15">A452 - (WEEKDAY(A452, 2) - 1)</f>
        <v>41561</v>
      </c>
      <c r="G452" cm="1">
        <f t="array" ref="G452">PRODUCT( _xlfn._xlws.FILTER($E:$E, ($C:$C=C452)*($F:$F=F452)) ) - 1</f>
        <v>3.1970307230080319E-3</v>
      </c>
      <c r="J452" t="str">
        <v>FTS</v>
      </c>
      <c r="K452" s="1">
        <v>42226</v>
      </c>
      <c r="L452">
        <v>3.9485712419708996E-2</v>
      </c>
    </row>
    <row r="453" spans="1:12" x14ac:dyDescent="0.2">
      <c r="A453" s="1">
        <v>41564</v>
      </c>
      <c r="B453">
        <v>2</v>
      </c>
      <c r="C453" t="s">
        <v>11</v>
      </c>
      <c r="D453">
        <v>-2.1090000000000002E-3</v>
      </c>
      <c r="E453">
        <f t="shared" si="14"/>
        <v>0.99789099999999997</v>
      </c>
      <c r="F453" s="1">
        <f t="shared" si="15"/>
        <v>41561</v>
      </c>
      <c r="G453" cm="1">
        <f t="array" ref="G453">PRODUCT( _xlfn._xlws.FILTER($E:$E, ($C:$C=C453)*($F:$F=F453)) ) - 1</f>
        <v>3.1970307230080319E-3</v>
      </c>
      <c r="J453" t="str">
        <v>FTS</v>
      </c>
      <c r="K453" s="1">
        <v>42233</v>
      </c>
      <c r="L453">
        <v>-5.3469123774323446E-2</v>
      </c>
    </row>
    <row r="454" spans="1:12" x14ac:dyDescent="0.2">
      <c r="A454" s="1">
        <v>41565</v>
      </c>
      <c r="B454">
        <v>2</v>
      </c>
      <c r="C454" t="s">
        <v>11</v>
      </c>
      <c r="D454">
        <v>9.5589999999999998E-3</v>
      </c>
      <c r="E454">
        <f t="shared" si="14"/>
        <v>1.0095590000000001</v>
      </c>
      <c r="F454" s="1">
        <f t="shared" si="15"/>
        <v>41561</v>
      </c>
      <c r="G454" cm="1">
        <f t="array" ref="G454">PRODUCT( _xlfn._xlws.FILTER($E:$E, ($C:$C=C454)*($F:$F=F454)) ) - 1</f>
        <v>3.1970307230080319E-3</v>
      </c>
      <c r="J454" t="str">
        <v>FTS</v>
      </c>
      <c r="K454" s="1">
        <v>42240</v>
      </c>
      <c r="L454">
        <v>2.7540874213445976E-2</v>
      </c>
    </row>
    <row r="455" spans="1:12" x14ac:dyDescent="0.2">
      <c r="A455" s="1">
        <v>41568</v>
      </c>
      <c r="B455">
        <v>2</v>
      </c>
      <c r="C455" t="s">
        <v>11</v>
      </c>
      <c r="D455">
        <v>5.4600000000000004E-4</v>
      </c>
      <c r="E455">
        <f t="shared" si="14"/>
        <v>1.0005459999999999</v>
      </c>
      <c r="F455" s="1">
        <f t="shared" si="15"/>
        <v>41568</v>
      </c>
      <c r="G455" cm="1">
        <f t="array" ref="G455">PRODUCT( _xlfn._xlws.FILTER($E:$E, ($C:$C=C455)*($F:$F=F455)) ) - 1</f>
        <v>4.8615189673245851E-2</v>
      </c>
      <c r="J455" t="str">
        <v>FTS</v>
      </c>
      <c r="K455" s="1">
        <v>42247</v>
      </c>
      <c r="L455">
        <v>-6.3522627942458443E-2</v>
      </c>
    </row>
    <row r="456" spans="1:12" x14ac:dyDescent="0.2">
      <c r="A456" s="1">
        <v>41569</v>
      </c>
      <c r="B456">
        <v>2</v>
      </c>
      <c r="C456" t="s">
        <v>11</v>
      </c>
      <c r="D456">
        <v>-1.3649999999999999E-3</v>
      </c>
      <c r="E456">
        <f t="shared" si="14"/>
        <v>0.99863500000000005</v>
      </c>
      <c r="F456" s="1">
        <f t="shared" si="15"/>
        <v>41568</v>
      </c>
      <c r="G456" cm="1">
        <f t="array" ref="G456">PRODUCT( _xlfn._xlws.FILTER($E:$E, ($C:$C=C456)*($F:$F=F456)) ) - 1</f>
        <v>4.8615189673245851E-2</v>
      </c>
      <c r="J456" t="str">
        <v>FTS</v>
      </c>
      <c r="K456" s="1">
        <v>42254</v>
      </c>
      <c r="L456">
        <v>8.0136985625101076E-3</v>
      </c>
    </row>
    <row r="457" spans="1:12" x14ac:dyDescent="0.2">
      <c r="A457" s="1">
        <v>41570</v>
      </c>
      <c r="B457">
        <v>2</v>
      </c>
      <c r="C457" t="s">
        <v>11</v>
      </c>
      <c r="D457">
        <v>4.41E-2</v>
      </c>
      <c r="E457">
        <f t="shared" si="14"/>
        <v>1.0441</v>
      </c>
      <c r="F457" s="1">
        <f t="shared" si="15"/>
        <v>41568</v>
      </c>
      <c r="G457" cm="1">
        <f t="array" ref="G457">PRODUCT( _xlfn._xlws.FILTER($E:$E, ($C:$C=C457)*($F:$F=F457)) ) - 1</f>
        <v>4.8615189673245851E-2</v>
      </c>
      <c r="J457" t="str">
        <v>FTS</v>
      </c>
      <c r="K457" s="1">
        <v>42261</v>
      </c>
      <c r="L457">
        <v>3.946594790096003E-2</v>
      </c>
    </row>
    <row r="458" spans="1:12" x14ac:dyDescent="0.2">
      <c r="A458" s="1">
        <v>41571</v>
      </c>
      <c r="B458">
        <v>2</v>
      </c>
      <c r="C458" t="s">
        <v>11</v>
      </c>
      <c r="D458">
        <v>7.5050000000000004E-3</v>
      </c>
      <c r="E458">
        <f t="shared" si="14"/>
        <v>1.0075050000000001</v>
      </c>
      <c r="F458" s="1">
        <f t="shared" si="15"/>
        <v>41568</v>
      </c>
      <c r="G458" cm="1">
        <f t="array" ref="G458">PRODUCT( _xlfn._xlws.FILTER($E:$E, ($C:$C=C458)*($F:$F=F458)) ) - 1</f>
        <v>4.8615189673245851E-2</v>
      </c>
      <c r="J458" t="str">
        <v>FTS</v>
      </c>
      <c r="K458" s="1">
        <v>42268</v>
      </c>
      <c r="L458">
        <v>-1.0935994168282948E-3</v>
      </c>
    </row>
    <row r="459" spans="1:12" x14ac:dyDescent="0.2">
      <c r="A459" s="1">
        <v>41572</v>
      </c>
      <c r="B459">
        <v>2</v>
      </c>
      <c r="C459" t="s">
        <v>11</v>
      </c>
      <c r="D459">
        <v>-2.3389999999999999E-3</v>
      </c>
      <c r="E459">
        <f t="shared" si="14"/>
        <v>0.99766100000000002</v>
      </c>
      <c r="F459" s="1">
        <f t="shared" si="15"/>
        <v>41568</v>
      </c>
      <c r="G459" cm="1">
        <f t="array" ref="G459">PRODUCT( _xlfn._xlws.FILTER($E:$E, ($C:$C=C459)*($F:$F=F459)) ) - 1</f>
        <v>4.8615189673245851E-2</v>
      </c>
      <c r="J459" t="str">
        <v>FTS</v>
      </c>
      <c r="K459" s="1">
        <v>42275</v>
      </c>
      <c r="L459">
        <v>2.8984865080184274E-2</v>
      </c>
    </row>
    <row r="460" spans="1:12" x14ac:dyDescent="0.2">
      <c r="A460" s="1">
        <v>41575</v>
      </c>
      <c r="B460">
        <v>2</v>
      </c>
      <c r="C460" t="s">
        <v>11</v>
      </c>
      <c r="D460">
        <v>-9.9839999999999998E-3</v>
      </c>
      <c r="E460">
        <f t="shared" si="14"/>
        <v>0.99001600000000001</v>
      </c>
      <c r="F460" s="1">
        <f t="shared" si="15"/>
        <v>41575</v>
      </c>
      <c r="G460" cm="1">
        <f t="array" ref="G460">PRODUCT( _xlfn._xlws.FILTER($E:$E, ($C:$C=C460)*($F:$F=F460)) ) - 1</f>
        <v>5.9045563648556509E-3</v>
      </c>
      <c r="J460" t="str">
        <v>FTS</v>
      </c>
      <c r="K460" s="1">
        <v>42282</v>
      </c>
      <c r="L460">
        <v>3.1890858428085256E-2</v>
      </c>
    </row>
    <row r="461" spans="1:12" x14ac:dyDescent="0.2">
      <c r="A461" s="1">
        <v>41576</v>
      </c>
      <c r="B461">
        <v>2</v>
      </c>
      <c r="C461" t="s">
        <v>11</v>
      </c>
      <c r="D461">
        <v>9.2960000000000004E-3</v>
      </c>
      <c r="E461">
        <f t="shared" si="14"/>
        <v>1.009296</v>
      </c>
      <c r="F461" s="1">
        <f t="shared" si="15"/>
        <v>41575</v>
      </c>
      <c r="G461" cm="1">
        <f t="array" ref="G461">PRODUCT( _xlfn._xlws.FILTER($E:$E, ($C:$C=C461)*($F:$F=F461)) ) - 1</f>
        <v>5.9045563648556509E-3</v>
      </c>
      <c r="J461" t="str">
        <v>FTS</v>
      </c>
      <c r="K461" s="1">
        <v>42289</v>
      </c>
      <c r="L461">
        <v>-9.7858813176604498E-3</v>
      </c>
    </row>
    <row r="462" spans="1:12" x14ac:dyDescent="0.2">
      <c r="A462" s="1">
        <v>41577</v>
      </c>
      <c r="B462">
        <v>2</v>
      </c>
      <c r="C462" t="s">
        <v>11</v>
      </c>
      <c r="D462">
        <v>-2.8670000000000002E-3</v>
      </c>
      <c r="E462">
        <f t="shared" si="14"/>
        <v>0.99713300000000005</v>
      </c>
      <c r="F462" s="1">
        <f t="shared" si="15"/>
        <v>41575</v>
      </c>
      <c r="G462" cm="1">
        <f t="array" ref="G462">PRODUCT( _xlfn._xlws.FILTER($E:$E, ($C:$C=C462)*($F:$F=F462)) ) - 1</f>
        <v>5.9045563648556509E-3</v>
      </c>
      <c r="J462" t="str">
        <v>FTS</v>
      </c>
      <c r="K462" s="1">
        <v>42296</v>
      </c>
      <c r="L462">
        <v>2.5747795435408838E-2</v>
      </c>
    </row>
    <row r="463" spans="1:12" x14ac:dyDescent="0.2">
      <c r="A463" s="1">
        <v>41578</v>
      </c>
      <c r="B463">
        <v>2</v>
      </c>
      <c r="C463" t="s">
        <v>11</v>
      </c>
      <c r="D463">
        <v>-1.83E-3</v>
      </c>
      <c r="E463">
        <f t="shared" si="14"/>
        <v>0.99817</v>
      </c>
      <c r="F463" s="1">
        <f t="shared" si="15"/>
        <v>41575</v>
      </c>
      <c r="G463" cm="1">
        <f t="array" ref="G463">PRODUCT( _xlfn._xlws.FILTER($E:$E, ($C:$C=C463)*($F:$F=F463)) ) - 1</f>
        <v>5.9045563648556509E-3</v>
      </c>
      <c r="J463" t="str">
        <v>FTS</v>
      </c>
      <c r="K463" s="1">
        <v>42303</v>
      </c>
      <c r="L463">
        <v>-4.0314238285187209E-2</v>
      </c>
    </row>
    <row r="464" spans="1:12" x14ac:dyDescent="0.2">
      <c r="A464" s="1">
        <v>41579</v>
      </c>
      <c r="B464">
        <v>2</v>
      </c>
      <c r="C464" t="s">
        <v>11</v>
      </c>
      <c r="D464">
        <v>1.1436E-2</v>
      </c>
      <c r="E464">
        <f t="shared" si="14"/>
        <v>1.011436</v>
      </c>
      <c r="F464" s="1">
        <f t="shared" si="15"/>
        <v>41575</v>
      </c>
      <c r="G464" cm="1">
        <f t="array" ref="G464">PRODUCT( _xlfn._xlws.FILTER($E:$E, ($C:$C=C464)*($F:$F=F464)) ) - 1</f>
        <v>5.9045563648556509E-3</v>
      </c>
      <c r="J464" t="str">
        <v>FTS</v>
      </c>
      <c r="K464" s="1">
        <v>42310</v>
      </c>
      <c r="L464">
        <v>-6.6052449940700031E-3</v>
      </c>
    </row>
    <row r="465" spans="1:12" x14ac:dyDescent="0.2">
      <c r="A465" s="1">
        <v>41582</v>
      </c>
      <c r="B465">
        <v>2</v>
      </c>
      <c r="C465" t="s">
        <v>11</v>
      </c>
      <c r="D465">
        <v>-2.33E-3</v>
      </c>
      <c r="E465">
        <f t="shared" si="14"/>
        <v>0.99766999999999995</v>
      </c>
      <c r="F465" s="1">
        <f t="shared" si="15"/>
        <v>41582</v>
      </c>
      <c r="G465" cm="1">
        <f t="array" ref="G465">PRODUCT( _xlfn._xlws.FILTER($E:$E, ($C:$C=C465)*($F:$F=F465)) ) - 1</f>
        <v>8.9773593915725147E-3</v>
      </c>
      <c r="J465" t="str">
        <v>FTS</v>
      </c>
      <c r="K465" s="1">
        <v>42317</v>
      </c>
      <c r="L465">
        <v>-2.6590654747342679E-3</v>
      </c>
    </row>
    <row r="466" spans="1:12" x14ac:dyDescent="0.2">
      <c r="A466" s="1">
        <v>41583</v>
      </c>
      <c r="B466">
        <v>2</v>
      </c>
      <c r="C466" t="s">
        <v>11</v>
      </c>
      <c r="D466">
        <v>-1.99E-3</v>
      </c>
      <c r="E466">
        <f t="shared" si="14"/>
        <v>0.99800999999999995</v>
      </c>
      <c r="F466" s="1">
        <f t="shared" si="15"/>
        <v>41582</v>
      </c>
      <c r="G466" cm="1">
        <f t="array" ref="G466">PRODUCT( _xlfn._xlws.FILTER($E:$E, ($C:$C=C466)*($F:$F=F466)) ) - 1</f>
        <v>8.9773593915725147E-3</v>
      </c>
      <c r="J466" t="str">
        <v>FTS</v>
      </c>
      <c r="K466" s="1">
        <v>42324</v>
      </c>
      <c r="L466">
        <v>2.3386511772641505E-2</v>
      </c>
    </row>
    <row r="467" spans="1:12" x14ac:dyDescent="0.2">
      <c r="A467" s="1">
        <v>41584</v>
      </c>
      <c r="B467">
        <v>2</v>
      </c>
      <c r="C467" t="s">
        <v>11</v>
      </c>
      <c r="D467">
        <v>5.0280000000000004E-3</v>
      </c>
      <c r="E467">
        <f t="shared" si="14"/>
        <v>1.005028</v>
      </c>
      <c r="F467" s="1">
        <f t="shared" si="15"/>
        <v>41582</v>
      </c>
      <c r="G467" cm="1">
        <f t="array" ref="G467">PRODUCT( _xlfn._xlws.FILTER($E:$E, ($C:$C=C467)*($F:$F=F467)) ) - 1</f>
        <v>8.9773593915725147E-3</v>
      </c>
      <c r="J467" t="str">
        <v>FTS</v>
      </c>
      <c r="K467" s="1">
        <v>42331</v>
      </c>
      <c r="L467">
        <v>-3.0527424137004489E-2</v>
      </c>
    </row>
    <row r="468" spans="1:12" x14ac:dyDescent="0.2">
      <c r="A468" s="1">
        <v>41585</v>
      </c>
      <c r="B468">
        <v>2</v>
      </c>
      <c r="C468" t="s">
        <v>11</v>
      </c>
      <c r="D468">
        <v>4.744E-3</v>
      </c>
      <c r="E468">
        <f t="shared" si="14"/>
        <v>1.0047440000000001</v>
      </c>
      <c r="F468" s="1">
        <f t="shared" si="15"/>
        <v>41582</v>
      </c>
      <c r="G468" cm="1">
        <f t="array" ref="G468">PRODUCT( _xlfn._xlws.FILTER($E:$E, ($C:$C=C468)*($F:$F=F468)) ) - 1</f>
        <v>8.9773593915725147E-3</v>
      </c>
      <c r="J468" t="str">
        <v>FTS</v>
      </c>
      <c r="K468" s="1">
        <v>42338</v>
      </c>
      <c r="L468">
        <v>2.2801180764337348E-2</v>
      </c>
    </row>
    <row r="469" spans="1:12" x14ac:dyDescent="0.2">
      <c r="A469" s="1">
        <v>41586</v>
      </c>
      <c r="B469">
        <v>2</v>
      </c>
      <c r="C469" t="s">
        <v>11</v>
      </c>
      <c r="D469">
        <v>3.5200000000000001E-3</v>
      </c>
      <c r="E469">
        <f t="shared" si="14"/>
        <v>1.00352</v>
      </c>
      <c r="F469" s="1">
        <f t="shared" si="15"/>
        <v>41582</v>
      </c>
      <c r="G469" cm="1">
        <f t="array" ref="G469">PRODUCT( _xlfn._xlws.FILTER($E:$E, ($C:$C=C469)*($F:$F=F469)) ) - 1</f>
        <v>8.9773593915725147E-3</v>
      </c>
      <c r="J469" t="str">
        <v>FTS</v>
      </c>
      <c r="K469" s="1">
        <v>42345</v>
      </c>
      <c r="L469">
        <v>-3.4767076356747251E-2</v>
      </c>
    </row>
    <row r="470" spans="1:12" x14ac:dyDescent="0.2">
      <c r="A470" s="1">
        <v>41589</v>
      </c>
      <c r="B470">
        <v>2</v>
      </c>
      <c r="C470" t="s">
        <v>11</v>
      </c>
      <c r="D470">
        <v>2.6519999999999998E-3</v>
      </c>
      <c r="E470">
        <f t="shared" si="14"/>
        <v>1.0026520000000001</v>
      </c>
      <c r="F470" s="1">
        <f t="shared" si="15"/>
        <v>41589</v>
      </c>
      <c r="G470" cm="1">
        <f t="array" ref="G470">PRODUCT( _xlfn._xlws.FILTER($E:$E, ($C:$C=C470)*($F:$F=F470)) ) - 1</f>
        <v>3.8493961700982737E-3</v>
      </c>
      <c r="J470" t="str">
        <v>FTS</v>
      </c>
      <c r="K470" s="1">
        <v>42352</v>
      </c>
      <c r="L470">
        <v>3.9044324469805991E-2</v>
      </c>
    </row>
    <row r="471" spans="1:12" x14ac:dyDescent="0.2">
      <c r="A471" s="1">
        <v>41590</v>
      </c>
      <c r="B471">
        <v>2</v>
      </c>
      <c r="C471" t="s">
        <v>11</v>
      </c>
      <c r="D471">
        <v>7.6800000000000002E-4</v>
      </c>
      <c r="E471">
        <f t="shared" si="14"/>
        <v>1.0007680000000001</v>
      </c>
      <c r="F471" s="1">
        <f t="shared" si="15"/>
        <v>41589</v>
      </c>
      <c r="G471" cm="1">
        <f t="array" ref="G471">PRODUCT( _xlfn._xlws.FILTER($E:$E, ($C:$C=C471)*($F:$F=F471)) ) - 1</f>
        <v>3.8493961700982737E-3</v>
      </c>
      <c r="J471" t="str">
        <v>FTS</v>
      </c>
      <c r="K471" s="1">
        <v>42359</v>
      </c>
      <c r="L471">
        <v>6.0867118973650935E-3</v>
      </c>
    </row>
    <row r="472" spans="1:12" x14ac:dyDescent="0.2">
      <c r="A472" s="1">
        <v>41591</v>
      </c>
      <c r="B472">
        <v>2</v>
      </c>
      <c r="C472" t="s">
        <v>11</v>
      </c>
      <c r="D472">
        <v>-7.67E-4</v>
      </c>
      <c r="E472">
        <f t="shared" si="14"/>
        <v>0.99923300000000004</v>
      </c>
      <c r="F472" s="1">
        <f t="shared" si="15"/>
        <v>41589</v>
      </c>
      <c r="G472" cm="1">
        <f t="array" ref="G472">PRODUCT( _xlfn._xlws.FILTER($E:$E, ($C:$C=C472)*($F:$F=F472)) ) - 1</f>
        <v>3.8493961700982737E-3</v>
      </c>
      <c r="J472" t="str">
        <v>FTS</v>
      </c>
      <c r="K472" s="1">
        <v>42366</v>
      </c>
      <c r="L472">
        <v>-1.6044106926792923E-2</v>
      </c>
    </row>
    <row r="473" spans="1:12" x14ac:dyDescent="0.2">
      <c r="A473" s="1">
        <v>41592</v>
      </c>
      <c r="B473">
        <v>2</v>
      </c>
      <c r="C473" t="s">
        <v>11</v>
      </c>
      <c r="D473">
        <v>2.7299999999999998E-3</v>
      </c>
      <c r="E473">
        <f t="shared" si="14"/>
        <v>1.0027299999999999</v>
      </c>
      <c r="F473" s="1">
        <f t="shared" si="15"/>
        <v>41589</v>
      </c>
      <c r="G473" cm="1">
        <f t="array" ref="G473">PRODUCT( _xlfn._xlws.FILTER($E:$E, ($C:$C=C473)*($F:$F=F473)) ) - 1</f>
        <v>3.8493961700982737E-3</v>
      </c>
      <c r="J473" t="str">
        <v>FTS</v>
      </c>
      <c r="K473" s="1">
        <v>42373</v>
      </c>
      <c r="L473">
        <v>-4.8120873605227432E-3</v>
      </c>
    </row>
    <row r="474" spans="1:12" x14ac:dyDescent="0.2">
      <c r="A474" s="1">
        <v>41593</v>
      </c>
      <c r="B474">
        <v>2</v>
      </c>
      <c r="C474" t="s">
        <v>11</v>
      </c>
      <c r="D474">
        <v>-1.5319999999999999E-3</v>
      </c>
      <c r="E474">
        <f t="shared" si="14"/>
        <v>0.99846800000000002</v>
      </c>
      <c r="F474" s="1">
        <f t="shared" si="15"/>
        <v>41589</v>
      </c>
      <c r="G474" cm="1">
        <f t="array" ref="G474">PRODUCT( _xlfn._xlws.FILTER($E:$E, ($C:$C=C474)*($F:$F=F474)) ) - 1</f>
        <v>3.8493961700982737E-3</v>
      </c>
      <c r="J474" t="str">
        <v>FTS</v>
      </c>
      <c r="K474" s="1">
        <v>42380</v>
      </c>
      <c r="L474">
        <v>-1.9070168078737959E-2</v>
      </c>
    </row>
    <row r="475" spans="1:12" x14ac:dyDescent="0.2">
      <c r="A475" s="1">
        <v>41596</v>
      </c>
      <c r="B475">
        <v>2</v>
      </c>
      <c r="C475" t="s">
        <v>11</v>
      </c>
      <c r="D475">
        <v>2.0449999999999999E-3</v>
      </c>
      <c r="E475">
        <f t="shared" si="14"/>
        <v>1.0020450000000001</v>
      </c>
      <c r="F475" s="1">
        <f t="shared" si="15"/>
        <v>41596</v>
      </c>
      <c r="G475" cm="1">
        <f t="array" ref="G475">PRODUCT( _xlfn._xlws.FILTER($E:$E, ($C:$C=C475)*($F:$F=F475)) ) - 1</f>
        <v>1.2953220704564172E-2</v>
      </c>
      <c r="J475" t="str">
        <v>FTS</v>
      </c>
      <c r="K475" s="1">
        <v>42387</v>
      </c>
      <c r="L475">
        <v>5.3942886818211022E-2</v>
      </c>
    </row>
    <row r="476" spans="1:12" x14ac:dyDescent="0.2">
      <c r="A476" s="1">
        <v>41597</v>
      </c>
      <c r="B476">
        <v>2</v>
      </c>
      <c r="C476" t="s">
        <v>11</v>
      </c>
      <c r="D476">
        <v>-1.3266E-2</v>
      </c>
      <c r="E476">
        <f t="shared" si="14"/>
        <v>0.986734</v>
      </c>
      <c r="F476" s="1">
        <f t="shared" si="15"/>
        <v>41596</v>
      </c>
      <c r="G476" cm="1">
        <f t="array" ref="G476">PRODUCT( _xlfn._xlws.FILTER($E:$E, ($C:$C=C476)*($F:$F=F476)) ) - 1</f>
        <v>1.2953220704564172E-2</v>
      </c>
      <c r="J476" t="str">
        <v>FTS</v>
      </c>
      <c r="K476" s="1">
        <v>42394</v>
      </c>
      <c r="L476">
        <v>5.7677248020107319E-2</v>
      </c>
    </row>
    <row r="477" spans="1:12" x14ac:dyDescent="0.2">
      <c r="A477" s="1">
        <v>41598</v>
      </c>
      <c r="B477">
        <v>2</v>
      </c>
      <c r="C477" t="s">
        <v>11</v>
      </c>
      <c r="D477">
        <v>7.9290000000000003E-3</v>
      </c>
      <c r="E477">
        <f t="shared" si="14"/>
        <v>1.0079290000000001</v>
      </c>
      <c r="F477" s="1">
        <f t="shared" si="15"/>
        <v>41596</v>
      </c>
      <c r="G477" cm="1">
        <f t="array" ref="G477">PRODUCT( _xlfn._xlws.FILTER($E:$E, ($C:$C=C477)*($F:$F=F477)) ) - 1</f>
        <v>1.2953220704564172E-2</v>
      </c>
      <c r="J477" t="str">
        <v>FTS</v>
      </c>
      <c r="K477" s="1">
        <v>42401</v>
      </c>
      <c r="L477">
        <v>1.8668261566480826E-2</v>
      </c>
    </row>
    <row r="478" spans="1:12" x14ac:dyDescent="0.2">
      <c r="A478" s="1">
        <v>41599</v>
      </c>
      <c r="B478">
        <v>2</v>
      </c>
      <c r="C478" t="s">
        <v>11</v>
      </c>
      <c r="D478">
        <v>7.012E-3</v>
      </c>
      <c r="E478">
        <f t="shared" si="14"/>
        <v>1.007012</v>
      </c>
      <c r="F478" s="1">
        <f t="shared" si="15"/>
        <v>41596</v>
      </c>
      <c r="G478" cm="1">
        <f t="array" ref="G478">PRODUCT( _xlfn._xlws.FILTER($E:$E, ($C:$C=C478)*($F:$F=F478)) ) - 1</f>
        <v>1.2953220704564172E-2</v>
      </c>
      <c r="J478" t="str">
        <v>FTS</v>
      </c>
      <c r="K478" s="1">
        <v>42408</v>
      </c>
      <c r="L478">
        <v>-0.11803695534529024</v>
      </c>
    </row>
    <row r="479" spans="1:12" x14ac:dyDescent="0.2">
      <c r="A479" s="1">
        <v>41600</v>
      </c>
      <c r="B479">
        <v>2</v>
      </c>
      <c r="C479" t="s">
        <v>11</v>
      </c>
      <c r="D479">
        <v>9.3399999999999993E-3</v>
      </c>
      <c r="E479">
        <f t="shared" si="14"/>
        <v>1.0093399999999999</v>
      </c>
      <c r="F479" s="1">
        <f t="shared" si="15"/>
        <v>41596</v>
      </c>
      <c r="G479" cm="1">
        <f t="array" ref="G479">PRODUCT( _xlfn._xlws.FILTER($E:$E, ($C:$C=C479)*($F:$F=F479)) ) - 1</f>
        <v>1.2953220704564172E-2</v>
      </c>
      <c r="J479" t="str">
        <v>FTS</v>
      </c>
      <c r="K479" s="1">
        <v>42415</v>
      </c>
      <c r="L479">
        <v>5.718248480664756E-2</v>
      </c>
    </row>
    <row r="480" spans="1:12" x14ac:dyDescent="0.2">
      <c r="A480" s="1">
        <v>41603</v>
      </c>
      <c r="B480">
        <v>2</v>
      </c>
      <c r="C480" t="s">
        <v>11</v>
      </c>
      <c r="D480">
        <v>6.2249999999999996E-3</v>
      </c>
      <c r="E480">
        <f t="shared" si="14"/>
        <v>1.0062249999999999</v>
      </c>
      <c r="F480" s="1">
        <f t="shared" si="15"/>
        <v>41603</v>
      </c>
      <c r="G480" cm="1">
        <f t="array" ref="G480">PRODUCT( _xlfn._xlws.FILTER($E:$E, ($C:$C=C480)*($F:$F=F480)) ) - 1</f>
        <v>5.3847174314480828E-3</v>
      </c>
      <c r="J480" t="str">
        <v>FTS</v>
      </c>
      <c r="K480" s="1">
        <v>42422</v>
      </c>
      <c r="L480">
        <v>-2.1164655466669902E-2</v>
      </c>
    </row>
    <row r="481" spans="1:12" x14ac:dyDescent="0.2">
      <c r="A481" s="1">
        <v>41604</v>
      </c>
      <c r="B481">
        <v>2</v>
      </c>
      <c r="C481" t="s">
        <v>11</v>
      </c>
      <c r="D481">
        <v>-1.8141999999999998E-2</v>
      </c>
      <c r="E481">
        <f t="shared" si="14"/>
        <v>0.98185800000000001</v>
      </c>
      <c r="F481" s="1">
        <f t="shared" si="15"/>
        <v>41603</v>
      </c>
      <c r="G481" cm="1">
        <f t="array" ref="G481">PRODUCT( _xlfn._xlws.FILTER($E:$E, ($C:$C=C481)*($F:$F=F481)) ) - 1</f>
        <v>5.3847174314480828E-3</v>
      </c>
      <c r="J481" t="str">
        <v>FTS</v>
      </c>
      <c r="K481" s="1">
        <v>42429</v>
      </c>
      <c r="L481">
        <v>4.805156678164213E-2</v>
      </c>
    </row>
    <row r="482" spans="1:12" x14ac:dyDescent="0.2">
      <c r="A482" s="1">
        <v>41605</v>
      </c>
      <c r="B482">
        <v>2</v>
      </c>
      <c r="C482" t="s">
        <v>11</v>
      </c>
      <c r="D482">
        <v>9.9629999999999996E-3</v>
      </c>
      <c r="E482">
        <f t="shared" si="14"/>
        <v>1.0099629999999999</v>
      </c>
      <c r="F482" s="1">
        <f t="shared" si="15"/>
        <v>41603</v>
      </c>
      <c r="G482" cm="1">
        <f t="array" ref="G482">PRODUCT( _xlfn._xlws.FILTER($E:$E, ($C:$C=C482)*($F:$F=F482)) ) - 1</f>
        <v>5.3847174314480828E-3</v>
      </c>
      <c r="J482" t="str">
        <v>FTS</v>
      </c>
      <c r="K482" s="1">
        <v>42436</v>
      </c>
      <c r="L482">
        <v>2.445230847660862E-2</v>
      </c>
    </row>
    <row r="483" spans="1:12" x14ac:dyDescent="0.2">
      <c r="A483" s="1">
        <v>41606</v>
      </c>
      <c r="B483">
        <v>2</v>
      </c>
      <c r="C483" t="s">
        <v>11</v>
      </c>
      <c r="D483">
        <v>-9.2699999999999998E-4</v>
      </c>
      <c r="E483">
        <f t="shared" si="14"/>
        <v>0.99907299999999999</v>
      </c>
      <c r="F483" s="1">
        <f t="shared" si="15"/>
        <v>41603</v>
      </c>
      <c r="G483" cm="1">
        <f t="array" ref="G483">PRODUCT( _xlfn._xlws.FILTER($E:$E, ($C:$C=C483)*($F:$F=F483)) ) - 1</f>
        <v>5.3847174314480828E-3</v>
      </c>
      <c r="J483" t="str">
        <v>FTS</v>
      </c>
      <c r="K483" s="1">
        <v>42443</v>
      </c>
      <c r="L483">
        <v>-3.0084598413675501E-2</v>
      </c>
    </row>
    <row r="484" spans="1:12" x14ac:dyDescent="0.2">
      <c r="A484" s="1">
        <v>41607</v>
      </c>
      <c r="B484">
        <v>2</v>
      </c>
      <c r="C484" t="s">
        <v>11</v>
      </c>
      <c r="D484">
        <v>8.5229999999999993E-3</v>
      </c>
      <c r="E484">
        <f t="shared" si="14"/>
        <v>1.0085230000000001</v>
      </c>
      <c r="F484" s="1">
        <f t="shared" si="15"/>
        <v>41603</v>
      </c>
      <c r="G484" cm="1">
        <f t="array" ref="G484">PRODUCT( _xlfn._xlws.FILTER($E:$E, ($C:$C=C484)*($F:$F=F484)) ) - 1</f>
        <v>5.3847174314480828E-3</v>
      </c>
      <c r="J484" t="str">
        <v>FTS</v>
      </c>
      <c r="K484" s="1">
        <v>42450</v>
      </c>
      <c r="L484">
        <v>2.2815968281231669E-2</v>
      </c>
    </row>
    <row r="485" spans="1:12" x14ac:dyDescent="0.2">
      <c r="A485" s="1">
        <v>41610</v>
      </c>
      <c r="B485">
        <v>2</v>
      </c>
      <c r="C485" t="s">
        <v>11</v>
      </c>
      <c r="D485">
        <v>0.54330199999999995</v>
      </c>
      <c r="E485">
        <f t="shared" si="14"/>
        <v>1.543302</v>
      </c>
      <c r="F485" s="1">
        <f t="shared" si="15"/>
        <v>41610</v>
      </c>
      <c r="G485" cm="1">
        <f t="array" ref="G485">PRODUCT( _xlfn._xlws.FILTER($E:$E, ($C:$C=C485)*($F:$F=F485)) ) - 1</f>
        <v>0.51681866005491206</v>
      </c>
      <c r="J485" t="str">
        <v>FTS</v>
      </c>
      <c r="K485" s="1">
        <v>42457</v>
      </c>
      <c r="L485">
        <v>2.1804327878878871E-2</v>
      </c>
    </row>
    <row r="486" spans="1:12" x14ac:dyDescent="0.2">
      <c r="A486" s="1">
        <v>41611</v>
      </c>
      <c r="B486">
        <v>2</v>
      </c>
      <c r="C486" t="s">
        <v>11</v>
      </c>
      <c r="D486">
        <v>-1.8217000000000001E-2</v>
      </c>
      <c r="E486">
        <f t="shared" si="14"/>
        <v>0.98178299999999996</v>
      </c>
      <c r="F486" s="1">
        <f t="shared" si="15"/>
        <v>41610</v>
      </c>
      <c r="G486" cm="1">
        <f t="array" ref="G486">PRODUCT( _xlfn._xlws.FILTER($E:$E, ($C:$C=C486)*($F:$F=F486)) ) - 1</f>
        <v>0.51681866005491206</v>
      </c>
      <c r="J486" t="str">
        <v>FTS</v>
      </c>
      <c r="K486" s="1">
        <v>42464</v>
      </c>
      <c r="L486">
        <v>-2.2320893220061255E-2</v>
      </c>
    </row>
    <row r="487" spans="1:12" x14ac:dyDescent="0.2">
      <c r="A487" s="1">
        <v>41612</v>
      </c>
      <c r="B487">
        <v>2</v>
      </c>
      <c r="C487" t="s">
        <v>11</v>
      </c>
      <c r="D487">
        <v>-1.5573E-2</v>
      </c>
      <c r="E487">
        <f t="shared" si="14"/>
        <v>0.98442700000000005</v>
      </c>
      <c r="F487" s="1">
        <f t="shared" si="15"/>
        <v>41610</v>
      </c>
      <c r="G487" cm="1">
        <f t="array" ref="G487">PRODUCT( _xlfn._xlws.FILTER($E:$E, ($C:$C=C487)*($F:$F=F487)) ) - 1</f>
        <v>0.51681866005491206</v>
      </c>
      <c r="J487" t="str">
        <v>FTS</v>
      </c>
      <c r="K487" s="1">
        <v>42471</v>
      </c>
      <c r="L487">
        <v>-5.5007860100264594E-7</v>
      </c>
    </row>
    <row r="488" spans="1:12" x14ac:dyDescent="0.2">
      <c r="A488" s="1">
        <v>41613</v>
      </c>
      <c r="B488">
        <v>2</v>
      </c>
      <c r="C488" t="s">
        <v>11</v>
      </c>
      <c r="D488">
        <v>1.6799999999999999E-4</v>
      </c>
      <c r="E488">
        <f t="shared" si="14"/>
        <v>1.0001679999999999</v>
      </c>
      <c r="F488" s="1">
        <f t="shared" si="15"/>
        <v>41610</v>
      </c>
      <c r="G488" cm="1">
        <f t="array" ref="G488">PRODUCT( _xlfn._xlws.FILTER($E:$E, ($C:$C=C488)*($F:$F=F488)) ) - 1</f>
        <v>0.51681866005491206</v>
      </c>
      <c r="J488" t="str">
        <v>FTS</v>
      </c>
      <c r="K488" s="1">
        <v>42478</v>
      </c>
      <c r="L488">
        <v>-2.4586636701769193E-2</v>
      </c>
    </row>
    <row r="489" spans="1:12" x14ac:dyDescent="0.2">
      <c r="A489" s="1">
        <v>41614</v>
      </c>
      <c r="B489">
        <v>2</v>
      </c>
      <c r="C489" t="s">
        <v>11</v>
      </c>
      <c r="D489">
        <v>1.6742E-2</v>
      </c>
      <c r="E489">
        <f t="shared" si="14"/>
        <v>1.016742</v>
      </c>
      <c r="F489" s="1">
        <f t="shared" si="15"/>
        <v>41610</v>
      </c>
      <c r="G489" cm="1">
        <f t="array" ref="G489">PRODUCT( _xlfn._xlws.FILTER($E:$E, ($C:$C=C489)*($F:$F=F489)) ) - 1</f>
        <v>0.51681866005491206</v>
      </c>
      <c r="J489" t="str">
        <v>FTS</v>
      </c>
      <c r="K489" s="1">
        <v>42485</v>
      </c>
      <c r="L489">
        <v>2.3662270624967174E-2</v>
      </c>
    </row>
    <row r="490" spans="1:12" x14ac:dyDescent="0.2">
      <c r="A490" s="1">
        <v>41617</v>
      </c>
      <c r="B490">
        <v>2</v>
      </c>
      <c r="C490" t="s">
        <v>11</v>
      </c>
      <c r="D490">
        <v>-5.6470000000000001E-3</v>
      </c>
      <c r="E490">
        <f t="shared" si="14"/>
        <v>0.99435300000000004</v>
      </c>
      <c r="F490" s="1">
        <f t="shared" si="15"/>
        <v>41617</v>
      </c>
      <c r="G490" cm="1">
        <f t="array" ref="G490">PRODUCT( _xlfn._xlws.FILTER($E:$E, ($C:$C=C490)*($F:$F=F490)) ) - 1</f>
        <v>-3.5043804603033579E-2</v>
      </c>
      <c r="J490" t="str">
        <v>FTS</v>
      </c>
      <c r="K490" s="1">
        <v>42492</v>
      </c>
      <c r="L490">
        <v>1.7335859940109444E-2</v>
      </c>
    </row>
    <row r="491" spans="1:12" x14ac:dyDescent="0.2">
      <c r="A491" s="1">
        <v>41618</v>
      </c>
      <c r="B491">
        <v>2</v>
      </c>
      <c r="C491" t="s">
        <v>11</v>
      </c>
      <c r="D491">
        <v>-5.3449999999999999E-3</v>
      </c>
      <c r="E491">
        <f t="shared" si="14"/>
        <v>0.99465499999999996</v>
      </c>
      <c r="F491" s="1">
        <f t="shared" si="15"/>
        <v>41617</v>
      </c>
      <c r="G491" cm="1">
        <f t="array" ref="G491">PRODUCT( _xlfn._xlws.FILTER($E:$E, ($C:$C=C491)*($F:$F=F491)) ) - 1</f>
        <v>-3.5043804603033579E-2</v>
      </c>
      <c r="J491" t="str">
        <v>FTS</v>
      </c>
      <c r="K491" s="1">
        <v>42499</v>
      </c>
      <c r="L491">
        <v>3.4569693973627302E-3</v>
      </c>
    </row>
    <row r="492" spans="1:12" x14ac:dyDescent="0.2">
      <c r="A492" s="1">
        <v>41619</v>
      </c>
      <c r="B492">
        <v>2</v>
      </c>
      <c r="C492" t="s">
        <v>11</v>
      </c>
      <c r="D492">
        <v>-3.1905999999999997E-2</v>
      </c>
      <c r="E492">
        <f t="shared" si="14"/>
        <v>0.96809400000000001</v>
      </c>
      <c r="F492" s="1">
        <f t="shared" si="15"/>
        <v>41617</v>
      </c>
      <c r="G492" cm="1">
        <f t="array" ref="G492">PRODUCT( _xlfn._xlws.FILTER($E:$E, ($C:$C=C492)*($F:$F=F492)) ) - 1</f>
        <v>-3.5043804603033579E-2</v>
      </c>
      <c r="J492" t="str">
        <v>FTS</v>
      </c>
      <c r="K492" s="1">
        <v>42506</v>
      </c>
      <c r="L492">
        <v>3.8274159261917351E-3</v>
      </c>
    </row>
    <row r="493" spans="1:12" x14ac:dyDescent="0.2">
      <c r="A493" s="1">
        <v>41620</v>
      </c>
      <c r="B493">
        <v>2</v>
      </c>
      <c r="C493" t="s">
        <v>11</v>
      </c>
      <c r="D493">
        <v>1.3010000000000001E-2</v>
      </c>
      <c r="E493">
        <f t="shared" si="14"/>
        <v>1.01301</v>
      </c>
      <c r="F493" s="1">
        <f t="shared" si="15"/>
        <v>41617</v>
      </c>
      <c r="G493" cm="1">
        <f t="array" ref="G493">PRODUCT( _xlfn._xlws.FILTER($E:$E, ($C:$C=C493)*($F:$F=F493)) ) - 1</f>
        <v>-3.5043804603033579E-2</v>
      </c>
      <c r="J493" t="str">
        <v>FTS</v>
      </c>
      <c r="K493" s="1">
        <v>42513</v>
      </c>
      <c r="L493">
        <v>1.3610769566864356E-2</v>
      </c>
    </row>
    <row r="494" spans="1:12" x14ac:dyDescent="0.2">
      <c r="A494" s="1">
        <v>41621</v>
      </c>
      <c r="B494">
        <v>2</v>
      </c>
      <c r="C494" t="s">
        <v>11</v>
      </c>
      <c r="D494">
        <v>-5.1370000000000001E-3</v>
      </c>
      <c r="E494">
        <f t="shared" si="14"/>
        <v>0.99486300000000005</v>
      </c>
      <c r="F494" s="1">
        <f t="shared" si="15"/>
        <v>41617</v>
      </c>
      <c r="G494" cm="1">
        <f t="array" ref="G494">PRODUCT( _xlfn._xlws.FILTER($E:$E, ($C:$C=C494)*($F:$F=F494)) ) - 1</f>
        <v>-3.5043804603033579E-2</v>
      </c>
      <c r="J494" t="str">
        <v>FTS</v>
      </c>
      <c r="K494" s="1">
        <v>42520</v>
      </c>
      <c r="L494">
        <v>3.9058077664844149E-3</v>
      </c>
    </row>
    <row r="495" spans="1:12" x14ac:dyDescent="0.2">
      <c r="A495" s="1">
        <v>41624</v>
      </c>
      <c r="B495">
        <v>2</v>
      </c>
      <c r="C495" t="s">
        <v>11</v>
      </c>
      <c r="D495">
        <v>6.7130000000000002E-3</v>
      </c>
      <c r="E495">
        <f t="shared" si="14"/>
        <v>1.006713</v>
      </c>
      <c r="F495" s="1">
        <f t="shared" si="15"/>
        <v>41624</v>
      </c>
      <c r="G495" cm="1">
        <f t="array" ref="G495">PRODUCT( _xlfn._xlws.FILTER($E:$E, ($C:$C=C495)*($F:$F=F495)) ) - 1</f>
        <v>3.0465214124630435E-2</v>
      </c>
      <c r="J495" t="str">
        <v>FTS</v>
      </c>
      <c r="K495" s="1">
        <v>42527</v>
      </c>
      <c r="L495">
        <v>1.7996105675277763E-2</v>
      </c>
    </row>
    <row r="496" spans="1:12" x14ac:dyDescent="0.2">
      <c r="A496" s="1">
        <v>41625</v>
      </c>
      <c r="B496">
        <v>2</v>
      </c>
      <c r="C496" t="s">
        <v>11</v>
      </c>
      <c r="D496">
        <v>-5.4710000000000002E-3</v>
      </c>
      <c r="E496">
        <f t="shared" si="14"/>
        <v>0.994529</v>
      </c>
      <c r="F496" s="1">
        <f t="shared" si="15"/>
        <v>41624</v>
      </c>
      <c r="G496" cm="1">
        <f t="array" ref="G496">PRODUCT( _xlfn._xlws.FILTER($E:$E, ($C:$C=C496)*($F:$F=F496)) ) - 1</f>
        <v>3.0465214124630435E-2</v>
      </c>
      <c r="J496" t="str">
        <v>FTS</v>
      </c>
      <c r="K496" s="1">
        <v>42534</v>
      </c>
      <c r="L496">
        <v>-6.2110762949777465E-3</v>
      </c>
    </row>
    <row r="497" spans="1:12" x14ac:dyDescent="0.2">
      <c r="A497" s="1">
        <v>41626</v>
      </c>
      <c r="B497">
        <v>2</v>
      </c>
      <c r="C497" t="s">
        <v>11</v>
      </c>
      <c r="D497">
        <v>2.2863999999999999E-2</v>
      </c>
      <c r="E497">
        <f t="shared" si="14"/>
        <v>1.022864</v>
      </c>
      <c r="F497" s="1">
        <f t="shared" si="15"/>
        <v>41624</v>
      </c>
      <c r="G497" cm="1">
        <f t="array" ref="G497">PRODUCT( _xlfn._xlws.FILTER($E:$E, ($C:$C=C497)*($F:$F=F497)) ) - 1</f>
        <v>3.0465214124630435E-2</v>
      </c>
      <c r="J497" t="str">
        <v>FTS</v>
      </c>
      <c r="K497" s="1">
        <v>42541</v>
      </c>
      <c r="L497">
        <v>2.3076729501175341E-2</v>
      </c>
    </row>
    <row r="498" spans="1:12" x14ac:dyDescent="0.2">
      <c r="A498" s="1">
        <v>41627</v>
      </c>
      <c r="B498">
        <v>2</v>
      </c>
      <c r="C498" t="s">
        <v>11</v>
      </c>
      <c r="D498">
        <v>1.1091999999999999E-2</v>
      </c>
      <c r="E498">
        <f t="shared" si="14"/>
        <v>1.0110920000000001</v>
      </c>
      <c r="F498" s="1">
        <f t="shared" si="15"/>
        <v>41624</v>
      </c>
      <c r="G498" cm="1">
        <f t="array" ref="G498">PRODUCT( _xlfn._xlws.FILTER($E:$E, ($C:$C=C498)*($F:$F=F498)) ) - 1</f>
        <v>3.0465214124630435E-2</v>
      </c>
      <c r="J498" t="str">
        <v>FTS</v>
      </c>
      <c r="K498" s="1">
        <v>42548</v>
      </c>
      <c r="L498">
        <v>2.6081314220847585E-2</v>
      </c>
    </row>
    <row r="499" spans="1:12" x14ac:dyDescent="0.2">
      <c r="A499" s="1">
        <v>41628</v>
      </c>
      <c r="B499">
        <v>2</v>
      </c>
      <c r="C499" t="s">
        <v>11</v>
      </c>
      <c r="D499">
        <v>-4.8199999999999996E-3</v>
      </c>
      <c r="E499">
        <f t="shared" si="14"/>
        <v>0.99517999999999995</v>
      </c>
      <c r="F499" s="1">
        <f t="shared" si="15"/>
        <v>41624</v>
      </c>
      <c r="G499" cm="1">
        <f t="array" ref="G499">PRODUCT( _xlfn._xlws.FILTER($E:$E, ($C:$C=C499)*($F:$F=F499)) ) - 1</f>
        <v>3.0465214124630435E-2</v>
      </c>
      <c r="J499" t="str">
        <v>FTS</v>
      </c>
      <c r="K499" s="1">
        <v>42555</v>
      </c>
      <c r="L499">
        <v>3.2060583280990596E-3</v>
      </c>
    </row>
    <row r="500" spans="1:12" x14ac:dyDescent="0.2">
      <c r="A500" s="1">
        <v>41631</v>
      </c>
      <c r="B500">
        <v>2</v>
      </c>
      <c r="C500" t="s">
        <v>11</v>
      </c>
      <c r="D500">
        <v>7.8499999999999993E-3</v>
      </c>
      <c r="E500">
        <f t="shared" si="14"/>
        <v>1.0078499999999999</v>
      </c>
      <c r="F500" s="1">
        <f t="shared" si="15"/>
        <v>41631</v>
      </c>
      <c r="G500" cm="1">
        <f t="array" ref="G500">PRODUCT( _xlfn._xlws.FILTER($E:$E, ($C:$C=C500)*($F:$F=F500)) ) - 1</f>
        <v>1.3027938908138026E-2</v>
      </c>
      <c r="J500" t="str">
        <v>FTS</v>
      </c>
      <c r="K500" s="1">
        <v>42562</v>
      </c>
      <c r="L500">
        <v>-1.1641760836391901E-2</v>
      </c>
    </row>
    <row r="501" spans="1:12" x14ac:dyDescent="0.2">
      <c r="A501" s="1">
        <v>41632</v>
      </c>
      <c r="B501">
        <v>2</v>
      </c>
      <c r="C501" t="s">
        <v>11</v>
      </c>
      <c r="D501">
        <v>1.16E-3</v>
      </c>
      <c r="E501">
        <f t="shared" si="14"/>
        <v>1.00116</v>
      </c>
      <c r="F501" s="1">
        <f t="shared" si="15"/>
        <v>41631</v>
      </c>
      <c r="G501" cm="1">
        <f t="array" ref="G501">PRODUCT( _xlfn._xlws.FILTER($E:$E, ($C:$C=C501)*($F:$F=F501)) ) - 1</f>
        <v>1.3027938908138026E-2</v>
      </c>
      <c r="J501" t="str">
        <v>FTS</v>
      </c>
      <c r="K501" s="1">
        <v>42569</v>
      </c>
      <c r="L501">
        <v>1.6859445276047547E-2</v>
      </c>
    </row>
    <row r="502" spans="1:12" x14ac:dyDescent="0.2">
      <c r="A502" s="1">
        <v>41635</v>
      </c>
      <c r="B502">
        <v>2</v>
      </c>
      <c r="C502" t="s">
        <v>11</v>
      </c>
      <c r="D502">
        <v>3.973E-3</v>
      </c>
      <c r="E502">
        <f t="shared" si="14"/>
        <v>1.003973</v>
      </c>
      <c r="F502" s="1">
        <f t="shared" si="15"/>
        <v>41631</v>
      </c>
      <c r="G502" cm="1">
        <f t="array" ref="G502">PRODUCT( _xlfn._xlws.FILTER($E:$E, ($C:$C=C502)*($F:$F=F502)) ) - 1</f>
        <v>1.3027938908138026E-2</v>
      </c>
      <c r="J502" t="str">
        <v>FTS</v>
      </c>
      <c r="K502" s="1">
        <v>42576</v>
      </c>
      <c r="L502">
        <v>-1.7715370207506353E-2</v>
      </c>
    </row>
    <row r="503" spans="1:12" x14ac:dyDescent="0.2">
      <c r="A503" s="1">
        <v>41638</v>
      </c>
      <c r="B503">
        <v>2</v>
      </c>
      <c r="C503" t="s">
        <v>11</v>
      </c>
      <c r="D503">
        <v>-5.9360000000000003E-3</v>
      </c>
      <c r="E503">
        <f t="shared" si="14"/>
        <v>0.99406399999999995</v>
      </c>
      <c r="F503" s="1">
        <f t="shared" si="15"/>
        <v>41638</v>
      </c>
      <c r="G503" cm="1">
        <f t="array" ref="G503">PRODUCT( _xlfn._xlws.FILTER($E:$E, ($C:$C=C503)*($F:$F=F503)) ) - 1</f>
        <v>-9.3987803626873756E-3</v>
      </c>
      <c r="J503" t="str">
        <v>FTS</v>
      </c>
      <c r="K503" s="1">
        <v>42583</v>
      </c>
      <c r="L503">
        <v>-6.9413610161017658E-4</v>
      </c>
    </row>
    <row r="504" spans="1:12" x14ac:dyDescent="0.2">
      <c r="A504" s="1">
        <v>41639</v>
      </c>
      <c r="B504">
        <v>2</v>
      </c>
      <c r="C504" t="s">
        <v>11</v>
      </c>
      <c r="D504">
        <v>4.4780000000000002E-3</v>
      </c>
      <c r="E504">
        <f t="shared" si="14"/>
        <v>1.004478</v>
      </c>
      <c r="F504" s="1">
        <f t="shared" si="15"/>
        <v>41638</v>
      </c>
      <c r="G504" cm="1">
        <f t="array" ref="G504">PRODUCT( _xlfn._xlws.FILTER($E:$E, ($C:$C=C504)*($F:$F=F504)) ) - 1</f>
        <v>-9.3987803626873756E-3</v>
      </c>
      <c r="J504" t="str">
        <v>FTS</v>
      </c>
      <c r="K504" s="1">
        <v>42590</v>
      </c>
      <c r="L504">
        <v>-1.3882764303395634E-3</v>
      </c>
    </row>
    <row r="505" spans="1:12" x14ac:dyDescent="0.2">
      <c r="A505" s="1">
        <v>41641</v>
      </c>
      <c r="B505">
        <v>2</v>
      </c>
      <c r="C505" t="s">
        <v>11</v>
      </c>
      <c r="D505">
        <v>-5.2839999999999996E-3</v>
      </c>
      <c r="E505">
        <f t="shared" si="14"/>
        <v>0.99471600000000004</v>
      </c>
      <c r="F505" s="1">
        <f t="shared" si="15"/>
        <v>41638</v>
      </c>
      <c r="G505" cm="1">
        <f t="array" ref="G505">PRODUCT( _xlfn._xlws.FILTER($E:$E, ($C:$C=C505)*($F:$F=F505)) ) - 1</f>
        <v>-9.3987803626873756E-3</v>
      </c>
      <c r="J505" t="str">
        <v>FTS</v>
      </c>
      <c r="K505" s="1">
        <v>42597</v>
      </c>
      <c r="L505">
        <v>3.8887875246123027E-3</v>
      </c>
    </row>
    <row r="506" spans="1:12" x14ac:dyDescent="0.2">
      <c r="A506" s="1">
        <v>41642</v>
      </c>
      <c r="B506">
        <v>2</v>
      </c>
      <c r="C506" t="s">
        <v>11</v>
      </c>
      <c r="D506">
        <v>-2.6559999999999999E-3</v>
      </c>
      <c r="E506">
        <f t="shared" si="14"/>
        <v>0.99734400000000001</v>
      </c>
      <c r="F506" s="1">
        <f t="shared" si="15"/>
        <v>41638</v>
      </c>
      <c r="G506" cm="1">
        <f t="array" ref="G506">PRODUCT( _xlfn._xlws.FILTER($E:$E, ($C:$C=C506)*($F:$F=F506)) ) - 1</f>
        <v>-9.3987803626873756E-3</v>
      </c>
      <c r="J506" t="str">
        <v>FTS</v>
      </c>
      <c r="K506" s="1">
        <v>42604</v>
      </c>
      <c r="L506">
        <v>-1.6995978624714803E-2</v>
      </c>
    </row>
    <row r="507" spans="1:12" x14ac:dyDescent="0.2">
      <c r="A507" s="1">
        <v>41645</v>
      </c>
      <c r="B507">
        <v>2</v>
      </c>
      <c r="C507" t="s">
        <v>11</v>
      </c>
      <c r="D507">
        <v>-1.3481999999999999E-2</v>
      </c>
      <c r="E507">
        <f t="shared" si="14"/>
        <v>0.98651800000000001</v>
      </c>
      <c r="F507" s="1">
        <f t="shared" si="15"/>
        <v>41645</v>
      </c>
      <c r="G507" cm="1">
        <f t="array" ref="G507">PRODUCT( _xlfn._xlws.FILTER($E:$E, ($C:$C=C507)*($F:$F=F507)) ) - 1</f>
        <v>-1.1484982174533642E-2</v>
      </c>
      <c r="J507" t="str">
        <v>FTS</v>
      </c>
      <c r="K507" s="1">
        <v>42611</v>
      </c>
      <c r="L507">
        <v>-1.0658043092847569E-2</v>
      </c>
    </row>
    <row r="508" spans="1:12" x14ac:dyDescent="0.2">
      <c r="A508" s="1">
        <v>41646</v>
      </c>
      <c r="B508">
        <v>2</v>
      </c>
      <c r="C508" t="s">
        <v>11</v>
      </c>
      <c r="D508">
        <v>5.2300000000000003E-3</v>
      </c>
      <c r="E508">
        <f t="shared" si="14"/>
        <v>1.0052300000000001</v>
      </c>
      <c r="F508" s="1">
        <f t="shared" si="15"/>
        <v>41645</v>
      </c>
      <c r="G508" cm="1">
        <f t="array" ref="G508">PRODUCT( _xlfn._xlws.FILTER($E:$E, ($C:$C=C508)*($F:$F=F508)) ) - 1</f>
        <v>-1.1484982174533642E-2</v>
      </c>
      <c r="J508" t="str">
        <v>FTS</v>
      </c>
      <c r="K508" s="1">
        <v>42618</v>
      </c>
      <c r="L508">
        <v>-2.0111384089920414E-2</v>
      </c>
    </row>
    <row r="509" spans="1:12" x14ac:dyDescent="0.2">
      <c r="A509" s="1">
        <v>41647</v>
      </c>
      <c r="B509">
        <v>2</v>
      </c>
      <c r="C509" t="s">
        <v>11</v>
      </c>
      <c r="D509">
        <v>-1.5945000000000001E-2</v>
      </c>
      <c r="E509">
        <f t="shared" si="14"/>
        <v>0.98405500000000001</v>
      </c>
      <c r="F509" s="1">
        <f t="shared" si="15"/>
        <v>41645</v>
      </c>
      <c r="G509" cm="1">
        <f t="array" ref="G509">PRODUCT( _xlfn._xlws.FILTER($E:$E, ($C:$C=C509)*($F:$F=F509)) ) - 1</f>
        <v>-1.1484982174533642E-2</v>
      </c>
      <c r="J509" t="str">
        <v>FTS</v>
      </c>
      <c r="K509" s="1">
        <v>42625</v>
      </c>
      <c r="L509">
        <v>1.5637045500220381E-2</v>
      </c>
    </row>
    <row r="510" spans="1:12" x14ac:dyDescent="0.2">
      <c r="A510" s="1">
        <v>41648</v>
      </c>
      <c r="B510">
        <v>2</v>
      </c>
      <c r="C510" t="s">
        <v>11</v>
      </c>
      <c r="D510">
        <v>-1.023E-3</v>
      </c>
      <c r="E510">
        <f t="shared" si="14"/>
        <v>0.998977</v>
      </c>
      <c r="F510" s="1">
        <f t="shared" si="15"/>
        <v>41645</v>
      </c>
      <c r="G510" cm="1">
        <f t="array" ref="G510">PRODUCT( _xlfn._xlws.FILTER($E:$E, ($C:$C=C510)*($F:$F=F510)) ) - 1</f>
        <v>-1.1484982174533642E-2</v>
      </c>
      <c r="J510" t="str">
        <v>FTS</v>
      </c>
      <c r="K510" s="1">
        <v>42632</v>
      </c>
      <c r="L510">
        <v>1.9485720891602387E-2</v>
      </c>
    </row>
    <row r="511" spans="1:12" x14ac:dyDescent="0.2">
      <c r="A511" s="1">
        <v>41649</v>
      </c>
      <c r="B511">
        <v>2</v>
      </c>
      <c r="C511" t="s">
        <v>11</v>
      </c>
      <c r="D511">
        <v>1.4E-2</v>
      </c>
      <c r="E511">
        <f t="shared" si="14"/>
        <v>1.014</v>
      </c>
      <c r="F511" s="1">
        <f t="shared" si="15"/>
        <v>41645</v>
      </c>
      <c r="G511" cm="1">
        <f t="array" ref="G511">PRODUCT( _xlfn._xlws.FILTER($E:$E, ($C:$C=C511)*($F:$F=F511)) ) - 1</f>
        <v>-1.1484982174533642E-2</v>
      </c>
      <c r="J511" t="str">
        <v>FTS</v>
      </c>
      <c r="K511" s="1">
        <v>42639</v>
      </c>
      <c r="L511">
        <v>-4.483122353634017E-3</v>
      </c>
    </row>
    <row r="512" spans="1:12" x14ac:dyDescent="0.2">
      <c r="A512" s="1">
        <v>41652</v>
      </c>
      <c r="B512">
        <v>2</v>
      </c>
      <c r="C512" t="s">
        <v>11</v>
      </c>
      <c r="D512">
        <v>-9.4289999999999999E-3</v>
      </c>
      <c r="E512">
        <f t="shared" si="14"/>
        <v>0.99057099999999998</v>
      </c>
      <c r="F512" s="1">
        <f t="shared" si="15"/>
        <v>41652</v>
      </c>
      <c r="G512" cm="1">
        <f t="array" ref="G512">PRODUCT( _xlfn._xlws.FILTER($E:$E, ($C:$C=C512)*($F:$F=F512)) ) - 1</f>
        <v>-1.3638561635249236E-2</v>
      </c>
      <c r="J512" t="str">
        <v>FTS</v>
      </c>
      <c r="K512" s="1">
        <v>42646</v>
      </c>
      <c r="L512">
        <v>-3.9345347316958046E-2</v>
      </c>
    </row>
    <row r="513" spans="1:12" x14ac:dyDescent="0.2">
      <c r="A513" s="1">
        <v>41653</v>
      </c>
      <c r="B513">
        <v>2</v>
      </c>
      <c r="C513" t="s">
        <v>11</v>
      </c>
      <c r="D513">
        <v>-9.1789999999999997E-3</v>
      </c>
      <c r="E513">
        <f t="shared" si="14"/>
        <v>0.99082099999999995</v>
      </c>
      <c r="F513" s="1">
        <f t="shared" si="15"/>
        <v>41652</v>
      </c>
      <c r="G513" cm="1">
        <f t="array" ref="G513">PRODUCT( _xlfn._xlws.FILTER($E:$E, ($C:$C=C513)*($F:$F=F513)) ) - 1</f>
        <v>-1.3638561635249236E-2</v>
      </c>
      <c r="J513" t="str">
        <v>FTS</v>
      </c>
      <c r="K513" s="1">
        <v>42653</v>
      </c>
      <c r="L513">
        <v>3.5035958957470914E-2</v>
      </c>
    </row>
    <row r="514" spans="1:12" x14ac:dyDescent="0.2">
      <c r="A514" s="1">
        <v>41654</v>
      </c>
      <c r="B514">
        <v>2</v>
      </c>
      <c r="C514" t="s">
        <v>11</v>
      </c>
      <c r="D514">
        <v>2.4704E-2</v>
      </c>
      <c r="E514">
        <f t="shared" si="14"/>
        <v>1.0247040000000001</v>
      </c>
      <c r="F514" s="1">
        <f t="shared" si="15"/>
        <v>41652</v>
      </c>
      <c r="G514" cm="1">
        <f t="array" ref="G514">PRODUCT( _xlfn._xlws.FILTER($E:$E, ($C:$C=C514)*($F:$F=F514)) ) - 1</f>
        <v>-1.3638561635249236E-2</v>
      </c>
      <c r="J514" t="str">
        <v>FTS</v>
      </c>
      <c r="K514" s="1">
        <v>42660</v>
      </c>
      <c r="L514">
        <v>1.9547164113170146E-2</v>
      </c>
    </row>
    <row r="515" spans="1:12" x14ac:dyDescent="0.2">
      <c r="A515" s="1">
        <v>41655</v>
      </c>
      <c r="B515">
        <v>2</v>
      </c>
      <c r="C515" t="s">
        <v>11</v>
      </c>
      <c r="D515">
        <v>-1.8249000000000001E-2</v>
      </c>
      <c r="E515">
        <f t="shared" si="14"/>
        <v>0.98175100000000004</v>
      </c>
      <c r="F515" s="1">
        <f t="shared" si="15"/>
        <v>41652</v>
      </c>
      <c r="G515" cm="1">
        <f t="array" ref="G515">PRODUCT( _xlfn._xlws.FILTER($E:$E, ($C:$C=C515)*($F:$F=F515)) ) - 1</f>
        <v>-1.3638561635249236E-2</v>
      </c>
      <c r="J515" t="str">
        <v>FTS</v>
      </c>
      <c r="K515" s="1">
        <v>42667</v>
      </c>
      <c r="L515">
        <v>2.2445152172281491E-2</v>
      </c>
    </row>
    <row r="516" spans="1:12" x14ac:dyDescent="0.2">
      <c r="A516" s="1">
        <v>41656</v>
      </c>
      <c r="B516">
        <v>2</v>
      </c>
      <c r="C516" t="s">
        <v>11</v>
      </c>
      <c r="D516">
        <v>-1.023E-3</v>
      </c>
      <c r="E516">
        <f t="shared" ref="E516:E579" si="16">D516+1</f>
        <v>0.998977</v>
      </c>
      <c r="F516" s="1">
        <f t="shared" ref="F516:F579" si="17">A516 - (WEEKDAY(A516, 2) - 1)</f>
        <v>41652</v>
      </c>
      <c r="G516" cm="1">
        <f t="array" ref="G516">PRODUCT( _xlfn._xlws.FILTER($E:$E, ($C:$C=C516)*($F:$F=F516)) ) - 1</f>
        <v>-1.3638561635249236E-2</v>
      </c>
      <c r="J516" t="str">
        <v>FTS</v>
      </c>
      <c r="K516" s="1">
        <v>42674</v>
      </c>
      <c r="L516">
        <v>-8.6909795421127312E-3</v>
      </c>
    </row>
    <row r="517" spans="1:12" x14ac:dyDescent="0.2">
      <c r="A517" s="1">
        <v>41659</v>
      </c>
      <c r="B517">
        <v>2</v>
      </c>
      <c r="C517" t="s">
        <v>11</v>
      </c>
      <c r="D517">
        <v>9.0469999999999995E-3</v>
      </c>
      <c r="E517">
        <f t="shared" si="16"/>
        <v>1.009047</v>
      </c>
      <c r="F517" s="1">
        <f t="shared" si="17"/>
        <v>41659</v>
      </c>
      <c r="G517" cm="1">
        <f t="array" ref="G517">PRODUCT( _xlfn._xlws.FILTER($E:$E, ($C:$C=C517)*($F:$F=F517)) ) - 1</f>
        <v>-1.1096767865470425E-2</v>
      </c>
      <c r="J517" t="str">
        <v>FTS</v>
      </c>
      <c r="K517" s="1">
        <v>42681</v>
      </c>
      <c r="L517">
        <v>-6.5282375208398191E-2</v>
      </c>
    </row>
    <row r="518" spans="1:12" x14ac:dyDescent="0.2">
      <c r="A518" s="1">
        <v>41660</v>
      </c>
      <c r="B518">
        <v>2</v>
      </c>
      <c r="C518" t="s">
        <v>11</v>
      </c>
      <c r="D518">
        <v>-3.8909999999999999E-3</v>
      </c>
      <c r="E518">
        <f t="shared" si="16"/>
        <v>0.99610900000000002</v>
      </c>
      <c r="F518" s="1">
        <f t="shared" si="17"/>
        <v>41659</v>
      </c>
      <c r="G518" cm="1">
        <f t="array" ref="G518">PRODUCT( _xlfn._xlws.FILTER($E:$E, ($C:$C=C518)*($F:$F=F518)) ) - 1</f>
        <v>-1.1096767865470425E-2</v>
      </c>
      <c r="J518" t="str">
        <v>FTS</v>
      </c>
      <c r="K518" s="1">
        <v>42688</v>
      </c>
      <c r="L518">
        <v>8.0681487804901142E-3</v>
      </c>
    </row>
    <row r="519" spans="1:12" x14ac:dyDescent="0.2">
      <c r="A519" s="1">
        <v>41661</v>
      </c>
      <c r="B519">
        <v>2</v>
      </c>
      <c r="C519" t="s">
        <v>11</v>
      </c>
      <c r="D519">
        <v>9.0010000000000003E-3</v>
      </c>
      <c r="E519">
        <f t="shared" si="16"/>
        <v>1.009001</v>
      </c>
      <c r="F519" s="1">
        <f t="shared" si="17"/>
        <v>41659</v>
      </c>
      <c r="G519" cm="1">
        <f t="array" ref="G519">PRODUCT( _xlfn._xlws.FILTER($E:$E, ($C:$C=C519)*($F:$F=F519)) ) - 1</f>
        <v>-1.1096767865470425E-2</v>
      </c>
      <c r="J519" t="str">
        <v>FTS</v>
      </c>
      <c r="K519" s="1">
        <v>42695</v>
      </c>
      <c r="L519">
        <v>3.7097360896420906E-3</v>
      </c>
    </row>
    <row r="520" spans="1:12" x14ac:dyDescent="0.2">
      <c r="A520" s="1">
        <v>41662</v>
      </c>
      <c r="B520">
        <v>2</v>
      </c>
      <c r="C520" t="s">
        <v>11</v>
      </c>
      <c r="D520">
        <v>4.8809999999999999E-3</v>
      </c>
      <c r="E520">
        <f t="shared" si="16"/>
        <v>1.0048809999999999</v>
      </c>
      <c r="F520" s="1">
        <f t="shared" si="17"/>
        <v>41659</v>
      </c>
      <c r="G520" cm="1">
        <f t="array" ref="G520">PRODUCT( _xlfn._xlws.FILTER($E:$E, ($C:$C=C520)*($F:$F=F520)) ) - 1</f>
        <v>-1.1096767865470425E-2</v>
      </c>
      <c r="J520" t="str">
        <v>FTS</v>
      </c>
      <c r="K520" s="1">
        <v>42702</v>
      </c>
      <c r="L520">
        <v>-1.2071836115678858E-2</v>
      </c>
    </row>
    <row r="521" spans="1:12" x14ac:dyDescent="0.2">
      <c r="A521" s="1">
        <v>41663</v>
      </c>
      <c r="B521">
        <v>2</v>
      </c>
      <c r="C521" t="s">
        <v>11</v>
      </c>
      <c r="D521">
        <v>-2.9648000000000001E-2</v>
      </c>
      <c r="E521">
        <f t="shared" si="16"/>
        <v>0.97035199999999999</v>
      </c>
      <c r="F521" s="1">
        <f t="shared" si="17"/>
        <v>41659</v>
      </c>
      <c r="G521" cm="1">
        <f t="array" ref="G521">PRODUCT( _xlfn._xlws.FILTER($E:$E, ($C:$C=C521)*($F:$F=F521)) ) - 1</f>
        <v>-1.1096767865470425E-2</v>
      </c>
      <c r="J521" t="str">
        <v>FTS</v>
      </c>
      <c r="K521" s="1">
        <v>42709</v>
      </c>
      <c r="L521">
        <v>8.4789829944409423E-3</v>
      </c>
    </row>
    <row r="522" spans="1:12" x14ac:dyDescent="0.2">
      <c r="A522" s="1">
        <v>41666</v>
      </c>
      <c r="B522">
        <v>2</v>
      </c>
      <c r="C522" t="s">
        <v>11</v>
      </c>
      <c r="D522">
        <v>3.4499999999999998E-4</v>
      </c>
      <c r="E522">
        <f t="shared" si="16"/>
        <v>1.000345</v>
      </c>
      <c r="F522" s="1">
        <f t="shared" si="17"/>
        <v>41666</v>
      </c>
      <c r="G522" cm="1">
        <f t="array" ref="G522">PRODUCT( _xlfn._xlws.FILTER($E:$E, ($C:$C=C522)*($F:$F=F522)) ) - 1</f>
        <v>2.8999437290327279E-2</v>
      </c>
      <c r="J522" t="str">
        <v>FTS</v>
      </c>
      <c r="K522" s="1">
        <v>42716</v>
      </c>
      <c r="L522">
        <v>2.4728864579797172E-3</v>
      </c>
    </row>
    <row r="523" spans="1:12" x14ac:dyDescent="0.2">
      <c r="A523" s="1">
        <v>41667</v>
      </c>
      <c r="B523">
        <v>2</v>
      </c>
      <c r="C523" t="s">
        <v>11</v>
      </c>
      <c r="D523">
        <v>-2.934E-3</v>
      </c>
      <c r="E523">
        <f t="shared" si="16"/>
        <v>0.99706600000000001</v>
      </c>
      <c r="F523" s="1">
        <f t="shared" si="17"/>
        <v>41666</v>
      </c>
      <c r="G523" cm="1">
        <f t="array" ref="G523">PRODUCT( _xlfn._xlws.FILTER($E:$E, ($C:$C=C523)*($F:$F=F523)) ) - 1</f>
        <v>2.8999437290327279E-2</v>
      </c>
      <c r="J523" t="str">
        <v>FTS</v>
      </c>
      <c r="K523" s="1">
        <v>42723</v>
      </c>
      <c r="L523">
        <v>2.3680507829471065E-2</v>
      </c>
    </row>
    <row r="524" spans="1:12" x14ac:dyDescent="0.2">
      <c r="A524" s="1">
        <v>41668</v>
      </c>
      <c r="B524">
        <v>2</v>
      </c>
      <c r="C524" t="s">
        <v>11</v>
      </c>
      <c r="D524">
        <v>5.1919999999999996E-3</v>
      </c>
      <c r="E524">
        <f t="shared" si="16"/>
        <v>1.0051920000000001</v>
      </c>
      <c r="F524" s="1">
        <f t="shared" si="17"/>
        <v>41666</v>
      </c>
      <c r="G524" cm="1">
        <f t="array" ref="G524">PRODUCT( _xlfn._xlws.FILTER($E:$E, ($C:$C=C524)*($F:$F=F524)) ) - 1</f>
        <v>2.8999437290327279E-2</v>
      </c>
      <c r="J524" t="str">
        <v>FTS</v>
      </c>
      <c r="K524" s="1">
        <v>42730</v>
      </c>
      <c r="L524">
        <v>-9.6310107266428524E-4</v>
      </c>
    </row>
    <row r="525" spans="1:12" x14ac:dyDescent="0.2">
      <c r="A525" s="1">
        <v>41669</v>
      </c>
      <c r="B525">
        <v>2</v>
      </c>
      <c r="C525" t="s">
        <v>11</v>
      </c>
      <c r="D525">
        <v>2.1694000000000001E-2</v>
      </c>
      <c r="E525">
        <f t="shared" si="16"/>
        <v>1.0216940000000001</v>
      </c>
      <c r="F525" s="1">
        <f t="shared" si="17"/>
        <v>41666</v>
      </c>
      <c r="G525" cm="1">
        <f t="array" ref="G525">PRODUCT( _xlfn._xlws.FILTER($E:$E, ($C:$C=C525)*($F:$F=F525)) ) - 1</f>
        <v>2.8999437290327279E-2</v>
      </c>
      <c r="J525" t="str">
        <v>RY</v>
      </c>
      <c r="K525" s="1">
        <v>40910</v>
      </c>
      <c r="L525">
        <v>1.3472128215632484E-3</v>
      </c>
    </row>
    <row r="526" spans="1:12" x14ac:dyDescent="0.2">
      <c r="A526" s="1">
        <v>41670</v>
      </c>
      <c r="B526">
        <v>2</v>
      </c>
      <c r="C526" t="s">
        <v>11</v>
      </c>
      <c r="D526">
        <v>4.5500000000000002E-3</v>
      </c>
      <c r="E526">
        <f t="shared" si="16"/>
        <v>1.0045500000000001</v>
      </c>
      <c r="F526" s="1">
        <f t="shared" si="17"/>
        <v>41666</v>
      </c>
      <c r="G526" cm="1">
        <f t="array" ref="G526">PRODUCT( _xlfn._xlws.FILTER($E:$E, ($C:$C=C526)*($F:$F=F526)) ) - 1</f>
        <v>2.8999437290327279E-2</v>
      </c>
      <c r="J526" t="str">
        <v>RY</v>
      </c>
      <c r="K526" s="1">
        <v>40917</v>
      </c>
      <c r="L526">
        <v>7.6781316182583659E-4</v>
      </c>
    </row>
    <row r="527" spans="1:12" x14ac:dyDescent="0.2">
      <c r="A527" s="1">
        <v>41673</v>
      </c>
      <c r="B527">
        <v>2</v>
      </c>
      <c r="C527" t="s">
        <v>11</v>
      </c>
      <c r="D527">
        <v>-1.5098E-2</v>
      </c>
      <c r="E527">
        <f t="shared" si="16"/>
        <v>0.98490199999999994</v>
      </c>
      <c r="F527" s="1">
        <f t="shared" si="17"/>
        <v>41673</v>
      </c>
      <c r="G527" cm="1">
        <f t="array" ref="G527">PRODUCT( _xlfn._xlws.FILTER($E:$E, ($C:$C=C527)*($F:$F=F527)) ) - 1</f>
        <v>1.761451397882885E-2</v>
      </c>
      <c r="J527" t="str">
        <v>RY</v>
      </c>
      <c r="K527" s="1">
        <v>40924</v>
      </c>
      <c r="L527">
        <v>3.3787454257824701E-2</v>
      </c>
    </row>
    <row r="528" spans="1:12" x14ac:dyDescent="0.2">
      <c r="A528" s="1">
        <v>41674</v>
      </c>
      <c r="B528">
        <v>2</v>
      </c>
      <c r="C528" t="s">
        <v>11</v>
      </c>
      <c r="D528">
        <v>1.039E-2</v>
      </c>
      <c r="E528">
        <f t="shared" si="16"/>
        <v>1.0103899999999999</v>
      </c>
      <c r="F528" s="1">
        <f t="shared" si="17"/>
        <v>41673</v>
      </c>
      <c r="G528" cm="1">
        <f t="array" ref="G528">PRODUCT( _xlfn._xlws.FILTER($E:$E, ($C:$C=C528)*($F:$F=F528)) ) - 1</f>
        <v>1.761451397882885E-2</v>
      </c>
      <c r="J528" t="str">
        <v>RY</v>
      </c>
      <c r="K528" s="1">
        <v>40931</v>
      </c>
      <c r="L528">
        <v>-1.8471043014154143E-2</v>
      </c>
    </row>
    <row r="529" spans="1:12" x14ac:dyDescent="0.2">
      <c r="A529" s="1">
        <v>41675</v>
      </c>
      <c r="B529">
        <v>2</v>
      </c>
      <c r="C529" t="s">
        <v>11</v>
      </c>
      <c r="D529">
        <v>1.854E-3</v>
      </c>
      <c r="E529">
        <f t="shared" si="16"/>
        <v>1.001854</v>
      </c>
      <c r="F529" s="1">
        <f t="shared" si="17"/>
        <v>41673</v>
      </c>
      <c r="G529" cm="1">
        <f t="array" ref="G529">PRODUCT( _xlfn._xlws.FILTER($E:$E, ($C:$C=C529)*($F:$F=F529)) ) - 1</f>
        <v>1.761451397882885E-2</v>
      </c>
      <c r="J529" t="str">
        <v>RY</v>
      </c>
      <c r="K529" s="1">
        <v>40938</v>
      </c>
      <c r="L529">
        <v>1.9109496337073262E-2</v>
      </c>
    </row>
    <row r="530" spans="1:12" x14ac:dyDescent="0.2">
      <c r="A530" s="1">
        <v>41676</v>
      </c>
      <c r="B530">
        <v>2</v>
      </c>
      <c r="C530" t="s">
        <v>11</v>
      </c>
      <c r="D530">
        <v>1.0600999999999999E-2</v>
      </c>
      <c r="E530">
        <f t="shared" si="16"/>
        <v>1.0106010000000001</v>
      </c>
      <c r="F530" s="1">
        <f t="shared" si="17"/>
        <v>41673</v>
      </c>
      <c r="G530" cm="1">
        <f t="array" ref="G530">PRODUCT( _xlfn._xlws.FILTER($E:$E, ($C:$C=C530)*($F:$F=F530)) ) - 1</f>
        <v>1.761451397882885E-2</v>
      </c>
      <c r="J530" t="str">
        <v>RY</v>
      </c>
      <c r="K530" s="1">
        <v>40945</v>
      </c>
      <c r="L530">
        <v>5.061752473423331E-3</v>
      </c>
    </row>
    <row r="531" spans="1:12" x14ac:dyDescent="0.2">
      <c r="A531" s="1">
        <v>41677</v>
      </c>
      <c r="B531">
        <v>2</v>
      </c>
      <c r="C531" t="s">
        <v>11</v>
      </c>
      <c r="D531">
        <v>9.9900000000000006E-3</v>
      </c>
      <c r="E531">
        <f t="shared" si="16"/>
        <v>1.0099899999999999</v>
      </c>
      <c r="F531" s="1">
        <f t="shared" si="17"/>
        <v>41673</v>
      </c>
      <c r="G531" cm="1">
        <f t="array" ref="G531">PRODUCT( _xlfn._xlws.FILTER($E:$E, ($C:$C=C531)*($F:$F=F531)) ) - 1</f>
        <v>1.761451397882885E-2</v>
      </c>
      <c r="J531" t="str">
        <v>RY</v>
      </c>
      <c r="K531" s="1">
        <v>40952</v>
      </c>
      <c r="L531">
        <v>-8.5831587056307557E-3</v>
      </c>
    </row>
    <row r="532" spans="1:12" x14ac:dyDescent="0.2">
      <c r="A532" s="1">
        <v>41680</v>
      </c>
      <c r="B532">
        <v>2</v>
      </c>
      <c r="C532" t="s">
        <v>11</v>
      </c>
      <c r="D532">
        <v>1.4840000000000001E-3</v>
      </c>
      <c r="E532">
        <f t="shared" si="16"/>
        <v>1.001484</v>
      </c>
      <c r="F532" s="1">
        <f t="shared" si="17"/>
        <v>41680</v>
      </c>
      <c r="G532" cm="1">
        <f t="array" ref="G532">PRODUCT( _xlfn._xlws.FILTER($E:$E, ($C:$C=C532)*($F:$F=F532)) ) - 1</f>
        <v>1.9946581442324751E-2</v>
      </c>
      <c r="J532" t="str">
        <v>RY</v>
      </c>
      <c r="K532" s="1">
        <v>40959</v>
      </c>
      <c r="L532">
        <v>2.8604017871689535E-2</v>
      </c>
    </row>
    <row r="533" spans="1:12" x14ac:dyDescent="0.2">
      <c r="A533" s="1">
        <v>41681</v>
      </c>
      <c r="B533">
        <v>2</v>
      </c>
      <c r="C533" t="s">
        <v>11</v>
      </c>
      <c r="D533">
        <v>4.9379999999999997E-3</v>
      </c>
      <c r="E533">
        <f t="shared" si="16"/>
        <v>1.0049380000000001</v>
      </c>
      <c r="F533" s="1">
        <f t="shared" si="17"/>
        <v>41680</v>
      </c>
      <c r="G533" cm="1">
        <f t="array" ref="G533">PRODUCT( _xlfn._xlws.FILTER($E:$E, ($C:$C=C533)*($F:$F=F533)) ) - 1</f>
        <v>1.9946581442324751E-2</v>
      </c>
      <c r="J533" t="str">
        <v>RY</v>
      </c>
      <c r="K533" s="1">
        <v>40966</v>
      </c>
      <c r="L533">
        <v>3.1833176356969917E-2</v>
      </c>
    </row>
    <row r="534" spans="1:12" x14ac:dyDescent="0.2">
      <c r="A534" s="1">
        <v>41682</v>
      </c>
      <c r="B534">
        <v>2</v>
      </c>
      <c r="C534" t="s">
        <v>11</v>
      </c>
      <c r="D534">
        <v>1.0647E-2</v>
      </c>
      <c r="E534">
        <f t="shared" si="16"/>
        <v>1.0106470000000001</v>
      </c>
      <c r="F534" s="1">
        <f t="shared" si="17"/>
        <v>41680</v>
      </c>
      <c r="G534" cm="1">
        <f t="array" ref="G534">PRODUCT( _xlfn._xlws.FILTER($E:$E, ($C:$C=C534)*($F:$F=F534)) ) - 1</f>
        <v>1.9946581442324751E-2</v>
      </c>
      <c r="J534" t="str">
        <v>RY</v>
      </c>
      <c r="K534" s="1">
        <v>40973</v>
      </c>
      <c r="L534">
        <v>8.1562183507239983E-3</v>
      </c>
    </row>
    <row r="535" spans="1:12" x14ac:dyDescent="0.2">
      <c r="A535" s="1">
        <v>41683</v>
      </c>
      <c r="B535">
        <v>2</v>
      </c>
      <c r="C535" t="s">
        <v>11</v>
      </c>
      <c r="D535">
        <v>8.0999999999999996E-4</v>
      </c>
      <c r="E535">
        <f t="shared" si="16"/>
        <v>1.00081</v>
      </c>
      <c r="F535" s="1">
        <f t="shared" si="17"/>
        <v>41680</v>
      </c>
      <c r="G535" cm="1">
        <f t="array" ref="G535">PRODUCT( _xlfn._xlws.FILTER($E:$E, ($C:$C=C535)*($F:$F=F535)) ) - 1</f>
        <v>1.9946581442324751E-2</v>
      </c>
      <c r="J535" t="str">
        <v>RY</v>
      </c>
      <c r="K535" s="1">
        <v>40980</v>
      </c>
      <c r="L535">
        <v>2.0399978855453194E-2</v>
      </c>
    </row>
    <row r="536" spans="1:12" x14ac:dyDescent="0.2">
      <c r="A536" s="1">
        <v>41684</v>
      </c>
      <c r="B536">
        <v>2</v>
      </c>
      <c r="C536" t="s">
        <v>11</v>
      </c>
      <c r="D536">
        <v>1.9430000000000001E-3</v>
      </c>
      <c r="E536">
        <f t="shared" si="16"/>
        <v>1.001943</v>
      </c>
      <c r="F536" s="1">
        <f t="shared" si="17"/>
        <v>41680</v>
      </c>
      <c r="G536" cm="1">
        <f t="array" ref="G536">PRODUCT( _xlfn._xlws.FILTER($E:$E, ($C:$C=C536)*($F:$F=F536)) ) - 1</f>
        <v>1.9946581442324751E-2</v>
      </c>
      <c r="J536" t="str">
        <v>RY</v>
      </c>
      <c r="K536" s="1">
        <v>40987</v>
      </c>
      <c r="L536">
        <v>-3.4560467157851438E-4</v>
      </c>
    </row>
    <row r="537" spans="1:12" x14ac:dyDescent="0.2">
      <c r="A537" s="1">
        <v>41688</v>
      </c>
      <c r="B537">
        <v>2</v>
      </c>
      <c r="C537" t="s">
        <v>11</v>
      </c>
      <c r="D537">
        <v>-9.5359999999999993E-3</v>
      </c>
      <c r="E537">
        <f t="shared" si="16"/>
        <v>0.99046400000000001</v>
      </c>
      <c r="F537" s="1">
        <f t="shared" si="17"/>
        <v>41687</v>
      </c>
      <c r="G537" cm="1">
        <f t="array" ref="G537">PRODUCT( _xlfn._xlws.FILTER($E:$E, ($C:$C=C537)*($F:$F=F537)) ) - 1</f>
        <v>1.7787330738967544E-3</v>
      </c>
      <c r="J537" t="str">
        <v>RY</v>
      </c>
      <c r="K537" s="1">
        <v>40994</v>
      </c>
      <c r="L537">
        <v>-3.2755531541673877E-3</v>
      </c>
    </row>
    <row r="538" spans="1:12" x14ac:dyDescent="0.2">
      <c r="A538" s="1">
        <v>41689</v>
      </c>
      <c r="B538">
        <v>2</v>
      </c>
      <c r="C538" t="s">
        <v>11</v>
      </c>
      <c r="D538">
        <v>6.038E-3</v>
      </c>
      <c r="E538">
        <f t="shared" si="16"/>
        <v>1.006038</v>
      </c>
      <c r="F538" s="1">
        <f t="shared" si="17"/>
        <v>41687</v>
      </c>
      <c r="G538" cm="1">
        <f t="array" ref="G538">PRODUCT( _xlfn._xlws.FILTER($E:$E, ($C:$C=C538)*($F:$F=F538)) ) - 1</f>
        <v>1.7787330738967544E-3</v>
      </c>
      <c r="J538" t="str">
        <v>RY</v>
      </c>
      <c r="K538" s="1">
        <v>41001</v>
      </c>
      <c r="L538">
        <v>-1.4704367722933931E-2</v>
      </c>
    </row>
    <row r="539" spans="1:12" x14ac:dyDescent="0.2">
      <c r="A539" s="1">
        <v>41690</v>
      </c>
      <c r="B539">
        <v>2</v>
      </c>
      <c r="C539" t="s">
        <v>11</v>
      </c>
      <c r="D539">
        <v>3.5690000000000001E-3</v>
      </c>
      <c r="E539">
        <f t="shared" si="16"/>
        <v>1.0035689999999999</v>
      </c>
      <c r="F539" s="1">
        <f t="shared" si="17"/>
        <v>41687</v>
      </c>
      <c r="G539" cm="1">
        <f t="array" ref="G539">PRODUCT( _xlfn._xlws.FILTER($E:$E, ($C:$C=C539)*($F:$F=F539)) ) - 1</f>
        <v>1.7787330738967544E-3</v>
      </c>
      <c r="J539" t="str">
        <v>RY</v>
      </c>
      <c r="K539" s="1">
        <v>41008</v>
      </c>
      <c r="L539">
        <v>-1.8959916135414812E-2</v>
      </c>
    </row>
    <row r="540" spans="1:12" x14ac:dyDescent="0.2">
      <c r="A540" s="1">
        <v>41691</v>
      </c>
      <c r="B540">
        <v>2</v>
      </c>
      <c r="C540" t="s">
        <v>11</v>
      </c>
      <c r="D540">
        <v>1.7780000000000001E-3</v>
      </c>
      <c r="E540">
        <f t="shared" si="16"/>
        <v>1.0017780000000001</v>
      </c>
      <c r="F540" s="1">
        <f t="shared" si="17"/>
        <v>41687</v>
      </c>
      <c r="G540" cm="1">
        <f t="array" ref="G540">PRODUCT( _xlfn._xlws.FILTER($E:$E, ($C:$C=C540)*($F:$F=F540)) ) - 1</f>
        <v>1.7787330738967544E-3</v>
      </c>
      <c r="J540" t="str">
        <v>RY</v>
      </c>
      <c r="K540" s="1">
        <v>41015</v>
      </c>
      <c r="L540">
        <v>2.2727823871930619E-2</v>
      </c>
    </row>
    <row r="541" spans="1:12" x14ac:dyDescent="0.2">
      <c r="A541" s="1">
        <v>41694</v>
      </c>
      <c r="B541">
        <v>2</v>
      </c>
      <c r="C541" t="s">
        <v>11</v>
      </c>
      <c r="D541">
        <v>4.5180000000000003E-3</v>
      </c>
      <c r="E541">
        <f t="shared" si="16"/>
        <v>1.004518</v>
      </c>
      <c r="F541" s="1">
        <f t="shared" si="17"/>
        <v>41694</v>
      </c>
      <c r="G541" cm="1">
        <f t="array" ref="G541">PRODUCT( _xlfn._xlws.FILTER($E:$E, ($C:$C=C541)*($F:$F=F541)) ) - 1</f>
        <v>9.358411917884224E-3</v>
      </c>
      <c r="J541" t="str">
        <v>RY</v>
      </c>
      <c r="K541" s="1">
        <v>41022</v>
      </c>
      <c r="L541">
        <v>7.967191322239886E-3</v>
      </c>
    </row>
    <row r="542" spans="1:12" x14ac:dyDescent="0.2">
      <c r="A542" s="1">
        <v>41695</v>
      </c>
      <c r="B542">
        <v>2</v>
      </c>
      <c r="C542" t="s">
        <v>11</v>
      </c>
      <c r="D542">
        <v>-8.5129999999999997E-3</v>
      </c>
      <c r="E542">
        <f t="shared" si="16"/>
        <v>0.99148700000000001</v>
      </c>
      <c r="F542" s="1">
        <f t="shared" si="17"/>
        <v>41694</v>
      </c>
      <c r="G542" cm="1">
        <f t="array" ref="G542">PRODUCT( _xlfn._xlws.FILTER($E:$E, ($C:$C=C542)*($F:$F=F542)) ) - 1</f>
        <v>9.358411917884224E-3</v>
      </c>
      <c r="J542" t="str">
        <v>RY</v>
      </c>
      <c r="K542" s="1">
        <v>41029</v>
      </c>
      <c r="L542">
        <v>-3.629684377485376E-2</v>
      </c>
    </row>
    <row r="543" spans="1:12" x14ac:dyDescent="0.2">
      <c r="A543" s="1">
        <v>41696</v>
      </c>
      <c r="B543">
        <v>2</v>
      </c>
      <c r="C543" t="s">
        <v>11</v>
      </c>
      <c r="D543">
        <v>9.7199999999999995E-3</v>
      </c>
      <c r="E543">
        <f t="shared" si="16"/>
        <v>1.00972</v>
      </c>
      <c r="F543" s="1">
        <f t="shared" si="17"/>
        <v>41694</v>
      </c>
      <c r="G543" cm="1">
        <f t="array" ref="G543">PRODUCT( _xlfn._xlws.FILTER($E:$E, ($C:$C=C543)*($F:$F=F543)) ) - 1</f>
        <v>9.358411917884224E-3</v>
      </c>
      <c r="J543" t="str">
        <v>RY</v>
      </c>
      <c r="K543" s="1">
        <v>41036</v>
      </c>
      <c r="L543">
        <v>-1.7465956568859298E-2</v>
      </c>
    </row>
    <row r="544" spans="1:12" x14ac:dyDescent="0.2">
      <c r="A544" s="1">
        <v>41697</v>
      </c>
      <c r="B544">
        <v>2</v>
      </c>
      <c r="C544" t="s">
        <v>11</v>
      </c>
      <c r="D544">
        <v>1.444E-3</v>
      </c>
      <c r="E544">
        <f t="shared" si="16"/>
        <v>1.001444</v>
      </c>
      <c r="F544" s="1">
        <f t="shared" si="17"/>
        <v>41694</v>
      </c>
      <c r="G544" cm="1">
        <f t="array" ref="G544">PRODUCT( _xlfn._xlws.FILTER($E:$E, ($C:$C=C544)*($F:$F=F544)) ) - 1</f>
        <v>9.358411917884224E-3</v>
      </c>
      <c r="J544" t="str">
        <v>RY</v>
      </c>
      <c r="K544" s="1">
        <v>41043</v>
      </c>
      <c r="L544">
        <v>-4.2592173561187163E-2</v>
      </c>
    </row>
    <row r="545" spans="1:12" x14ac:dyDescent="0.2">
      <c r="A545" s="1">
        <v>41698</v>
      </c>
      <c r="B545">
        <v>2</v>
      </c>
      <c r="C545" t="s">
        <v>11</v>
      </c>
      <c r="D545">
        <v>2.2430000000000002E-3</v>
      </c>
      <c r="E545">
        <f t="shared" si="16"/>
        <v>1.002243</v>
      </c>
      <c r="F545" s="1">
        <f t="shared" si="17"/>
        <v>41694</v>
      </c>
      <c r="G545" cm="1">
        <f t="array" ref="G545">PRODUCT( _xlfn._xlws.FILTER($E:$E, ($C:$C=C545)*($F:$F=F545)) ) - 1</f>
        <v>9.358411917884224E-3</v>
      </c>
      <c r="J545" t="str">
        <v>RY</v>
      </c>
      <c r="K545" s="1">
        <v>41050</v>
      </c>
      <c r="L545">
        <v>-2.6111652127758012E-2</v>
      </c>
    </row>
    <row r="546" spans="1:12" x14ac:dyDescent="0.2">
      <c r="A546" s="1">
        <v>41701</v>
      </c>
      <c r="B546">
        <v>2</v>
      </c>
      <c r="C546" t="s">
        <v>11</v>
      </c>
      <c r="D546">
        <v>-3.676E-3</v>
      </c>
      <c r="E546">
        <f t="shared" si="16"/>
        <v>0.99632399999999999</v>
      </c>
      <c r="F546" s="1">
        <f t="shared" si="17"/>
        <v>41701</v>
      </c>
      <c r="G546" cm="1">
        <f t="array" ref="G546">PRODUCT( _xlfn._xlws.FILTER($E:$E, ($C:$C=C546)*($F:$F=F546)) ) - 1</f>
        <v>-1.9059774166154675E-3</v>
      </c>
      <c r="J546" t="str">
        <v>RY</v>
      </c>
      <c r="K546" s="1">
        <v>41057</v>
      </c>
      <c r="L546">
        <v>-7.1498560099123587E-3</v>
      </c>
    </row>
    <row r="547" spans="1:12" x14ac:dyDescent="0.2">
      <c r="A547" s="1">
        <v>41702</v>
      </c>
      <c r="B547">
        <v>2</v>
      </c>
      <c r="C547" t="s">
        <v>11</v>
      </c>
      <c r="D547">
        <v>-1.6000000000000001E-4</v>
      </c>
      <c r="E547">
        <f t="shared" si="16"/>
        <v>0.99983999999999995</v>
      </c>
      <c r="F547" s="1">
        <f t="shared" si="17"/>
        <v>41701</v>
      </c>
      <c r="G547" cm="1">
        <f t="array" ref="G547">PRODUCT( _xlfn._xlws.FILTER($E:$E, ($C:$C=C547)*($F:$F=F547)) ) - 1</f>
        <v>-1.9059774166154675E-3</v>
      </c>
      <c r="J547" t="str">
        <v>RY</v>
      </c>
      <c r="K547" s="1">
        <v>41064</v>
      </c>
      <c r="L547">
        <v>6.4015940371964231E-3</v>
      </c>
    </row>
    <row r="548" spans="1:12" x14ac:dyDescent="0.2">
      <c r="A548" s="1">
        <v>41703</v>
      </c>
      <c r="B548">
        <v>2</v>
      </c>
      <c r="C548" t="s">
        <v>11</v>
      </c>
      <c r="D548">
        <v>1.1230000000000001E-3</v>
      </c>
      <c r="E548">
        <f t="shared" si="16"/>
        <v>1.001123</v>
      </c>
      <c r="F548" s="1">
        <f t="shared" si="17"/>
        <v>41701</v>
      </c>
      <c r="G548" cm="1">
        <f t="array" ref="G548">PRODUCT( _xlfn._xlws.FILTER($E:$E, ($C:$C=C548)*($F:$F=F548)) ) - 1</f>
        <v>-1.9059774166154675E-3</v>
      </c>
      <c r="J548" t="str">
        <v>RY</v>
      </c>
      <c r="K548" s="1">
        <v>41071</v>
      </c>
      <c r="L548">
        <v>1.8484590601461903E-2</v>
      </c>
    </row>
    <row r="549" spans="1:12" x14ac:dyDescent="0.2">
      <c r="A549" s="1">
        <v>41704</v>
      </c>
      <c r="B549">
        <v>2</v>
      </c>
      <c r="C549" t="s">
        <v>11</v>
      </c>
      <c r="D549">
        <v>-2.0839999999999999E-3</v>
      </c>
      <c r="E549">
        <f t="shared" si="16"/>
        <v>0.99791600000000003</v>
      </c>
      <c r="F549" s="1">
        <f t="shared" si="17"/>
        <v>41701</v>
      </c>
      <c r="G549" cm="1">
        <f t="array" ref="G549">PRODUCT( _xlfn._xlws.FILTER($E:$E, ($C:$C=C549)*($F:$F=F549)) ) - 1</f>
        <v>-1.9059774166154675E-3</v>
      </c>
      <c r="J549" t="str">
        <v>RY</v>
      </c>
      <c r="K549" s="1">
        <v>41078</v>
      </c>
      <c r="L549">
        <v>1.4051509750065527E-2</v>
      </c>
    </row>
    <row r="550" spans="1:12" x14ac:dyDescent="0.2">
      <c r="A550" s="1">
        <v>41705</v>
      </c>
      <c r="B550">
        <v>2</v>
      </c>
      <c r="C550" t="s">
        <v>11</v>
      </c>
      <c r="D550">
        <v>2.9030000000000002E-3</v>
      </c>
      <c r="E550">
        <f t="shared" si="16"/>
        <v>1.0029030000000001</v>
      </c>
      <c r="F550" s="1">
        <f t="shared" si="17"/>
        <v>41701</v>
      </c>
      <c r="G550" cm="1">
        <f t="array" ref="G550">PRODUCT( _xlfn._xlws.FILTER($E:$E, ($C:$C=C550)*($F:$F=F550)) ) - 1</f>
        <v>-1.9059774166154675E-3</v>
      </c>
      <c r="J550" t="str">
        <v>RY</v>
      </c>
      <c r="K550" s="1">
        <v>41085</v>
      </c>
      <c r="L550">
        <v>3.8490834359108383E-3</v>
      </c>
    </row>
    <row r="551" spans="1:12" x14ac:dyDescent="0.2">
      <c r="A551" s="1">
        <v>41708</v>
      </c>
      <c r="B551">
        <v>2</v>
      </c>
      <c r="C551" t="s">
        <v>11</v>
      </c>
      <c r="D551">
        <v>3.859E-3</v>
      </c>
      <c r="E551">
        <f t="shared" si="16"/>
        <v>1.0038590000000001</v>
      </c>
      <c r="F551" s="1">
        <f t="shared" si="17"/>
        <v>41708</v>
      </c>
      <c r="G551" cm="1">
        <f t="array" ref="G551">PRODUCT( _xlfn._xlws.FILTER($E:$E, ($C:$C=C551)*($F:$F=F551)) ) - 1</f>
        <v>-3.3767803290412068E-3</v>
      </c>
      <c r="J551" t="str">
        <v>RY</v>
      </c>
      <c r="K551" s="1">
        <v>41092</v>
      </c>
      <c r="L551">
        <v>1.1886791781215988E-2</v>
      </c>
    </row>
    <row r="552" spans="1:12" x14ac:dyDescent="0.2">
      <c r="A552" s="1">
        <v>41709</v>
      </c>
      <c r="B552">
        <v>2</v>
      </c>
      <c r="C552" t="s">
        <v>11</v>
      </c>
      <c r="D552">
        <v>-1.9220000000000001E-3</v>
      </c>
      <c r="E552">
        <f t="shared" si="16"/>
        <v>0.99807800000000002</v>
      </c>
      <c r="F552" s="1">
        <f t="shared" si="17"/>
        <v>41708</v>
      </c>
      <c r="G552" cm="1">
        <f t="array" ref="G552">PRODUCT( _xlfn._xlws.FILTER($E:$E, ($C:$C=C552)*($F:$F=F552)) ) - 1</f>
        <v>-3.3767803290412068E-3</v>
      </c>
      <c r="J552" t="str">
        <v>RY</v>
      </c>
      <c r="K552" s="1">
        <v>41099</v>
      </c>
      <c r="L552">
        <v>-5.6832580975092473E-3</v>
      </c>
    </row>
    <row r="553" spans="1:12" x14ac:dyDescent="0.2">
      <c r="A553" s="1">
        <v>41710</v>
      </c>
      <c r="B553">
        <v>2</v>
      </c>
      <c r="C553" t="s">
        <v>11</v>
      </c>
      <c r="D553">
        <v>1.958E-2</v>
      </c>
      <c r="E553">
        <f t="shared" si="16"/>
        <v>1.0195799999999999</v>
      </c>
      <c r="F553" s="1">
        <f t="shared" si="17"/>
        <v>41708</v>
      </c>
      <c r="G553" cm="1">
        <f t="array" ref="G553">PRODUCT( _xlfn._xlws.FILTER($E:$E, ($C:$C=C553)*($F:$F=F553)) ) - 1</f>
        <v>-3.3767803290412068E-3</v>
      </c>
      <c r="J553" t="str">
        <v>RY</v>
      </c>
      <c r="K553" s="1">
        <v>41106</v>
      </c>
      <c r="L553">
        <v>-1.3330337813205473E-3</v>
      </c>
    </row>
    <row r="554" spans="1:12" x14ac:dyDescent="0.2">
      <c r="A554" s="1">
        <v>41711</v>
      </c>
      <c r="B554">
        <v>2</v>
      </c>
      <c r="C554" t="s">
        <v>11</v>
      </c>
      <c r="D554">
        <v>-1.5426E-2</v>
      </c>
      <c r="E554">
        <f t="shared" si="16"/>
        <v>0.98457399999999995</v>
      </c>
      <c r="F554" s="1">
        <f t="shared" si="17"/>
        <v>41708</v>
      </c>
      <c r="G554" cm="1">
        <f t="array" ref="G554">PRODUCT( _xlfn._xlws.FILTER($E:$E, ($C:$C=C554)*($F:$F=F554)) ) - 1</f>
        <v>-3.3767803290412068E-3</v>
      </c>
      <c r="J554" t="str">
        <v>RY</v>
      </c>
      <c r="K554" s="1">
        <v>41113</v>
      </c>
      <c r="L554">
        <v>-1.9026643321807812E-3</v>
      </c>
    </row>
    <row r="555" spans="1:12" x14ac:dyDescent="0.2">
      <c r="A555" s="1">
        <v>41712</v>
      </c>
      <c r="B555">
        <v>2</v>
      </c>
      <c r="C555" t="s">
        <v>11</v>
      </c>
      <c r="D555">
        <v>-9.1129999999999996E-3</v>
      </c>
      <c r="E555">
        <f t="shared" si="16"/>
        <v>0.99088699999999996</v>
      </c>
      <c r="F555" s="1">
        <f t="shared" si="17"/>
        <v>41708</v>
      </c>
      <c r="G555" cm="1">
        <f t="array" ref="G555">PRODUCT( _xlfn._xlws.FILTER($E:$E, ($C:$C=C555)*($F:$F=F555)) ) - 1</f>
        <v>-3.3767803290412068E-3</v>
      </c>
      <c r="J555" t="str">
        <v>RY</v>
      </c>
      <c r="K555" s="1">
        <v>41120</v>
      </c>
      <c r="L555">
        <v>-2.5134012863797794E-3</v>
      </c>
    </row>
    <row r="556" spans="1:12" x14ac:dyDescent="0.2">
      <c r="A556" s="1">
        <v>41715</v>
      </c>
      <c r="B556">
        <v>2</v>
      </c>
      <c r="C556" t="s">
        <v>11</v>
      </c>
      <c r="D556">
        <v>1.0487E-2</v>
      </c>
      <c r="E556">
        <f t="shared" si="16"/>
        <v>1.0104869999999999</v>
      </c>
      <c r="F556" s="1">
        <f t="shared" si="17"/>
        <v>41715</v>
      </c>
      <c r="G556" cm="1">
        <f t="array" ref="G556">PRODUCT( _xlfn._xlws.FILTER($E:$E, ($C:$C=C556)*($F:$F=F556)) ) - 1</f>
        <v>2.4198385290978841E-3</v>
      </c>
      <c r="J556" t="str">
        <v>RY</v>
      </c>
      <c r="K556" s="1">
        <v>41127</v>
      </c>
      <c r="L556">
        <v>-8.7212356026724613E-3</v>
      </c>
    </row>
    <row r="557" spans="1:12" x14ac:dyDescent="0.2">
      <c r="A557" s="1">
        <v>41716</v>
      </c>
      <c r="B557">
        <v>2</v>
      </c>
      <c r="C557" t="s">
        <v>11</v>
      </c>
      <c r="D557">
        <v>1.2135E-2</v>
      </c>
      <c r="E557">
        <f t="shared" si="16"/>
        <v>1.012135</v>
      </c>
      <c r="F557" s="1">
        <f t="shared" si="17"/>
        <v>41715</v>
      </c>
      <c r="G557" cm="1">
        <f t="array" ref="G557">PRODUCT( _xlfn._xlws.FILTER($E:$E, ($C:$C=C557)*($F:$F=F557)) ) - 1</f>
        <v>2.4198385290978841E-3</v>
      </c>
      <c r="J557" t="str">
        <v>RY</v>
      </c>
      <c r="K557" s="1">
        <v>41134</v>
      </c>
      <c r="L557">
        <v>5.5522578093164299E-2</v>
      </c>
    </row>
    <row r="558" spans="1:12" x14ac:dyDescent="0.2">
      <c r="A558" s="1">
        <v>41717</v>
      </c>
      <c r="B558">
        <v>2</v>
      </c>
      <c r="C558" t="s">
        <v>11</v>
      </c>
      <c r="D558">
        <v>-3.9439999999999996E-3</v>
      </c>
      <c r="E558">
        <f t="shared" si="16"/>
        <v>0.99605600000000005</v>
      </c>
      <c r="F558" s="1">
        <f t="shared" si="17"/>
        <v>41715</v>
      </c>
      <c r="G558" cm="1">
        <f t="array" ref="G558">PRODUCT( _xlfn._xlws.FILTER($E:$E, ($C:$C=C558)*($F:$F=F558)) ) - 1</f>
        <v>2.4198385290978841E-3</v>
      </c>
      <c r="J558" t="str">
        <v>RY</v>
      </c>
      <c r="K558" s="1">
        <v>41141</v>
      </c>
      <c r="L558">
        <v>-4.8154242607110209E-3</v>
      </c>
    </row>
    <row r="559" spans="1:12" x14ac:dyDescent="0.2">
      <c r="A559" s="1">
        <v>41718</v>
      </c>
      <c r="B559">
        <v>2</v>
      </c>
      <c r="C559" t="s">
        <v>11</v>
      </c>
      <c r="D559">
        <v>-4.751E-3</v>
      </c>
      <c r="E559">
        <f t="shared" si="16"/>
        <v>0.99524900000000005</v>
      </c>
      <c r="F559" s="1">
        <f t="shared" si="17"/>
        <v>41715</v>
      </c>
      <c r="G559" cm="1">
        <f t="array" ref="G559">PRODUCT( _xlfn._xlws.FILTER($E:$E, ($C:$C=C559)*($F:$F=F559)) ) - 1</f>
        <v>2.4198385290978841E-3</v>
      </c>
      <c r="J559" t="str">
        <v>RY</v>
      </c>
      <c r="K559" s="1">
        <v>41148</v>
      </c>
      <c r="L559">
        <v>2.6800387523336466E-2</v>
      </c>
    </row>
    <row r="560" spans="1:12" x14ac:dyDescent="0.2">
      <c r="A560" s="1">
        <v>41719</v>
      </c>
      <c r="B560">
        <v>2</v>
      </c>
      <c r="C560" t="s">
        <v>11</v>
      </c>
      <c r="D560">
        <v>-1.1299E-2</v>
      </c>
      <c r="E560">
        <f t="shared" si="16"/>
        <v>0.98870100000000005</v>
      </c>
      <c r="F560" s="1">
        <f t="shared" si="17"/>
        <v>41715</v>
      </c>
      <c r="G560" cm="1">
        <f t="array" ref="G560">PRODUCT( _xlfn._xlws.FILTER($E:$E, ($C:$C=C560)*($F:$F=F560)) ) - 1</f>
        <v>2.4198385290978841E-3</v>
      </c>
      <c r="J560" t="str">
        <v>RY</v>
      </c>
      <c r="K560" s="1">
        <v>41155</v>
      </c>
      <c r="L560">
        <v>1.8488447042678935E-2</v>
      </c>
    </row>
    <row r="561" spans="1:12" x14ac:dyDescent="0.2">
      <c r="A561" s="1">
        <v>41722</v>
      </c>
      <c r="B561">
        <v>2</v>
      </c>
      <c r="C561" t="s">
        <v>11</v>
      </c>
      <c r="D561">
        <v>-3.3800000000000002E-3</v>
      </c>
      <c r="E561">
        <f t="shared" si="16"/>
        <v>0.99661999999999995</v>
      </c>
      <c r="F561" s="1">
        <f t="shared" si="17"/>
        <v>41722</v>
      </c>
      <c r="G561" cm="1">
        <f t="array" ref="G561">PRODUCT( _xlfn._xlws.FILTER($E:$E, ($C:$C=C561)*($F:$F=F561)) ) - 1</f>
        <v>-1.1267202850412494E-2</v>
      </c>
      <c r="J561" t="str">
        <v>RY</v>
      </c>
      <c r="K561" s="1">
        <v>41162</v>
      </c>
      <c r="L561">
        <v>-2.1353130534056408E-3</v>
      </c>
    </row>
    <row r="562" spans="1:12" x14ac:dyDescent="0.2">
      <c r="A562" s="1">
        <v>41723</v>
      </c>
      <c r="B562">
        <v>2</v>
      </c>
      <c r="C562" t="s">
        <v>11</v>
      </c>
      <c r="D562">
        <v>3.5530000000000002E-3</v>
      </c>
      <c r="E562">
        <f t="shared" si="16"/>
        <v>1.0035529999999999</v>
      </c>
      <c r="F562" s="1">
        <f t="shared" si="17"/>
        <v>41722</v>
      </c>
      <c r="G562" cm="1">
        <f t="array" ref="G562">PRODUCT( _xlfn._xlws.FILTER($E:$E, ($C:$C=C562)*($F:$F=F562)) ) - 1</f>
        <v>-1.1267202850412494E-2</v>
      </c>
      <c r="J562" t="str">
        <v>RY</v>
      </c>
      <c r="K562" s="1">
        <v>41169</v>
      </c>
      <c r="L562">
        <v>-1.4272207917204183E-3</v>
      </c>
    </row>
    <row r="563" spans="1:12" x14ac:dyDescent="0.2">
      <c r="A563" s="1">
        <v>41724</v>
      </c>
      <c r="B563">
        <v>2</v>
      </c>
      <c r="C563" t="s">
        <v>11</v>
      </c>
      <c r="D563">
        <v>-1.3357000000000001E-2</v>
      </c>
      <c r="E563">
        <f t="shared" si="16"/>
        <v>0.98664300000000005</v>
      </c>
      <c r="F563" s="1">
        <f t="shared" si="17"/>
        <v>41722</v>
      </c>
      <c r="G563" cm="1">
        <f t="array" ref="G563">PRODUCT( _xlfn._xlws.FILTER($E:$E, ($C:$C=C563)*($F:$F=F563)) ) - 1</f>
        <v>-1.1267202850412494E-2</v>
      </c>
      <c r="J563" t="str">
        <v>RY</v>
      </c>
      <c r="K563" s="1">
        <v>41176</v>
      </c>
      <c r="L563">
        <v>9.8236501599588966E-3</v>
      </c>
    </row>
    <row r="564" spans="1:12" x14ac:dyDescent="0.2">
      <c r="A564" s="1">
        <v>41725</v>
      </c>
      <c r="B564">
        <v>2</v>
      </c>
      <c r="C564" t="s">
        <v>11</v>
      </c>
      <c r="D564">
        <v>-7.8289999999999992E-3</v>
      </c>
      <c r="E564">
        <f t="shared" si="16"/>
        <v>0.99217100000000003</v>
      </c>
      <c r="F564" s="1">
        <f t="shared" si="17"/>
        <v>41722</v>
      </c>
      <c r="G564" cm="1">
        <f t="array" ref="G564">PRODUCT( _xlfn._xlws.FILTER($E:$E, ($C:$C=C564)*($F:$F=F564)) ) - 1</f>
        <v>-1.1267202850412494E-2</v>
      </c>
      <c r="J564" t="str">
        <v>RY</v>
      </c>
      <c r="K564" s="1">
        <v>41183</v>
      </c>
      <c r="L564">
        <v>1.5741195321879564E-2</v>
      </c>
    </row>
    <row r="565" spans="1:12" x14ac:dyDescent="0.2">
      <c r="A565" s="1">
        <v>41726</v>
      </c>
      <c r="B565">
        <v>2</v>
      </c>
      <c r="C565" t="s">
        <v>11</v>
      </c>
      <c r="D565">
        <v>9.8630000000000002E-3</v>
      </c>
      <c r="E565">
        <f t="shared" si="16"/>
        <v>1.009863</v>
      </c>
      <c r="F565" s="1">
        <f t="shared" si="17"/>
        <v>41722</v>
      </c>
      <c r="G565" cm="1">
        <f t="array" ref="G565">PRODUCT( _xlfn._xlws.FILTER($E:$E, ($C:$C=C565)*($F:$F=F565)) ) - 1</f>
        <v>-1.1267202850412494E-2</v>
      </c>
      <c r="J565" t="str">
        <v>RY</v>
      </c>
      <c r="K565" s="1">
        <v>41190</v>
      </c>
      <c r="L565">
        <v>-1.0099526525520153E-2</v>
      </c>
    </row>
    <row r="566" spans="1:12" x14ac:dyDescent="0.2">
      <c r="A566" s="1">
        <v>41729</v>
      </c>
      <c r="B566">
        <v>2</v>
      </c>
      <c r="C566" t="s">
        <v>11</v>
      </c>
      <c r="D566">
        <v>1.107E-2</v>
      </c>
      <c r="E566">
        <f t="shared" si="16"/>
        <v>1.0110699999999999</v>
      </c>
      <c r="F566" s="1">
        <f t="shared" si="17"/>
        <v>41729</v>
      </c>
      <c r="G566" cm="1">
        <f t="array" ref="G566">PRODUCT( _xlfn._xlws.FILTER($E:$E, ($C:$C=C566)*($F:$F=F566)) ) - 1</f>
        <v>-1.6208185232136074E-4</v>
      </c>
      <c r="J566" t="str">
        <v>RY</v>
      </c>
      <c r="K566" s="1">
        <v>41197</v>
      </c>
      <c r="L566">
        <v>2.9375627438237073E-2</v>
      </c>
    </row>
    <row r="567" spans="1:12" x14ac:dyDescent="0.2">
      <c r="A567" s="1">
        <v>41730</v>
      </c>
      <c r="B567">
        <v>2</v>
      </c>
      <c r="C567" t="s">
        <v>11</v>
      </c>
      <c r="D567">
        <v>2.7369999999999998E-3</v>
      </c>
      <c r="E567">
        <f t="shared" si="16"/>
        <v>1.002737</v>
      </c>
      <c r="F567" s="1">
        <f t="shared" si="17"/>
        <v>41729</v>
      </c>
      <c r="G567" cm="1">
        <f t="array" ref="G567">PRODUCT( _xlfn._xlws.FILTER($E:$E, ($C:$C=C567)*($F:$F=F567)) ) - 1</f>
        <v>-1.6208185232136074E-4</v>
      </c>
      <c r="J567" t="str">
        <v>RY</v>
      </c>
      <c r="K567" s="1">
        <v>41204</v>
      </c>
      <c r="L567">
        <v>-1.8646298037699016E-2</v>
      </c>
    </row>
    <row r="568" spans="1:12" x14ac:dyDescent="0.2">
      <c r="A568" s="1">
        <v>41731</v>
      </c>
      <c r="B568">
        <v>2</v>
      </c>
      <c r="C568" t="s">
        <v>11</v>
      </c>
      <c r="D568">
        <v>1.2849999999999999E-3</v>
      </c>
      <c r="E568">
        <f t="shared" si="16"/>
        <v>1.001285</v>
      </c>
      <c r="F568" s="1">
        <f t="shared" si="17"/>
        <v>41729</v>
      </c>
      <c r="G568" cm="1">
        <f t="array" ref="G568">PRODUCT( _xlfn._xlws.FILTER($E:$E, ($C:$C=C568)*($F:$F=F568)) ) - 1</f>
        <v>-1.6208185232136074E-4</v>
      </c>
      <c r="J568" t="str">
        <v>RY</v>
      </c>
      <c r="K568" s="1">
        <v>41211</v>
      </c>
      <c r="L568">
        <v>1.2845296026732456E-2</v>
      </c>
    </row>
    <row r="569" spans="1:12" x14ac:dyDescent="0.2">
      <c r="A569" s="1">
        <v>41732</v>
      </c>
      <c r="B569">
        <v>2</v>
      </c>
      <c r="C569" t="s">
        <v>11</v>
      </c>
      <c r="D569">
        <v>-6.0939999999999996E-3</v>
      </c>
      <c r="E569">
        <f t="shared" si="16"/>
        <v>0.99390599999999996</v>
      </c>
      <c r="F569" s="1">
        <f t="shared" si="17"/>
        <v>41729</v>
      </c>
      <c r="G569" cm="1">
        <f t="array" ref="G569">PRODUCT( _xlfn._xlws.FILTER($E:$E, ($C:$C=C569)*($F:$F=F569)) ) - 1</f>
        <v>-1.6208185232136074E-4</v>
      </c>
      <c r="J569" t="str">
        <v>RY</v>
      </c>
      <c r="K569" s="1">
        <v>41218</v>
      </c>
      <c r="L569">
        <v>-2.9708375269228204E-2</v>
      </c>
    </row>
    <row r="570" spans="1:12" x14ac:dyDescent="0.2">
      <c r="A570" s="1">
        <v>41733</v>
      </c>
      <c r="B570">
        <v>2</v>
      </c>
      <c r="C570" t="s">
        <v>11</v>
      </c>
      <c r="D570">
        <v>-9.0349999999999996E-3</v>
      </c>
      <c r="E570">
        <f t="shared" si="16"/>
        <v>0.99096499999999998</v>
      </c>
      <c r="F570" s="1">
        <f t="shared" si="17"/>
        <v>41729</v>
      </c>
      <c r="G570" cm="1">
        <f t="array" ref="G570">PRODUCT( _xlfn._xlws.FILTER($E:$E, ($C:$C=C570)*($F:$F=F570)) ) - 1</f>
        <v>-1.6208185232136074E-4</v>
      </c>
      <c r="J570" t="str">
        <v>RY</v>
      </c>
      <c r="K570" s="1">
        <v>41225</v>
      </c>
      <c r="L570">
        <v>-4.1186712470926423E-3</v>
      </c>
    </row>
    <row r="571" spans="1:12" x14ac:dyDescent="0.2">
      <c r="A571" s="1">
        <v>41736</v>
      </c>
      <c r="B571">
        <v>2</v>
      </c>
      <c r="C571" t="s">
        <v>11</v>
      </c>
      <c r="D571">
        <v>-1.5467E-2</v>
      </c>
      <c r="E571">
        <f t="shared" si="16"/>
        <v>0.98453299999999999</v>
      </c>
      <c r="F571" s="1">
        <f t="shared" si="17"/>
        <v>41736</v>
      </c>
      <c r="G571" cm="1">
        <f t="array" ref="G571">PRODUCT( _xlfn._xlws.FILTER($E:$E, ($C:$C=C571)*($F:$F=F571)) ) - 1</f>
        <v>-2.279397044404341E-2</v>
      </c>
      <c r="J571" t="str">
        <v>RY</v>
      </c>
      <c r="K571" s="1">
        <v>41232</v>
      </c>
      <c r="L571">
        <v>4.1891388461250623E-2</v>
      </c>
    </row>
    <row r="572" spans="1:12" x14ac:dyDescent="0.2">
      <c r="A572" s="1">
        <v>41737</v>
      </c>
      <c r="B572">
        <v>2</v>
      </c>
      <c r="C572" t="s">
        <v>11</v>
      </c>
      <c r="D572">
        <v>1.2567999999999999E-2</v>
      </c>
      <c r="E572">
        <f t="shared" si="16"/>
        <v>1.0125679999999999</v>
      </c>
      <c r="F572" s="1">
        <f t="shared" si="17"/>
        <v>41736</v>
      </c>
      <c r="G572" cm="1">
        <f t="array" ref="G572">PRODUCT( _xlfn._xlws.FILTER($E:$E, ($C:$C=C572)*($F:$F=F572)) ) - 1</f>
        <v>-2.279397044404341E-2</v>
      </c>
      <c r="J572" t="str">
        <v>RY</v>
      </c>
      <c r="K572" s="1">
        <v>41239</v>
      </c>
      <c r="L572">
        <v>1.6392712510715279E-2</v>
      </c>
    </row>
    <row r="573" spans="1:12" x14ac:dyDescent="0.2">
      <c r="A573" s="1">
        <v>41738</v>
      </c>
      <c r="B573">
        <v>2</v>
      </c>
      <c r="C573" t="s">
        <v>11</v>
      </c>
      <c r="D573">
        <v>-5.0629999999999998E-3</v>
      </c>
      <c r="E573">
        <f t="shared" si="16"/>
        <v>0.99493699999999996</v>
      </c>
      <c r="F573" s="1">
        <f t="shared" si="17"/>
        <v>41736</v>
      </c>
      <c r="G573" cm="1">
        <f t="array" ref="G573">PRODUCT( _xlfn._xlws.FILTER($E:$E, ($C:$C=C573)*($F:$F=F573)) ) - 1</f>
        <v>-2.279397044404341E-2</v>
      </c>
      <c r="J573" t="str">
        <v>RY</v>
      </c>
      <c r="K573" s="1">
        <v>41246</v>
      </c>
      <c r="L573">
        <v>-7.1300956004857197E-3</v>
      </c>
    </row>
    <row r="574" spans="1:12" x14ac:dyDescent="0.2">
      <c r="A574" s="1">
        <v>41739</v>
      </c>
      <c r="B574">
        <v>2</v>
      </c>
      <c r="C574" t="s">
        <v>11</v>
      </c>
      <c r="D574">
        <v>-9.5209999999999999E-3</v>
      </c>
      <c r="E574">
        <f t="shared" si="16"/>
        <v>0.990479</v>
      </c>
      <c r="F574" s="1">
        <f t="shared" si="17"/>
        <v>41736</v>
      </c>
      <c r="G574" cm="1">
        <f t="array" ref="G574">PRODUCT( _xlfn._xlws.FILTER($E:$E, ($C:$C=C574)*($F:$F=F574)) ) - 1</f>
        <v>-2.279397044404341E-2</v>
      </c>
      <c r="J574" t="str">
        <v>RY</v>
      </c>
      <c r="K574" s="1">
        <v>41253</v>
      </c>
      <c r="L574">
        <v>1.1970779565291689E-2</v>
      </c>
    </row>
    <row r="575" spans="1:12" x14ac:dyDescent="0.2">
      <c r="A575" s="1">
        <v>41740</v>
      </c>
      <c r="B575">
        <v>2</v>
      </c>
      <c r="C575" t="s">
        <v>11</v>
      </c>
      <c r="D575">
        <v>-5.3030000000000004E-3</v>
      </c>
      <c r="E575">
        <f t="shared" si="16"/>
        <v>0.99469700000000005</v>
      </c>
      <c r="F575" s="1">
        <f t="shared" si="17"/>
        <v>41736</v>
      </c>
      <c r="G575" cm="1">
        <f t="array" ref="G575">PRODUCT( _xlfn._xlws.FILTER($E:$E, ($C:$C=C575)*($F:$F=F575)) ) - 1</f>
        <v>-2.279397044404341E-2</v>
      </c>
      <c r="J575" t="str">
        <v>RY</v>
      </c>
      <c r="K575" s="1">
        <v>41260</v>
      </c>
      <c r="L575">
        <v>2.1291723110382854E-2</v>
      </c>
    </row>
    <row r="576" spans="1:12" x14ac:dyDescent="0.2">
      <c r="A576" s="1">
        <v>41743</v>
      </c>
      <c r="B576">
        <v>2</v>
      </c>
      <c r="C576" t="s">
        <v>11</v>
      </c>
      <c r="D576">
        <v>7.1640000000000002E-3</v>
      </c>
      <c r="E576">
        <f t="shared" si="16"/>
        <v>1.0071639999999999</v>
      </c>
      <c r="F576" s="1">
        <f t="shared" si="17"/>
        <v>41743</v>
      </c>
      <c r="G576" cm="1">
        <f t="array" ref="G576">PRODUCT( _xlfn._xlws.FILTER($E:$E, ($C:$C=C576)*($F:$F=F576)) ) - 1</f>
        <v>4.0486123187771339E-2</v>
      </c>
      <c r="J576" t="str">
        <v>RY</v>
      </c>
      <c r="K576" s="1">
        <v>41267</v>
      </c>
      <c r="L576">
        <v>-1.1416622946235688E-2</v>
      </c>
    </row>
    <row r="577" spans="1:12" x14ac:dyDescent="0.2">
      <c r="A577" s="1">
        <v>41744</v>
      </c>
      <c r="B577">
        <v>2</v>
      </c>
      <c r="C577" t="s">
        <v>11</v>
      </c>
      <c r="D577">
        <v>7.1130000000000004E-3</v>
      </c>
      <c r="E577">
        <f t="shared" si="16"/>
        <v>1.0071129999999999</v>
      </c>
      <c r="F577" s="1">
        <f t="shared" si="17"/>
        <v>41743</v>
      </c>
      <c r="G577" cm="1">
        <f t="array" ref="G577">PRODUCT( _xlfn._xlws.FILTER($E:$E, ($C:$C=C577)*($F:$F=F577)) ) - 1</f>
        <v>4.0486123187771339E-2</v>
      </c>
      <c r="J577" t="str">
        <v>RY</v>
      </c>
      <c r="K577" s="1">
        <v>41274</v>
      </c>
      <c r="L577">
        <v>2.209295554578139E-2</v>
      </c>
    </row>
    <row r="578" spans="1:12" x14ac:dyDescent="0.2">
      <c r="A578" s="1">
        <v>41745</v>
      </c>
      <c r="B578">
        <v>2</v>
      </c>
      <c r="C578" t="s">
        <v>11</v>
      </c>
      <c r="D578">
        <v>1.9546999999999998E-2</v>
      </c>
      <c r="E578">
        <f t="shared" si="16"/>
        <v>1.019547</v>
      </c>
      <c r="F578" s="1">
        <f t="shared" si="17"/>
        <v>41743</v>
      </c>
      <c r="G578" cm="1">
        <f t="array" ref="G578">PRODUCT( _xlfn._xlws.FILTER($E:$E, ($C:$C=C578)*($F:$F=F578)) ) - 1</f>
        <v>4.0486123187771339E-2</v>
      </c>
      <c r="J578" t="str">
        <v>RY</v>
      </c>
      <c r="K578" s="1">
        <v>41281</v>
      </c>
      <c r="L578">
        <v>-2.7820680948262844E-3</v>
      </c>
    </row>
    <row r="579" spans="1:12" x14ac:dyDescent="0.2">
      <c r="A579" s="1">
        <v>41746</v>
      </c>
      <c r="B579">
        <v>2</v>
      </c>
      <c r="C579" t="s">
        <v>11</v>
      </c>
      <c r="D579">
        <v>6.1219999999999998E-3</v>
      </c>
      <c r="E579">
        <f t="shared" si="16"/>
        <v>1.006122</v>
      </c>
      <c r="F579" s="1">
        <f t="shared" si="17"/>
        <v>41743</v>
      </c>
      <c r="G579" cm="1">
        <f t="array" ref="G579">PRODUCT( _xlfn._xlws.FILTER($E:$E, ($C:$C=C579)*($F:$F=F579)) ) - 1</f>
        <v>4.0486123187771339E-2</v>
      </c>
      <c r="J579" t="str">
        <v>RY</v>
      </c>
      <c r="K579" s="1">
        <v>41288</v>
      </c>
      <c r="L579">
        <v>1.3792596659516265E-2</v>
      </c>
    </row>
    <row r="580" spans="1:12" x14ac:dyDescent="0.2">
      <c r="A580" s="1">
        <v>41750</v>
      </c>
      <c r="B580">
        <v>2</v>
      </c>
      <c r="C580" t="s">
        <v>11</v>
      </c>
      <c r="D580">
        <v>8.4869999999999998E-3</v>
      </c>
      <c r="E580">
        <f t="shared" ref="E580:E643" si="18">D580+1</f>
        <v>1.0084869999999999</v>
      </c>
      <c r="F580" s="1">
        <f t="shared" ref="F580:F643" si="19">A580 - (WEEKDAY(A580, 2) - 1)</f>
        <v>41750</v>
      </c>
      <c r="G580" cm="1">
        <f t="array" ref="G580">PRODUCT( _xlfn._xlws.FILTER($E:$E, ($C:$C=C580)*($F:$F=F580)) ) - 1</f>
        <v>2.0495618360374168E-2</v>
      </c>
      <c r="J580" t="str">
        <v>RY</v>
      </c>
      <c r="K580" s="1">
        <v>41295</v>
      </c>
      <c r="L580">
        <v>1.5602070013500668E-2</v>
      </c>
    </row>
    <row r="581" spans="1:12" x14ac:dyDescent="0.2">
      <c r="A581" s="1">
        <v>41751</v>
      </c>
      <c r="B581">
        <v>2</v>
      </c>
      <c r="C581" t="s">
        <v>11</v>
      </c>
      <c r="D581">
        <v>9.3679999999999996E-3</v>
      </c>
      <c r="E581">
        <f t="shared" si="18"/>
        <v>1.009368</v>
      </c>
      <c r="F581" s="1">
        <f t="shared" si="19"/>
        <v>41750</v>
      </c>
      <c r="G581" cm="1">
        <f t="array" ref="G581">PRODUCT( _xlfn._xlws.FILTER($E:$E, ($C:$C=C581)*($F:$F=F581)) ) - 1</f>
        <v>2.0495618360374168E-2</v>
      </c>
      <c r="J581" t="str">
        <v>RY</v>
      </c>
      <c r="K581" s="1">
        <v>41302</v>
      </c>
      <c r="L581">
        <v>7.08629131683991E-3</v>
      </c>
    </row>
    <row r="582" spans="1:12" x14ac:dyDescent="0.2">
      <c r="A582" s="1">
        <v>41752</v>
      </c>
      <c r="B582">
        <v>2</v>
      </c>
      <c r="C582" t="s">
        <v>11</v>
      </c>
      <c r="D582">
        <v>-2.9889999999999999E-3</v>
      </c>
      <c r="E582">
        <f t="shared" si="18"/>
        <v>0.99701099999999998</v>
      </c>
      <c r="F582" s="1">
        <f t="shared" si="19"/>
        <v>41750</v>
      </c>
      <c r="G582" cm="1">
        <f t="array" ref="G582">PRODUCT( _xlfn._xlws.FILTER($E:$E, ($C:$C=C582)*($F:$F=F582)) ) - 1</f>
        <v>2.0495618360374168E-2</v>
      </c>
      <c r="J582" t="str">
        <v>RY</v>
      </c>
      <c r="K582" s="1">
        <v>41309</v>
      </c>
      <c r="L582">
        <v>5.5959350209691117E-3</v>
      </c>
    </row>
    <row r="583" spans="1:12" x14ac:dyDescent="0.2">
      <c r="A583" s="1">
        <v>41753</v>
      </c>
      <c r="B583">
        <v>2</v>
      </c>
      <c r="C583" t="s">
        <v>11</v>
      </c>
      <c r="D583">
        <v>6.7840000000000001E-3</v>
      </c>
      <c r="E583">
        <f t="shared" si="18"/>
        <v>1.0067839999999999</v>
      </c>
      <c r="F583" s="1">
        <f t="shared" si="19"/>
        <v>41750</v>
      </c>
      <c r="G583" cm="1">
        <f t="array" ref="G583">PRODUCT( _xlfn._xlws.FILTER($E:$E, ($C:$C=C583)*($F:$F=F583)) ) - 1</f>
        <v>2.0495618360374168E-2</v>
      </c>
      <c r="J583" t="str">
        <v>RY</v>
      </c>
      <c r="K583" s="1">
        <v>41316</v>
      </c>
      <c r="L583">
        <v>6.5196274561771794E-3</v>
      </c>
    </row>
    <row r="584" spans="1:12" x14ac:dyDescent="0.2">
      <c r="A584" s="1">
        <v>41754</v>
      </c>
      <c r="B584">
        <v>2</v>
      </c>
      <c r="C584" t="s">
        <v>11</v>
      </c>
      <c r="D584">
        <v>-1.2539999999999999E-3</v>
      </c>
      <c r="E584">
        <f t="shared" si="18"/>
        <v>0.99874600000000002</v>
      </c>
      <c r="F584" s="1">
        <f t="shared" si="19"/>
        <v>41750</v>
      </c>
      <c r="G584" cm="1">
        <f t="array" ref="G584">PRODUCT( _xlfn._xlws.FILTER($E:$E, ($C:$C=C584)*($F:$F=F584)) ) - 1</f>
        <v>2.0495618360374168E-2</v>
      </c>
      <c r="J584" t="str">
        <v>RY</v>
      </c>
      <c r="K584" s="1">
        <v>41323</v>
      </c>
      <c r="L584">
        <v>1.5007404311269568E-2</v>
      </c>
    </row>
    <row r="585" spans="1:12" x14ac:dyDescent="0.2">
      <c r="A585" s="1">
        <v>41757</v>
      </c>
      <c r="B585">
        <v>2</v>
      </c>
      <c r="C585" t="s">
        <v>11</v>
      </c>
      <c r="D585">
        <v>6.4330000000000003E-3</v>
      </c>
      <c r="E585">
        <f t="shared" si="18"/>
        <v>1.0064329999999999</v>
      </c>
      <c r="F585" s="1">
        <f t="shared" si="19"/>
        <v>41757</v>
      </c>
      <c r="G585" cm="1">
        <f t="array" ref="G585">PRODUCT( _xlfn._xlws.FILTER($E:$E, ($C:$C=C585)*($F:$F=F585)) ) - 1</f>
        <v>4.3931550240015049E-3</v>
      </c>
      <c r="J585" t="str">
        <v>RY</v>
      </c>
      <c r="K585" s="1">
        <v>41330</v>
      </c>
      <c r="L585">
        <v>-7.4706417369627687E-3</v>
      </c>
    </row>
    <row r="586" spans="1:12" x14ac:dyDescent="0.2">
      <c r="A586" s="1">
        <v>41758</v>
      </c>
      <c r="B586">
        <v>2</v>
      </c>
      <c r="C586" t="s">
        <v>11</v>
      </c>
      <c r="D586">
        <v>-1.372E-2</v>
      </c>
      <c r="E586">
        <f t="shared" si="18"/>
        <v>0.98628000000000005</v>
      </c>
      <c r="F586" s="1">
        <f t="shared" si="19"/>
        <v>41757</v>
      </c>
      <c r="G586" cm="1">
        <f t="array" ref="G586">PRODUCT( _xlfn._xlws.FILTER($E:$E, ($C:$C=C586)*($F:$F=F586)) ) - 1</f>
        <v>4.3931550240015049E-3</v>
      </c>
      <c r="J586" t="str">
        <v>RY</v>
      </c>
      <c r="K586" s="1">
        <v>41337</v>
      </c>
      <c r="L586">
        <v>-2.101300838700404E-2</v>
      </c>
    </row>
    <row r="587" spans="1:12" x14ac:dyDescent="0.2">
      <c r="A587" s="1">
        <v>41759</v>
      </c>
      <c r="B587">
        <v>2</v>
      </c>
      <c r="C587" t="s">
        <v>11</v>
      </c>
      <c r="D587">
        <v>1.4859000000000001E-2</v>
      </c>
      <c r="E587">
        <f t="shared" si="18"/>
        <v>1.014859</v>
      </c>
      <c r="F587" s="1">
        <f t="shared" si="19"/>
        <v>41757</v>
      </c>
      <c r="G587" cm="1">
        <f t="array" ref="G587">PRODUCT( _xlfn._xlws.FILTER($E:$E, ($C:$C=C587)*($F:$F=F587)) ) - 1</f>
        <v>4.3931550240015049E-3</v>
      </c>
      <c r="J587" t="str">
        <v>RY</v>
      </c>
      <c r="K587" s="1">
        <v>41344</v>
      </c>
      <c r="L587">
        <v>-1.6018080938022039E-2</v>
      </c>
    </row>
    <row r="588" spans="1:12" x14ac:dyDescent="0.2">
      <c r="A588" s="1">
        <v>41760</v>
      </c>
      <c r="B588">
        <v>2</v>
      </c>
      <c r="C588" t="s">
        <v>11</v>
      </c>
      <c r="D588">
        <v>-2.6480000000000002E-3</v>
      </c>
      <c r="E588">
        <f t="shared" si="18"/>
        <v>0.99735200000000002</v>
      </c>
      <c r="F588" s="1">
        <f t="shared" si="19"/>
        <v>41757</v>
      </c>
      <c r="G588" cm="1">
        <f t="array" ref="G588">PRODUCT( _xlfn._xlws.FILTER($E:$E, ($C:$C=C588)*($F:$F=F588)) ) - 1</f>
        <v>4.3931550240015049E-3</v>
      </c>
      <c r="J588" t="str">
        <v>RY</v>
      </c>
      <c r="K588" s="1">
        <v>41351</v>
      </c>
      <c r="L588">
        <v>-9.7685255121349179E-4</v>
      </c>
    </row>
    <row r="589" spans="1:12" x14ac:dyDescent="0.2">
      <c r="A589" s="1">
        <v>41761</v>
      </c>
      <c r="B589">
        <v>2</v>
      </c>
      <c r="C589" t="s">
        <v>11</v>
      </c>
      <c r="D589">
        <v>-3.1199999999999999E-4</v>
      </c>
      <c r="E589">
        <f t="shared" si="18"/>
        <v>0.99968800000000002</v>
      </c>
      <c r="F589" s="1">
        <f t="shared" si="19"/>
        <v>41757</v>
      </c>
      <c r="G589" cm="1">
        <f t="array" ref="G589">PRODUCT( _xlfn._xlws.FILTER($E:$E, ($C:$C=C589)*($F:$F=F589)) ) - 1</f>
        <v>4.3931550240015049E-3</v>
      </c>
      <c r="J589" t="str">
        <v>RY</v>
      </c>
      <c r="K589" s="1">
        <v>41358</v>
      </c>
      <c r="L589">
        <v>-2.7699163578407404E-3</v>
      </c>
    </row>
    <row r="590" spans="1:12" x14ac:dyDescent="0.2">
      <c r="A590" s="1">
        <v>41764</v>
      </c>
      <c r="B590">
        <v>2</v>
      </c>
      <c r="C590" t="s">
        <v>11</v>
      </c>
      <c r="D590">
        <v>-4.999E-3</v>
      </c>
      <c r="E590">
        <f t="shared" si="18"/>
        <v>0.99500100000000002</v>
      </c>
      <c r="F590" s="1">
        <f t="shared" si="19"/>
        <v>41764</v>
      </c>
      <c r="G590" cm="1">
        <f t="array" ref="G590">PRODUCT( _xlfn._xlws.FILTER($E:$E, ($C:$C=C590)*($F:$F=F590)) ) - 1</f>
        <v>1.8740587104297823E-3</v>
      </c>
      <c r="J590" t="str">
        <v>RY</v>
      </c>
      <c r="K590" s="1">
        <v>41365</v>
      </c>
      <c r="L590">
        <v>-2.5815675732958621E-2</v>
      </c>
    </row>
    <row r="591" spans="1:12" x14ac:dyDescent="0.2">
      <c r="A591" s="1">
        <v>41765</v>
      </c>
      <c r="B591">
        <v>2</v>
      </c>
      <c r="C591" t="s">
        <v>11</v>
      </c>
      <c r="D591">
        <v>-8.1650000000000004E-3</v>
      </c>
      <c r="E591">
        <f t="shared" si="18"/>
        <v>0.99183500000000002</v>
      </c>
      <c r="F591" s="1">
        <f t="shared" si="19"/>
        <v>41764</v>
      </c>
      <c r="G591" cm="1">
        <f t="array" ref="G591">PRODUCT( _xlfn._xlws.FILTER($E:$E, ($C:$C=C591)*($F:$F=F591)) ) - 1</f>
        <v>1.8740587104297823E-3</v>
      </c>
      <c r="J591" t="str">
        <v>RY</v>
      </c>
      <c r="K591" s="1">
        <v>41372</v>
      </c>
      <c r="L591">
        <v>3.3211122608707733E-2</v>
      </c>
    </row>
    <row r="592" spans="1:12" x14ac:dyDescent="0.2">
      <c r="A592" s="1">
        <v>41766</v>
      </c>
      <c r="B592">
        <v>2</v>
      </c>
      <c r="C592" t="s">
        <v>11</v>
      </c>
      <c r="D592">
        <v>1.1081000000000001E-2</v>
      </c>
      <c r="E592">
        <f t="shared" si="18"/>
        <v>1.0110809999999999</v>
      </c>
      <c r="F592" s="1">
        <f t="shared" si="19"/>
        <v>41764</v>
      </c>
      <c r="G592" cm="1">
        <f t="array" ref="G592">PRODUCT( _xlfn._xlws.FILTER($E:$E, ($C:$C=C592)*($F:$F=F592)) ) - 1</f>
        <v>1.8740587104297823E-3</v>
      </c>
      <c r="J592" t="str">
        <v>RY</v>
      </c>
      <c r="K592" s="1">
        <v>41379</v>
      </c>
      <c r="L592">
        <v>-2.4344939930214249E-3</v>
      </c>
    </row>
    <row r="593" spans="1:12" x14ac:dyDescent="0.2">
      <c r="A593" s="1">
        <v>41767</v>
      </c>
      <c r="B593">
        <v>2</v>
      </c>
      <c r="C593" t="s">
        <v>11</v>
      </c>
      <c r="D593">
        <v>3.2880000000000001E-3</v>
      </c>
      <c r="E593">
        <f t="shared" si="18"/>
        <v>1.003288</v>
      </c>
      <c r="F593" s="1">
        <f t="shared" si="19"/>
        <v>41764</v>
      </c>
      <c r="G593" cm="1">
        <f t="array" ref="G593">PRODUCT( _xlfn._xlws.FILTER($E:$E, ($C:$C=C593)*($F:$F=F593)) ) - 1</f>
        <v>1.8740587104297823E-3</v>
      </c>
      <c r="J593" t="str">
        <v>RY</v>
      </c>
      <c r="K593" s="1">
        <v>41386</v>
      </c>
      <c r="L593">
        <v>-1.2993723859809347E-2</v>
      </c>
    </row>
    <row r="594" spans="1:12" x14ac:dyDescent="0.2">
      <c r="A594" s="1">
        <v>41768</v>
      </c>
      <c r="B594">
        <v>2</v>
      </c>
      <c r="C594" t="s">
        <v>11</v>
      </c>
      <c r="D594">
        <v>7.7999999999999999E-4</v>
      </c>
      <c r="E594">
        <f t="shared" si="18"/>
        <v>1.00078</v>
      </c>
      <c r="F594" s="1">
        <f t="shared" si="19"/>
        <v>41764</v>
      </c>
      <c r="G594" cm="1">
        <f t="array" ref="G594">PRODUCT( _xlfn._xlws.FILTER($E:$E, ($C:$C=C594)*($F:$F=F594)) ) - 1</f>
        <v>1.8740587104297823E-3</v>
      </c>
      <c r="J594" t="str">
        <v>RY</v>
      </c>
      <c r="K594" s="1">
        <v>41393</v>
      </c>
      <c r="L594">
        <v>1.7828391493472706E-2</v>
      </c>
    </row>
    <row r="595" spans="1:12" x14ac:dyDescent="0.2">
      <c r="A595" s="1">
        <v>41771</v>
      </c>
      <c r="B595">
        <v>2</v>
      </c>
      <c r="C595" t="s">
        <v>11</v>
      </c>
      <c r="D595">
        <v>1.7153000000000002E-2</v>
      </c>
      <c r="E595">
        <f t="shared" si="18"/>
        <v>1.017153</v>
      </c>
      <c r="F595" s="1">
        <f t="shared" si="19"/>
        <v>41771</v>
      </c>
      <c r="G595" cm="1">
        <f t="array" ref="G595">PRODUCT( _xlfn._xlws.FILTER($E:$E, ($C:$C=C595)*($F:$F=F595)) ) - 1</f>
        <v>1.7152583107100661E-3</v>
      </c>
      <c r="J595" t="str">
        <v>RY</v>
      </c>
      <c r="K595" s="1">
        <v>41400</v>
      </c>
      <c r="L595">
        <v>9.1671569053044522E-3</v>
      </c>
    </row>
    <row r="596" spans="1:12" x14ac:dyDescent="0.2">
      <c r="A596" s="1">
        <v>41772</v>
      </c>
      <c r="B596">
        <v>2</v>
      </c>
      <c r="C596" t="s">
        <v>11</v>
      </c>
      <c r="D596">
        <v>-5.672E-3</v>
      </c>
      <c r="E596">
        <f t="shared" si="18"/>
        <v>0.99432799999999999</v>
      </c>
      <c r="F596" s="1">
        <f t="shared" si="19"/>
        <v>41771</v>
      </c>
      <c r="G596" cm="1">
        <f t="array" ref="G596">PRODUCT( _xlfn._xlws.FILTER($E:$E, ($C:$C=C596)*($F:$F=F596)) ) - 1</f>
        <v>1.7152583107100661E-3</v>
      </c>
      <c r="J596" t="str">
        <v>RY</v>
      </c>
      <c r="K596" s="1">
        <v>41407</v>
      </c>
      <c r="L596">
        <v>8.4342303464728374E-3</v>
      </c>
    </row>
    <row r="597" spans="1:12" x14ac:dyDescent="0.2">
      <c r="A597" s="1">
        <v>41773</v>
      </c>
      <c r="B597">
        <v>2</v>
      </c>
      <c r="C597" t="s">
        <v>11</v>
      </c>
      <c r="D597">
        <v>-5.705E-3</v>
      </c>
      <c r="E597">
        <f t="shared" si="18"/>
        <v>0.99429500000000004</v>
      </c>
      <c r="F597" s="1">
        <f t="shared" si="19"/>
        <v>41771</v>
      </c>
      <c r="G597" cm="1">
        <f t="array" ref="G597">PRODUCT( _xlfn._xlws.FILTER($E:$E, ($C:$C=C597)*($F:$F=F597)) ) - 1</f>
        <v>1.7152583107100661E-3</v>
      </c>
      <c r="J597" t="str">
        <v>RY</v>
      </c>
      <c r="K597" s="1">
        <v>41414</v>
      </c>
      <c r="L597">
        <v>2.1875452628388858E-2</v>
      </c>
    </row>
    <row r="598" spans="1:12" x14ac:dyDescent="0.2">
      <c r="A598" s="1">
        <v>41774</v>
      </c>
      <c r="B598">
        <v>2</v>
      </c>
      <c r="C598" t="s">
        <v>11</v>
      </c>
      <c r="D598">
        <v>-7.443E-3</v>
      </c>
      <c r="E598">
        <f t="shared" si="18"/>
        <v>0.99255700000000002</v>
      </c>
      <c r="F598" s="1">
        <f t="shared" si="19"/>
        <v>41771</v>
      </c>
      <c r="G598" cm="1">
        <f t="array" ref="G598">PRODUCT( _xlfn._xlws.FILTER($E:$E, ($C:$C=C598)*($F:$F=F598)) ) - 1</f>
        <v>1.7152583107100661E-3</v>
      </c>
      <c r="J598" t="str">
        <v>RY</v>
      </c>
      <c r="K598" s="1">
        <v>41421</v>
      </c>
      <c r="L598">
        <v>-3.148199896688697E-2</v>
      </c>
    </row>
    <row r="599" spans="1:12" x14ac:dyDescent="0.2">
      <c r="A599" s="1">
        <v>41775</v>
      </c>
      <c r="B599">
        <v>2</v>
      </c>
      <c r="C599" t="s">
        <v>11</v>
      </c>
      <c r="D599">
        <v>3.5929999999999998E-3</v>
      </c>
      <c r="E599">
        <f t="shared" si="18"/>
        <v>1.003593</v>
      </c>
      <c r="F599" s="1">
        <f t="shared" si="19"/>
        <v>41771</v>
      </c>
      <c r="G599" cm="1">
        <f t="array" ref="G599">PRODUCT( _xlfn._xlws.FILTER($E:$E, ($C:$C=C599)*($F:$F=F599)) ) - 1</f>
        <v>1.7152583107100661E-3</v>
      </c>
      <c r="J599" t="str">
        <v>RY</v>
      </c>
      <c r="K599" s="1">
        <v>41428</v>
      </c>
      <c r="L599">
        <v>-2.5029269524877606E-2</v>
      </c>
    </row>
    <row r="600" spans="1:12" x14ac:dyDescent="0.2">
      <c r="A600" s="1">
        <v>41779</v>
      </c>
      <c r="B600">
        <v>2</v>
      </c>
      <c r="C600" t="s">
        <v>11</v>
      </c>
      <c r="D600">
        <v>7.7800000000000005E-4</v>
      </c>
      <c r="E600">
        <f t="shared" si="18"/>
        <v>1.0007779999999999</v>
      </c>
      <c r="F600" s="1">
        <f t="shared" si="19"/>
        <v>41778</v>
      </c>
      <c r="G600" cm="1">
        <f t="array" ref="G600">PRODUCT( _xlfn._xlws.FILTER($E:$E, ($C:$C=C600)*($F:$F=F600)) ) - 1</f>
        <v>1.3698130495076732E-2</v>
      </c>
      <c r="J600" t="str">
        <v>RY</v>
      </c>
      <c r="K600" s="1">
        <v>41435</v>
      </c>
      <c r="L600">
        <v>9.3728623729028016E-7</v>
      </c>
    </row>
    <row r="601" spans="1:12" x14ac:dyDescent="0.2">
      <c r="A601" s="1">
        <v>41780</v>
      </c>
      <c r="B601">
        <v>2</v>
      </c>
      <c r="C601" t="s">
        <v>11</v>
      </c>
      <c r="D601">
        <v>1.0109999999999999E-2</v>
      </c>
      <c r="E601">
        <f t="shared" si="18"/>
        <v>1.0101100000000001</v>
      </c>
      <c r="F601" s="1">
        <f t="shared" si="19"/>
        <v>41778</v>
      </c>
      <c r="G601" cm="1">
        <f t="array" ref="G601">PRODUCT( _xlfn._xlws.FILTER($E:$E, ($C:$C=C601)*($F:$F=F601)) ) - 1</f>
        <v>1.3698130495076732E-2</v>
      </c>
      <c r="J601" t="str">
        <v>RY</v>
      </c>
      <c r="K601" s="1">
        <v>41442</v>
      </c>
      <c r="L601">
        <v>-1.3502114844057611E-2</v>
      </c>
    </row>
    <row r="602" spans="1:12" x14ac:dyDescent="0.2">
      <c r="A602" s="1">
        <v>41781</v>
      </c>
      <c r="B602">
        <v>2</v>
      </c>
      <c r="C602" t="s">
        <v>11</v>
      </c>
      <c r="D602">
        <v>-1.232E-3</v>
      </c>
      <c r="E602">
        <f t="shared" si="18"/>
        <v>0.99876799999999999</v>
      </c>
      <c r="F602" s="1">
        <f t="shared" si="19"/>
        <v>41778</v>
      </c>
      <c r="G602" cm="1">
        <f t="array" ref="G602">PRODUCT( _xlfn._xlws.FILTER($E:$E, ($C:$C=C602)*($F:$F=F602)) ) - 1</f>
        <v>1.3698130495076732E-2</v>
      </c>
      <c r="J602" t="str">
        <v>RY</v>
      </c>
      <c r="K602" s="1">
        <v>41449</v>
      </c>
      <c r="L602">
        <v>3.5485746960497666E-2</v>
      </c>
    </row>
    <row r="603" spans="1:12" x14ac:dyDescent="0.2">
      <c r="A603" s="1">
        <v>41782</v>
      </c>
      <c r="B603">
        <v>2</v>
      </c>
      <c r="C603" t="s">
        <v>11</v>
      </c>
      <c r="D603">
        <v>4.0090000000000004E-3</v>
      </c>
      <c r="E603">
        <f t="shared" si="18"/>
        <v>1.0040089999999999</v>
      </c>
      <c r="F603" s="1">
        <f t="shared" si="19"/>
        <v>41778</v>
      </c>
      <c r="G603" cm="1">
        <f t="array" ref="G603">PRODUCT( _xlfn._xlws.FILTER($E:$E, ($C:$C=C603)*($F:$F=F603)) ) - 1</f>
        <v>1.3698130495076732E-2</v>
      </c>
      <c r="J603" t="str">
        <v>RY</v>
      </c>
      <c r="K603" s="1">
        <v>41456</v>
      </c>
      <c r="L603">
        <v>-6.6906681388079203E-3</v>
      </c>
    </row>
    <row r="604" spans="1:12" x14ac:dyDescent="0.2">
      <c r="A604" s="1">
        <v>41785</v>
      </c>
      <c r="B604">
        <v>2</v>
      </c>
      <c r="C604" t="s">
        <v>11</v>
      </c>
      <c r="D604">
        <v>1.382E-3</v>
      </c>
      <c r="E604">
        <f t="shared" si="18"/>
        <v>1.001382</v>
      </c>
      <c r="F604" s="1">
        <f t="shared" si="19"/>
        <v>41785</v>
      </c>
      <c r="G604" cm="1">
        <f t="array" ref="G604">PRODUCT( _xlfn._xlws.FILTER($E:$E, ($C:$C=C604)*($F:$F=F604)) ) - 1</f>
        <v>9.8277701440525611E-3</v>
      </c>
      <c r="J604" t="str">
        <v>RY</v>
      </c>
      <c r="K604" s="1">
        <v>41463</v>
      </c>
      <c r="L604">
        <v>1.5277814901709652E-2</v>
      </c>
    </row>
    <row r="605" spans="1:12" x14ac:dyDescent="0.2">
      <c r="A605" s="1">
        <v>41786</v>
      </c>
      <c r="B605">
        <v>2</v>
      </c>
      <c r="C605" t="s">
        <v>11</v>
      </c>
      <c r="D605">
        <v>-1.534E-3</v>
      </c>
      <c r="E605">
        <f t="shared" si="18"/>
        <v>0.99846599999999996</v>
      </c>
      <c r="F605" s="1">
        <f t="shared" si="19"/>
        <v>41785</v>
      </c>
      <c r="G605" cm="1">
        <f t="array" ref="G605">PRODUCT( _xlfn._xlws.FILTER($E:$E, ($C:$C=C605)*($F:$F=F605)) ) - 1</f>
        <v>9.8277701440525611E-3</v>
      </c>
      <c r="J605" t="str">
        <v>RY</v>
      </c>
      <c r="K605" s="1">
        <v>41470</v>
      </c>
      <c r="L605">
        <v>5.323512328083857E-2</v>
      </c>
    </row>
    <row r="606" spans="1:12" x14ac:dyDescent="0.2">
      <c r="A606" s="1">
        <v>41787</v>
      </c>
      <c r="B606">
        <v>2</v>
      </c>
      <c r="C606" t="s">
        <v>11</v>
      </c>
      <c r="D606">
        <v>3.532E-3</v>
      </c>
      <c r="E606">
        <f t="shared" si="18"/>
        <v>1.0035320000000001</v>
      </c>
      <c r="F606" s="1">
        <f t="shared" si="19"/>
        <v>41785</v>
      </c>
      <c r="G606" cm="1">
        <f t="array" ref="G606">PRODUCT( _xlfn._xlws.FILTER($E:$E, ($C:$C=C606)*($F:$F=F606)) ) - 1</f>
        <v>9.8277701440525611E-3</v>
      </c>
      <c r="J606" t="str">
        <v>RY</v>
      </c>
      <c r="K606" s="1">
        <v>41477</v>
      </c>
      <c r="L606">
        <v>8.2884619462344489E-3</v>
      </c>
    </row>
    <row r="607" spans="1:12" x14ac:dyDescent="0.2">
      <c r="A607" s="1">
        <v>41788</v>
      </c>
      <c r="B607">
        <v>2</v>
      </c>
      <c r="C607" t="s">
        <v>11</v>
      </c>
      <c r="D607">
        <v>2.4489999999999998E-3</v>
      </c>
      <c r="E607">
        <f t="shared" si="18"/>
        <v>1.0024489999999999</v>
      </c>
      <c r="F607" s="1">
        <f t="shared" si="19"/>
        <v>41785</v>
      </c>
      <c r="G607" cm="1">
        <f t="array" ref="G607">PRODUCT( _xlfn._xlws.FILTER($E:$E, ($C:$C=C607)*($F:$F=F607)) ) - 1</f>
        <v>9.8277701440525611E-3</v>
      </c>
      <c r="J607" t="str">
        <v>RY</v>
      </c>
      <c r="K607" s="1">
        <v>41484</v>
      </c>
      <c r="L607">
        <v>-8.770054627636692E-3</v>
      </c>
    </row>
    <row r="608" spans="1:12" x14ac:dyDescent="0.2">
      <c r="A608" s="1">
        <v>41789</v>
      </c>
      <c r="B608">
        <v>2</v>
      </c>
      <c r="C608" t="s">
        <v>11</v>
      </c>
      <c r="D608">
        <v>3.9699999999999996E-3</v>
      </c>
      <c r="E608">
        <f t="shared" si="18"/>
        <v>1.00397</v>
      </c>
      <c r="F608" s="1">
        <f t="shared" si="19"/>
        <v>41785</v>
      </c>
      <c r="G608" cm="1">
        <f t="array" ref="G608">PRODUCT( _xlfn._xlws.FILTER($E:$E, ($C:$C=C608)*($F:$F=F608)) ) - 1</f>
        <v>9.8277701440525611E-3</v>
      </c>
      <c r="J608" t="str">
        <v>RY</v>
      </c>
      <c r="K608" s="1">
        <v>41491</v>
      </c>
      <c r="L608">
        <v>-1.1329189484156288E-2</v>
      </c>
    </row>
    <row r="609" spans="1:12" x14ac:dyDescent="0.2">
      <c r="A609" s="1">
        <v>41792</v>
      </c>
      <c r="B609">
        <v>2</v>
      </c>
      <c r="C609" t="s">
        <v>11</v>
      </c>
      <c r="D609">
        <v>7.2989999999999999E-3</v>
      </c>
      <c r="E609">
        <f t="shared" si="18"/>
        <v>1.0072989999999999</v>
      </c>
      <c r="F609" s="1">
        <f t="shared" si="19"/>
        <v>41792</v>
      </c>
      <c r="G609" cm="1">
        <f t="array" ref="G609">PRODUCT( _xlfn._xlws.FILTER($E:$E, ($C:$C=C609)*($F:$F=F609)) ) - 1</f>
        <v>2.7426217616975723E-2</v>
      </c>
      <c r="J609" t="str">
        <v>RY</v>
      </c>
      <c r="K609" s="1">
        <v>41498</v>
      </c>
      <c r="L609">
        <v>1.0361384340071389E-2</v>
      </c>
    </row>
    <row r="610" spans="1:12" x14ac:dyDescent="0.2">
      <c r="A610" s="1">
        <v>41793</v>
      </c>
      <c r="B610">
        <v>2</v>
      </c>
      <c r="C610" t="s">
        <v>11</v>
      </c>
      <c r="D610">
        <v>2.4160000000000002E-3</v>
      </c>
      <c r="E610">
        <f t="shared" si="18"/>
        <v>1.002416</v>
      </c>
      <c r="F610" s="1">
        <f t="shared" si="19"/>
        <v>41792</v>
      </c>
      <c r="G610" cm="1">
        <f t="array" ref="G610">PRODUCT( _xlfn._xlws.FILTER($E:$E, ($C:$C=C610)*($F:$F=F610)) ) - 1</f>
        <v>2.7426217616975723E-2</v>
      </c>
      <c r="J610" t="str">
        <v>RY</v>
      </c>
      <c r="K610" s="1">
        <v>41505</v>
      </c>
      <c r="L610">
        <v>1.1808211631832544E-2</v>
      </c>
    </row>
    <row r="611" spans="1:12" x14ac:dyDescent="0.2">
      <c r="A611" s="1">
        <v>41794</v>
      </c>
      <c r="B611">
        <v>2</v>
      </c>
      <c r="C611" t="s">
        <v>11</v>
      </c>
      <c r="D611">
        <v>1.5100000000000001E-4</v>
      </c>
      <c r="E611">
        <f t="shared" si="18"/>
        <v>1.000151</v>
      </c>
      <c r="F611" s="1">
        <f t="shared" si="19"/>
        <v>41792</v>
      </c>
      <c r="G611" cm="1">
        <f t="array" ref="G611">PRODUCT( _xlfn._xlws.FILTER($E:$E, ($C:$C=C611)*($F:$F=F611)) ) - 1</f>
        <v>2.7426217616975723E-2</v>
      </c>
      <c r="J611" t="str">
        <v>RY</v>
      </c>
      <c r="K611" s="1">
        <v>41512</v>
      </c>
      <c r="L611">
        <v>-3.3774542367865923E-3</v>
      </c>
    </row>
    <row r="612" spans="1:12" x14ac:dyDescent="0.2">
      <c r="A612" s="1">
        <v>41795</v>
      </c>
      <c r="B612">
        <v>2</v>
      </c>
      <c r="C612" t="s">
        <v>11</v>
      </c>
      <c r="D612">
        <v>3.313E-3</v>
      </c>
      <c r="E612">
        <f t="shared" si="18"/>
        <v>1.0033129999999999</v>
      </c>
      <c r="F612" s="1">
        <f t="shared" si="19"/>
        <v>41792</v>
      </c>
      <c r="G612" cm="1">
        <f t="array" ref="G612">PRODUCT( _xlfn._xlws.FILTER($E:$E, ($C:$C=C612)*($F:$F=F612)) ) - 1</f>
        <v>2.7426217616975723E-2</v>
      </c>
      <c r="J612" t="str">
        <v>RY</v>
      </c>
      <c r="K612" s="1">
        <v>41519</v>
      </c>
      <c r="L612">
        <v>2.5576466345495596E-2</v>
      </c>
    </row>
    <row r="613" spans="1:12" x14ac:dyDescent="0.2">
      <c r="A613" s="1">
        <v>41796</v>
      </c>
      <c r="B613">
        <v>2</v>
      </c>
      <c r="C613" t="s">
        <v>11</v>
      </c>
      <c r="D613">
        <v>1.401E-2</v>
      </c>
      <c r="E613">
        <f t="shared" si="18"/>
        <v>1.0140100000000001</v>
      </c>
      <c r="F613" s="1">
        <f t="shared" si="19"/>
        <v>41792</v>
      </c>
      <c r="G613" cm="1">
        <f t="array" ref="G613">PRODUCT( _xlfn._xlws.FILTER($E:$E, ($C:$C=C613)*($F:$F=F613)) ) - 1</f>
        <v>2.7426217616975723E-2</v>
      </c>
      <c r="J613" t="str">
        <v>RY</v>
      </c>
      <c r="K613" s="1">
        <v>41526</v>
      </c>
      <c r="L613">
        <v>-1.8930015505470243E-2</v>
      </c>
    </row>
    <row r="614" spans="1:12" x14ac:dyDescent="0.2">
      <c r="A614" s="1">
        <v>41799</v>
      </c>
      <c r="B614">
        <v>2</v>
      </c>
      <c r="C614" t="s">
        <v>11</v>
      </c>
      <c r="D614">
        <v>1.189E-3</v>
      </c>
      <c r="E614">
        <f t="shared" si="18"/>
        <v>1.0011890000000001</v>
      </c>
      <c r="F614" s="1">
        <f t="shared" si="19"/>
        <v>41799</v>
      </c>
      <c r="G614" cm="1">
        <f t="array" ref="G614">PRODUCT( _xlfn._xlws.FILTER($E:$E, ($C:$C=C614)*($F:$F=F614)) ) - 1</f>
        <v>9.3597164044658676E-3</v>
      </c>
      <c r="J614" t="str">
        <v>RY</v>
      </c>
      <c r="K614" s="1">
        <v>41533</v>
      </c>
      <c r="L614">
        <v>1.0107684528347427E-2</v>
      </c>
    </row>
    <row r="615" spans="1:12" x14ac:dyDescent="0.2">
      <c r="A615" s="1">
        <v>41800</v>
      </c>
      <c r="B615">
        <v>2</v>
      </c>
      <c r="C615" t="s">
        <v>11</v>
      </c>
      <c r="D615">
        <v>3.7100000000000002E-3</v>
      </c>
      <c r="E615">
        <f t="shared" si="18"/>
        <v>1.0037100000000001</v>
      </c>
      <c r="F615" s="1">
        <f t="shared" si="19"/>
        <v>41799</v>
      </c>
      <c r="G615" cm="1">
        <f t="array" ref="G615">PRODUCT( _xlfn._xlws.FILTER($E:$E, ($C:$C=C615)*($F:$F=F615)) ) - 1</f>
        <v>9.3597164044658676E-3</v>
      </c>
      <c r="J615" t="str">
        <v>RY</v>
      </c>
      <c r="K615" s="1">
        <v>41540</v>
      </c>
      <c r="L615">
        <v>8.7926369111741565E-3</v>
      </c>
    </row>
    <row r="616" spans="1:12" x14ac:dyDescent="0.2">
      <c r="A616" s="1">
        <v>41801</v>
      </c>
      <c r="B616">
        <v>2</v>
      </c>
      <c r="C616" t="s">
        <v>11</v>
      </c>
      <c r="D616">
        <v>-1.774E-3</v>
      </c>
      <c r="E616">
        <f t="shared" si="18"/>
        <v>0.99822599999999995</v>
      </c>
      <c r="F616" s="1">
        <f t="shared" si="19"/>
        <v>41799</v>
      </c>
      <c r="G616" cm="1">
        <f t="array" ref="G616">PRODUCT( _xlfn._xlws.FILTER($E:$E, ($C:$C=C616)*($F:$F=F616)) ) - 1</f>
        <v>9.3597164044658676E-3</v>
      </c>
      <c r="J616" t="str">
        <v>RY</v>
      </c>
      <c r="K616" s="1">
        <v>41547</v>
      </c>
      <c r="L616">
        <v>-3.7557071104319384E-3</v>
      </c>
    </row>
    <row r="617" spans="1:12" x14ac:dyDescent="0.2">
      <c r="A617" s="1">
        <v>41802</v>
      </c>
      <c r="B617">
        <v>2</v>
      </c>
      <c r="C617" t="s">
        <v>11</v>
      </c>
      <c r="D617">
        <v>-2.3700000000000001E-3</v>
      </c>
      <c r="E617">
        <f t="shared" si="18"/>
        <v>0.99763000000000002</v>
      </c>
      <c r="F617" s="1">
        <f t="shared" si="19"/>
        <v>41799</v>
      </c>
      <c r="G617" cm="1">
        <f t="array" ref="G617">PRODUCT( _xlfn._xlws.FILTER($E:$E, ($C:$C=C617)*($F:$F=F617)) ) - 1</f>
        <v>9.3597164044658676E-3</v>
      </c>
      <c r="J617" t="str">
        <v>RY</v>
      </c>
      <c r="K617" s="1">
        <v>41554</v>
      </c>
      <c r="L617">
        <v>2.6248148145650019E-2</v>
      </c>
    </row>
    <row r="618" spans="1:12" x14ac:dyDescent="0.2">
      <c r="A618" s="1">
        <v>41803</v>
      </c>
      <c r="B618">
        <v>2</v>
      </c>
      <c r="C618" t="s">
        <v>11</v>
      </c>
      <c r="D618">
        <v>8.6099999999999996E-3</v>
      </c>
      <c r="E618">
        <f t="shared" si="18"/>
        <v>1.00861</v>
      </c>
      <c r="F618" s="1">
        <f t="shared" si="19"/>
        <v>41799</v>
      </c>
      <c r="G618" cm="1">
        <f t="array" ref="G618">PRODUCT( _xlfn._xlws.FILTER($E:$E, ($C:$C=C618)*($F:$F=F618)) ) - 1</f>
        <v>9.3597164044658676E-3</v>
      </c>
      <c r="J618" t="str">
        <v>RY</v>
      </c>
      <c r="K618" s="1">
        <v>41561</v>
      </c>
      <c r="L618">
        <v>2.2050366990162384E-2</v>
      </c>
    </row>
    <row r="619" spans="1:12" x14ac:dyDescent="0.2">
      <c r="A619" s="1">
        <v>41806</v>
      </c>
      <c r="B619">
        <v>2</v>
      </c>
      <c r="C619" t="s">
        <v>11</v>
      </c>
      <c r="D619">
        <v>1.2805E-2</v>
      </c>
      <c r="E619">
        <f t="shared" si="18"/>
        <v>1.012805</v>
      </c>
      <c r="F619" s="1">
        <f t="shared" si="19"/>
        <v>41806</v>
      </c>
      <c r="G619" cm="1">
        <f t="array" ref="G619">PRODUCT( _xlfn._xlws.FILTER($E:$E, ($C:$C=C619)*($F:$F=F619)) ) - 1</f>
        <v>5.0049461084320512E-3</v>
      </c>
      <c r="J619" t="str">
        <v>RY</v>
      </c>
      <c r="K619" s="1">
        <v>41568</v>
      </c>
      <c r="L619">
        <v>8.5266082145338817E-3</v>
      </c>
    </row>
    <row r="620" spans="1:12" x14ac:dyDescent="0.2">
      <c r="A620" s="1">
        <v>41807</v>
      </c>
      <c r="B620">
        <v>2</v>
      </c>
      <c r="C620" t="s">
        <v>11</v>
      </c>
      <c r="D620">
        <v>-1.2643E-2</v>
      </c>
      <c r="E620">
        <f t="shared" si="18"/>
        <v>0.98735700000000004</v>
      </c>
      <c r="F620" s="1">
        <f t="shared" si="19"/>
        <v>41806</v>
      </c>
      <c r="G620" cm="1">
        <f t="array" ref="G620">PRODUCT( _xlfn._xlws.FILTER($E:$E, ($C:$C=C620)*($F:$F=F620)) ) - 1</f>
        <v>5.0049461084320512E-3</v>
      </c>
      <c r="J620" t="str">
        <v>RY</v>
      </c>
      <c r="K620" s="1">
        <v>41575</v>
      </c>
      <c r="L620">
        <v>1.3824099945805468E-2</v>
      </c>
    </row>
    <row r="621" spans="1:12" x14ac:dyDescent="0.2">
      <c r="A621" s="1">
        <v>41808</v>
      </c>
      <c r="B621">
        <v>2</v>
      </c>
      <c r="C621" t="s">
        <v>11</v>
      </c>
      <c r="D621">
        <v>7.6540000000000002E-3</v>
      </c>
      <c r="E621">
        <f t="shared" si="18"/>
        <v>1.007654</v>
      </c>
      <c r="F621" s="1">
        <f t="shared" si="19"/>
        <v>41806</v>
      </c>
      <c r="G621" cm="1">
        <f t="array" ref="G621">PRODUCT( _xlfn._xlws.FILTER($E:$E, ($C:$C=C621)*($F:$F=F621)) ) - 1</f>
        <v>5.0049461084320512E-3</v>
      </c>
      <c r="J621" t="str">
        <v>RY</v>
      </c>
      <c r="K621" s="1">
        <v>41582</v>
      </c>
      <c r="L621">
        <v>-1.420093652110932E-3</v>
      </c>
    </row>
    <row r="622" spans="1:12" x14ac:dyDescent="0.2">
      <c r="A622" s="1">
        <v>41809</v>
      </c>
      <c r="B622">
        <v>2</v>
      </c>
      <c r="C622" t="s">
        <v>11</v>
      </c>
      <c r="D622">
        <v>-2.1909999999999998E-3</v>
      </c>
      <c r="E622">
        <f t="shared" si="18"/>
        <v>0.99780899999999995</v>
      </c>
      <c r="F622" s="1">
        <f t="shared" si="19"/>
        <v>41806</v>
      </c>
      <c r="G622" cm="1">
        <f t="array" ref="G622">PRODUCT( _xlfn._xlws.FILTER($E:$E, ($C:$C=C622)*($F:$F=F622)) ) - 1</f>
        <v>5.0049461084320512E-3</v>
      </c>
      <c r="J622" t="str">
        <v>RY</v>
      </c>
      <c r="K622" s="1">
        <v>41589</v>
      </c>
      <c r="L622">
        <v>1.4080052029819656E-2</v>
      </c>
    </row>
    <row r="623" spans="1:12" x14ac:dyDescent="0.2">
      <c r="A623" s="1">
        <v>41810</v>
      </c>
      <c r="B623">
        <v>2</v>
      </c>
      <c r="C623" t="s">
        <v>11</v>
      </c>
      <c r="D623">
        <v>-4.3899999999999999E-4</v>
      </c>
      <c r="E623">
        <f t="shared" si="18"/>
        <v>0.99956100000000003</v>
      </c>
      <c r="F623" s="1">
        <f t="shared" si="19"/>
        <v>41806</v>
      </c>
      <c r="G623" cm="1">
        <f t="array" ref="G623">PRODUCT( _xlfn._xlws.FILTER($E:$E, ($C:$C=C623)*($F:$F=F623)) ) - 1</f>
        <v>5.0049461084320512E-3</v>
      </c>
      <c r="J623" t="str">
        <v>RY</v>
      </c>
      <c r="K623" s="1">
        <v>41596</v>
      </c>
      <c r="L623">
        <v>2.8052856808298277E-3</v>
      </c>
    </row>
    <row r="624" spans="1:12" x14ac:dyDescent="0.2">
      <c r="A624" s="1">
        <v>41813</v>
      </c>
      <c r="B624">
        <v>2</v>
      </c>
      <c r="C624" t="s">
        <v>11</v>
      </c>
      <c r="D624">
        <v>-8.6409999999999994E-3</v>
      </c>
      <c r="E624">
        <f t="shared" si="18"/>
        <v>0.99135899999999999</v>
      </c>
      <c r="F624" s="1">
        <f t="shared" si="19"/>
        <v>41813</v>
      </c>
      <c r="G624" cm="1">
        <f t="array" ref="G624">PRODUCT( _xlfn._xlws.FILTER($E:$E, ($C:$C=C624)*($F:$F=F624)) ) - 1</f>
        <v>5.8582139694951518E-3</v>
      </c>
      <c r="J624" t="str">
        <v>RY</v>
      </c>
      <c r="K624" s="1">
        <v>41603</v>
      </c>
      <c r="L624">
        <v>-1.4824750173756063E-2</v>
      </c>
    </row>
    <row r="625" spans="1:12" x14ac:dyDescent="0.2">
      <c r="A625" s="1">
        <v>41814</v>
      </c>
      <c r="B625">
        <v>2</v>
      </c>
      <c r="C625" t="s">
        <v>11</v>
      </c>
      <c r="D625">
        <v>-6.0569999999999999E-3</v>
      </c>
      <c r="E625">
        <f t="shared" si="18"/>
        <v>0.99394300000000002</v>
      </c>
      <c r="F625" s="1">
        <f t="shared" si="19"/>
        <v>41813</v>
      </c>
      <c r="G625" cm="1">
        <f t="array" ref="G625">PRODUCT( _xlfn._xlws.FILTER($E:$E, ($C:$C=C625)*($F:$F=F625)) ) - 1</f>
        <v>5.8582139694951518E-3</v>
      </c>
      <c r="J625" t="str">
        <v>RY</v>
      </c>
      <c r="K625" s="1">
        <v>41610</v>
      </c>
      <c r="L625">
        <v>-1.9733516924247074E-2</v>
      </c>
    </row>
    <row r="626" spans="1:12" x14ac:dyDescent="0.2">
      <c r="A626" s="1">
        <v>41815</v>
      </c>
      <c r="B626">
        <v>2</v>
      </c>
      <c r="C626" t="s">
        <v>11</v>
      </c>
      <c r="D626">
        <v>1.1296E-2</v>
      </c>
      <c r="E626">
        <f t="shared" si="18"/>
        <v>1.011296</v>
      </c>
      <c r="F626" s="1">
        <f t="shared" si="19"/>
        <v>41813</v>
      </c>
      <c r="G626" cm="1">
        <f t="array" ref="G626">PRODUCT( _xlfn._xlws.FILTER($E:$E, ($C:$C=C626)*($F:$F=F626)) ) - 1</f>
        <v>5.8582139694951518E-3</v>
      </c>
      <c r="J626" t="str">
        <v>RY</v>
      </c>
      <c r="K626" s="1">
        <v>41617</v>
      </c>
      <c r="L626">
        <v>-1.1875388633598938E-2</v>
      </c>
    </row>
    <row r="627" spans="1:12" x14ac:dyDescent="0.2">
      <c r="A627" s="1">
        <v>41816</v>
      </c>
      <c r="B627">
        <v>2</v>
      </c>
      <c r="C627" t="s">
        <v>11</v>
      </c>
      <c r="D627">
        <v>1.0435E-2</v>
      </c>
      <c r="E627">
        <f t="shared" si="18"/>
        <v>1.010435</v>
      </c>
      <c r="F627" s="1">
        <f t="shared" si="19"/>
        <v>41813</v>
      </c>
      <c r="G627" cm="1">
        <f t="array" ref="G627">PRODUCT( _xlfn._xlws.FILTER($E:$E, ($C:$C=C627)*($F:$F=F627)) ) - 1</f>
        <v>5.8582139694951518E-3</v>
      </c>
      <c r="J627" t="str">
        <v>RY</v>
      </c>
      <c r="K627" s="1">
        <v>41624</v>
      </c>
      <c r="L627">
        <v>2.9752030021847009E-2</v>
      </c>
    </row>
    <row r="628" spans="1:12" x14ac:dyDescent="0.2">
      <c r="A628" s="1">
        <v>41817</v>
      </c>
      <c r="B628">
        <v>2</v>
      </c>
      <c r="C628" t="s">
        <v>11</v>
      </c>
      <c r="D628">
        <v>-1.018E-3</v>
      </c>
      <c r="E628">
        <f t="shared" si="18"/>
        <v>0.99898200000000004</v>
      </c>
      <c r="F628" s="1">
        <f t="shared" si="19"/>
        <v>41813</v>
      </c>
      <c r="G628" cm="1">
        <f t="array" ref="G628">PRODUCT( _xlfn._xlws.FILTER($E:$E, ($C:$C=C628)*($F:$F=F628)) ) - 1</f>
        <v>5.8582139694951518E-3</v>
      </c>
      <c r="J628" t="str">
        <v>RY</v>
      </c>
      <c r="K628" s="1">
        <v>41631</v>
      </c>
      <c r="L628">
        <v>1.4659510853235247E-2</v>
      </c>
    </row>
    <row r="629" spans="1:12" x14ac:dyDescent="0.2">
      <c r="A629" s="1">
        <v>41820</v>
      </c>
      <c r="B629">
        <v>2</v>
      </c>
      <c r="C629" t="s">
        <v>11</v>
      </c>
      <c r="D629">
        <v>1.0482999999999999E-2</v>
      </c>
      <c r="E629">
        <f t="shared" si="18"/>
        <v>1.010483</v>
      </c>
      <c r="F629" s="1">
        <f t="shared" si="19"/>
        <v>41820</v>
      </c>
      <c r="G629" cm="1">
        <f t="array" ref="G629">PRODUCT( _xlfn._xlws.FILTER($E:$E, ($C:$C=C629)*($F:$F=F629)) ) - 1</f>
        <v>1.9509868759291171E-2</v>
      </c>
      <c r="J629" t="str">
        <v>RY</v>
      </c>
      <c r="K629" s="1">
        <v>41638</v>
      </c>
      <c r="L629">
        <v>1.4028758680093567E-3</v>
      </c>
    </row>
    <row r="630" spans="1:12" x14ac:dyDescent="0.2">
      <c r="A630" s="1">
        <v>41822</v>
      </c>
      <c r="B630">
        <v>2</v>
      </c>
      <c r="C630" t="s">
        <v>11</v>
      </c>
      <c r="D630">
        <v>9.3659999999999993E-3</v>
      </c>
      <c r="E630">
        <f t="shared" si="18"/>
        <v>1.009366</v>
      </c>
      <c r="F630" s="1">
        <f t="shared" si="19"/>
        <v>41820</v>
      </c>
      <c r="G630" cm="1">
        <f t="array" ref="G630">PRODUCT( _xlfn._xlws.FILTER($E:$E, ($C:$C=C630)*($F:$F=F630)) ) - 1</f>
        <v>1.9509868759291171E-2</v>
      </c>
      <c r="J630" t="str">
        <v>RY</v>
      </c>
      <c r="K630" s="1">
        <v>41645</v>
      </c>
      <c r="L630">
        <v>-2.9408222568813036E-3</v>
      </c>
    </row>
    <row r="631" spans="1:12" x14ac:dyDescent="0.2">
      <c r="A631" s="1">
        <v>41823</v>
      </c>
      <c r="B631">
        <v>2</v>
      </c>
      <c r="C631" t="s">
        <v>11</v>
      </c>
      <c r="D631">
        <v>-6.424E-3</v>
      </c>
      <c r="E631">
        <f t="shared" si="18"/>
        <v>0.99357600000000001</v>
      </c>
      <c r="F631" s="1">
        <f t="shared" si="19"/>
        <v>41820</v>
      </c>
      <c r="G631" cm="1">
        <f t="array" ref="G631">PRODUCT( _xlfn._xlws.FILTER($E:$E, ($C:$C=C631)*($F:$F=F631)) ) - 1</f>
        <v>1.9509868759291171E-2</v>
      </c>
      <c r="J631" t="str">
        <v>RY</v>
      </c>
      <c r="K631" s="1">
        <v>41652</v>
      </c>
      <c r="L631">
        <v>9.553893559575144E-3</v>
      </c>
    </row>
    <row r="632" spans="1:12" x14ac:dyDescent="0.2">
      <c r="A632" s="1">
        <v>41824</v>
      </c>
      <c r="B632">
        <v>2</v>
      </c>
      <c r="C632" t="s">
        <v>11</v>
      </c>
      <c r="D632">
        <v>6.0340000000000003E-3</v>
      </c>
      <c r="E632">
        <f t="shared" si="18"/>
        <v>1.0060340000000001</v>
      </c>
      <c r="F632" s="1">
        <f t="shared" si="19"/>
        <v>41820</v>
      </c>
      <c r="G632" cm="1">
        <f t="array" ref="G632">PRODUCT( _xlfn._xlws.FILTER($E:$E, ($C:$C=C632)*($F:$F=F632)) ) - 1</f>
        <v>1.9509868759291171E-2</v>
      </c>
      <c r="J632" t="str">
        <v>RY</v>
      </c>
      <c r="K632" s="1">
        <v>41659</v>
      </c>
      <c r="L632">
        <v>-9.8636463163538357E-3</v>
      </c>
    </row>
    <row r="633" spans="1:12" x14ac:dyDescent="0.2">
      <c r="A633" s="1">
        <v>41827</v>
      </c>
      <c r="B633">
        <v>2</v>
      </c>
      <c r="C633" t="s">
        <v>11</v>
      </c>
      <c r="D633">
        <v>-4.28E-4</v>
      </c>
      <c r="E633">
        <f t="shared" si="18"/>
        <v>0.99957200000000002</v>
      </c>
      <c r="F633" s="1">
        <f t="shared" si="19"/>
        <v>41827</v>
      </c>
      <c r="G633" cm="1">
        <f t="array" ref="G633">PRODUCT( _xlfn._xlws.FILTER($E:$E, ($C:$C=C633)*($F:$F=F633)) ) - 1</f>
        <v>6.2847590519130581E-3</v>
      </c>
      <c r="J633" t="str">
        <v>RY</v>
      </c>
      <c r="K633" s="1">
        <v>41666</v>
      </c>
      <c r="L633">
        <v>-2.2131373197425863E-2</v>
      </c>
    </row>
    <row r="634" spans="1:12" x14ac:dyDescent="0.2">
      <c r="A634" s="1">
        <v>41828</v>
      </c>
      <c r="B634">
        <v>2</v>
      </c>
      <c r="C634" t="s">
        <v>11</v>
      </c>
      <c r="D634">
        <v>-3.715E-3</v>
      </c>
      <c r="E634">
        <f t="shared" si="18"/>
        <v>0.99628499999999998</v>
      </c>
      <c r="F634" s="1">
        <f t="shared" si="19"/>
        <v>41827</v>
      </c>
      <c r="G634" cm="1">
        <f t="array" ref="G634">PRODUCT( _xlfn._xlws.FILTER($E:$E, ($C:$C=C634)*($F:$F=F634)) ) - 1</f>
        <v>6.2847590519130581E-3</v>
      </c>
      <c r="J634" t="str">
        <v>RY</v>
      </c>
      <c r="K634" s="1">
        <v>41673</v>
      </c>
      <c r="L634">
        <v>1.6974402688727519E-2</v>
      </c>
    </row>
    <row r="635" spans="1:12" x14ac:dyDescent="0.2">
      <c r="A635" s="1">
        <v>41829</v>
      </c>
      <c r="B635">
        <v>2</v>
      </c>
      <c r="C635" t="s">
        <v>11</v>
      </c>
      <c r="D635">
        <v>1.3481E-2</v>
      </c>
      <c r="E635">
        <f t="shared" si="18"/>
        <v>1.0134810000000001</v>
      </c>
      <c r="F635" s="1">
        <f t="shared" si="19"/>
        <v>41827</v>
      </c>
      <c r="G635" cm="1">
        <f t="array" ref="G635">PRODUCT( _xlfn._xlws.FILTER($E:$E, ($C:$C=C635)*($F:$F=F635)) ) - 1</f>
        <v>6.2847590519130581E-3</v>
      </c>
      <c r="J635" t="str">
        <v>RY</v>
      </c>
      <c r="K635" s="1">
        <v>41680</v>
      </c>
      <c r="L635">
        <v>1.5833663480050664E-2</v>
      </c>
    </row>
    <row r="636" spans="1:12" x14ac:dyDescent="0.2">
      <c r="A636" s="1">
        <v>41830</v>
      </c>
      <c r="B636">
        <v>2</v>
      </c>
      <c r="C636" t="s">
        <v>11</v>
      </c>
      <c r="D636">
        <v>-1.4716E-2</v>
      </c>
      <c r="E636">
        <f t="shared" si="18"/>
        <v>0.98528400000000005</v>
      </c>
      <c r="F636" s="1">
        <f t="shared" si="19"/>
        <v>41827</v>
      </c>
      <c r="G636" cm="1">
        <f t="array" ref="G636">PRODUCT( _xlfn._xlws.FILTER($E:$E, ($C:$C=C636)*($F:$F=F636)) ) - 1</f>
        <v>6.2847590519130581E-3</v>
      </c>
      <c r="J636" t="str">
        <v>RY</v>
      </c>
      <c r="K636" s="1">
        <v>41687</v>
      </c>
      <c r="L636">
        <v>1.8957574058753313E-2</v>
      </c>
    </row>
    <row r="637" spans="1:12" x14ac:dyDescent="0.2">
      <c r="A637" s="1">
        <v>41831</v>
      </c>
      <c r="B637">
        <v>2</v>
      </c>
      <c r="C637" t="s">
        <v>11</v>
      </c>
      <c r="D637">
        <v>1.192E-2</v>
      </c>
      <c r="E637">
        <f t="shared" si="18"/>
        <v>1.0119199999999999</v>
      </c>
      <c r="F637" s="1">
        <f t="shared" si="19"/>
        <v>41827</v>
      </c>
      <c r="G637" cm="1">
        <f t="array" ref="G637">PRODUCT( _xlfn._xlws.FILTER($E:$E, ($C:$C=C637)*($F:$F=F637)) ) - 1</f>
        <v>6.2847590519130581E-3</v>
      </c>
      <c r="J637" t="str">
        <v>RY</v>
      </c>
      <c r="K637" s="1">
        <v>41694</v>
      </c>
      <c r="L637">
        <v>-8.4076919907768444E-3</v>
      </c>
    </row>
    <row r="638" spans="1:12" x14ac:dyDescent="0.2">
      <c r="A638" s="1">
        <v>41834</v>
      </c>
      <c r="B638">
        <v>2</v>
      </c>
      <c r="C638" t="s">
        <v>11</v>
      </c>
      <c r="D638">
        <v>7.1000000000000002E-4</v>
      </c>
      <c r="E638">
        <f t="shared" si="18"/>
        <v>1.00071</v>
      </c>
      <c r="F638" s="1">
        <f t="shared" si="19"/>
        <v>41834</v>
      </c>
      <c r="G638" cm="1">
        <f t="array" ref="G638">PRODUCT( _xlfn._xlws.FILTER($E:$E, ($C:$C=C638)*($F:$F=F638)) ) - 1</f>
        <v>3.7184968666520435E-2</v>
      </c>
      <c r="J638" t="str">
        <v>RY</v>
      </c>
      <c r="K638" s="1">
        <v>41701</v>
      </c>
      <c r="L638">
        <v>-3.4746472204015832E-3</v>
      </c>
    </row>
    <row r="639" spans="1:12" x14ac:dyDescent="0.2">
      <c r="A639" s="1">
        <v>41835</v>
      </c>
      <c r="B639">
        <v>2</v>
      </c>
      <c r="C639" t="s">
        <v>11</v>
      </c>
      <c r="D639">
        <v>5.6730000000000001E-3</v>
      </c>
      <c r="E639">
        <f t="shared" si="18"/>
        <v>1.005673</v>
      </c>
      <c r="F639" s="1">
        <f t="shared" si="19"/>
        <v>41834</v>
      </c>
      <c r="G639" cm="1">
        <f t="array" ref="G639">PRODUCT( _xlfn._xlws.FILTER($E:$E, ($C:$C=C639)*($F:$F=F639)) ) - 1</f>
        <v>3.7184968666520435E-2</v>
      </c>
      <c r="J639" t="str">
        <v>RY</v>
      </c>
      <c r="K639" s="1">
        <v>41708</v>
      </c>
      <c r="L639">
        <v>-7.3910961264710417E-3</v>
      </c>
    </row>
    <row r="640" spans="1:12" x14ac:dyDescent="0.2">
      <c r="A640" s="1">
        <v>41836</v>
      </c>
      <c r="B640">
        <v>2</v>
      </c>
      <c r="C640" t="s">
        <v>11</v>
      </c>
      <c r="D640">
        <v>7.6150000000000002E-3</v>
      </c>
      <c r="E640">
        <f t="shared" si="18"/>
        <v>1.0076149999999999</v>
      </c>
      <c r="F640" s="1">
        <f t="shared" si="19"/>
        <v>41834</v>
      </c>
      <c r="G640" cm="1">
        <f t="array" ref="G640">PRODUCT( _xlfn._xlws.FILTER($E:$E, ($C:$C=C640)*($F:$F=F640)) ) - 1</f>
        <v>3.7184968666520435E-2</v>
      </c>
      <c r="J640" t="str">
        <v>RY</v>
      </c>
      <c r="K640" s="1">
        <v>41715</v>
      </c>
      <c r="L640">
        <v>1.3909111365849158E-2</v>
      </c>
    </row>
    <row r="641" spans="1:12" x14ac:dyDescent="0.2">
      <c r="A641" s="1">
        <v>41837</v>
      </c>
      <c r="B641">
        <v>2</v>
      </c>
      <c r="C641" t="s">
        <v>11</v>
      </c>
      <c r="D641">
        <v>4.4790000000000003E-3</v>
      </c>
      <c r="E641">
        <f t="shared" si="18"/>
        <v>1.0044789999999999</v>
      </c>
      <c r="F641" s="1">
        <f t="shared" si="19"/>
        <v>41834</v>
      </c>
      <c r="G641" cm="1">
        <f t="array" ref="G641">PRODUCT( _xlfn._xlws.FILTER($E:$E, ($C:$C=C641)*($F:$F=F641)) ) - 1</f>
        <v>3.7184968666520435E-2</v>
      </c>
      <c r="J641" t="str">
        <v>RY</v>
      </c>
      <c r="K641" s="1">
        <v>41722</v>
      </c>
      <c r="L641">
        <v>3.8805999355508991E-3</v>
      </c>
    </row>
    <row r="642" spans="1:12" x14ac:dyDescent="0.2">
      <c r="A642" s="1">
        <v>41838</v>
      </c>
      <c r="B642">
        <v>2</v>
      </c>
      <c r="C642" t="s">
        <v>11</v>
      </c>
      <c r="D642">
        <v>1.8252999999999998E-2</v>
      </c>
      <c r="E642">
        <f t="shared" si="18"/>
        <v>1.0182530000000001</v>
      </c>
      <c r="F642" s="1">
        <f t="shared" si="19"/>
        <v>41834</v>
      </c>
      <c r="G642" cm="1">
        <f t="array" ref="G642">PRODUCT( _xlfn._xlws.FILTER($E:$E, ($C:$C=C642)*($F:$F=F642)) ) - 1</f>
        <v>3.7184968666520435E-2</v>
      </c>
      <c r="J642" t="str">
        <v>RY</v>
      </c>
      <c r="K642" s="1">
        <v>41729</v>
      </c>
      <c r="L642">
        <v>6.4885022492746636E-3</v>
      </c>
    </row>
    <row r="643" spans="1:12" x14ac:dyDescent="0.2">
      <c r="A643" s="1">
        <v>41841</v>
      </c>
      <c r="B643">
        <v>2</v>
      </c>
      <c r="C643" t="s">
        <v>11</v>
      </c>
      <c r="D643">
        <v>-1.779E-3</v>
      </c>
      <c r="E643">
        <f t="shared" si="18"/>
        <v>0.99822100000000002</v>
      </c>
      <c r="F643" s="1">
        <f t="shared" si="19"/>
        <v>41841</v>
      </c>
      <c r="G643" cm="1">
        <f t="array" ref="G643">PRODUCT( _xlfn._xlws.FILTER($E:$E, ($C:$C=C643)*($F:$F=F643)) ) - 1</f>
        <v>1.2863008727229452E-2</v>
      </c>
      <c r="J643" t="str">
        <v>RY</v>
      </c>
      <c r="K643" s="1">
        <v>41736</v>
      </c>
      <c r="L643">
        <v>-8.2246740111280303E-4</v>
      </c>
    </row>
    <row r="644" spans="1:12" x14ac:dyDescent="0.2">
      <c r="A644" s="1">
        <v>41842</v>
      </c>
      <c r="B644">
        <v>2</v>
      </c>
      <c r="C644" t="s">
        <v>11</v>
      </c>
      <c r="D644">
        <v>1.9740000000000001E-2</v>
      </c>
      <c r="E644">
        <f t="shared" ref="E644:E707" si="20">D644+1</f>
        <v>1.0197400000000001</v>
      </c>
      <c r="F644" s="1">
        <f t="shared" ref="F644:F707" si="21">A644 - (WEEKDAY(A644, 2) - 1)</f>
        <v>41841</v>
      </c>
      <c r="G644" cm="1">
        <f t="array" ref="G644">PRODUCT( _xlfn._xlws.FILTER($E:$E, ($C:$C=C644)*($F:$F=F644)) ) - 1</f>
        <v>1.2863008727229452E-2</v>
      </c>
      <c r="J644" t="str">
        <v>RY</v>
      </c>
      <c r="K644" s="1">
        <v>41743</v>
      </c>
      <c r="L644">
        <v>7.8238596668569471E-3</v>
      </c>
    </row>
    <row r="645" spans="1:12" x14ac:dyDescent="0.2">
      <c r="A645" s="1">
        <v>41843</v>
      </c>
      <c r="B645">
        <v>2</v>
      </c>
      <c r="C645" t="s">
        <v>11</v>
      </c>
      <c r="D645">
        <v>-5.2430000000000003E-3</v>
      </c>
      <c r="E645">
        <f t="shared" si="20"/>
        <v>0.994757</v>
      </c>
      <c r="F645" s="1">
        <f t="shared" si="21"/>
        <v>41841</v>
      </c>
      <c r="G645" cm="1">
        <f t="array" ref="G645">PRODUCT( _xlfn._xlws.FILTER($E:$E, ($C:$C=C645)*($F:$F=F645)) ) - 1</f>
        <v>1.2863008727229452E-2</v>
      </c>
      <c r="J645" t="str">
        <v>RY</v>
      </c>
      <c r="K645" s="1">
        <v>41750</v>
      </c>
      <c r="L645">
        <v>-4.0927891483519829E-3</v>
      </c>
    </row>
    <row r="646" spans="1:12" x14ac:dyDescent="0.2">
      <c r="A646" s="1">
        <v>41844</v>
      </c>
      <c r="B646">
        <v>2</v>
      </c>
      <c r="C646" t="s">
        <v>11</v>
      </c>
      <c r="D646">
        <v>-1.1216E-2</v>
      </c>
      <c r="E646">
        <f t="shared" si="20"/>
        <v>0.988784</v>
      </c>
      <c r="F646" s="1">
        <f t="shared" si="21"/>
        <v>41841</v>
      </c>
      <c r="G646" cm="1">
        <f t="array" ref="G646">PRODUCT( _xlfn._xlws.FILTER($E:$E, ($C:$C=C646)*($F:$F=F646)) ) - 1</f>
        <v>1.2863008727229452E-2</v>
      </c>
      <c r="J646" t="str">
        <v>RY</v>
      </c>
      <c r="K646" s="1">
        <v>41757</v>
      </c>
      <c r="L646">
        <v>1.0772532092734988E-2</v>
      </c>
    </row>
    <row r="647" spans="1:12" x14ac:dyDescent="0.2">
      <c r="A647" s="1">
        <v>41845</v>
      </c>
      <c r="B647">
        <v>2</v>
      </c>
      <c r="C647" t="s">
        <v>11</v>
      </c>
      <c r="D647">
        <v>1.1617000000000001E-2</v>
      </c>
      <c r="E647">
        <f t="shared" si="20"/>
        <v>1.011617</v>
      </c>
      <c r="F647" s="1">
        <f t="shared" si="21"/>
        <v>41841</v>
      </c>
      <c r="G647" cm="1">
        <f t="array" ref="G647">PRODUCT( _xlfn._xlws.FILTER($E:$E, ($C:$C=C647)*($F:$F=F647)) ) - 1</f>
        <v>1.2863008727229452E-2</v>
      </c>
      <c r="J647" t="str">
        <v>RY</v>
      </c>
      <c r="K647" s="1">
        <v>41764</v>
      </c>
      <c r="L647">
        <v>-1.3670679068190639E-3</v>
      </c>
    </row>
    <row r="648" spans="1:12" x14ac:dyDescent="0.2">
      <c r="A648" s="1">
        <v>41848</v>
      </c>
      <c r="B648">
        <v>2</v>
      </c>
      <c r="C648" t="s">
        <v>11</v>
      </c>
      <c r="D648">
        <v>-2.026E-3</v>
      </c>
      <c r="E648">
        <f t="shared" si="20"/>
        <v>0.99797400000000003</v>
      </c>
      <c r="F648" s="1">
        <f t="shared" si="21"/>
        <v>41848</v>
      </c>
      <c r="G648" cm="1">
        <f t="array" ref="G648">PRODUCT( _xlfn._xlws.FILTER($E:$E, ($C:$C=C648)*($F:$F=F648)) ) - 1</f>
        <v>-2.5803885658103987E-2</v>
      </c>
      <c r="J648" t="str">
        <v>RY</v>
      </c>
      <c r="K648" s="1">
        <v>41771</v>
      </c>
      <c r="L648">
        <v>-3.421380749251357E-3</v>
      </c>
    </row>
    <row r="649" spans="1:12" x14ac:dyDescent="0.2">
      <c r="A649" s="1">
        <v>41849</v>
      </c>
      <c r="B649">
        <v>2</v>
      </c>
      <c r="C649" t="s">
        <v>11</v>
      </c>
      <c r="D649">
        <v>-6.7689999999999998E-3</v>
      </c>
      <c r="E649">
        <f t="shared" si="20"/>
        <v>0.99323099999999998</v>
      </c>
      <c r="F649" s="1">
        <f t="shared" si="21"/>
        <v>41848</v>
      </c>
      <c r="G649" cm="1">
        <f t="array" ref="G649">PRODUCT( _xlfn._xlws.FILTER($E:$E, ($C:$C=C649)*($F:$F=F649)) ) - 1</f>
        <v>-2.5803885658103987E-2</v>
      </c>
      <c r="J649" t="str">
        <v>RY</v>
      </c>
      <c r="K649" s="1">
        <v>41778</v>
      </c>
      <c r="L649">
        <v>3.3772466325108663E-2</v>
      </c>
    </row>
    <row r="650" spans="1:12" x14ac:dyDescent="0.2">
      <c r="A650" s="1">
        <v>41850</v>
      </c>
      <c r="B650">
        <v>2</v>
      </c>
      <c r="C650" t="s">
        <v>11</v>
      </c>
      <c r="D650">
        <v>6.8149999999999999E-3</v>
      </c>
      <c r="E650">
        <f t="shared" si="20"/>
        <v>1.006815</v>
      </c>
      <c r="F650" s="1">
        <f t="shared" si="21"/>
        <v>41848</v>
      </c>
      <c r="G650" cm="1">
        <f t="array" ref="G650">PRODUCT( _xlfn._xlws.FILTER($E:$E, ($C:$C=C650)*($F:$F=F650)) ) - 1</f>
        <v>-2.5803885658103987E-2</v>
      </c>
      <c r="J650" t="str">
        <v>RY</v>
      </c>
      <c r="K650" s="1">
        <v>41785</v>
      </c>
      <c r="L650">
        <v>-8.7647767150402789E-3</v>
      </c>
    </row>
    <row r="651" spans="1:12" x14ac:dyDescent="0.2">
      <c r="A651" s="1">
        <v>41851</v>
      </c>
      <c r="B651">
        <v>2</v>
      </c>
      <c r="C651" t="s">
        <v>11</v>
      </c>
      <c r="D651">
        <v>-1.3266999999999999E-2</v>
      </c>
      <c r="E651">
        <f t="shared" si="20"/>
        <v>0.98673299999999997</v>
      </c>
      <c r="F651" s="1">
        <f t="shared" si="21"/>
        <v>41848</v>
      </c>
      <c r="G651" cm="1">
        <f t="array" ref="G651">PRODUCT( _xlfn._xlws.FILTER($E:$E, ($C:$C=C651)*($F:$F=F651)) ) - 1</f>
        <v>-2.5803885658103987E-2</v>
      </c>
      <c r="J651" t="str">
        <v>RY</v>
      </c>
      <c r="K651" s="1">
        <v>41792</v>
      </c>
      <c r="L651">
        <v>1.206394247763809E-3</v>
      </c>
    </row>
    <row r="652" spans="1:12" x14ac:dyDescent="0.2">
      <c r="A652" s="1">
        <v>41852</v>
      </c>
      <c r="B652">
        <v>2</v>
      </c>
      <c r="C652" t="s">
        <v>11</v>
      </c>
      <c r="D652">
        <v>-1.0701E-2</v>
      </c>
      <c r="E652">
        <f t="shared" si="20"/>
        <v>0.98929900000000004</v>
      </c>
      <c r="F652" s="1">
        <f t="shared" si="21"/>
        <v>41848</v>
      </c>
      <c r="G652" cm="1">
        <f t="array" ref="G652">PRODUCT( _xlfn._xlws.FILTER($E:$E, ($C:$C=C652)*($F:$F=F652)) ) - 1</f>
        <v>-2.5803885658103987E-2</v>
      </c>
      <c r="J652" t="str">
        <v>RY</v>
      </c>
      <c r="K652" s="1">
        <v>41799</v>
      </c>
      <c r="L652">
        <v>6.690367293049837E-3</v>
      </c>
    </row>
    <row r="653" spans="1:12" x14ac:dyDescent="0.2">
      <c r="A653" s="1">
        <v>41856</v>
      </c>
      <c r="B653">
        <v>2</v>
      </c>
      <c r="C653" t="s">
        <v>11</v>
      </c>
      <c r="D653">
        <v>3.467E-3</v>
      </c>
      <c r="E653">
        <f t="shared" si="20"/>
        <v>1.0034670000000001</v>
      </c>
      <c r="F653" s="1">
        <f t="shared" si="21"/>
        <v>41855</v>
      </c>
      <c r="G653" cm="1">
        <f t="array" ref="G653">PRODUCT( _xlfn._xlws.FILTER($E:$E, ($C:$C=C653)*($F:$F=F653)) ) - 1</f>
        <v>7.4887876003728593E-3</v>
      </c>
      <c r="J653" t="str">
        <v>RY</v>
      </c>
      <c r="K653" s="1">
        <v>41806</v>
      </c>
      <c r="L653">
        <v>-3.4557299065395286E-3</v>
      </c>
    </row>
    <row r="654" spans="1:12" x14ac:dyDescent="0.2">
      <c r="A654" s="1">
        <v>41857</v>
      </c>
      <c r="B654">
        <v>2</v>
      </c>
      <c r="C654" t="s">
        <v>11</v>
      </c>
      <c r="D654">
        <v>-2.9020000000000001E-3</v>
      </c>
      <c r="E654">
        <f t="shared" si="20"/>
        <v>0.99709800000000004</v>
      </c>
      <c r="F654" s="1">
        <f t="shared" si="21"/>
        <v>41855</v>
      </c>
      <c r="G654" cm="1">
        <f t="array" ref="G654">PRODUCT( _xlfn._xlws.FILTER($E:$E, ($C:$C=C654)*($F:$F=F654)) ) - 1</f>
        <v>7.4887876003728593E-3</v>
      </c>
      <c r="J654" t="str">
        <v>RY</v>
      </c>
      <c r="K654" s="1">
        <v>41813</v>
      </c>
      <c r="L654">
        <v>1.4138779714451433E-2</v>
      </c>
    </row>
    <row r="655" spans="1:12" x14ac:dyDescent="0.2">
      <c r="A655" s="1">
        <v>41858</v>
      </c>
      <c r="B655">
        <v>2</v>
      </c>
      <c r="C655" t="s">
        <v>11</v>
      </c>
      <c r="D655">
        <v>-2.7700000000000001E-4</v>
      </c>
      <c r="E655">
        <f t="shared" si="20"/>
        <v>0.99972300000000003</v>
      </c>
      <c r="F655" s="1">
        <f t="shared" si="21"/>
        <v>41855</v>
      </c>
      <c r="G655" cm="1">
        <f t="array" ref="G655">PRODUCT( _xlfn._xlws.FILTER($E:$E, ($C:$C=C655)*($F:$F=F655)) ) - 1</f>
        <v>7.4887876003728593E-3</v>
      </c>
      <c r="J655" t="str">
        <v>RY</v>
      </c>
      <c r="K655" s="1">
        <v>41820</v>
      </c>
      <c r="L655">
        <v>1.4862414552347492E-2</v>
      </c>
    </row>
    <row r="656" spans="1:12" x14ac:dyDescent="0.2">
      <c r="A656" s="1">
        <v>41859</v>
      </c>
      <c r="B656">
        <v>2</v>
      </c>
      <c r="C656" t="s">
        <v>11</v>
      </c>
      <c r="D656">
        <v>7.2090000000000001E-3</v>
      </c>
      <c r="E656">
        <f t="shared" si="20"/>
        <v>1.007209</v>
      </c>
      <c r="F656" s="1">
        <f t="shared" si="21"/>
        <v>41855</v>
      </c>
      <c r="G656" cm="1">
        <f t="array" ref="G656">PRODUCT( _xlfn._xlws.FILTER($E:$E, ($C:$C=C656)*($F:$F=F656)) ) - 1</f>
        <v>7.4887876003728593E-3</v>
      </c>
      <c r="J656" t="str">
        <v>RY</v>
      </c>
      <c r="K656" s="1">
        <v>41827</v>
      </c>
      <c r="L656">
        <v>1.5292397681391012E-2</v>
      </c>
    </row>
    <row r="657" spans="1:12" x14ac:dyDescent="0.2">
      <c r="A657" s="1">
        <v>41862</v>
      </c>
      <c r="B657">
        <v>2</v>
      </c>
      <c r="C657" t="s">
        <v>11</v>
      </c>
      <c r="D657">
        <v>7.5709999999999996E-3</v>
      </c>
      <c r="E657">
        <f t="shared" si="20"/>
        <v>1.007571</v>
      </c>
      <c r="F657" s="1">
        <f t="shared" si="21"/>
        <v>41862</v>
      </c>
      <c r="G657" cm="1">
        <f t="array" ref="G657">PRODUCT( _xlfn._xlws.FILTER($E:$E, ($C:$C=C657)*($F:$F=F657)) ) - 1</f>
        <v>2.0923372536097995E-2</v>
      </c>
      <c r="J657" t="str">
        <v>RY</v>
      </c>
      <c r="K657" s="1">
        <v>41834</v>
      </c>
      <c r="L657">
        <v>1.7360139671897201E-2</v>
      </c>
    </row>
    <row r="658" spans="1:12" x14ac:dyDescent="0.2">
      <c r="A658" s="1">
        <v>41863</v>
      </c>
      <c r="B658">
        <v>2</v>
      </c>
      <c r="C658" t="s">
        <v>11</v>
      </c>
      <c r="D658">
        <v>1.093E-3</v>
      </c>
      <c r="E658">
        <f t="shared" si="20"/>
        <v>1.001093</v>
      </c>
      <c r="F658" s="1">
        <f t="shared" si="21"/>
        <v>41862</v>
      </c>
      <c r="G658" cm="1">
        <f t="array" ref="G658">PRODUCT( _xlfn._xlws.FILTER($E:$E, ($C:$C=C658)*($F:$F=F658)) ) - 1</f>
        <v>2.0923372536097995E-2</v>
      </c>
      <c r="J658" t="str">
        <v>RY</v>
      </c>
      <c r="K658" s="1">
        <v>41841</v>
      </c>
      <c r="L658">
        <v>1.1347626659045984E-2</v>
      </c>
    </row>
    <row r="659" spans="1:12" x14ac:dyDescent="0.2">
      <c r="A659" s="1">
        <v>41864</v>
      </c>
      <c r="B659">
        <v>2</v>
      </c>
      <c r="C659" t="s">
        <v>11</v>
      </c>
      <c r="D659">
        <v>2.5929999999999998E-3</v>
      </c>
      <c r="E659">
        <f t="shared" si="20"/>
        <v>1.0025930000000001</v>
      </c>
      <c r="F659" s="1">
        <f t="shared" si="21"/>
        <v>41862</v>
      </c>
      <c r="G659" cm="1">
        <f t="array" ref="G659">PRODUCT( _xlfn._xlws.FILTER($E:$E, ($C:$C=C659)*($F:$F=F659)) ) - 1</f>
        <v>2.0923372536097995E-2</v>
      </c>
      <c r="J659" t="str">
        <v>RY</v>
      </c>
      <c r="K659" s="1">
        <v>41848</v>
      </c>
      <c r="L659">
        <v>-6.509205802192608E-3</v>
      </c>
    </row>
    <row r="660" spans="1:12" x14ac:dyDescent="0.2">
      <c r="A660" s="1">
        <v>41865</v>
      </c>
      <c r="B660">
        <v>2</v>
      </c>
      <c r="C660" t="s">
        <v>11</v>
      </c>
      <c r="D660">
        <v>1.225E-2</v>
      </c>
      <c r="E660">
        <f t="shared" si="20"/>
        <v>1.0122500000000001</v>
      </c>
      <c r="F660" s="1">
        <f t="shared" si="21"/>
        <v>41862</v>
      </c>
      <c r="G660" cm="1">
        <f t="array" ref="G660">PRODUCT( _xlfn._xlws.FILTER($E:$E, ($C:$C=C660)*($F:$F=F660)) ) - 1</f>
        <v>2.0923372536097995E-2</v>
      </c>
      <c r="J660" t="str">
        <v>RY</v>
      </c>
      <c r="K660" s="1">
        <v>41855</v>
      </c>
      <c r="L660">
        <v>-5.1646428363798513E-3</v>
      </c>
    </row>
    <row r="661" spans="1:12" x14ac:dyDescent="0.2">
      <c r="A661" s="1">
        <v>41866</v>
      </c>
      <c r="B661">
        <v>2</v>
      </c>
      <c r="C661" t="s">
        <v>11</v>
      </c>
      <c r="D661">
        <v>-2.689E-3</v>
      </c>
      <c r="E661">
        <f t="shared" si="20"/>
        <v>0.99731099999999995</v>
      </c>
      <c r="F661" s="1">
        <f t="shared" si="21"/>
        <v>41862</v>
      </c>
      <c r="G661" cm="1">
        <f t="array" ref="G661">PRODUCT( _xlfn._xlws.FILTER($E:$E, ($C:$C=C661)*($F:$F=F661)) ) - 1</f>
        <v>2.0923372536097995E-2</v>
      </c>
      <c r="J661" t="str">
        <v>RY</v>
      </c>
      <c r="K661" s="1">
        <v>41862</v>
      </c>
      <c r="L661">
        <v>1.1272273764705076E-2</v>
      </c>
    </row>
    <row r="662" spans="1:12" x14ac:dyDescent="0.2">
      <c r="A662" s="1">
        <v>41869</v>
      </c>
      <c r="B662">
        <v>2</v>
      </c>
      <c r="C662" t="s">
        <v>11</v>
      </c>
      <c r="D662">
        <v>7.1459999999999996E-3</v>
      </c>
      <c r="E662">
        <f t="shared" si="20"/>
        <v>1.0071460000000001</v>
      </c>
      <c r="F662" s="1">
        <f t="shared" si="21"/>
        <v>41869</v>
      </c>
      <c r="G662" cm="1">
        <f t="array" ref="G662">PRODUCT( _xlfn._xlws.FILTER($E:$E, ($C:$C=C662)*($F:$F=F662)) ) - 1</f>
        <v>2.6425837192420643E-2</v>
      </c>
      <c r="J662" t="str">
        <v>RY</v>
      </c>
      <c r="K662" s="1">
        <v>41869</v>
      </c>
      <c r="L662">
        <v>1.1897188433924066E-2</v>
      </c>
    </row>
    <row r="663" spans="1:12" x14ac:dyDescent="0.2">
      <c r="A663" s="1">
        <v>41870</v>
      </c>
      <c r="B663">
        <v>2</v>
      </c>
      <c r="C663" t="s">
        <v>11</v>
      </c>
      <c r="D663">
        <v>4.2839999999999996E-3</v>
      </c>
      <c r="E663">
        <f t="shared" si="20"/>
        <v>1.004284</v>
      </c>
      <c r="F663" s="1">
        <f t="shared" si="21"/>
        <v>41869</v>
      </c>
      <c r="G663" cm="1">
        <f t="array" ref="G663">PRODUCT( _xlfn._xlws.FILTER($E:$E, ($C:$C=C663)*($F:$F=F663)) ) - 1</f>
        <v>2.6425837192420643E-2</v>
      </c>
      <c r="J663" t="str">
        <v>RY</v>
      </c>
      <c r="K663" s="1">
        <v>41876</v>
      </c>
      <c r="L663">
        <v>-3.7205483377444892E-4</v>
      </c>
    </row>
    <row r="664" spans="1:12" x14ac:dyDescent="0.2">
      <c r="A664" s="1">
        <v>41871</v>
      </c>
      <c r="B664">
        <v>2</v>
      </c>
      <c r="C664" t="s">
        <v>11</v>
      </c>
      <c r="D664">
        <v>1.6261999999999999E-2</v>
      </c>
      <c r="E664">
        <f t="shared" si="20"/>
        <v>1.016262</v>
      </c>
      <c r="F664" s="1">
        <f t="shared" si="21"/>
        <v>41869</v>
      </c>
      <c r="G664" cm="1">
        <f t="array" ref="G664">PRODUCT( _xlfn._xlws.FILTER($E:$E, ($C:$C=C664)*($F:$F=F664)) ) - 1</f>
        <v>2.6425837192420643E-2</v>
      </c>
      <c r="J664" t="str">
        <v>RY</v>
      </c>
      <c r="K664" s="1">
        <v>41883</v>
      </c>
      <c r="L664">
        <v>-1.2346478437585962E-4</v>
      </c>
    </row>
    <row r="665" spans="1:12" x14ac:dyDescent="0.2">
      <c r="A665" s="1">
        <v>41872</v>
      </c>
      <c r="B665">
        <v>2</v>
      </c>
      <c r="C665" t="s">
        <v>11</v>
      </c>
      <c r="D665">
        <v>-5.1149999999999998E-3</v>
      </c>
      <c r="E665">
        <f t="shared" si="20"/>
        <v>0.99488500000000002</v>
      </c>
      <c r="F665" s="1">
        <f t="shared" si="21"/>
        <v>41869</v>
      </c>
      <c r="G665" cm="1">
        <f t="array" ref="G665">PRODUCT( _xlfn._xlws.FILTER($E:$E, ($C:$C=C665)*($F:$F=F665)) ) - 1</f>
        <v>2.6425837192420643E-2</v>
      </c>
      <c r="J665" t="str">
        <v>RY</v>
      </c>
      <c r="K665" s="1">
        <v>41890</v>
      </c>
      <c r="L665">
        <v>1.7335397086552184E-2</v>
      </c>
    </row>
    <row r="666" spans="1:12" x14ac:dyDescent="0.2">
      <c r="A666" s="1">
        <v>41873</v>
      </c>
      <c r="B666">
        <v>2</v>
      </c>
      <c r="C666" t="s">
        <v>11</v>
      </c>
      <c r="D666">
        <v>3.6909999999999998E-3</v>
      </c>
      <c r="E666">
        <f t="shared" si="20"/>
        <v>1.0036909999999999</v>
      </c>
      <c r="F666" s="1">
        <f t="shared" si="21"/>
        <v>41869</v>
      </c>
      <c r="G666" cm="1">
        <f t="array" ref="G666">PRODUCT( _xlfn._xlws.FILTER($E:$E, ($C:$C=C666)*($F:$F=F666)) ) - 1</f>
        <v>2.6425837192420643E-2</v>
      </c>
      <c r="J666" t="str">
        <v>RY</v>
      </c>
      <c r="K666" s="1">
        <v>41897</v>
      </c>
      <c r="L666">
        <v>-4.3806478245479452E-3</v>
      </c>
    </row>
    <row r="667" spans="1:12" x14ac:dyDescent="0.2">
      <c r="A667" s="1">
        <v>41876</v>
      </c>
      <c r="B667">
        <v>2</v>
      </c>
      <c r="C667" t="s">
        <v>11</v>
      </c>
      <c r="D667">
        <v>9.0629999999999999E-3</v>
      </c>
      <c r="E667">
        <f t="shared" si="20"/>
        <v>1.009063</v>
      </c>
      <c r="F667" s="1">
        <f t="shared" si="21"/>
        <v>41876</v>
      </c>
      <c r="G667" cm="1">
        <f t="array" ref="G667">PRODUCT( _xlfn._xlws.FILTER($E:$E, ($C:$C=C667)*($F:$F=F667)) ) - 1</f>
        <v>2.5744823865677446E-2</v>
      </c>
      <c r="J667" t="str">
        <v>RY</v>
      </c>
      <c r="K667" s="1">
        <v>41904</v>
      </c>
      <c r="L667">
        <v>-1.6626007319589742E-2</v>
      </c>
    </row>
    <row r="668" spans="1:12" x14ac:dyDescent="0.2">
      <c r="A668" s="1">
        <v>41877</v>
      </c>
      <c r="B668">
        <v>2</v>
      </c>
      <c r="C668" t="s">
        <v>11</v>
      </c>
      <c r="D668">
        <v>2.0830000000000002E-3</v>
      </c>
      <c r="E668">
        <f t="shared" si="20"/>
        <v>1.0020830000000001</v>
      </c>
      <c r="F668" s="1">
        <f t="shared" si="21"/>
        <v>41876</v>
      </c>
      <c r="G668" cm="1">
        <f t="array" ref="G668">PRODUCT( _xlfn._xlws.FILTER($E:$E, ($C:$C=C668)*($F:$F=F668)) ) - 1</f>
        <v>2.5744823865677446E-2</v>
      </c>
      <c r="J668" t="str">
        <v>RY</v>
      </c>
      <c r="K668" s="1">
        <v>41911</v>
      </c>
      <c r="L668">
        <v>-5.222208954230867E-3</v>
      </c>
    </row>
    <row r="669" spans="1:12" x14ac:dyDescent="0.2">
      <c r="A669" s="1">
        <v>41878</v>
      </c>
      <c r="B669">
        <v>2</v>
      </c>
      <c r="C669" t="s">
        <v>11</v>
      </c>
      <c r="D669">
        <v>-5.1999999999999995E-4</v>
      </c>
      <c r="E669">
        <f t="shared" si="20"/>
        <v>0.99948000000000004</v>
      </c>
      <c r="F669" s="1">
        <f t="shared" si="21"/>
        <v>41876</v>
      </c>
      <c r="G669" cm="1">
        <f t="array" ref="G669">PRODUCT( _xlfn._xlws.FILTER($E:$E, ($C:$C=C669)*($F:$F=F669)) ) - 1</f>
        <v>2.5744823865677446E-2</v>
      </c>
      <c r="J669" t="str">
        <v>RY</v>
      </c>
      <c r="K669" s="1">
        <v>41918</v>
      </c>
      <c r="L669">
        <v>-4.7483726571875273E-3</v>
      </c>
    </row>
    <row r="670" spans="1:12" x14ac:dyDescent="0.2">
      <c r="A670" s="1">
        <v>41879</v>
      </c>
      <c r="B670">
        <v>2</v>
      </c>
      <c r="C670" t="s">
        <v>11</v>
      </c>
      <c r="D670">
        <v>9.0980000000000002E-3</v>
      </c>
      <c r="E670">
        <f t="shared" si="20"/>
        <v>1.0090980000000001</v>
      </c>
      <c r="F670" s="1">
        <f t="shared" si="21"/>
        <v>41876</v>
      </c>
      <c r="G670" cm="1">
        <f t="array" ref="G670">PRODUCT( _xlfn._xlws.FILTER($E:$E, ($C:$C=C670)*($F:$F=F670)) ) - 1</f>
        <v>2.5744823865677446E-2</v>
      </c>
      <c r="J670" t="str">
        <v>RY</v>
      </c>
      <c r="K670" s="1">
        <v>41925</v>
      </c>
      <c r="L670">
        <v>-1.0297332253981439E-2</v>
      </c>
    </row>
    <row r="671" spans="1:12" x14ac:dyDescent="0.2">
      <c r="A671" s="1">
        <v>41880</v>
      </c>
      <c r="B671">
        <v>2</v>
      </c>
      <c r="C671" t="s">
        <v>11</v>
      </c>
      <c r="D671">
        <v>5.7959999999999999E-3</v>
      </c>
      <c r="E671">
        <f t="shared" si="20"/>
        <v>1.0057959999999999</v>
      </c>
      <c r="F671" s="1">
        <f t="shared" si="21"/>
        <v>41876</v>
      </c>
      <c r="G671" cm="1">
        <f t="array" ref="G671">PRODUCT( _xlfn._xlws.FILTER($E:$E, ($C:$C=C671)*($F:$F=F671)) ) - 1</f>
        <v>2.5744823865677446E-2</v>
      </c>
      <c r="J671" t="str">
        <v>RY</v>
      </c>
      <c r="K671" s="1">
        <v>41932</v>
      </c>
      <c r="L671">
        <v>1.5347798475348506E-2</v>
      </c>
    </row>
    <row r="672" spans="1:12" x14ac:dyDescent="0.2">
      <c r="A672" s="1">
        <v>41884</v>
      </c>
      <c r="B672">
        <v>2</v>
      </c>
      <c r="C672" t="s">
        <v>11</v>
      </c>
      <c r="D672">
        <v>1.2933999999999999E-2</v>
      </c>
      <c r="E672">
        <f t="shared" si="20"/>
        <v>1.012934</v>
      </c>
      <c r="F672" s="1">
        <f t="shared" si="21"/>
        <v>41883</v>
      </c>
      <c r="G672" cm="1">
        <f t="array" ref="G672">PRODUCT( _xlfn._xlws.FILTER($E:$E, ($C:$C=C672)*($F:$F=F672)) ) - 1</f>
        <v>2.6636689092041532E-2</v>
      </c>
      <c r="J672" t="str">
        <v>RY</v>
      </c>
      <c r="K672" s="1">
        <v>41939</v>
      </c>
      <c r="L672">
        <v>9.2087897151378328E-3</v>
      </c>
    </row>
    <row r="673" spans="1:12" x14ac:dyDescent="0.2">
      <c r="A673" s="1">
        <v>41885</v>
      </c>
      <c r="B673">
        <v>2</v>
      </c>
      <c r="C673" t="s">
        <v>11</v>
      </c>
      <c r="D673">
        <v>7.0800000000000004E-3</v>
      </c>
      <c r="E673">
        <f t="shared" si="20"/>
        <v>1.00708</v>
      </c>
      <c r="F673" s="1">
        <f t="shared" si="21"/>
        <v>41883</v>
      </c>
      <c r="G673" cm="1">
        <f t="array" ref="G673">PRODUCT( _xlfn._xlws.FILTER($E:$E, ($C:$C=C673)*($F:$F=F673)) ) - 1</f>
        <v>2.6636689092041532E-2</v>
      </c>
      <c r="J673" t="str">
        <v>RY</v>
      </c>
      <c r="K673" s="1">
        <v>41946</v>
      </c>
      <c r="L673">
        <v>1.3374352046300775E-2</v>
      </c>
    </row>
    <row r="674" spans="1:12" x14ac:dyDescent="0.2">
      <c r="A674" s="1">
        <v>41886</v>
      </c>
      <c r="B674">
        <v>2</v>
      </c>
      <c r="C674" t="s">
        <v>11</v>
      </c>
      <c r="D674">
        <v>5.398E-3</v>
      </c>
      <c r="E674">
        <f t="shared" si="20"/>
        <v>1.005398</v>
      </c>
      <c r="F674" s="1">
        <f t="shared" si="21"/>
        <v>41883</v>
      </c>
      <c r="G674" cm="1">
        <f t="array" ref="G674">PRODUCT( _xlfn._xlws.FILTER($E:$E, ($C:$C=C674)*($F:$F=F674)) ) - 1</f>
        <v>2.6636689092041532E-2</v>
      </c>
      <c r="J674" t="str">
        <v>RY</v>
      </c>
      <c r="K674" s="1">
        <v>41953</v>
      </c>
      <c r="L674">
        <v>1.3936208987703314E-2</v>
      </c>
    </row>
    <row r="675" spans="1:12" x14ac:dyDescent="0.2">
      <c r="A675" s="1">
        <v>41887</v>
      </c>
      <c r="B675">
        <v>2</v>
      </c>
      <c r="C675" t="s">
        <v>11</v>
      </c>
      <c r="D675">
        <v>9.990000000000001E-4</v>
      </c>
      <c r="E675">
        <f t="shared" si="20"/>
        <v>1.000999</v>
      </c>
      <c r="F675" s="1">
        <f t="shared" si="21"/>
        <v>41883</v>
      </c>
      <c r="G675" cm="1">
        <f t="array" ref="G675">PRODUCT( _xlfn._xlws.FILTER($E:$E, ($C:$C=C675)*($F:$F=F675)) ) - 1</f>
        <v>2.6636689092041532E-2</v>
      </c>
      <c r="J675" t="str">
        <v>RY</v>
      </c>
      <c r="K675" s="1">
        <v>41960</v>
      </c>
      <c r="L675">
        <v>3.8920136411861872E-3</v>
      </c>
    </row>
    <row r="676" spans="1:12" x14ac:dyDescent="0.2">
      <c r="A676" s="1">
        <v>41890</v>
      </c>
      <c r="B676">
        <v>2</v>
      </c>
      <c r="C676" t="s">
        <v>11</v>
      </c>
      <c r="D676">
        <v>9.6349999999999995E-3</v>
      </c>
      <c r="E676">
        <f t="shared" si="20"/>
        <v>1.0096350000000001</v>
      </c>
      <c r="F676" s="1">
        <f t="shared" si="21"/>
        <v>41890</v>
      </c>
      <c r="G676" cm="1">
        <f t="array" ref="G676">PRODUCT( _xlfn._xlws.FILTER($E:$E, ($C:$C=C676)*($F:$F=F676)) ) - 1</f>
        <v>8.0083142737872315E-3</v>
      </c>
      <c r="J676" t="str">
        <v>RY</v>
      </c>
      <c r="K676" s="1">
        <v>41967</v>
      </c>
      <c r="L676">
        <v>7.6335665448941104E-3</v>
      </c>
    </row>
    <row r="677" spans="1:12" x14ac:dyDescent="0.2">
      <c r="A677" s="1">
        <v>41891</v>
      </c>
      <c r="B677">
        <v>2</v>
      </c>
      <c r="C677" t="s">
        <v>11</v>
      </c>
      <c r="D677">
        <v>9.9099999999999991E-4</v>
      </c>
      <c r="E677">
        <f t="shared" si="20"/>
        <v>1.000991</v>
      </c>
      <c r="F677" s="1">
        <f t="shared" si="21"/>
        <v>41890</v>
      </c>
      <c r="G677" cm="1">
        <f t="array" ref="G677">PRODUCT( _xlfn._xlws.FILTER($E:$E, ($C:$C=C677)*($F:$F=F677)) ) - 1</f>
        <v>8.0083142737872315E-3</v>
      </c>
      <c r="J677" t="str">
        <v>RY</v>
      </c>
      <c r="K677" s="1">
        <v>41974</v>
      </c>
      <c r="L677">
        <v>-3.3188703399214425E-2</v>
      </c>
    </row>
    <row r="678" spans="1:12" x14ac:dyDescent="0.2">
      <c r="A678" s="1">
        <v>41892</v>
      </c>
      <c r="B678">
        <v>2</v>
      </c>
      <c r="C678" t="s">
        <v>11</v>
      </c>
      <c r="D678">
        <v>-9.7809999999999998E-3</v>
      </c>
      <c r="E678">
        <f t="shared" si="20"/>
        <v>0.99021899999999996</v>
      </c>
      <c r="F678" s="1">
        <f t="shared" si="21"/>
        <v>41890</v>
      </c>
      <c r="G678" cm="1">
        <f t="array" ref="G678">PRODUCT( _xlfn._xlws.FILTER($E:$E, ($C:$C=C678)*($F:$F=F678)) ) - 1</f>
        <v>8.0083142737872315E-3</v>
      </c>
      <c r="J678" t="str">
        <v>RY</v>
      </c>
      <c r="K678" s="1">
        <v>41981</v>
      </c>
      <c r="L678">
        <v>-3.7190088681577027E-2</v>
      </c>
    </row>
    <row r="679" spans="1:12" x14ac:dyDescent="0.2">
      <c r="A679" s="1">
        <v>41893</v>
      </c>
      <c r="B679">
        <v>2</v>
      </c>
      <c r="C679" t="s">
        <v>11</v>
      </c>
      <c r="D679">
        <v>2.751E-3</v>
      </c>
      <c r="E679">
        <f t="shared" si="20"/>
        <v>1.0027509999999999</v>
      </c>
      <c r="F679" s="1">
        <f t="shared" si="21"/>
        <v>41890</v>
      </c>
      <c r="G679" cm="1">
        <f t="array" ref="G679">PRODUCT( _xlfn._xlws.FILTER($E:$E, ($C:$C=C679)*($F:$F=F679)) ) - 1</f>
        <v>8.0083142737872315E-3</v>
      </c>
      <c r="J679" t="str">
        <v>RY</v>
      </c>
      <c r="K679" s="1">
        <v>41988</v>
      </c>
      <c r="L679">
        <v>2.3381767799838915E-2</v>
      </c>
    </row>
    <row r="680" spans="1:12" x14ac:dyDescent="0.2">
      <c r="A680" s="1">
        <v>41894</v>
      </c>
      <c r="B680">
        <v>2</v>
      </c>
      <c r="C680" t="s">
        <v>11</v>
      </c>
      <c r="D680">
        <v>4.4889999999999999E-3</v>
      </c>
      <c r="E680">
        <f t="shared" si="20"/>
        <v>1.004489</v>
      </c>
      <c r="F680" s="1">
        <f t="shared" si="21"/>
        <v>41890</v>
      </c>
      <c r="G680" cm="1">
        <f t="array" ref="G680">PRODUCT( _xlfn._xlws.FILTER($E:$E, ($C:$C=C680)*($F:$F=F680)) ) - 1</f>
        <v>8.0083142737872315E-3</v>
      </c>
      <c r="J680" t="str">
        <v>RY</v>
      </c>
      <c r="K680" s="1">
        <v>41995</v>
      </c>
      <c r="L680">
        <v>1.3758805988437928E-2</v>
      </c>
    </row>
    <row r="681" spans="1:12" x14ac:dyDescent="0.2">
      <c r="A681" s="1">
        <v>41897</v>
      </c>
      <c r="B681">
        <v>2</v>
      </c>
      <c r="C681" t="s">
        <v>11</v>
      </c>
      <c r="D681">
        <v>-5.5859999999999998E-3</v>
      </c>
      <c r="E681">
        <f t="shared" si="20"/>
        <v>0.99441400000000002</v>
      </c>
      <c r="F681" s="1">
        <f t="shared" si="21"/>
        <v>41897</v>
      </c>
      <c r="G681" cm="1">
        <f t="array" ref="G681">PRODUCT( _xlfn._xlws.FILTER($E:$E, ($C:$C=C681)*($F:$F=F681)) ) - 1</f>
        <v>8.5646751004353483E-3</v>
      </c>
      <c r="J681" t="str">
        <v>RY</v>
      </c>
      <c r="K681" s="1">
        <v>42002</v>
      </c>
      <c r="L681">
        <v>4.8558274313326155E-3</v>
      </c>
    </row>
    <row r="682" spans="1:12" x14ac:dyDescent="0.2">
      <c r="A682" s="1">
        <v>41898</v>
      </c>
      <c r="B682">
        <v>2</v>
      </c>
      <c r="C682" t="s">
        <v>11</v>
      </c>
      <c r="D682">
        <v>7.6140000000000001E-3</v>
      </c>
      <c r="E682">
        <f t="shared" si="20"/>
        <v>1.007614</v>
      </c>
      <c r="F682" s="1">
        <f t="shared" si="21"/>
        <v>41897</v>
      </c>
      <c r="G682" cm="1">
        <f t="array" ref="G682">PRODUCT( _xlfn._xlws.FILTER($E:$E, ($C:$C=C682)*($F:$F=F682)) ) - 1</f>
        <v>8.5646751004353483E-3</v>
      </c>
      <c r="J682" t="str">
        <v>RY</v>
      </c>
      <c r="K682" s="1">
        <v>42009</v>
      </c>
      <c r="L682">
        <v>-3.9900751477529028E-2</v>
      </c>
    </row>
    <row r="683" spans="1:12" x14ac:dyDescent="0.2">
      <c r="A683" s="1">
        <v>41899</v>
      </c>
      <c r="B683">
        <v>2</v>
      </c>
      <c r="C683" t="s">
        <v>11</v>
      </c>
      <c r="D683">
        <v>7.6810000000000003E-3</v>
      </c>
      <c r="E683">
        <f t="shared" si="20"/>
        <v>1.007681</v>
      </c>
      <c r="F683" s="1">
        <f t="shared" si="21"/>
        <v>41897</v>
      </c>
      <c r="G683" cm="1">
        <f t="array" ref="G683">PRODUCT( _xlfn._xlws.FILTER($E:$E, ($C:$C=C683)*($F:$F=F683)) ) - 1</f>
        <v>8.5646751004353483E-3</v>
      </c>
      <c r="J683" t="str">
        <v>RY</v>
      </c>
      <c r="K683" s="1">
        <v>42016</v>
      </c>
      <c r="L683">
        <v>-2.5425661323807414E-2</v>
      </c>
    </row>
    <row r="684" spans="1:12" x14ac:dyDescent="0.2">
      <c r="A684" s="1">
        <v>41900</v>
      </c>
      <c r="B684">
        <v>2</v>
      </c>
      <c r="C684" t="s">
        <v>11</v>
      </c>
      <c r="D684">
        <v>8.2369999999999995E-3</v>
      </c>
      <c r="E684">
        <f t="shared" si="20"/>
        <v>1.008237</v>
      </c>
      <c r="F684" s="1">
        <f t="shared" si="21"/>
        <v>41897</v>
      </c>
      <c r="G684" cm="1">
        <f t="array" ref="G684">PRODUCT( _xlfn._xlws.FILTER($E:$E, ($C:$C=C684)*($F:$F=F684)) ) - 1</f>
        <v>8.5646751004353483E-3</v>
      </c>
      <c r="J684" t="str">
        <v>RY</v>
      </c>
      <c r="K684" s="1">
        <v>42023</v>
      </c>
      <c r="L684">
        <v>8.8352038580341574E-3</v>
      </c>
    </row>
    <row r="685" spans="1:12" x14ac:dyDescent="0.2">
      <c r="A685" s="1">
        <v>41901</v>
      </c>
      <c r="B685">
        <v>2</v>
      </c>
      <c r="C685" t="s">
        <v>11</v>
      </c>
      <c r="D685">
        <v>-9.2669999999999992E-3</v>
      </c>
      <c r="E685">
        <f t="shared" si="20"/>
        <v>0.99073299999999997</v>
      </c>
      <c r="F685" s="1">
        <f t="shared" si="21"/>
        <v>41897</v>
      </c>
      <c r="G685" cm="1">
        <f t="array" ref="G685">PRODUCT( _xlfn._xlws.FILTER($E:$E, ($C:$C=C685)*($F:$F=F685)) ) - 1</f>
        <v>8.5646751004353483E-3</v>
      </c>
      <c r="J685" t="str">
        <v>RY</v>
      </c>
      <c r="K685" s="1">
        <v>42030</v>
      </c>
      <c r="L685">
        <v>-4.8793931407974944E-2</v>
      </c>
    </row>
    <row r="686" spans="1:12" x14ac:dyDescent="0.2">
      <c r="A686" s="1">
        <v>41904</v>
      </c>
      <c r="B686">
        <v>2</v>
      </c>
      <c r="C686" t="s">
        <v>11</v>
      </c>
      <c r="D686">
        <v>-6.646E-3</v>
      </c>
      <c r="E686">
        <f t="shared" si="20"/>
        <v>0.99335399999999996</v>
      </c>
      <c r="F686" s="1">
        <f t="shared" si="21"/>
        <v>41904</v>
      </c>
      <c r="G686" cm="1">
        <f t="array" ref="G686">PRODUCT( _xlfn._xlws.FILTER($E:$E, ($C:$C=C686)*($F:$F=F686)) ) - 1</f>
        <v>-1.858379596109283E-2</v>
      </c>
      <c r="J686" t="str">
        <v>RY</v>
      </c>
      <c r="K686" s="1">
        <v>42037</v>
      </c>
      <c r="L686">
        <v>6.0356702973006104E-2</v>
      </c>
    </row>
    <row r="687" spans="1:12" x14ac:dyDescent="0.2">
      <c r="A687" s="1">
        <v>41905</v>
      </c>
      <c r="B687">
        <v>2</v>
      </c>
      <c r="C687" t="s">
        <v>11</v>
      </c>
      <c r="D687">
        <v>-1.0531E-2</v>
      </c>
      <c r="E687">
        <f t="shared" si="20"/>
        <v>0.98946900000000004</v>
      </c>
      <c r="F687" s="1">
        <f t="shared" si="21"/>
        <v>41904</v>
      </c>
      <c r="G687" cm="1">
        <f t="array" ref="G687">PRODUCT( _xlfn._xlws.FILTER($E:$E, ($C:$C=C687)*($F:$F=F687)) ) - 1</f>
        <v>-1.858379596109283E-2</v>
      </c>
      <c r="J687" t="str">
        <v>RY</v>
      </c>
      <c r="K687" s="1">
        <v>42044</v>
      </c>
      <c r="L687">
        <v>1.9325343002169593E-2</v>
      </c>
    </row>
    <row r="688" spans="1:12" x14ac:dyDescent="0.2">
      <c r="A688" s="1">
        <v>41906</v>
      </c>
      <c r="B688">
        <v>2</v>
      </c>
      <c r="C688" t="s">
        <v>11</v>
      </c>
      <c r="D688">
        <v>-5.6350000000000003E-3</v>
      </c>
      <c r="E688">
        <f t="shared" si="20"/>
        <v>0.99436500000000005</v>
      </c>
      <c r="F688" s="1">
        <f t="shared" si="21"/>
        <v>41904</v>
      </c>
      <c r="G688" cm="1">
        <f t="array" ref="G688">PRODUCT( _xlfn._xlws.FILTER($E:$E, ($C:$C=C688)*($F:$F=F688)) ) - 1</f>
        <v>-1.858379596109283E-2</v>
      </c>
      <c r="J688" t="str">
        <v>RY</v>
      </c>
      <c r="K688" s="1">
        <v>42051</v>
      </c>
      <c r="L688">
        <v>-1.9732423361841778E-2</v>
      </c>
    </row>
    <row r="689" spans="1:12" x14ac:dyDescent="0.2">
      <c r="A689" s="1">
        <v>41907</v>
      </c>
      <c r="B689">
        <v>2</v>
      </c>
      <c r="C689" t="s">
        <v>11</v>
      </c>
      <c r="D689">
        <v>-1.3978000000000001E-2</v>
      </c>
      <c r="E689">
        <f t="shared" si="20"/>
        <v>0.98602199999999995</v>
      </c>
      <c r="F689" s="1">
        <f t="shared" si="21"/>
        <v>41904</v>
      </c>
      <c r="G689" cm="1">
        <f t="array" ref="G689">PRODUCT( _xlfn._xlws.FILTER($E:$E, ($C:$C=C689)*($F:$F=F689)) ) - 1</f>
        <v>-1.858379596109283E-2</v>
      </c>
      <c r="J689" t="str">
        <v>RY</v>
      </c>
      <c r="K689" s="1">
        <v>42058</v>
      </c>
      <c r="L689">
        <v>3.0258579372233418E-2</v>
      </c>
    </row>
    <row r="690" spans="1:12" x14ac:dyDescent="0.2">
      <c r="A690" s="1">
        <v>41908</v>
      </c>
      <c r="B690">
        <v>2</v>
      </c>
      <c r="C690" t="s">
        <v>11</v>
      </c>
      <c r="D690">
        <v>1.8391000000000001E-2</v>
      </c>
      <c r="E690">
        <f t="shared" si="20"/>
        <v>1.018391</v>
      </c>
      <c r="F690" s="1">
        <f t="shared" si="21"/>
        <v>41904</v>
      </c>
      <c r="G690" cm="1">
        <f t="array" ref="G690">PRODUCT( _xlfn._xlws.FILTER($E:$E, ($C:$C=C690)*($F:$F=F690)) ) - 1</f>
        <v>-1.858379596109283E-2</v>
      </c>
      <c r="J690" t="str">
        <v>RY</v>
      </c>
      <c r="K690" s="1">
        <v>42065</v>
      </c>
      <c r="L690">
        <v>-1.4685320859162743E-2</v>
      </c>
    </row>
    <row r="691" spans="1:12" x14ac:dyDescent="0.2">
      <c r="A691" s="1">
        <v>41911</v>
      </c>
      <c r="B691">
        <v>2</v>
      </c>
      <c r="C691" t="s">
        <v>11</v>
      </c>
      <c r="D691">
        <v>-4.0130000000000001E-3</v>
      </c>
      <c r="E691">
        <f t="shared" si="20"/>
        <v>0.99598699999999996</v>
      </c>
      <c r="F691" s="1">
        <f t="shared" si="21"/>
        <v>41911</v>
      </c>
      <c r="G691" cm="1">
        <f t="array" ref="G691">PRODUCT( _xlfn._xlws.FILTER($E:$E, ($C:$C=C691)*($F:$F=F691)) ) - 1</f>
        <v>-7.2743581016968539E-3</v>
      </c>
      <c r="J691" t="str">
        <v>RY</v>
      </c>
      <c r="K691" s="1">
        <v>42072</v>
      </c>
      <c r="L691">
        <v>-1.9051670421463496E-2</v>
      </c>
    </row>
    <row r="692" spans="1:12" x14ac:dyDescent="0.2">
      <c r="A692" s="1">
        <v>41912</v>
      </c>
      <c r="B692">
        <v>2</v>
      </c>
      <c r="C692" t="s">
        <v>11</v>
      </c>
      <c r="D692">
        <v>1.1329999999999999E-3</v>
      </c>
      <c r="E692">
        <f t="shared" si="20"/>
        <v>1.0011330000000001</v>
      </c>
      <c r="F692" s="1">
        <f t="shared" si="21"/>
        <v>41911</v>
      </c>
      <c r="G692" cm="1">
        <f t="array" ref="G692">PRODUCT( _xlfn._xlws.FILTER($E:$E, ($C:$C=C692)*($F:$F=F692)) ) - 1</f>
        <v>-7.2743581016968539E-3</v>
      </c>
      <c r="J692" t="str">
        <v>RY</v>
      </c>
      <c r="K692" s="1">
        <v>42079</v>
      </c>
      <c r="L692">
        <v>9.2475177767357142E-3</v>
      </c>
    </row>
    <row r="693" spans="1:12" x14ac:dyDescent="0.2">
      <c r="A693" s="1">
        <v>41913</v>
      </c>
      <c r="B693">
        <v>2</v>
      </c>
      <c r="C693" t="s">
        <v>11</v>
      </c>
      <c r="D693">
        <v>-2.2890000000000001E-2</v>
      </c>
      <c r="E693">
        <f t="shared" si="20"/>
        <v>0.97711000000000003</v>
      </c>
      <c r="F693" s="1">
        <f t="shared" si="21"/>
        <v>41911</v>
      </c>
      <c r="G693" cm="1">
        <f t="array" ref="G693">PRODUCT( _xlfn._xlws.FILTER($E:$E, ($C:$C=C693)*($F:$F=F693)) ) - 1</f>
        <v>-7.2743581016968539E-3</v>
      </c>
      <c r="J693" t="str">
        <v>RY</v>
      </c>
      <c r="K693" s="1">
        <v>42086</v>
      </c>
      <c r="L693">
        <v>-1.7018170155632673E-2</v>
      </c>
    </row>
    <row r="694" spans="1:12" x14ac:dyDescent="0.2">
      <c r="A694" s="1">
        <v>41914</v>
      </c>
      <c r="B694">
        <v>2</v>
      </c>
      <c r="C694" t="s">
        <v>11</v>
      </c>
      <c r="D694">
        <v>-6.5649999999999997E-3</v>
      </c>
      <c r="E694">
        <f t="shared" si="20"/>
        <v>0.99343499999999996</v>
      </c>
      <c r="F694" s="1">
        <f t="shared" si="21"/>
        <v>41911</v>
      </c>
      <c r="G694" cm="1">
        <f t="array" ref="G694">PRODUCT( _xlfn._xlws.FILTER($E:$E, ($C:$C=C694)*($F:$F=F694)) ) - 1</f>
        <v>-7.2743581016968539E-3</v>
      </c>
      <c r="J694" t="str">
        <v>RY</v>
      </c>
      <c r="K694" s="1">
        <v>42093</v>
      </c>
      <c r="L694">
        <v>2.2772434718659307E-2</v>
      </c>
    </row>
    <row r="695" spans="1:12" x14ac:dyDescent="0.2">
      <c r="A695" s="1">
        <v>41915</v>
      </c>
      <c r="B695">
        <v>2</v>
      </c>
      <c r="C695" t="s">
        <v>11</v>
      </c>
      <c r="D695">
        <v>2.5654E-2</v>
      </c>
      <c r="E695">
        <f t="shared" si="20"/>
        <v>1.0256540000000001</v>
      </c>
      <c r="F695" s="1">
        <f t="shared" si="21"/>
        <v>41911</v>
      </c>
      <c r="G695" cm="1">
        <f t="array" ref="G695">PRODUCT( _xlfn._xlws.FILTER($E:$E, ($C:$C=C695)*($F:$F=F695)) ) - 1</f>
        <v>-7.2743581016968539E-3</v>
      </c>
      <c r="J695" t="str">
        <v>RY</v>
      </c>
      <c r="K695" s="1">
        <v>42100</v>
      </c>
      <c r="L695">
        <v>3.6459417492476831E-2</v>
      </c>
    </row>
    <row r="696" spans="1:12" x14ac:dyDescent="0.2">
      <c r="A696" s="1">
        <v>41918</v>
      </c>
      <c r="B696">
        <v>2</v>
      </c>
      <c r="C696" t="s">
        <v>11</v>
      </c>
      <c r="D696">
        <v>-1.8190999999999999E-2</v>
      </c>
      <c r="E696">
        <f t="shared" si="20"/>
        <v>0.98180900000000004</v>
      </c>
      <c r="F696" s="1">
        <f t="shared" si="21"/>
        <v>41918</v>
      </c>
      <c r="G696" cm="1">
        <f t="array" ref="G696">PRODUCT( _xlfn._xlws.FILTER($E:$E, ($C:$C=C696)*($F:$F=F696)) ) - 1</f>
        <v>-8.7290901395205345E-2</v>
      </c>
      <c r="J696" t="str">
        <v>RY</v>
      </c>
      <c r="K696" s="1">
        <v>42107</v>
      </c>
      <c r="L696">
        <v>1.4573473752586885E-2</v>
      </c>
    </row>
    <row r="697" spans="1:12" x14ac:dyDescent="0.2">
      <c r="A697" s="1">
        <v>41919</v>
      </c>
      <c r="B697">
        <v>2</v>
      </c>
      <c r="C697" t="s">
        <v>11</v>
      </c>
      <c r="D697">
        <v>-3.1652E-2</v>
      </c>
      <c r="E697">
        <f t="shared" si="20"/>
        <v>0.96834799999999999</v>
      </c>
      <c r="F697" s="1">
        <f t="shared" si="21"/>
        <v>41918</v>
      </c>
      <c r="G697" cm="1">
        <f t="array" ref="G697">PRODUCT( _xlfn._xlws.FILTER($E:$E, ($C:$C=C697)*($F:$F=F697)) ) - 1</f>
        <v>-8.7290901395205345E-2</v>
      </c>
      <c r="J697" t="str">
        <v>RY</v>
      </c>
      <c r="K697" s="1">
        <v>42114</v>
      </c>
      <c r="L697">
        <v>7.3386565222051114E-3</v>
      </c>
    </row>
    <row r="698" spans="1:12" x14ac:dyDescent="0.2">
      <c r="A698" s="1">
        <v>41920</v>
      </c>
      <c r="B698">
        <v>2</v>
      </c>
      <c r="C698" t="s">
        <v>11</v>
      </c>
      <c r="D698">
        <v>7.175E-3</v>
      </c>
      <c r="E698">
        <f t="shared" si="20"/>
        <v>1.0071749999999999</v>
      </c>
      <c r="F698" s="1">
        <f t="shared" si="21"/>
        <v>41918</v>
      </c>
      <c r="G698" cm="1">
        <f t="array" ref="G698">PRODUCT( _xlfn._xlws.FILTER($E:$E, ($C:$C=C698)*($F:$F=F698)) ) - 1</f>
        <v>-8.7290901395205345E-2</v>
      </c>
      <c r="J698" t="str">
        <v>RY</v>
      </c>
      <c r="K698" s="1">
        <v>42121</v>
      </c>
      <c r="L698">
        <v>-4.2188623390734259E-3</v>
      </c>
    </row>
    <row r="699" spans="1:12" x14ac:dyDescent="0.2">
      <c r="A699" s="1">
        <v>41921</v>
      </c>
      <c r="B699">
        <v>2</v>
      </c>
      <c r="C699" t="s">
        <v>11</v>
      </c>
      <c r="D699">
        <v>-1.7149999999999999E-2</v>
      </c>
      <c r="E699">
        <f t="shared" si="20"/>
        <v>0.98285</v>
      </c>
      <c r="F699" s="1">
        <f t="shared" si="21"/>
        <v>41918</v>
      </c>
      <c r="G699" cm="1">
        <f t="array" ref="G699">PRODUCT( _xlfn._xlws.FILTER($E:$E, ($C:$C=C699)*($F:$F=F699)) ) - 1</f>
        <v>-8.7290901395205345E-2</v>
      </c>
      <c r="J699" t="str">
        <v>RY</v>
      </c>
      <c r="K699" s="1">
        <v>42128</v>
      </c>
      <c r="L699">
        <v>-1.3209888793151214E-2</v>
      </c>
    </row>
    <row r="700" spans="1:12" x14ac:dyDescent="0.2">
      <c r="A700" s="1">
        <v>41922</v>
      </c>
      <c r="B700">
        <v>2</v>
      </c>
      <c r="C700" t="s">
        <v>11</v>
      </c>
      <c r="D700">
        <v>-3.0200999999999999E-2</v>
      </c>
      <c r="E700">
        <f t="shared" si="20"/>
        <v>0.96979899999999997</v>
      </c>
      <c r="F700" s="1">
        <f t="shared" si="21"/>
        <v>41918</v>
      </c>
      <c r="G700" cm="1">
        <f t="array" ref="G700">PRODUCT( _xlfn._xlws.FILTER($E:$E, ($C:$C=C700)*($F:$F=F700)) ) - 1</f>
        <v>-8.7290901395205345E-2</v>
      </c>
      <c r="J700" t="str">
        <v>RY</v>
      </c>
      <c r="K700" s="1">
        <v>42135</v>
      </c>
      <c r="L700">
        <v>-5.0522352746943389E-3</v>
      </c>
    </row>
    <row r="701" spans="1:12" x14ac:dyDescent="0.2">
      <c r="A701" s="1">
        <v>41926</v>
      </c>
      <c r="B701">
        <v>2</v>
      </c>
      <c r="C701" t="s">
        <v>11</v>
      </c>
      <c r="D701">
        <v>-1.9931000000000001E-2</v>
      </c>
      <c r="E701">
        <f t="shared" si="20"/>
        <v>0.98006899999999997</v>
      </c>
      <c r="F701" s="1">
        <f t="shared" si="21"/>
        <v>41925</v>
      </c>
      <c r="G701" cm="1">
        <f t="array" ref="G701">PRODUCT( _xlfn._xlws.FILTER($E:$E, ($C:$C=C701)*($F:$F=F701)) ) - 1</f>
        <v>1.8685260124791769E-2</v>
      </c>
      <c r="J701" t="str">
        <v>RY</v>
      </c>
      <c r="K701" s="1">
        <v>42142</v>
      </c>
      <c r="L701">
        <v>2.0563480827839431E-2</v>
      </c>
    </row>
    <row r="702" spans="1:12" x14ac:dyDescent="0.2">
      <c r="A702" s="1">
        <v>41927</v>
      </c>
      <c r="B702">
        <v>2</v>
      </c>
      <c r="C702" t="s">
        <v>11</v>
      </c>
      <c r="D702">
        <v>-4.5189999999999996E-3</v>
      </c>
      <c r="E702">
        <f t="shared" si="20"/>
        <v>0.99548099999999995</v>
      </c>
      <c r="F702" s="1">
        <f t="shared" si="21"/>
        <v>41925</v>
      </c>
      <c r="G702" cm="1">
        <f t="array" ref="G702">PRODUCT( _xlfn._xlws.FILTER($E:$E, ($C:$C=C702)*($F:$F=F702)) ) - 1</f>
        <v>1.8685260124791769E-2</v>
      </c>
      <c r="J702" t="str">
        <v>RY</v>
      </c>
      <c r="K702" s="1">
        <v>42149</v>
      </c>
      <c r="L702">
        <v>-1.6541277649376851E-2</v>
      </c>
    </row>
    <row r="703" spans="1:12" x14ac:dyDescent="0.2">
      <c r="A703" s="1">
        <v>41928</v>
      </c>
      <c r="B703">
        <v>2</v>
      </c>
      <c r="C703" t="s">
        <v>11</v>
      </c>
      <c r="D703">
        <v>2.0003E-2</v>
      </c>
      <c r="E703">
        <f t="shared" si="20"/>
        <v>1.020003</v>
      </c>
      <c r="F703" s="1">
        <f t="shared" si="21"/>
        <v>41925</v>
      </c>
      <c r="G703" cm="1">
        <f t="array" ref="G703">PRODUCT( _xlfn._xlws.FILTER($E:$E, ($C:$C=C703)*($F:$F=F703)) ) - 1</f>
        <v>1.8685260124791769E-2</v>
      </c>
      <c r="J703" t="str">
        <v>RY</v>
      </c>
      <c r="K703" s="1">
        <v>42156</v>
      </c>
      <c r="L703">
        <v>6.4505811776920385E-3</v>
      </c>
    </row>
    <row r="704" spans="1:12" x14ac:dyDescent="0.2">
      <c r="A704" s="1">
        <v>41929</v>
      </c>
      <c r="B704">
        <v>2</v>
      </c>
      <c r="C704" t="s">
        <v>11</v>
      </c>
      <c r="D704">
        <v>2.3643999999999998E-2</v>
      </c>
      <c r="E704">
        <f t="shared" si="20"/>
        <v>1.023644</v>
      </c>
      <c r="F704" s="1">
        <f t="shared" si="21"/>
        <v>41925</v>
      </c>
      <c r="G704" cm="1">
        <f t="array" ref="G704">PRODUCT( _xlfn._xlws.FILTER($E:$E, ($C:$C=C704)*($F:$F=F704)) ) - 1</f>
        <v>1.8685260124791769E-2</v>
      </c>
      <c r="J704" t="str">
        <v>RY</v>
      </c>
      <c r="K704" s="1">
        <v>42163</v>
      </c>
      <c r="L704">
        <v>-1.7341412865263028E-2</v>
      </c>
    </row>
    <row r="705" spans="1:12" x14ac:dyDescent="0.2">
      <c r="A705" s="1">
        <v>41932</v>
      </c>
      <c r="B705">
        <v>2</v>
      </c>
      <c r="C705" t="s">
        <v>11</v>
      </c>
      <c r="D705">
        <v>5.2989999999999999E-3</v>
      </c>
      <c r="E705">
        <f t="shared" si="20"/>
        <v>1.0052989999999999</v>
      </c>
      <c r="F705" s="1">
        <f t="shared" si="21"/>
        <v>41932</v>
      </c>
      <c r="G705" cm="1">
        <f t="array" ref="G705">PRODUCT( _xlfn._xlws.FILTER($E:$E, ($C:$C=C705)*($F:$F=F705)) ) - 1</f>
        <v>4.9863658031846336E-2</v>
      </c>
      <c r="J705" t="str">
        <v>RY</v>
      </c>
      <c r="K705" s="1">
        <v>42170</v>
      </c>
      <c r="L705">
        <v>-1.7647533587649589E-2</v>
      </c>
    </row>
    <row r="706" spans="1:12" x14ac:dyDescent="0.2">
      <c r="A706" s="1">
        <v>41933</v>
      </c>
      <c r="B706">
        <v>2</v>
      </c>
      <c r="C706" t="s">
        <v>11</v>
      </c>
      <c r="D706">
        <v>2.2841E-2</v>
      </c>
      <c r="E706">
        <f t="shared" si="20"/>
        <v>1.0228410000000001</v>
      </c>
      <c r="F706" s="1">
        <f t="shared" si="21"/>
        <v>41932</v>
      </c>
      <c r="G706" cm="1">
        <f t="array" ref="G706">PRODUCT( _xlfn._xlws.FILTER($E:$E, ($C:$C=C706)*($F:$F=F706)) ) - 1</f>
        <v>4.9863658031846336E-2</v>
      </c>
      <c r="J706" t="str">
        <v>RY</v>
      </c>
      <c r="K706" s="1">
        <v>42177</v>
      </c>
      <c r="L706">
        <v>1.874531590400208E-2</v>
      </c>
    </row>
    <row r="707" spans="1:12" x14ac:dyDescent="0.2">
      <c r="A707" s="1">
        <v>41934</v>
      </c>
      <c r="B707">
        <v>2</v>
      </c>
      <c r="C707" t="s">
        <v>11</v>
      </c>
      <c r="D707">
        <v>-6.607E-3</v>
      </c>
      <c r="E707">
        <f t="shared" si="20"/>
        <v>0.99339299999999997</v>
      </c>
      <c r="F707" s="1">
        <f t="shared" si="21"/>
        <v>41932</v>
      </c>
      <c r="G707" cm="1">
        <f t="array" ref="G707">PRODUCT( _xlfn._xlws.FILTER($E:$E, ($C:$C=C707)*($F:$F=F707)) ) - 1</f>
        <v>4.9863658031846336E-2</v>
      </c>
      <c r="J707" t="str">
        <v>RY</v>
      </c>
      <c r="K707" s="1">
        <v>42184</v>
      </c>
      <c r="L707">
        <v>-1.980647245828604E-2</v>
      </c>
    </row>
    <row r="708" spans="1:12" x14ac:dyDescent="0.2">
      <c r="A708" s="1">
        <v>41935</v>
      </c>
      <c r="B708">
        <v>2</v>
      </c>
      <c r="C708" t="s">
        <v>11</v>
      </c>
      <c r="D708">
        <v>2.0351000000000001E-2</v>
      </c>
      <c r="E708">
        <f t="shared" ref="E708:E771" si="22">D708+1</f>
        <v>1.020351</v>
      </c>
      <c r="F708" s="1">
        <f t="shared" ref="F708:F771" si="23">A708 - (WEEKDAY(A708, 2) - 1)</f>
        <v>41932</v>
      </c>
      <c r="G708" cm="1">
        <f t="array" ref="G708">PRODUCT( _xlfn._xlws.FILTER($E:$E, ($C:$C=C708)*($F:$F=F708)) ) - 1</f>
        <v>4.9863658031846336E-2</v>
      </c>
      <c r="J708" t="str">
        <v>RY</v>
      </c>
      <c r="K708" s="1">
        <v>42191</v>
      </c>
      <c r="L708">
        <v>-1.6946538087089236E-3</v>
      </c>
    </row>
    <row r="709" spans="1:12" x14ac:dyDescent="0.2">
      <c r="A709" s="1">
        <v>41936</v>
      </c>
      <c r="B709">
        <v>2</v>
      </c>
      <c r="C709" t="s">
        <v>11</v>
      </c>
      <c r="D709">
        <v>7.3000000000000001E-3</v>
      </c>
      <c r="E709">
        <f t="shared" si="22"/>
        <v>1.0073000000000001</v>
      </c>
      <c r="F709" s="1">
        <f t="shared" si="23"/>
        <v>41932</v>
      </c>
      <c r="G709" cm="1">
        <f t="array" ref="G709">PRODUCT( _xlfn._xlws.FILTER($E:$E, ($C:$C=C709)*($F:$F=F709)) ) - 1</f>
        <v>4.9863658031846336E-2</v>
      </c>
      <c r="J709" t="str">
        <v>RY</v>
      </c>
      <c r="K709" s="1">
        <v>42198</v>
      </c>
      <c r="L709">
        <v>9.4016254001130228E-3</v>
      </c>
    </row>
    <row r="710" spans="1:12" x14ac:dyDescent="0.2">
      <c r="A710" s="1">
        <v>41939</v>
      </c>
      <c r="B710">
        <v>2</v>
      </c>
      <c r="C710" t="s">
        <v>11</v>
      </c>
      <c r="D710">
        <v>2.3289999999999999E-3</v>
      </c>
      <c r="E710">
        <f t="shared" si="22"/>
        <v>1.002329</v>
      </c>
      <c r="F710" s="1">
        <f t="shared" si="23"/>
        <v>41939</v>
      </c>
      <c r="G710" cm="1">
        <f t="array" ref="G710">PRODUCT( _xlfn._xlws.FILTER($E:$E, ($C:$C=C710)*($F:$F=F710)) ) - 1</f>
        <v>2.8341349616147316E-2</v>
      </c>
      <c r="J710" t="str">
        <v>RY</v>
      </c>
      <c r="K710" s="1">
        <v>42205</v>
      </c>
      <c r="L710">
        <v>-2.5220294170843593E-2</v>
      </c>
    </row>
    <row r="711" spans="1:12" x14ac:dyDescent="0.2">
      <c r="A711" s="1">
        <v>41940</v>
      </c>
      <c r="B711">
        <v>2</v>
      </c>
      <c r="C711" t="s">
        <v>11</v>
      </c>
      <c r="D711">
        <v>1.0329E-2</v>
      </c>
      <c r="E711">
        <f t="shared" si="22"/>
        <v>1.010329</v>
      </c>
      <c r="F711" s="1">
        <f t="shared" si="23"/>
        <v>41939</v>
      </c>
      <c r="G711" cm="1">
        <f t="array" ref="G711">PRODUCT( _xlfn._xlws.FILTER($E:$E, ($C:$C=C711)*($F:$F=F711)) ) - 1</f>
        <v>2.8341349616147316E-2</v>
      </c>
      <c r="J711" t="str">
        <v>RY</v>
      </c>
      <c r="K711" s="1">
        <v>42212</v>
      </c>
      <c r="L711">
        <v>2.2389400816401395E-2</v>
      </c>
    </row>
    <row r="712" spans="1:12" x14ac:dyDescent="0.2">
      <c r="A712" s="1">
        <v>41941</v>
      </c>
      <c r="B712">
        <v>2</v>
      </c>
      <c r="C712" t="s">
        <v>11</v>
      </c>
      <c r="D712">
        <v>-7.2839999999999997E-3</v>
      </c>
      <c r="E712">
        <f t="shared" si="22"/>
        <v>0.99271600000000004</v>
      </c>
      <c r="F712" s="1">
        <f t="shared" si="23"/>
        <v>41939</v>
      </c>
      <c r="G712" cm="1">
        <f t="array" ref="G712">PRODUCT( _xlfn._xlws.FILTER($E:$E, ($C:$C=C712)*($F:$F=F712)) ) - 1</f>
        <v>2.8341349616147316E-2</v>
      </c>
      <c r="J712" t="str">
        <v>RY</v>
      </c>
      <c r="K712" s="1">
        <v>42219</v>
      </c>
      <c r="L712">
        <v>9.1843260035306962E-4</v>
      </c>
    </row>
    <row r="713" spans="1:12" x14ac:dyDescent="0.2">
      <c r="A713" s="1">
        <v>41942</v>
      </c>
      <c r="B713">
        <v>2</v>
      </c>
      <c r="C713" t="s">
        <v>11</v>
      </c>
      <c r="D713">
        <v>6.3080000000000002E-3</v>
      </c>
      <c r="E713">
        <f t="shared" si="22"/>
        <v>1.006308</v>
      </c>
      <c r="F713" s="1">
        <f t="shared" si="23"/>
        <v>41939</v>
      </c>
      <c r="G713" cm="1">
        <f t="array" ref="G713">PRODUCT( _xlfn._xlws.FILTER($E:$E, ($C:$C=C713)*($F:$F=F713)) ) - 1</f>
        <v>2.8341349616147316E-2</v>
      </c>
      <c r="J713" t="str">
        <v>RY</v>
      </c>
      <c r="K713" s="1">
        <v>42226</v>
      </c>
      <c r="L713">
        <v>-4.7174244060659287E-3</v>
      </c>
    </row>
    <row r="714" spans="1:12" x14ac:dyDescent="0.2">
      <c r="A714" s="1">
        <v>41943</v>
      </c>
      <c r="B714">
        <v>2</v>
      </c>
      <c r="C714" t="s">
        <v>11</v>
      </c>
      <c r="D714">
        <v>1.6501999999999999E-2</v>
      </c>
      <c r="E714">
        <f t="shared" si="22"/>
        <v>1.016502</v>
      </c>
      <c r="F714" s="1">
        <f t="shared" si="23"/>
        <v>41939</v>
      </c>
      <c r="G714" cm="1">
        <f t="array" ref="G714">PRODUCT( _xlfn._xlws.FILTER($E:$E, ($C:$C=C714)*($F:$F=F714)) ) - 1</f>
        <v>2.8341349616147316E-2</v>
      </c>
      <c r="J714" t="str">
        <v>RY</v>
      </c>
      <c r="K714" s="1">
        <v>42233</v>
      </c>
      <c r="L714">
        <v>-4.1727160023016463E-2</v>
      </c>
    </row>
    <row r="715" spans="1:12" x14ac:dyDescent="0.2">
      <c r="A715" s="1">
        <v>41946</v>
      </c>
      <c r="B715">
        <v>2</v>
      </c>
      <c r="C715" t="s">
        <v>11</v>
      </c>
      <c r="D715">
        <v>-1.5102000000000001E-2</v>
      </c>
      <c r="E715">
        <f t="shared" si="22"/>
        <v>0.98489800000000005</v>
      </c>
      <c r="F715" s="1">
        <f t="shared" si="23"/>
        <v>41946</v>
      </c>
      <c r="G715" cm="1">
        <f t="array" ref="G715">PRODUCT( _xlfn._xlws.FILTER($E:$E, ($C:$C=C715)*($F:$F=F715)) ) - 1</f>
        <v>-6.9213135966765815E-3</v>
      </c>
      <c r="J715" t="str">
        <v>RY</v>
      </c>
      <c r="K715" s="1">
        <v>42240</v>
      </c>
      <c r="L715">
        <v>1.2363675357968118E-2</v>
      </c>
    </row>
    <row r="716" spans="1:12" x14ac:dyDescent="0.2">
      <c r="A716" s="1">
        <v>41947</v>
      </c>
      <c r="B716">
        <v>2</v>
      </c>
      <c r="C716" t="s">
        <v>11</v>
      </c>
      <c r="D716">
        <v>2.0439999999999998E-3</v>
      </c>
      <c r="E716">
        <f t="shared" si="22"/>
        <v>1.0020439999999999</v>
      </c>
      <c r="F716" s="1">
        <f t="shared" si="23"/>
        <v>41946</v>
      </c>
      <c r="G716" cm="1">
        <f t="array" ref="G716">PRODUCT( _xlfn._xlws.FILTER($E:$E, ($C:$C=C716)*($F:$F=F716)) ) - 1</f>
        <v>-6.9213135966765815E-3</v>
      </c>
      <c r="J716" t="str">
        <v>RY</v>
      </c>
      <c r="K716" s="1">
        <v>42247</v>
      </c>
      <c r="L716">
        <v>-3.8263513815860239E-2</v>
      </c>
    </row>
    <row r="717" spans="1:12" x14ac:dyDescent="0.2">
      <c r="A717" s="1">
        <v>41948</v>
      </c>
      <c r="B717">
        <v>2</v>
      </c>
      <c r="C717" t="s">
        <v>11</v>
      </c>
      <c r="D717">
        <v>3.826E-3</v>
      </c>
      <c r="E717">
        <f t="shared" si="22"/>
        <v>1.0038260000000001</v>
      </c>
      <c r="F717" s="1">
        <f t="shared" si="23"/>
        <v>41946</v>
      </c>
      <c r="G717" cm="1">
        <f t="array" ref="G717">PRODUCT( _xlfn._xlws.FILTER($E:$E, ($C:$C=C717)*($F:$F=F717)) ) - 1</f>
        <v>-6.9213135966765815E-3</v>
      </c>
      <c r="J717" t="str">
        <v>RY</v>
      </c>
      <c r="K717" s="1">
        <v>42254</v>
      </c>
      <c r="L717">
        <v>2.1445536116375452E-2</v>
      </c>
    </row>
    <row r="718" spans="1:12" x14ac:dyDescent="0.2">
      <c r="A718" s="1">
        <v>41949</v>
      </c>
      <c r="B718">
        <v>2</v>
      </c>
      <c r="C718" t="s">
        <v>11</v>
      </c>
      <c r="D718">
        <v>6.7330000000000003E-3</v>
      </c>
      <c r="E718">
        <f t="shared" si="22"/>
        <v>1.0067330000000001</v>
      </c>
      <c r="F718" s="1">
        <f t="shared" si="23"/>
        <v>41946</v>
      </c>
      <c r="G718" cm="1">
        <f t="array" ref="G718">PRODUCT( _xlfn._xlws.FILTER($E:$E, ($C:$C=C718)*($F:$F=F718)) ) - 1</f>
        <v>-6.9213135966765815E-3</v>
      </c>
      <c r="J718" t="str">
        <v>RY</v>
      </c>
      <c r="K718" s="1">
        <v>42261</v>
      </c>
      <c r="L718">
        <v>1.3670529848841539E-4</v>
      </c>
    </row>
    <row r="719" spans="1:12" x14ac:dyDescent="0.2">
      <c r="A719" s="1">
        <v>41950</v>
      </c>
      <c r="B719">
        <v>2</v>
      </c>
      <c r="C719" t="s">
        <v>11</v>
      </c>
      <c r="D719">
        <v>-4.2900000000000004E-3</v>
      </c>
      <c r="E719">
        <f t="shared" si="22"/>
        <v>0.99570999999999998</v>
      </c>
      <c r="F719" s="1">
        <f t="shared" si="23"/>
        <v>41946</v>
      </c>
      <c r="G719" cm="1">
        <f t="array" ref="G719">PRODUCT( _xlfn._xlws.FILTER($E:$E, ($C:$C=C719)*($F:$F=F719)) ) - 1</f>
        <v>-6.9213135966765815E-3</v>
      </c>
      <c r="J719" t="str">
        <v>RY</v>
      </c>
      <c r="K719" s="1">
        <v>42268</v>
      </c>
      <c r="L719">
        <v>-6.9049797059178575E-3</v>
      </c>
    </row>
    <row r="720" spans="1:12" x14ac:dyDescent="0.2">
      <c r="A720" s="1">
        <v>41953</v>
      </c>
      <c r="B720">
        <v>2</v>
      </c>
      <c r="C720" t="s">
        <v>11</v>
      </c>
      <c r="D720">
        <v>1.6220999999999999E-2</v>
      </c>
      <c r="E720">
        <f t="shared" si="22"/>
        <v>1.016221</v>
      </c>
      <c r="F720" s="1">
        <f t="shared" si="23"/>
        <v>41953</v>
      </c>
      <c r="G720" cm="1">
        <f t="array" ref="G720">PRODUCT( _xlfn._xlws.FILTER($E:$E, ($C:$C=C720)*($F:$F=F720)) ) - 1</f>
        <v>1.9643122843800098E-2</v>
      </c>
      <c r="J720" t="str">
        <v>RY</v>
      </c>
      <c r="K720" s="1">
        <v>42275</v>
      </c>
      <c r="L720">
        <v>8.3522978406946891E-4</v>
      </c>
    </row>
    <row r="721" spans="1:12" x14ac:dyDescent="0.2">
      <c r="A721" s="1">
        <v>41954</v>
      </c>
      <c r="B721">
        <v>2</v>
      </c>
      <c r="C721" t="s">
        <v>11</v>
      </c>
      <c r="D721">
        <v>1.621E-3</v>
      </c>
      <c r="E721">
        <f t="shared" si="22"/>
        <v>1.0016210000000001</v>
      </c>
      <c r="F721" s="1">
        <f t="shared" si="23"/>
        <v>41953</v>
      </c>
      <c r="G721" cm="1">
        <f t="array" ref="G721">PRODUCT( _xlfn._xlws.FILTER($E:$E, ($C:$C=C721)*($F:$F=F721)) ) - 1</f>
        <v>1.9643122843800098E-2</v>
      </c>
      <c r="J721" t="str">
        <v>RY</v>
      </c>
      <c r="K721" s="1">
        <v>42282</v>
      </c>
      <c r="L721">
        <v>2.6816745232927763E-2</v>
      </c>
    </row>
    <row r="722" spans="1:12" x14ac:dyDescent="0.2">
      <c r="A722" s="1">
        <v>41955</v>
      </c>
      <c r="B722">
        <v>2</v>
      </c>
      <c r="C722" t="s">
        <v>11</v>
      </c>
      <c r="D722">
        <v>1.1828E-2</v>
      </c>
      <c r="E722">
        <f t="shared" si="22"/>
        <v>1.0118279999999999</v>
      </c>
      <c r="F722" s="1">
        <f t="shared" si="23"/>
        <v>41953</v>
      </c>
      <c r="G722" cm="1">
        <f t="array" ref="G722">PRODUCT( _xlfn._xlws.FILTER($E:$E, ($C:$C=C722)*($F:$F=F722)) ) - 1</f>
        <v>1.9643122843800098E-2</v>
      </c>
      <c r="J722" t="str">
        <v>RY</v>
      </c>
      <c r="K722" s="1">
        <v>42289</v>
      </c>
      <c r="L722">
        <v>1.6241360065625265E-3</v>
      </c>
    </row>
    <row r="723" spans="1:12" x14ac:dyDescent="0.2">
      <c r="A723" s="1">
        <v>41956</v>
      </c>
      <c r="B723">
        <v>2</v>
      </c>
      <c r="C723" t="s">
        <v>11</v>
      </c>
      <c r="D723">
        <v>-3.8140000000000001E-3</v>
      </c>
      <c r="E723">
        <f t="shared" si="22"/>
        <v>0.99618600000000002</v>
      </c>
      <c r="F723" s="1">
        <f t="shared" si="23"/>
        <v>41953</v>
      </c>
      <c r="G723" cm="1">
        <f t="array" ref="G723">PRODUCT( _xlfn._xlws.FILTER($E:$E, ($C:$C=C723)*($F:$F=F723)) ) - 1</f>
        <v>1.9643122843800098E-2</v>
      </c>
      <c r="J723" t="str">
        <v>RY</v>
      </c>
      <c r="K723" s="1">
        <v>42296</v>
      </c>
      <c r="L723">
        <v>2.1951461961071894E-2</v>
      </c>
    </row>
    <row r="724" spans="1:12" x14ac:dyDescent="0.2">
      <c r="A724" s="1">
        <v>41957</v>
      </c>
      <c r="B724">
        <v>2</v>
      </c>
      <c r="C724" t="s">
        <v>11</v>
      </c>
      <c r="D724">
        <v>-6.1760000000000001E-3</v>
      </c>
      <c r="E724">
        <f t="shared" si="22"/>
        <v>0.99382400000000004</v>
      </c>
      <c r="F724" s="1">
        <f t="shared" si="23"/>
        <v>41953</v>
      </c>
      <c r="G724" cm="1">
        <f t="array" ref="G724">PRODUCT( _xlfn._xlws.FILTER($E:$E, ($C:$C=C724)*($F:$F=F724)) ) - 1</f>
        <v>1.9643122843800098E-2</v>
      </c>
      <c r="J724" t="str">
        <v>RY</v>
      </c>
      <c r="K724" s="1">
        <v>42303</v>
      </c>
      <c r="L724">
        <v>-1.0688058392080979E-3</v>
      </c>
    </row>
    <row r="725" spans="1:12" x14ac:dyDescent="0.2">
      <c r="A725" s="1">
        <v>41960</v>
      </c>
      <c r="B725">
        <v>2</v>
      </c>
      <c r="C725" t="s">
        <v>11</v>
      </c>
      <c r="D725">
        <v>-5.8409999999999998E-3</v>
      </c>
      <c r="E725">
        <f t="shared" si="22"/>
        <v>0.99415900000000001</v>
      </c>
      <c r="F725" s="1">
        <f t="shared" si="23"/>
        <v>41960</v>
      </c>
      <c r="G725" cm="1">
        <f t="array" ref="G725">PRODUCT( _xlfn._xlws.FILTER($E:$E, ($C:$C=C725)*($F:$F=F725)) ) - 1</f>
        <v>6.8355221700744373E-3</v>
      </c>
      <c r="J725" t="str">
        <v>RY</v>
      </c>
      <c r="K725" s="1">
        <v>42310</v>
      </c>
      <c r="L725">
        <v>2.5143609020069846E-2</v>
      </c>
    </row>
    <row r="726" spans="1:12" x14ac:dyDescent="0.2">
      <c r="A726" s="1">
        <v>41961</v>
      </c>
      <c r="B726">
        <v>2</v>
      </c>
      <c r="C726" t="s">
        <v>11</v>
      </c>
      <c r="D726">
        <v>2.1250000000000002E-3</v>
      </c>
      <c r="E726">
        <f t="shared" si="22"/>
        <v>1.0021249999999999</v>
      </c>
      <c r="F726" s="1">
        <f t="shared" si="23"/>
        <v>41960</v>
      </c>
      <c r="G726" cm="1">
        <f t="array" ref="G726">PRODUCT( _xlfn._xlws.FILTER($E:$E, ($C:$C=C726)*($F:$F=F726)) ) - 1</f>
        <v>6.8355221700744373E-3</v>
      </c>
      <c r="J726" t="str">
        <v>RY</v>
      </c>
      <c r="K726" s="1">
        <v>42317</v>
      </c>
      <c r="L726">
        <v>-3.5354459391434778E-2</v>
      </c>
    </row>
    <row r="727" spans="1:12" x14ac:dyDescent="0.2">
      <c r="A727" s="1">
        <v>41962</v>
      </c>
      <c r="B727">
        <v>2</v>
      </c>
      <c r="C727" t="s">
        <v>11</v>
      </c>
      <c r="D727">
        <v>8.3580000000000008E-3</v>
      </c>
      <c r="E727">
        <f t="shared" si="22"/>
        <v>1.0083580000000001</v>
      </c>
      <c r="F727" s="1">
        <f t="shared" si="23"/>
        <v>41960</v>
      </c>
      <c r="G727" cm="1">
        <f t="array" ref="G727">PRODUCT( _xlfn._xlws.FILTER($E:$E, ($C:$C=C727)*($F:$F=F727)) ) - 1</f>
        <v>6.8355221700744373E-3</v>
      </c>
      <c r="J727" t="str">
        <v>RY</v>
      </c>
      <c r="K727" s="1">
        <v>42324</v>
      </c>
      <c r="L727">
        <v>2.8805837676016299E-2</v>
      </c>
    </row>
    <row r="728" spans="1:12" x14ac:dyDescent="0.2">
      <c r="A728" s="1">
        <v>41963</v>
      </c>
      <c r="B728">
        <v>2</v>
      </c>
      <c r="C728" t="s">
        <v>11</v>
      </c>
      <c r="D728">
        <v>3.8349999999999999E-3</v>
      </c>
      <c r="E728">
        <f t="shared" si="22"/>
        <v>1.003835</v>
      </c>
      <c r="F728" s="1">
        <f t="shared" si="23"/>
        <v>41960</v>
      </c>
      <c r="G728" cm="1">
        <f t="array" ref="G728">PRODUCT( _xlfn._xlws.FILTER($E:$E, ($C:$C=C728)*($F:$F=F728)) ) - 1</f>
        <v>6.8355221700744373E-3</v>
      </c>
      <c r="J728" t="str">
        <v>RY</v>
      </c>
      <c r="K728" s="1">
        <v>42331</v>
      </c>
      <c r="L728">
        <v>-1.0780595292052442E-2</v>
      </c>
    </row>
    <row r="729" spans="1:12" x14ac:dyDescent="0.2">
      <c r="A729" s="1">
        <v>41964</v>
      </c>
      <c r="B729">
        <v>2</v>
      </c>
      <c r="C729" t="s">
        <v>11</v>
      </c>
      <c r="D729">
        <v>-1.6019999999999999E-3</v>
      </c>
      <c r="E729">
        <f t="shared" si="22"/>
        <v>0.99839800000000001</v>
      </c>
      <c r="F729" s="1">
        <f t="shared" si="23"/>
        <v>41960</v>
      </c>
      <c r="G729" cm="1">
        <f t="array" ref="G729">PRODUCT( _xlfn._xlws.FILTER($E:$E, ($C:$C=C729)*($F:$F=F729)) ) - 1</f>
        <v>6.8355221700744373E-3</v>
      </c>
      <c r="J729" t="str">
        <v>RY</v>
      </c>
      <c r="K729" s="1">
        <v>42338</v>
      </c>
      <c r="L729">
        <v>1.7806753130289232E-2</v>
      </c>
    </row>
    <row r="730" spans="1:12" x14ac:dyDescent="0.2">
      <c r="A730" s="1">
        <v>41967</v>
      </c>
      <c r="B730">
        <v>2</v>
      </c>
      <c r="C730" t="s">
        <v>11</v>
      </c>
      <c r="D730">
        <v>1.2097E-2</v>
      </c>
      <c r="E730">
        <f t="shared" si="22"/>
        <v>1.012097</v>
      </c>
      <c r="F730" s="1">
        <f t="shared" si="23"/>
        <v>41967</v>
      </c>
      <c r="G730" cm="1">
        <f t="array" ref="G730">PRODUCT( _xlfn._xlws.FILTER($E:$E, ($C:$C=C730)*($F:$F=F730)) ) - 1</f>
        <v>2.7149901316463332E-3</v>
      </c>
      <c r="J730" t="str">
        <v>RY</v>
      </c>
      <c r="K730" s="1">
        <v>42345</v>
      </c>
      <c r="L730">
        <v>-4.7004494777419525E-2</v>
      </c>
    </row>
    <row r="731" spans="1:12" x14ac:dyDescent="0.2">
      <c r="A731" s="1">
        <v>41968</v>
      </c>
      <c r="B731">
        <v>2</v>
      </c>
      <c r="C731" t="s">
        <v>11</v>
      </c>
      <c r="D731">
        <v>1.6465E-2</v>
      </c>
      <c r="E731">
        <f t="shared" si="22"/>
        <v>1.016465</v>
      </c>
      <c r="F731" s="1">
        <f t="shared" si="23"/>
        <v>41967</v>
      </c>
      <c r="G731" cm="1">
        <f t="array" ref="G731">PRODUCT( _xlfn._xlws.FILTER($E:$E, ($C:$C=C731)*($F:$F=F731)) ) - 1</f>
        <v>2.7149901316463332E-3</v>
      </c>
      <c r="J731" t="str">
        <v>RY</v>
      </c>
      <c r="K731" s="1">
        <v>42352</v>
      </c>
      <c r="L731">
        <v>1.7263005715626667E-2</v>
      </c>
    </row>
    <row r="732" spans="1:12" x14ac:dyDescent="0.2">
      <c r="A732" s="1">
        <v>41969</v>
      </c>
      <c r="B732">
        <v>2</v>
      </c>
      <c r="C732" t="s">
        <v>11</v>
      </c>
      <c r="D732">
        <v>4.9199999999999999E-3</v>
      </c>
      <c r="E732">
        <f t="shared" si="22"/>
        <v>1.00492</v>
      </c>
      <c r="F732" s="1">
        <f t="shared" si="23"/>
        <v>41967</v>
      </c>
      <c r="G732" cm="1">
        <f t="array" ref="G732">PRODUCT( _xlfn._xlws.FILTER($E:$E, ($C:$C=C732)*($F:$F=F732)) ) - 1</f>
        <v>2.7149901316463332E-3</v>
      </c>
      <c r="J732" t="str">
        <v>RY</v>
      </c>
      <c r="K732" s="1">
        <v>42359</v>
      </c>
      <c r="L732">
        <v>1.871997990724994E-2</v>
      </c>
    </row>
    <row r="733" spans="1:12" x14ac:dyDescent="0.2">
      <c r="A733" s="1">
        <v>41970</v>
      </c>
      <c r="B733">
        <v>2</v>
      </c>
      <c r="C733" t="s">
        <v>11</v>
      </c>
      <c r="D733">
        <v>1.4925000000000001E-2</v>
      </c>
      <c r="E733">
        <f t="shared" si="22"/>
        <v>1.0149250000000001</v>
      </c>
      <c r="F733" s="1">
        <f t="shared" si="23"/>
        <v>41967</v>
      </c>
      <c r="G733" cm="1">
        <f t="array" ref="G733">PRODUCT( _xlfn._xlws.FILTER($E:$E, ($C:$C=C733)*($F:$F=F733)) ) - 1</f>
        <v>2.7149901316463332E-3</v>
      </c>
      <c r="J733" t="str">
        <v>RY</v>
      </c>
      <c r="K733" s="1">
        <v>42366</v>
      </c>
      <c r="L733">
        <v>-1.9698628007494334E-2</v>
      </c>
    </row>
    <row r="734" spans="1:12" x14ac:dyDescent="0.2">
      <c r="A734" s="1">
        <v>41971</v>
      </c>
      <c r="B734">
        <v>2</v>
      </c>
      <c r="C734" t="s">
        <v>11</v>
      </c>
      <c r="D734">
        <v>-4.4352999999999997E-2</v>
      </c>
      <c r="E734">
        <f t="shared" si="22"/>
        <v>0.95564700000000002</v>
      </c>
      <c r="F734" s="1">
        <f t="shared" si="23"/>
        <v>41967</v>
      </c>
      <c r="G734" cm="1">
        <f t="array" ref="G734">PRODUCT( _xlfn._xlws.FILTER($E:$E, ($C:$C=C734)*($F:$F=F734)) ) - 1</f>
        <v>2.7149901316463332E-3</v>
      </c>
      <c r="J734" t="str">
        <v>RY</v>
      </c>
      <c r="K734" s="1">
        <v>42373</v>
      </c>
      <c r="L734">
        <v>-5.502352940085653E-2</v>
      </c>
    </row>
    <row r="735" spans="1:12" x14ac:dyDescent="0.2">
      <c r="A735" s="1">
        <v>41974</v>
      </c>
      <c r="B735">
        <v>2</v>
      </c>
      <c r="C735" t="s">
        <v>11</v>
      </c>
      <c r="D735">
        <v>-5.0966999999999998E-2</v>
      </c>
      <c r="E735">
        <f t="shared" si="22"/>
        <v>0.94903300000000002</v>
      </c>
      <c r="F735" s="1">
        <f t="shared" si="23"/>
        <v>41974</v>
      </c>
      <c r="G735" cm="1">
        <f t="array" ref="G735">PRODUCT( _xlfn._xlws.FILTER($E:$E, ($C:$C=C735)*($F:$F=F735)) ) - 1</f>
        <v>-4.4565467089143662E-2</v>
      </c>
      <c r="J735" t="str">
        <v>RY</v>
      </c>
      <c r="K735" s="1">
        <v>42380</v>
      </c>
      <c r="L735">
        <v>-4.3099863245293468E-2</v>
      </c>
    </row>
    <row r="736" spans="1:12" x14ac:dyDescent="0.2">
      <c r="A736" s="1">
        <v>41975</v>
      </c>
      <c r="B736">
        <v>2</v>
      </c>
      <c r="C736" t="s">
        <v>11</v>
      </c>
      <c r="D736">
        <v>1.4788000000000001E-2</v>
      </c>
      <c r="E736">
        <f t="shared" si="22"/>
        <v>1.014788</v>
      </c>
      <c r="F736" s="1">
        <f t="shared" si="23"/>
        <v>41974</v>
      </c>
      <c r="G736" cm="1">
        <f t="array" ref="G736">PRODUCT( _xlfn._xlws.FILTER($E:$E, ($C:$C=C736)*($F:$F=F736)) ) - 1</f>
        <v>-4.4565467089143662E-2</v>
      </c>
      <c r="J736" t="str">
        <v>RY</v>
      </c>
      <c r="K736" s="1">
        <v>42387</v>
      </c>
      <c r="L736">
        <v>4.593505388715502E-2</v>
      </c>
    </row>
    <row r="737" spans="1:12" x14ac:dyDescent="0.2">
      <c r="A737" s="1">
        <v>41976</v>
      </c>
      <c r="B737">
        <v>2</v>
      </c>
      <c r="C737" t="s">
        <v>11</v>
      </c>
      <c r="D737">
        <v>1.5339E-2</v>
      </c>
      <c r="E737">
        <f t="shared" si="22"/>
        <v>1.015339</v>
      </c>
      <c r="F737" s="1">
        <f t="shared" si="23"/>
        <v>41974</v>
      </c>
      <c r="G737" cm="1">
        <f t="array" ref="G737">PRODUCT( _xlfn._xlws.FILTER($E:$E, ($C:$C=C737)*($F:$F=F737)) ) - 1</f>
        <v>-4.4565467089143662E-2</v>
      </c>
      <c r="J737" t="str">
        <v>RY</v>
      </c>
      <c r="K737" s="1">
        <v>42394</v>
      </c>
      <c r="L737">
        <v>4.6293853612384694E-2</v>
      </c>
    </row>
    <row r="738" spans="1:12" x14ac:dyDescent="0.2">
      <c r="A738" s="1">
        <v>41977</v>
      </c>
      <c r="B738">
        <v>2</v>
      </c>
      <c r="C738" t="s">
        <v>11</v>
      </c>
      <c r="D738">
        <v>-2.3290999999999999E-2</v>
      </c>
      <c r="E738">
        <f t="shared" si="22"/>
        <v>0.97670900000000005</v>
      </c>
      <c r="F738" s="1">
        <f t="shared" si="23"/>
        <v>41974</v>
      </c>
      <c r="G738" cm="1">
        <f t="array" ref="G738">PRODUCT( _xlfn._xlws.FILTER($E:$E, ($C:$C=C738)*($F:$F=F738)) ) - 1</f>
        <v>-4.4565467089143662E-2</v>
      </c>
      <c r="J738" t="str">
        <v>RY</v>
      </c>
      <c r="K738" s="1">
        <v>42401</v>
      </c>
      <c r="L738">
        <v>-1.9434567412794035E-2</v>
      </c>
    </row>
    <row r="739" spans="1:12" x14ac:dyDescent="0.2">
      <c r="A739" s="1">
        <v>41978</v>
      </c>
      <c r="B739">
        <v>2</v>
      </c>
      <c r="C739" t="s">
        <v>11</v>
      </c>
      <c r="D739">
        <v>3.8699999999999997E-4</v>
      </c>
      <c r="E739">
        <f t="shared" si="22"/>
        <v>1.0003869999999999</v>
      </c>
      <c r="F739" s="1">
        <f t="shared" si="23"/>
        <v>41974</v>
      </c>
      <c r="G739" cm="1">
        <f t="array" ref="G739">PRODUCT( _xlfn._xlws.FILTER($E:$E, ($C:$C=C739)*($F:$F=F739)) ) - 1</f>
        <v>-4.4565467089143662E-2</v>
      </c>
      <c r="J739" t="str">
        <v>RY</v>
      </c>
      <c r="K739" s="1">
        <v>42408</v>
      </c>
      <c r="L739">
        <v>-4.4419997123457788E-2</v>
      </c>
    </row>
    <row r="740" spans="1:12" x14ac:dyDescent="0.2">
      <c r="A740" s="1">
        <v>41981</v>
      </c>
      <c r="B740">
        <v>2</v>
      </c>
      <c r="C740" t="s">
        <v>11</v>
      </c>
      <c r="D740">
        <v>-1.3787000000000001E-2</v>
      </c>
      <c r="E740">
        <f t="shared" si="22"/>
        <v>0.98621300000000001</v>
      </c>
      <c r="F740" s="1">
        <f t="shared" si="23"/>
        <v>41981</v>
      </c>
      <c r="G740" cm="1">
        <f t="array" ref="G740">PRODUCT( _xlfn._xlws.FILTER($E:$E, ($C:$C=C740)*($F:$F=F740)) ) - 1</f>
        <v>-4.7785592234473317E-2</v>
      </c>
      <c r="J740" t="str">
        <v>RY</v>
      </c>
      <c r="K740" s="1">
        <v>42415</v>
      </c>
      <c r="L740">
        <v>4.8544741267084079E-2</v>
      </c>
    </row>
    <row r="741" spans="1:12" x14ac:dyDescent="0.2">
      <c r="A741" s="1">
        <v>41982</v>
      </c>
      <c r="B741">
        <v>2</v>
      </c>
      <c r="C741" t="s">
        <v>11</v>
      </c>
      <c r="D741">
        <v>6.5539999999999999E-3</v>
      </c>
      <c r="E741">
        <f t="shared" si="22"/>
        <v>1.0065539999999999</v>
      </c>
      <c r="F741" s="1">
        <f t="shared" si="23"/>
        <v>41981</v>
      </c>
      <c r="G741" cm="1">
        <f t="array" ref="G741">PRODUCT( _xlfn._xlws.FILTER($E:$E, ($C:$C=C741)*($F:$F=F741)) ) - 1</f>
        <v>-4.7785592234473317E-2</v>
      </c>
      <c r="J741" t="str">
        <v>RY</v>
      </c>
      <c r="K741" s="1">
        <v>42422</v>
      </c>
      <c r="L741">
        <v>-4.1946671323119578E-2</v>
      </c>
    </row>
    <row r="742" spans="1:12" x14ac:dyDescent="0.2">
      <c r="A742" s="1">
        <v>41983</v>
      </c>
      <c r="B742">
        <v>2</v>
      </c>
      <c r="C742" t="s">
        <v>11</v>
      </c>
      <c r="D742">
        <v>-4.1280999999999998E-2</v>
      </c>
      <c r="E742">
        <f t="shared" si="22"/>
        <v>0.95871899999999999</v>
      </c>
      <c r="F742" s="1">
        <f t="shared" si="23"/>
        <v>41981</v>
      </c>
      <c r="G742" cm="1">
        <f t="array" ref="G742">PRODUCT( _xlfn._xlws.FILTER($E:$E, ($C:$C=C742)*($F:$F=F742)) ) - 1</f>
        <v>-4.7785592234473317E-2</v>
      </c>
      <c r="J742" t="str">
        <v>RY</v>
      </c>
      <c r="K742" s="1">
        <v>42429</v>
      </c>
      <c r="L742">
        <v>4.5248046268971054E-2</v>
      </c>
    </row>
    <row r="743" spans="1:12" x14ac:dyDescent="0.2">
      <c r="A743" s="1">
        <v>41984</v>
      </c>
      <c r="B743">
        <v>2</v>
      </c>
      <c r="C743" t="s">
        <v>11</v>
      </c>
      <c r="D743">
        <v>7.8779999999999996E-3</v>
      </c>
      <c r="E743">
        <f t="shared" si="22"/>
        <v>1.0078780000000001</v>
      </c>
      <c r="F743" s="1">
        <f t="shared" si="23"/>
        <v>41981</v>
      </c>
      <c r="G743" cm="1">
        <f t="array" ref="G743">PRODUCT( _xlfn._xlws.FILTER($E:$E, ($C:$C=C743)*($F:$F=F743)) ) - 1</f>
        <v>-4.7785592234473317E-2</v>
      </c>
      <c r="J743" t="str">
        <v>RY</v>
      </c>
      <c r="K743" s="1">
        <v>42436</v>
      </c>
      <c r="L743">
        <v>4.020677627904834E-2</v>
      </c>
    </row>
    <row r="744" spans="1:12" x14ac:dyDescent="0.2">
      <c r="A744" s="1">
        <v>41985</v>
      </c>
      <c r="B744">
        <v>2</v>
      </c>
      <c r="C744" t="s">
        <v>11</v>
      </c>
      <c r="D744">
        <v>-7.2779999999999997E-3</v>
      </c>
      <c r="E744">
        <f t="shared" si="22"/>
        <v>0.99272199999999999</v>
      </c>
      <c r="F744" s="1">
        <f t="shared" si="23"/>
        <v>41981</v>
      </c>
      <c r="G744" cm="1">
        <f t="array" ref="G744">PRODUCT( _xlfn._xlws.FILTER($E:$E, ($C:$C=C744)*($F:$F=F744)) ) - 1</f>
        <v>-4.7785592234473317E-2</v>
      </c>
      <c r="J744" t="str">
        <v>RY</v>
      </c>
      <c r="K744" s="1">
        <v>42443</v>
      </c>
      <c r="L744">
        <v>1.3064126679732224E-2</v>
      </c>
    </row>
    <row r="745" spans="1:12" x14ac:dyDescent="0.2">
      <c r="A745" s="1">
        <v>41988</v>
      </c>
      <c r="B745">
        <v>2</v>
      </c>
      <c r="C745" t="s">
        <v>11</v>
      </c>
      <c r="D745">
        <v>1.2083E-2</v>
      </c>
      <c r="E745">
        <f t="shared" si="22"/>
        <v>1.0120830000000001</v>
      </c>
      <c r="F745" s="1">
        <f t="shared" si="23"/>
        <v>41988</v>
      </c>
      <c r="G745" cm="1">
        <f t="array" ref="G745">PRODUCT( _xlfn._xlws.FILTER($E:$E, ($C:$C=C745)*($F:$F=F745)) ) - 1</f>
        <v>5.1045621593656998E-2</v>
      </c>
      <c r="J745" t="str">
        <v>RY</v>
      </c>
      <c r="K745" s="1">
        <v>42450</v>
      </c>
      <c r="L745">
        <v>-1.6618632984086279E-2</v>
      </c>
    </row>
    <row r="746" spans="1:12" x14ac:dyDescent="0.2">
      <c r="A746" s="1">
        <v>41989</v>
      </c>
      <c r="B746">
        <v>2</v>
      </c>
      <c r="C746" t="s">
        <v>11</v>
      </c>
      <c r="D746">
        <v>2.7363999999999999E-2</v>
      </c>
      <c r="E746">
        <f t="shared" si="22"/>
        <v>1.0273639999999999</v>
      </c>
      <c r="F746" s="1">
        <f t="shared" si="23"/>
        <v>41988</v>
      </c>
      <c r="G746" cm="1">
        <f t="array" ref="G746">PRODUCT( _xlfn._xlws.FILTER($E:$E, ($C:$C=C746)*($F:$F=F746)) ) - 1</f>
        <v>5.1045621593656998E-2</v>
      </c>
      <c r="J746" t="str">
        <v>RY</v>
      </c>
      <c r="K746" s="1">
        <v>42457</v>
      </c>
      <c r="L746">
        <v>1.5276130461727933E-2</v>
      </c>
    </row>
    <row r="747" spans="1:12" x14ac:dyDescent="0.2">
      <c r="A747" s="1">
        <v>41990</v>
      </c>
      <c r="B747">
        <v>2</v>
      </c>
      <c r="C747" t="s">
        <v>11</v>
      </c>
      <c r="D747">
        <v>2.0499E-2</v>
      </c>
      <c r="E747">
        <f t="shared" si="22"/>
        <v>1.020499</v>
      </c>
      <c r="F747" s="1">
        <f t="shared" si="23"/>
        <v>41988</v>
      </c>
      <c r="G747" cm="1">
        <f t="array" ref="G747">PRODUCT( _xlfn._xlws.FILTER($E:$E, ($C:$C=C747)*($F:$F=F747)) ) - 1</f>
        <v>5.1045621593656998E-2</v>
      </c>
      <c r="J747" t="str">
        <v>RY</v>
      </c>
      <c r="K747" s="1">
        <v>42464</v>
      </c>
      <c r="L747">
        <v>-3.8616232784346449E-3</v>
      </c>
    </row>
    <row r="748" spans="1:12" x14ac:dyDescent="0.2">
      <c r="A748" s="1">
        <v>41991</v>
      </c>
      <c r="B748">
        <v>2</v>
      </c>
      <c r="C748" t="s">
        <v>11</v>
      </c>
      <c r="D748">
        <v>0</v>
      </c>
      <c r="E748">
        <f t="shared" si="22"/>
        <v>1</v>
      </c>
      <c r="F748" s="1">
        <f t="shared" si="23"/>
        <v>41988</v>
      </c>
      <c r="G748" cm="1">
        <f t="array" ref="G748">PRODUCT( _xlfn._xlws.FILTER($E:$E, ($C:$C=C748)*($F:$F=F748)) ) - 1</f>
        <v>5.1045621593656998E-2</v>
      </c>
      <c r="J748" t="str">
        <v>RY</v>
      </c>
      <c r="K748" s="1">
        <v>42471</v>
      </c>
      <c r="L748">
        <v>3.6492301088037582E-2</v>
      </c>
    </row>
    <row r="749" spans="1:12" x14ac:dyDescent="0.2">
      <c r="A749" s="1">
        <v>41992</v>
      </c>
      <c r="B749">
        <v>2</v>
      </c>
      <c r="C749" t="s">
        <v>11</v>
      </c>
      <c r="D749">
        <v>-9.4680000000000007E-3</v>
      </c>
      <c r="E749">
        <f t="shared" si="22"/>
        <v>0.99053199999999997</v>
      </c>
      <c r="F749" s="1">
        <f t="shared" si="23"/>
        <v>41988</v>
      </c>
      <c r="G749" cm="1">
        <f t="array" ref="G749">PRODUCT( _xlfn._xlws.FILTER($E:$E, ($C:$C=C749)*($F:$F=F749)) ) - 1</f>
        <v>5.1045621593656998E-2</v>
      </c>
      <c r="J749" t="str">
        <v>RY</v>
      </c>
      <c r="K749" s="1">
        <v>42478</v>
      </c>
      <c r="L749">
        <v>1.0971546441921332E-2</v>
      </c>
    </row>
    <row r="750" spans="1:12" x14ac:dyDescent="0.2">
      <c r="A750" s="1">
        <v>41995</v>
      </c>
      <c r="B750">
        <v>2</v>
      </c>
      <c r="C750" t="s">
        <v>11</v>
      </c>
      <c r="D750">
        <v>1.6017E-2</v>
      </c>
      <c r="E750">
        <f t="shared" si="22"/>
        <v>1.0160169999999999</v>
      </c>
      <c r="F750" s="1">
        <f t="shared" si="23"/>
        <v>41995</v>
      </c>
      <c r="G750" cm="1">
        <f t="array" ref="G750">PRODUCT( _xlfn._xlws.FILTER($E:$E, ($C:$C=C750)*($F:$F=F750)) ) - 1</f>
        <v>3.1516125882020463E-2</v>
      </c>
      <c r="J750" t="str">
        <v>RY</v>
      </c>
      <c r="K750" s="1">
        <v>42485</v>
      </c>
      <c r="L750">
        <v>4.3828970382080445E-3</v>
      </c>
    </row>
    <row r="751" spans="1:12" x14ac:dyDescent="0.2">
      <c r="A751" s="1">
        <v>41996</v>
      </c>
      <c r="B751">
        <v>2</v>
      </c>
      <c r="C751" t="s">
        <v>11</v>
      </c>
      <c r="D751">
        <v>1.8179000000000001E-2</v>
      </c>
      <c r="E751">
        <f t="shared" si="22"/>
        <v>1.0181789999999999</v>
      </c>
      <c r="F751" s="1">
        <f t="shared" si="23"/>
        <v>41995</v>
      </c>
      <c r="G751" cm="1">
        <f t="array" ref="G751">PRODUCT( _xlfn._xlws.FILTER($E:$E, ($C:$C=C751)*($F:$F=F751)) ) - 1</f>
        <v>3.1516125882020463E-2</v>
      </c>
      <c r="J751" t="str">
        <v>RY</v>
      </c>
      <c r="K751" s="1">
        <v>42492</v>
      </c>
      <c r="L751">
        <v>-2.348609056316342E-2</v>
      </c>
    </row>
    <row r="752" spans="1:12" x14ac:dyDescent="0.2">
      <c r="A752" s="1">
        <v>41997</v>
      </c>
      <c r="B752">
        <v>2</v>
      </c>
      <c r="C752" t="s">
        <v>11</v>
      </c>
      <c r="D752">
        <v>-2.872E-3</v>
      </c>
      <c r="E752">
        <f t="shared" si="22"/>
        <v>0.99712800000000001</v>
      </c>
      <c r="F752" s="1">
        <f t="shared" si="23"/>
        <v>41995</v>
      </c>
      <c r="G752" cm="1">
        <f t="array" ref="G752">PRODUCT( _xlfn._xlws.FILTER($E:$E, ($C:$C=C752)*($F:$F=F752)) ) - 1</f>
        <v>3.1516125882020463E-2</v>
      </c>
      <c r="J752" t="str">
        <v>RY</v>
      </c>
      <c r="K752" s="1">
        <v>42499</v>
      </c>
      <c r="L752">
        <v>9.5943049584319429E-3</v>
      </c>
    </row>
    <row r="753" spans="1:12" x14ac:dyDescent="0.2">
      <c r="A753" s="1">
        <v>42002</v>
      </c>
      <c r="B753">
        <v>2</v>
      </c>
      <c r="C753" t="s">
        <v>11</v>
      </c>
      <c r="D753">
        <v>9.5169999999999994E-3</v>
      </c>
      <c r="E753">
        <f t="shared" si="22"/>
        <v>1.009517</v>
      </c>
      <c r="F753" s="1">
        <f t="shared" si="23"/>
        <v>42002</v>
      </c>
      <c r="G753" cm="1">
        <f t="array" ref="G753">PRODUCT( _xlfn._xlws.FILTER($E:$E, ($C:$C=C753)*($F:$F=F753)) ) - 1</f>
        <v>4.6330881525880052E-3</v>
      </c>
      <c r="J753" t="str">
        <v>RY</v>
      </c>
      <c r="K753" s="1">
        <v>42506</v>
      </c>
      <c r="L753">
        <v>1.3407563032298286E-2</v>
      </c>
    </row>
    <row r="754" spans="1:12" x14ac:dyDescent="0.2">
      <c r="A754" s="1">
        <v>42003</v>
      </c>
      <c r="B754">
        <v>2</v>
      </c>
      <c r="C754" t="s">
        <v>11</v>
      </c>
      <c r="D754">
        <v>-4.2170000000000003E-3</v>
      </c>
      <c r="E754">
        <f t="shared" si="22"/>
        <v>0.99578299999999997</v>
      </c>
      <c r="F754" s="1">
        <f t="shared" si="23"/>
        <v>42002</v>
      </c>
      <c r="G754" cm="1">
        <f t="array" ref="G754">PRODUCT( _xlfn._xlws.FILTER($E:$E, ($C:$C=C754)*($F:$F=F754)) ) - 1</f>
        <v>4.6330881525880052E-3</v>
      </c>
      <c r="J754" t="str">
        <v>RY</v>
      </c>
      <c r="K754" s="1">
        <v>42513</v>
      </c>
      <c r="L754">
        <v>3.4682069446640096E-2</v>
      </c>
    </row>
    <row r="755" spans="1:12" x14ac:dyDescent="0.2">
      <c r="A755" s="1">
        <v>42004</v>
      </c>
      <c r="B755">
        <v>2</v>
      </c>
      <c r="C755" t="s">
        <v>11</v>
      </c>
      <c r="D755">
        <v>-3.2390000000000001E-3</v>
      </c>
      <c r="E755">
        <f t="shared" si="22"/>
        <v>0.99676100000000001</v>
      </c>
      <c r="F755" s="1">
        <f t="shared" si="23"/>
        <v>42002</v>
      </c>
      <c r="G755" cm="1">
        <f t="array" ref="G755">PRODUCT( _xlfn._xlws.FILTER($E:$E, ($C:$C=C755)*($F:$F=F755)) ) - 1</f>
        <v>4.6330881525880052E-3</v>
      </c>
      <c r="J755" t="str">
        <v>RY</v>
      </c>
      <c r="K755" s="1">
        <v>42520</v>
      </c>
      <c r="L755">
        <v>-1.6013735127774376E-2</v>
      </c>
    </row>
    <row r="756" spans="1:12" x14ac:dyDescent="0.2">
      <c r="A756" s="1">
        <v>42006</v>
      </c>
      <c r="B756">
        <v>2</v>
      </c>
      <c r="C756" t="s">
        <v>11</v>
      </c>
      <c r="D756">
        <v>2.624E-3</v>
      </c>
      <c r="E756">
        <f t="shared" si="22"/>
        <v>1.002624</v>
      </c>
      <c r="F756" s="1">
        <f t="shared" si="23"/>
        <v>42002</v>
      </c>
      <c r="G756" cm="1">
        <f t="array" ref="G756">PRODUCT( _xlfn._xlws.FILTER($E:$E, ($C:$C=C756)*($F:$F=F756)) ) - 1</f>
        <v>4.6330881525880052E-3</v>
      </c>
      <c r="J756" t="str">
        <v>RY</v>
      </c>
      <c r="K756" s="1">
        <v>42527</v>
      </c>
      <c r="L756">
        <v>-8.7054926852377923E-3</v>
      </c>
    </row>
    <row r="757" spans="1:12" x14ac:dyDescent="0.2">
      <c r="A757" s="1">
        <v>42009</v>
      </c>
      <c r="B757">
        <v>2</v>
      </c>
      <c r="C757" t="s">
        <v>11</v>
      </c>
      <c r="D757">
        <v>-3.1534E-2</v>
      </c>
      <c r="E757">
        <f t="shared" si="22"/>
        <v>0.96846600000000005</v>
      </c>
      <c r="F757" s="1">
        <f t="shared" si="23"/>
        <v>42009</v>
      </c>
      <c r="G757" cm="1">
        <f t="array" ref="G757">PRODUCT( _xlfn._xlws.FILTER($E:$E, ($C:$C=C757)*($F:$F=F757)) ) - 1</f>
        <v>-1.0594724381326359E-2</v>
      </c>
      <c r="J757" t="str">
        <v>RY</v>
      </c>
      <c r="K757" s="1">
        <v>42534</v>
      </c>
      <c r="L757">
        <v>-1.2346649035855917E-2</v>
      </c>
    </row>
    <row r="758" spans="1:12" x14ac:dyDescent="0.2">
      <c r="A758" s="1">
        <v>42010</v>
      </c>
      <c r="B758">
        <v>2</v>
      </c>
      <c r="C758" t="s">
        <v>11</v>
      </c>
      <c r="D758">
        <v>-7.4650000000000003E-3</v>
      </c>
      <c r="E758">
        <f t="shared" si="22"/>
        <v>0.99253499999999995</v>
      </c>
      <c r="F758" s="1">
        <f t="shared" si="23"/>
        <v>42009</v>
      </c>
      <c r="G758" cm="1">
        <f t="array" ref="G758">PRODUCT( _xlfn._xlws.FILTER($E:$E, ($C:$C=C758)*($F:$F=F758)) ) - 1</f>
        <v>-1.0594724381326359E-2</v>
      </c>
      <c r="J758" t="str">
        <v>RY</v>
      </c>
      <c r="K758" s="1">
        <v>42541</v>
      </c>
      <c r="L758">
        <v>-5.0256429085743237E-3</v>
      </c>
    </row>
    <row r="759" spans="1:12" x14ac:dyDescent="0.2">
      <c r="A759" s="1">
        <v>42011</v>
      </c>
      <c r="B759">
        <v>2</v>
      </c>
      <c r="C759" t="s">
        <v>11</v>
      </c>
      <c r="D759">
        <v>3.8899999999999998E-3</v>
      </c>
      <c r="E759">
        <f t="shared" si="22"/>
        <v>1.0038899999999999</v>
      </c>
      <c r="F759" s="1">
        <f t="shared" si="23"/>
        <v>42009</v>
      </c>
      <c r="G759" cm="1">
        <f t="array" ref="G759">PRODUCT( _xlfn._xlws.FILTER($E:$E, ($C:$C=C759)*($F:$F=F759)) ) - 1</f>
        <v>-1.0594724381326359E-2</v>
      </c>
      <c r="J759" t="str">
        <v>RY</v>
      </c>
      <c r="K759" s="1">
        <v>42548</v>
      </c>
      <c r="L759">
        <v>-1.1267457508186141E-2</v>
      </c>
    </row>
    <row r="760" spans="1:12" x14ac:dyDescent="0.2">
      <c r="A760" s="1">
        <v>42012</v>
      </c>
      <c r="B760">
        <v>2</v>
      </c>
      <c r="C760" t="s">
        <v>11</v>
      </c>
      <c r="D760">
        <v>3.0096000000000001E-2</v>
      </c>
      <c r="E760">
        <f t="shared" si="22"/>
        <v>1.0300959999999999</v>
      </c>
      <c r="F760" s="1">
        <f t="shared" si="23"/>
        <v>42009</v>
      </c>
      <c r="G760" cm="1">
        <f t="array" ref="G760">PRODUCT( _xlfn._xlws.FILTER($E:$E, ($C:$C=C760)*($F:$F=F760)) ) - 1</f>
        <v>-1.0594724381326359E-2</v>
      </c>
      <c r="J760" t="str">
        <v>RY</v>
      </c>
      <c r="K760" s="1">
        <v>42555</v>
      </c>
      <c r="L760">
        <v>1.3230161856962352E-2</v>
      </c>
    </row>
    <row r="761" spans="1:12" x14ac:dyDescent="0.2">
      <c r="A761" s="1">
        <v>42013</v>
      </c>
      <c r="B761">
        <v>2</v>
      </c>
      <c r="C761" t="s">
        <v>11</v>
      </c>
      <c r="D761">
        <v>-4.64E-3</v>
      </c>
      <c r="E761">
        <f t="shared" si="22"/>
        <v>0.99536000000000002</v>
      </c>
      <c r="F761" s="1">
        <f t="shared" si="23"/>
        <v>42009</v>
      </c>
      <c r="G761" cm="1">
        <f t="array" ref="G761">PRODUCT( _xlfn._xlws.FILTER($E:$E, ($C:$C=C761)*($F:$F=F761)) ) - 1</f>
        <v>-1.0594724381326359E-2</v>
      </c>
      <c r="J761" t="str">
        <v>RY</v>
      </c>
      <c r="K761" s="1">
        <v>42562</v>
      </c>
      <c r="L761">
        <v>3.5551980589818566E-2</v>
      </c>
    </row>
    <row r="762" spans="1:12" x14ac:dyDescent="0.2">
      <c r="A762" s="1">
        <v>42016</v>
      </c>
      <c r="B762">
        <v>2</v>
      </c>
      <c r="C762" t="s">
        <v>11</v>
      </c>
      <c r="D762">
        <v>-4.9129999999999998E-3</v>
      </c>
      <c r="E762">
        <f t="shared" si="22"/>
        <v>0.99508700000000005</v>
      </c>
      <c r="F762" s="1">
        <f t="shared" si="23"/>
        <v>42016</v>
      </c>
      <c r="G762" cm="1">
        <f t="array" ref="G762">PRODUCT( _xlfn._xlws.FILTER($E:$E, ($C:$C=C762)*($F:$F=F762)) ) - 1</f>
        <v>5.1652526747452132E-3</v>
      </c>
      <c r="J762" t="str">
        <v>RY</v>
      </c>
      <c r="K762" s="1">
        <v>42569</v>
      </c>
      <c r="L762">
        <v>3.869193719977515E-3</v>
      </c>
    </row>
    <row r="763" spans="1:12" x14ac:dyDescent="0.2">
      <c r="A763" s="1">
        <v>42017</v>
      </c>
      <c r="B763">
        <v>2</v>
      </c>
      <c r="C763" t="s">
        <v>11</v>
      </c>
      <c r="D763">
        <v>-8.7349999999999997E-3</v>
      </c>
      <c r="E763">
        <f t="shared" si="22"/>
        <v>0.99126499999999995</v>
      </c>
      <c r="F763" s="1">
        <f t="shared" si="23"/>
        <v>42016</v>
      </c>
      <c r="G763" cm="1">
        <f t="array" ref="G763">PRODUCT( _xlfn._xlws.FILTER($E:$E, ($C:$C=C763)*($F:$F=F763)) ) - 1</f>
        <v>5.1652526747452132E-3</v>
      </c>
      <c r="J763" t="str">
        <v>RY</v>
      </c>
      <c r="K763" s="1">
        <v>42576</v>
      </c>
      <c r="L763">
        <v>-1.270516006716127E-4</v>
      </c>
    </row>
    <row r="764" spans="1:12" x14ac:dyDescent="0.2">
      <c r="A764" s="1">
        <v>42018</v>
      </c>
      <c r="B764">
        <v>2</v>
      </c>
      <c r="C764" t="s">
        <v>11</v>
      </c>
      <c r="D764">
        <v>3.8299999999999999E-4</v>
      </c>
      <c r="E764">
        <f t="shared" si="22"/>
        <v>1.000383</v>
      </c>
      <c r="F764" s="1">
        <f t="shared" si="23"/>
        <v>42016</v>
      </c>
      <c r="G764" cm="1">
        <f t="array" ref="G764">PRODUCT( _xlfn._xlws.FILTER($E:$E, ($C:$C=C764)*($F:$F=F764)) ) - 1</f>
        <v>5.1652526747452132E-3</v>
      </c>
      <c r="J764" t="str">
        <v>RY</v>
      </c>
      <c r="K764" s="1">
        <v>42583</v>
      </c>
      <c r="L764">
        <v>-1.6331790244596966E-3</v>
      </c>
    </row>
    <row r="765" spans="1:12" x14ac:dyDescent="0.2">
      <c r="A765" s="1">
        <v>42019</v>
      </c>
      <c r="B765">
        <v>2</v>
      </c>
      <c r="C765" t="s">
        <v>11</v>
      </c>
      <c r="D765">
        <v>3.702E-3</v>
      </c>
      <c r="E765">
        <f t="shared" si="22"/>
        <v>1.0037020000000001</v>
      </c>
      <c r="F765" s="1">
        <f t="shared" si="23"/>
        <v>42016</v>
      </c>
      <c r="G765" cm="1">
        <f t="array" ref="G765">PRODUCT( _xlfn._xlws.FILTER($E:$E, ($C:$C=C765)*($F:$F=F765)) ) - 1</f>
        <v>5.1652526747452132E-3</v>
      </c>
      <c r="J765" t="str">
        <v>RY</v>
      </c>
      <c r="K765" s="1">
        <v>42590</v>
      </c>
      <c r="L765">
        <v>8.6832227390365446E-3</v>
      </c>
    </row>
    <row r="766" spans="1:12" x14ac:dyDescent="0.2">
      <c r="A766" s="1">
        <v>42020</v>
      </c>
      <c r="B766">
        <v>2</v>
      </c>
      <c r="C766" t="s">
        <v>11</v>
      </c>
      <c r="D766">
        <v>1.4881999999999999E-2</v>
      </c>
      <c r="E766">
        <f t="shared" si="22"/>
        <v>1.0148820000000001</v>
      </c>
      <c r="F766" s="1">
        <f t="shared" si="23"/>
        <v>42016</v>
      </c>
      <c r="G766" cm="1">
        <f t="array" ref="G766">PRODUCT( _xlfn._xlws.FILTER($E:$E, ($C:$C=C766)*($F:$F=F766)) ) - 1</f>
        <v>5.1652526747452132E-3</v>
      </c>
      <c r="J766" t="str">
        <v>RY</v>
      </c>
      <c r="K766" s="1">
        <v>42597</v>
      </c>
      <c r="L766">
        <v>1.0106371985720841E-2</v>
      </c>
    </row>
    <row r="767" spans="1:12" x14ac:dyDescent="0.2">
      <c r="A767" s="1">
        <v>42023</v>
      </c>
      <c r="B767">
        <v>2</v>
      </c>
      <c r="C767" t="s">
        <v>11</v>
      </c>
      <c r="D767">
        <v>8.1460000000000005E-3</v>
      </c>
      <c r="E767">
        <f t="shared" si="22"/>
        <v>1.008146</v>
      </c>
      <c r="F767" s="1">
        <f t="shared" si="23"/>
        <v>42023</v>
      </c>
      <c r="G767" cm="1">
        <f t="array" ref="G767">PRODUCT( _xlfn._xlws.FILTER($E:$E, ($C:$C=C767)*($F:$F=F767)) ) - 1</f>
        <v>5.8780046172023592E-2</v>
      </c>
      <c r="J767" t="str">
        <v>RY</v>
      </c>
      <c r="K767" s="1">
        <v>42604</v>
      </c>
      <c r="L767">
        <v>7.163886282907983E-3</v>
      </c>
    </row>
    <row r="768" spans="1:12" x14ac:dyDescent="0.2">
      <c r="A768" s="1">
        <v>42024</v>
      </c>
      <c r="B768">
        <v>2</v>
      </c>
      <c r="C768" t="s">
        <v>11</v>
      </c>
      <c r="D768">
        <v>6.5890000000000002E-3</v>
      </c>
      <c r="E768">
        <f t="shared" si="22"/>
        <v>1.006589</v>
      </c>
      <c r="F768" s="1">
        <f t="shared" si="23"/>
        <v>42023</v>
      </c>
      <c r="G768" cm="1">
        <f t="array" ref="G768">PRODUCT( _xlfn._xlws.FILTER($E:$E, ($C:$C=C768)*($F:$F=F768)) ) - 1</f>
        <v>5.8780046172023592E-2</v>
      </c>
      <c r="J768" t="str">
        <v>RY</v>
      </c>
      <c r="K768" s="1">
        <v>42611</v>
      </c>
      <c r="L768">
        <v>-4.9186155825065025E-4</v>
      </c>
    </row>
    <row r="769" spans="1:12" x14ac:dyDescent="0.2">
      <c r="A769" s="1">
        <v>42025</v>
      </c>
      <c r="B769">
        <v>2</v>
      </c>
      <c r="C769" t="s">
        <v>11</v>
      </c>
      <c r="D769">
        <v>2.5936000000000001E-2</v>
      </c>
      <c r="E769">
        <f t="shared" si="22"/>
        <v>1.025936</v>
      </c>
      <c r="F769" s="1">
        <f t="shared" si="23"/>
        <v>42023</v>
      </c>
      <c r="G769" cm="1">
        <f t="array" ref="G769">PRODUCT( _xlfn._xlws.FILTER($E:$E, ($C:$C=C769)*($F:$F=F769)) ) - 1</f>
        <v>5.8780046172023592E-2</v>
      </c>
      <c r="J769" t="str">
        <v>RY</v>
      </c>
      <c r="K769" s="1">
        <v>42618</v>
      </c>
      <c r="L769">
        <v>-9.569877488805445E-3</v>
      </c>
    </row>
    <row r="770" spans="1:12" x14ac:dyDescent="0.2">
      <c r="A770" s="1">
        <v>42026</v>
      </c>
      <c r="B770">
        <v>2</v>
      </c>
      <c r="C770" t="s">
        <v>11</v>
      </c>
      <c r="D770">
        <v>3.9244000000000001E-2</v>
      </c>
      <c r="E770">
        <f t="shared" si="22"/>
        <v>1.0392440000000001</v>
      </c>
      <c r="F770" s="1">
        <f t="shared" si="23"/>
        <v>42023</v>
      </c>
      <c r="G770" cm="1">
        <f t="array" ref="G770">PRODUCT( _xlfn._xlws.FILTER($E:$E, ($C:$C=C770)*($F:$F=F770)) ) - 1</f>
        <v>5.8780046172023592E-2</v>
      </c>
      <c r="J770" t="str">
        <v>RY</v>
      </c>
      <c r="K770" s="1">
        <v>42625</v>
      </c>
      <c r="L770">
        <v>4.9503788236382462E-4</v>
      </c>
    </row>
    <row r="771" spans="1:12" x14ac:dyDescent="0.2">
      <c r="A771" s="1">
        <v>42027</v>
      </c>
      <c r="B771">
        <v>2</v>
      </c>
      <c r="C771" t="s">
        <v>11</v>
      </c>
      <c r="D771">
        <v>-2.1429E-2</v>
      </c>
      <c r="E771">
        <f t="shared" si="22"/>
        <v>0.97857099999999997</v>
      </c>
      <c r="F771" s="1">
        <f t="shared" si="23"/>
        <v>42023</v>
      </c>
      <c r="G771" cm="1">
        <f t="array" ref="G771">PRODUCT( _xlfn._xlws.FILTER($E:$E, ($C:$C=C771)*($F:$F=F771)) ) - 1</f>
        <v>5.8780046172023592E-2</v>
      </c>
      <c r="J771" t="str">
        <v>RY</v>
      </c>
      <c r="K771" s="1">
        <v>42632</v>
      </c>
      <c r="L771">
        <v>7.925140949966325E-3</v>
      </c>
    </row>
    <row r="772" spans="1:12" x14ac:dyDescent="0.2">
      <c r="A772" s="1">
        <v>42030</v>
      </c>
      <c r="B772">
        <v>2</v>
      </c>
      <c r="C772" t="s">
        <v>11</v>
      </c>
      <c r="D772">
        <v>1.1364000000000001E-2</v>
      </c>
      <c r="E772">
        <f t="shared" ref="E772:E835" si="24">D772+1</f>
        <v>1.0113639999999999</v>
      </c>
      <c r="F772" s="1">
        <f t="shared" ref="F772:F835" si="25">A772 - (WEEKDAY(A772, 2) - 1)</f>
        <v>42030</v>
      </c>
      <c r="G772" cm="1">
        <f t="array" ref="G772">PRODUCT( _xlfn._xlws.FILTER($E:$E, ($C:$C=C772)*($F:$F=F772)) ) - 1</f>
        <v>-8.9961479038056513E-3</v>
      </c>
      <c r="J772" t="str">
        <v>RY</v>
      </c>
      <c r="K772" s="1">
        <v>42639</v>
      </c>
      <c r="L772">
        <v>-1.7192213578760551E-3</v>
      </c>
    </row>
    <row r="773" spans="1:12" x14ac:dyDescent="0.2">
      <c r="A773" s="1">
        <v>42031</v>
      </c>
      <c r="B773">
        <v>2</v>
      </c>
      <c r="C773" t="s">
        <v>11</v>
      </c>
      <c r="D773">
        <v>-3.277E-3</v>
      </c>
      <c r="E773">
        <f t="shared" si="24"/>
        <v>0.99672300000000003</v>
      </c>
      <c r="F773" s="1">
        <f t="shared" si="25"/>
        <v>42030</v>
      </c>
      <c r="G773" cm="1">
        <f t="array" ref="G773">PRODUCT( _xlfn._xlws.FILTER($E:$E, ($C:$C=C773)*($F:$F=F773)) ) - 1</f>
        <v>-8.9961479038056513E-3</v>
      </c>
      <c r="J773" t="str">
        <v>RY</v>
      </c>
      <c r="K773" s="1">
        <v>42646</v>
      </c>
      <c r="L773">
        <v>7.8765225577623887E-3</v>
      </c>
    </row>
    <row r="774" spans="1:12" x14ac:dyDescent="0.2">
      <c r="A774" s="1">
        <v>42032</v>
      </c>
      <c r="B774">
        <v>2</v>
      </c>
      <c r="C774" t="s">
        <v>11</v>
      </c>
      <c r="D774">
        <v>-1.3269E-2</v>
      </c>
      <c r="E774">
        <f t="shared" si="24"/>
        <v>0.98673100000000002</v>
      </c>
      <c r="F774" s="1">
        <f t="shared" si="25"/>
        <v>42030</v>
      </c>
      <c r="G774" cm="1">
        <f t="array" ref="G774">PRODUCT( _xlfn._xlws.FILTER($E:$E, ($C:$C=C774)*($F:$F=F774)) ) - 1</f>
        <v>-8.9961479038056513E-3</v>
      </c>
      <c r="J774" t="str">
        <v>RY</v>
      </c>
      <c r="K774" s="1">
        <v>42653</v>
      </c>
      <c r="L774">
        <v>8.6681567646618163E-3</v>
      </c>
    </row>
    <row r="775" spans="1:12" x14ac:dyDescent="0.2">
      <c r="A775" s="1">
        <v>42033</v>
      </c>
      <c r="B775">
        <v>2</v>
      </c>
      <c r="C775" t="s">
        <v>11</v>
      </c>
      <c r="D775">
        <v>6.1879999999999999E-3</v>
      </c>
      <c r="E775">
        <f t="shared" si="24"/>
        <v>1.0061880000000001</v>
      </c>
      <c r="F775" s="1">
        <f t="shared" si="25"/>
        <v>42030</v>
      </c>
      <c r="G775" cm="1">
        <f t="array" ref="G775">PRODUCT( _xlfn._xlws.FILTER($E:$E, ($C:$C=C775)*($F:$F=F775)) ) - 1</f>
        <v>-8.9961479038056513E-3</v>
      </c>
      <c r="J775" t="str">
        <v>RY</v>
      </c>
      <c r="K775" s="1">
        <v>42660</v>
      </c>
      <c r="L775">
        <v>2.2877685182125518E-2</v>
      </c>
    </row>
    <row r="776" spans="1:12" x14ac:dyDescent="0.2">
      <c r="A776" s="1">
        <v>42034</v>
      </c>
      <c r="B776">
        <v>2</v>
      </c>
      <c r="C776" t="s">
        <v>11</v>
      </c>
      <c r="D776">
        <v>-9.8169999999999993E-3</v>
      </c>
      <c r="E776">
        <f t="shared" si="24"/>
        <v>0.99018300000000004</v>
      </c>
      <c r="F776" s="1">
        <f t="shared" si="25"/>
        <v>42030</v>
      </c>
      <c r="G776" cm="1">
        <f t="array" ref="G776">PRODUCT( _xlfn._xlws.FILTER($E:$E, ($C:$C=C776)*($F:$F=F776)) ) - 1</f>
        <v>-8.9961479038056513E-3</v>
      </c>
      <c r="J776" t="str">
        <v>RY</v>
      </c>
      <c r="K776" s="1">
        <v>42667</v>
      </c>
      <c r="L776">
        <v>5.8245300150727708E-4</v>
      </c>
    </row>
    <row r="777" spans="1:12" x14ac:dyDescent="0.2">
      <c r="A777" s="1">
        <v>42037</v>
      </c>
      <c r="B777">
        <v>2</v>
      </c>
      <c r="C777" t="s">
        <v>11</v>
      </c>
      <c r="D777">
        <v>1.4095E-2</v>
      </c>
      <c r="E777">
        <f t="shared" si="24"/>
        <v>1.014095</v>
      </c>
      <c r="F777" s="1">
        <f t="shared" si="25"/>
        <v>42037</v>
      </c>
      <c r="G777" cm="1">
        <f t="array" ref="G777">PRODUCT( _xlfn._xlws.FILTER($E:$E, ($C:$C=C777)*($F:$F=F777)) ) - 1</f>
        <v>4.0731110449051977E-2</v>
      </c>
      <c r="J777" t="str">
        <v>RY</v>
      </c>
      <c r="K777" s="1">
        <v>42674</v>
      </c>
      <c r="L777">
        <v>-1.9827654862517474E-2</v>
      </c>
    </row>
    <row r="778" spans="1:12" x14ac:dyDescent="0.2">
      <c r="A778" s="1">
        <v>42038</v>
      </c>
      <c r="B778">
        <v>2</v>
      </c>
      <c r="C778" t="s">
        <v>11</v>
      </c>
      <c r="D778">
        <v>1.0954E-2</v>
      </c>
      <c r="E778">
        <f t="shared" si="24"/>
        <v>1.0109539999999999</v>
      </c>
      <c r="F778" s="1">
        <f t="shared" si="25"/>
        <v>42037</v>
      </c>
      <c r="G778" cm="1">
        <f t="array" ref="G778">PRODUCT( _xlfn._xlws.FILTER($E:$E, ($C:$C=C778)*($F:$F=F778)) ) - 1</f>
        <v>4.0731110449051977E-2</v>
      </c>
      <c r="J778" t="str">
        <v>RY</v>
      </c>
      <c r="K778" s="1">
        <v>42681</v>
      </c>
      <c r="L778">
        <v>4.7771081031280138E-2</v>
      </c>
    </row>
    <row r="779" spans="1:12" x14ac:dyDescent="0.2">
      <c r="A779" s="1">
        <v>42039</v>
      </c>
      <c r="B779">
        <v>2</v>
      </c>
      <c r="C779" t="s">
        <v>11</v>
      </c>
      <c r="D779">
        <v>8.0389999999999993E-3</v>
      </c>
      <c r="E779">
        <f t="shared" si="24"/>
        <v>1.0080389999999999</v>
      </c>
      <c r="F779" s="1">
        <f t="shared" si="25"/>
        <v>42037</v>
      </c>
      <c r="G779" cm="1">
        <f t="array" ref="G779">PRODUCT( _xlfn._xlws.FILTER($E:$E, ($C:$C=C779)*($F:$F=F779)) ) - 1</f>
        <v>4.0731110449051977E-2</v>
      </c>
      <c r="J779" t="str">
        <v>RY</v>
      </c>
      <c r="K779" s="1">
        <v>42688</v>
      </c>
      <c r="L779">
        <v>1.5003328001310212E-2</v>
      </c>
    </row>
    <row r="780" spans="1:12" x14ac:dyDescent="0.2">
      <c r="A780" s="1">
        <v>42040</v>
      </c>
      <c r="B780">
        <v>2</v>
      </c>
      <c r="C780" t="s">
        <v>11</v>
      </c>
      <c r="D780">
        <v>6.7039999999999999E-3</v>
      </c>
      <c r="E780">
        <f t="shared" si="24"/>
        <v>1.006704</v>
      </c>
      <c r="F780" s="1">
        <f t="shared" si="25"/>
        <v>42037</v>
      </c>
      <c r="G780" cm="1">
        <f t="array" ref="G780">PRODUCT( _xlfn._xlws.FILTER($E:$E, ($C:$C=C780)*($F:$F=F780)) ) - 1</f>
        <v>4.0731110449051977E-2</v>
      </c>
      <c r="J780" t="str">
        <v>RY</v>
      </c>
      <c r="K780" s="1">
        <v>42695</v>
      </c>
      <c r="L780">
        <v>2.8188928043042516E-2</v>
      </c>
    </row>
    <row r="781" spans="1:12" x14ac:dyDescent="0.2">
      <c r="A781" s="1">
        <v>42041</v>
      </c>
      <c r="B781">
        <v>2</v>
      </c>
      <c r="C781" t="s">
        <v>11</v>
      </c>
      <c r="D781">
        <v>3.4400000000000001E-4</v>
      </c>
      <c r="E781">
        <f t="shared" si="24"/>
        <v>1.0003439999999999</v>
      </c>
      <c r="F781" s="1">
        <f t="shared" si="25"/>
        <v>42037</v>
      </c>
      <c r="G781" cm="1">
        <f t="array" ref="G781">PRODUCT( _xlfn._xlws.FILTER($E:$E, ($C:$C=C781)*($F:$F=F781)) ) - 1</f>
        <v>4.0731110449051977E-2</v>
      </c>
      <c r="J781" t="str">
        <v>RY</v>
      </c>
      <c r="K781" s="1">
        <v>42702</v>
      </c>
      <c r="L781">
        <v>-2.2290409449392312E-2</v>
      </c>
    </row>
    <row r="782" spans="1:12" x14ac:dyDescent="0.2">
      <c r="A782" s="1">
        <v>42044</v>
      </c>
      <c r="B782">
        <v>2</v>
      </c>
      <c r="C782" t="s">
        <v>11</v>
      </c>
      <c r="D782">
        <v>-6.8859999999999998E-3</v>
      </c>
      <c r="E782">
        <f t="shared" si="24"/>
        <v>0.99311400000000005</v>
      </c>
      <c r="F782" s="1">
        <f t="shared" si="25"/>
        <v>42044</v>
      </c>
      <c r="G782" cm="1">
        <f t="array" ref="G782">PRODUCT( _xlfn._xlws.FILTER($E:$E, ($C:$C=C782)*($F:$F=F782)) ) - 1</f>
        <v>1.8370458804317646E-3</v>
      </c>
      <c r="J782" t="str">
        <v>RY</v>
      </c>
      <c r="K782" s="1">
        <v>42709</v>
      </c>
      <c r="L782">
        <v>2.9293774052674859E-2</v>
      </c>
    </row>
    <row r="783" spans="1:12" x14ac:dyDescent="0.2">
      <c r="A783" s="1">
        <v>42045</v>
      </c>
      <c r="B783">
        <v>2</v>
      </c>
      <c r="C783" t="s">
        <v>11</v>
      </c>
      <c r="D783">
        <v>9.5919999999999998E-3</v>
      </c>
      <c r="E783">
        <f t="shared" si="24"/>
        <v>1.009592</v>
      </c>
      <c r="F783" s="1">
        <f t="shared" si="25"/>
        <v>42044</v>
      </c>
      <c r="G783" cm="1">
        <f t="array" ref="G783">PRODUCT( _xlfn._xlws.FILTER($E:$E, ($C:$C=C783)*($F:$F=F783)) ) - 1</f>
        <v>1.8370458804317646E-3</v>
      </c>
      <c r="J783" t="str">
        <v>RY</v>
      </c>
      <c r="K783" s="1">
        <v>42716</v>
      </c>
      <c r="L783">
        <v>1.4286549619746847E-2</v>
      </c>
    </row>
    <row r="784" spans="1:12" x14ac:dyDescent="0.2">
      <c r="A784" s="1">
        <v>42046</v>
      </c>
      <c r="B784">
        <v>2</v>
      </c>
      <c r="C784" t="s">
        <v>11</v>
      </c>
      <c r="D784">
        <v>3.5490000000000001E-3</v>
      </c>
      <c r="E784">
        <f t="shared" si="24"/>
        <v>1.003549</v>
      </c>
      <c r="F784" s="1">
        <f t="shared" si="25"/>
        <v>42044</v>
      </c>
      <c r="G784" cm="1">
        <f t="array" ref="G784">PRODUCT( _xlfn._xlws.FILTER($E:$E, ($C:$C=C784)*($F:$F=F784)) ) - 1</f>
        <v>1.8370458804317646E-3</v>
      </c>
      <c r="J784" t="str">
        <v>RY</v>
      </c>
      <c r="K784" s="1">
        <v>42723</v>
      </c>
      <c r="L784">
        <v>9.8252186081748683E-4</v>
      </c>
    </row>
    <row r="785" spans="1:12" x14ac:dyDescent="0.2">
      <c r="A785" s="1">
        <v>42047</v>
      </c>
      <c r="B785">
        <v>2</v>
      </c>
      <c r="C785" t="s">
        <v>11</v>
      </c>
      <c r="D785">
        <v>4.3340000000000002E-3</v>
      </c>
      <c r="E785">
        <f t="shared" si="24"/>
        <v>1.0043340000000001</v>
      </c>
      <c r="F785" s="1">
        <f t="shared" si="25"/>
        <v>42044</v>
      </c>
      <c r="G785" cm="1">
        <f t="array" ref="G785">PRODUCT( _xlfn._xlws.FILTER($E:$E, ($C:$C=C785)*($F:$F=F785)) ) - 1</f>
        <v>1.8370458804317646E-3</v>
      </c>
      <c r="J785" t="str">
        <v>RY</v>
      </c>
      <c r="K785" s="1">
        <v>42730</v>
      </c>
      <c r="L785">
        <v>-8.8341671123467469E-3</v>
      </c>
    </row>
    <row r="786" spans="1:12" x14ac:dyDescent="0.2">
      <c r="A786" s="1">
        <v>42048</v>
      </c>
      <c r="B786">
        <v>2</v>
      </c>
      <c r="C786" t="s">
        <v>11</v>
      </c>
      <c r="D786">
        <v>-8.6309999999999998E-3</v>
      </c>
      <c r="E786">
        <f t="shared" si="24"/>
        <v>0.99136899999999994</v>
      </c>
      <c r="F786" s="1">
        <f t="shared" si="25"/>
        <v>42044</v>
      </c>
      <c r="G786" cm="1">
        <f t="array" ref="G786">PRODUCT( _xlfn._xlws.FILTER($E:$E, ($C:$C=C786)*($F:$F=F786)) ) - 1</f>
        <v>1.8370458804317646E-3</v>
      </c>
      <c r="J786" t="str">
        <v>SU</v>
      </c>
      <c r="K786" s="1">
        <v>40910</v>
      </c>
      <c r="L786">
        <v>7.3860367073613764E-2</v>
      </c>
    </row>
    <row r="787" spans="1:12" x14ac:dyDescent="0.2">
      <c r="A787" s="1">
        <v>42052</v>
      </c>
      <c r="B787">
        <v>2</v>
      </c>
      <c r="C787" t="s">
        <v>11</v>
      </c>
      <c r="D787">
        <v>-1.031E-3</v>
      </c>
      <c r="E787">
        <f t="shared" si="24"/>
        <v>0.998969</v>
      </c>
      <c r="F787" s="1">
        <f t="shared" si="25"/>
        <v>42051</v>
      </c>
      <c r="G787" cm="1">
        <f t="array" ref="G787">PRODUCT( _xlfn._xlws.FILTER($E:$E, ($C:$C=C787)*($F:$F=F787)) ) - 1</f>
        <v>4.6965552462241433E-3</v>
      </c>
      <c r="J787" t="str">
        <v>SU</v>
      </c>
      <c r="K787" s="1">
        <v>40917</v>
      </c>
      <c r="L787">
        <v>3.4231234884093409E-2</v>
      </c>
    </row>
    <row r="788" spans="1:12" x14ac:dyDescent="0.2">
      <c r="A788" s="1">
        <v>42053</v>
      </c>
      <c r="B788">
        <v>2</v>
      </c>
      <c r="C788" t="s">
        <v>11</v>
      </c>
      <c r="D788">
        <v>1.0321E-2</v>
      </c>
      <c r="E788">
        <f t="shared" si="24"/>
        <v>1.010321</v>
      </c>
      <c r="F788" s="1">
        <f t="shared" si="25"/>
        <v>42051</v>
      </c>
      <c r="G788" cm="1">
        <f t="array" ref="G788">PRODUCT( _xlfn._xlws.FILTER($E:$E, ($C:$C=C788)*($F:$F=F788)) ) - 1</f>
        <v>4.6965552462241433E-3</v>
      </c>
      <c r="J788" t="str">
        <v>SU</v>
      </c>
      <c r="K788" s="1">
        <v>40924</v>
      </c>
      <c r="L788">
        <v>3.7081235251484435E-2</v>
      </c>
    </row>
    <row r="789" spans="1:12" x14ac:dyDescent="0.2">
      <c r="A789" s="1">
        <v>42054</v>
      </c>
      <c r="B789">
        <v>2</v>
      </c>
      <c r="C789" t="s">
        <v>11</v>
      </c>
      <c r="D789">
        <v>-4.8809999999999999E-3</v>
      </c>
      <c r="E789">
        <f t="shared" si="24"/>
        <v>0.99511899999999998</v>
      </c>
      <c r="F789" s="1">
        <f t="shared" si="25"/>
        <v>42051</v>
      </c>
      <c r="G789" cm="1">
        <f t="array" ref="G789">PRODUCT( _xlfn._xlws.FILTER($E:$E, ($C:$C=C789)*($F:$F=F789)) ) - 1</f>
        <v>4.6965552462241433E-3</v>
      </c>
      <c r="J789" t="str">
        <v>SU</v>
      </c>
      <c r="K789" s="1">
        <v>40931</v>
      </c>
      <c r="L789">
        <v>2.1276050014199521E-2</v>
      </c>
    </row>
    <row r="790" spans="1:12" x14ac:dyDescent="0.2">
      <c r="A790" s="1">
        <v>42055</v>
      </c>
      <c r="B790">
        <v>2</v>
      </c>
      <c r="C790" t="s">
        <v>11</v>
      </c>
      <c r="D790">
        <v>3.4200000000000002E-4</v>
      </c>
      <c r="E790">
        <f t="shared" si="24"/>
        <v>1.0003420000000001</v>
      </c>
      <c r="F790" s="1">
        <f t="shared" si="25"/>
        <v>42051</v>
      </c>
      <c r="G790" cm="1">
        <f t="array" ref="G790">PRODUCT( _xlfn._xlws.FILTER($E:$E, ($C:$C=C790)*($F:$F=F790)) ) - 1</f>
        <v>4.6965552462241433E-3</v>
      </c>
      <c r="J790" t="str">
        <v>SU</v>
      </c>
      <c r="K790" s="1">
        <v>40938</v>
      </c>
      <c r="L790">
        <v>9.8370883367728812E-3</v>
      </c>
    </row>
    <row r="791" spans="1:12" x14ac:dyDescent="0.2">
      <c r="A791" s="1">
        <v>42058</v>
      </c>
      <c r="B791">
        <v>2</v>
      </c>
      <c r="C791" t="s">
        <v>11</v>
      </c>
      <c r="D791">
        <v>-1.1174E-2</v>
      </c>
      <c r="E791">
        <f t="shared" si="24"/>
        <v>0.98882599999999998</v>
      </c>
      <c r="F791" s="1">
        <f t="shared" si="25"/>
        <v>42058</v>
      </c>
      <c r="G791" cm="1">
        <f t="array" ref="G791">PRODUCT( _xlfn._xlws.FILTER($E:$E, ($C:$C=C791)*($F:$F=F791)) ) - 1</f>
        <v>-1.539179985412098E-2</v>
      </c>
      <c r="J791" t="str">
        <v>SU</v>
      </c>
      <c r="K791" s="1">
        <v>40945</v>
      </c>
      <c r="L791">
        <v>-2.9513355972874411E-2</v>
      </c>
    </row>
    <row r="792" spans="1:12" x14ac:dyDescent="0.2">
      <c r="A792" s="1">
        <v>42059</v>
      </c>
      <c r="B792">
        <v>2</v>
      </c>
      <c r="C792" t="s">
        <v>11</v>
      </c>
      <c r="D792">
        <v>-1.4989999999999999E-3</v>
      </c>
      <c r="E792">
        <f t="shared" si="24"/>
        <v>0.99850099999999997</v>
      </c>
      <c r="F792" s="1">
        <f t="shared" si="25"/>
        <v>42058</v>
      </c>
      <c r="G792" cm="1">
        <f t="array" ref="G792">PRODUCT( _xlfn._xlws.FILTER($E:$E, ($C:$C=C792)*($F:$F=F792)) ) - 1</f>
        <v>-1.539179985412098E-2</v>
      </c>
      <c r="J792" t="str">
        <v>SU</v>
      </c>
      <c r="K792" s="1">
        <v>40952</v>
      </c>
      <c r="L792">
        <v>7.970577972352233E-3</v>
      </c>
    </row>
    <row r="793" spans="1:12" x14ac:dyDescent="0.2">
      <c r="A793" s="1">
        <v>42060</v>
      </c>
      <c r="B793">
        <v>2</v>
      </c>
      <c r="C793" t="s">
        <v>11</v>
      </c>
      <c r="D793">
        <v>-5.7700000000000004E-4</v>
      </c>
      <c r="E793">
        <f t="shared" si="24"/>
        <v>0.99942299999999995</v>
      </c>
      <c r="F793" s="1">
        <f t="shared" si="25"/>
        <v>42058</v>
      </c>
      <c r="G793" cm="1">
        <f t="array" ref="G793">PRODUCT( _xlfn._xlws.FILTER($E:$E, ($C:$C=C793)*($F:$F=F793)) ) - 1</f>
        <v>-1.539179985412098E-2</v>
      </c>
      <c r="J793" t="str">
        <v>SU</v>
      </c>
      <c r="K793" s="1">
        <v>40959</v>
      </c>
      <c r="L793">
        <v>8.2894740214888962E-2</v>
      </c>
    </row>
    <row r="794" spans="1:12" x14ac:dyDescent="0.2">
      <c r="A794" s="1">
        <v>42061</v>
      </c>
      <c r="B794">
        <v>2</v>
      </c>
      <c r="C794" t="s">
        <v>11</v>
      </c>
      <c r="D794">
        <v>3.4699999999999998E-4</v>
      </c>
      <c r="E794">
        <f t="shared" si="24"/>
        <v>1.0003470000000001</v>
      </c>
      <c r="F794" s="1">
        <f t="shared" si="25"/>
        <v>42058</v>
      </c>
      <c r="G794" cm="1">
        <f t="array" ref="G794">PRODUCT( _xlfn._xlws.FILTER($E:$E, ($C:$C=C794)*($F:$F=F794)) ) - 1</f>
        <v>-1.539179985412098E-2</v>
      </c>
      <c r="J794" t="str">
        <v>SU</v>
      </c>
      <c r="K794" s="1">
        <v>40966</v>
      </c>
      <c r="L794">
        <v>-3.8172235335052318E-2</v>
      </c>
    </row>
    <row r="795" spans="1:12" x14ac:dyDescent="0.2">
      <c r="A795" s="1">
        <v>42062</v>
      </c>
      <c r="B795">
        <v>2</v>
      </c>
      <c r="C795" t="s">
        <v>11</v>
      </c>
      <c r="D795">
        <v>-2.5409999999999999E-3</v>
      </c>
      <c r="E795">
        <f t="shared" si="24"/>
        <v>0.99745899999999998</v>
      </c>
      <c r="F795" s="1">
        <f t="shared" si="25"/>
        <v>42058</v>
      </c>
      <c r="G795" cm="1">
        <f t="array" ref="G795">PRODUCT( _xlfn._xlws.FILTER($E:$E, ($C:$C=C795)*($F:$F=F795)) ) - 1</f>
        <v>-1.539179985412098E-2</v>
      </c>
      <c r="J795" t="str">
        <v>SU</v>
      </c>
      <c r="K795" s="1">
        <v>40973</v>
      </c>
      <c r="L795">
        <v>-3.4132415797823334E-2</v>
      </c>
    </row>
    <row r="796" spans="1:12" x14ac:dyDescent="0.2">
      <c r="A796" s="1">
        <v>42065</v>
      </c>
      <c r="B796">
        <v>2</v>
      </c>
      <c r="C796" t="s">
        <v>11</v>
      </c>
      <c r="D796">
        <v>8.6859999999999993E-3</v>
      </c>
      <c r="E796">
        <f t="shared" si="24"/>
        <v>1.008686</v>
      </c>
      <c r="F796" s="1">
        <f t="shared" si="25"/>
        <v>42065</v>
      </c>
      <c r="G796" cm="1">
        <f t="array" ref="G796">PRODUCT( _xlfn._xlws.FILTER($E:$E, ($C:$C=C796)*($F:$F=F796)) ) - 1</f>
        <v>-4.3715685082494904E-3</v>
      </c>
      <c r="J796" t="str">
        <v>SU</v>
      </c>
      <c r="K796" s="1">
        <v>40980</v>
      </c>
      <c r="L796">
        <v>-3.8552375608615352E-2</v>
      </c>
    </row>
    <row r="797" spans="1:12" x14ac:dyDescent="0.2">
      <c r="A797" s="1">
        <v>42066</v>
      </c>
      <c r="B797">
        <v>2</v>
      </c>
      <c r="C797" t="s">
        <v>11</v>
      </c>
      <c r="D797">
        <v>-1.9977000000000002E-2</v>
      </c>
      <c r="E797">
        <f t="shared" si="24"/>
        <v>0.98002299999999998</v>
      </c>
      <c r="F797" s="1">
        <f t="shared" si="25"/>
        <v>42065</v>
      </c>
      <c r="G797" cm="1">
        <f t="array" ref="G797">PRODUCT( _xlfn._xlws.FILTER($E:$E, ($C:$C=C797)*($F:$F=F797)) ) - 1</f>
        <v>-4.3715685082494904E-3</v>
      </c>
      <c r="J797" t="str">
        <v>SU</v>
      </c>
      <c r="K797" s="1">
        <v>40987</v>
      </c>
      <c r="L797">
        <v>-3.6446071228440902E-3</v>
      </c>
    </row>
    <row r="798" spans="1:12" x14ac:dyDescent="0.2">
      <c r="A798" s="1">
        <v>42067</v>
      </c>
      <c r="B798">
        <v>2</v>
      </c>
      <c r="C798" t="s">
        <v>11</v>
      </c>
      <c r="D798">
        <v>2.6940000000000002E-3</v>
      </c>
      <c r="E798">
        <f t="shared" si="24"/>
        <v>1.002694</v>
      </c>
      <c r="F798" s="1">
        <f t="shared" si="25"/>
        <v>42065</v>
      </c>
      <c r="G798" cm="1">
        <f t="array" ref="G798">PRODUCT( _xlfn._xlws.FILTER($E:$E, ($C:$C=C798)*($F:$F=F798)) ) - 1</f>
        <v>-4.3715685082494904E-3</v>
      </c>
      <c r="J798" t="str">
        <v>SU</v>
      </c>
      <c r="K798" s="1">
        <v>40994</v>
      </c>
      <c r="L798">
        <v>-6.4013767569738311E-3</v>
      </c>
    </row>
    <row r="799" spans="1:12" x14ac:dyDescent="0.2">
      <c r="A799" s="1">
        <v>42068</v>
      </c>
      <c r="B799">
        <v>2</v>
      </c>
      <c r="C799" t="s">
        <v>11</v>
      </c>
      <c r="D799">
        <v>9.4640000000000002E-3</v>
      </c>
      <c r="E799">
        <f t="shared" si="24"/>
        <v>1.0094639999999999</v>
      </c>
      <c r="F799" s="1">
        <f t="shared" si="25"/>
        <v>42065</v>
      </c>
      <c r="G799" cm="1">
        <f t="array" ref="G799">PRODUCT( _xlfn._xlws.FILTER($E:$E, ($C:$C=C799)*($F:$F=F799)) ) - 1</f>
        <v>-4.3715685082494904E-3</v>
      </c>
      <c r="J799" t="str">
        <v>SU</v>
      </c>
      <c r="K799" s="1">
        <v>41001</v>
      </c>
      <c r="L799">
        <v>-6.5664909228089985E-2</v>
      </c>
    </row>
    <row r="800" spans="1:12" x14ac:dyDescent="0.2">
      <c r="A800" s="1">
        <v>42069</v>
      </c>
      <c r="B800">
        <v>2</v>
      </c>
      <c r="C800" t="s">
        <v>11</v>
      </c>
      <c r="D800">
        <v>-4.9480000000000001E-3</v>
      </c>
      <c r="E800">
        <f t="shared" si="24"/>
        <v>0.99505200000000005</v>
      </c>
      <c r="F800" s="1">
        <f t="shared" si="25"/>
        <v>42065</v>
      </c>
      <c r="G800" cm="1">
        <f t="array" ref="G800">PRODUCT( _xlfn._xlws.FILTER($E:$E, ($C:$C=C800)*($F:$F=F800)) ) - 1</f>
        <v>-4.3715685082494904E-3</v>
      </c>
      <c r="J800" t="str">
        <v>SU</v>
      </c>
      <c r="K800" s="1">
        <v>41008</v>
      </c>
      <c r="L800">
        <v>-2.1573849173783799E-7</v>
      </c>
    </row>
    <row r="801" spans="1:12" x14ac:dyDescent="0.2">
      <c r="A801" s="1">
        <v>42072</v>
      </c>
      <c r="B801">
        <v>2</v>
      </c>
      <c r="C801" t="s">
        <v>11</v>
      </c>
      <c r="D801">
        <v>-1.074E-2</v>
      </c>
      <c r="E801">
        <f t="shared" si="24"/>
        <v>0.98926000000000003</v>
      </c>
      <c r="F801" s="1">
        <f t="shared" si="25"/>
        <v>42072</v>
      </c>
      <c r="G801" cm="1">
        <f t="array" ref="G801">PRODUCT( _xlfn._xlws.FILTER($E:$E, ($C:$C=C801)*($F:$F=F801)) ) - 1</f>
        <v>8.2884293219991356E-3</v>
      </c>
      <c r="J801" t="str">
        <v>SU</v>
      </c>
      <c r="K801" s="1">
        <v>41015</v>
      </c>
      <c r="L801">
        <v>1.7733874667766436E-2</v>
      </c>
    </row>
    <row r="802" spans="1:12" x14ac:dyDescent="0.2">
      <c r="A802" s="1">
        <v>42073</v>
      </c>
      <c r="B802">
        <v>2</v>
      </c>
      <c r="C802" t="s">
        <v>11</v>
      </c>
      <c r="D802">
        <v>-1.4279E-2</v>
      </c>
      <c r="E802">
        <f t="shared" si="24"/>
        <v>0.98572099999999996</v>
      </c>
      <c r="F802" s="1">
        <f t="shared" si="25"/>
        <v>42072</v>
      </c>
      <c r="G802" cm="1">
        <f t="array" ref="G802">PRODUCT( _xlfn._xlws.FILTER($E:$E, ($C:$C=C802)*($F:$F=F802)) ) - 1</f>
        <v>8.2884293219991356E-3</v>
      </c>
      <c r="J802" t="str">
        <v>SU</v>
      </c>
      <c r="K802" s="1">
        <v>41022</v>
      </c>
      <c r="L802">
        <v>2.0975421649379822E-2</v>
      </c>
    </row>
    <row r="803" spans="1:12" x14ac:dyDescent="0.2">
      <c r="A803" s="1">
        <v>42074</v>
      </c>
      <c r="B803">
        <v>2</v>
      </c>
      <c r="C803" t="s">
        <v>11</v>
      </c>
      <c r="D803">
        <v>2.6338E-2</v>
      </c>
      <c r="E803">
        <f t="shared" si="24"/>
        <v>1.026338</v>
      </c>
      <c r="F803" s="1">
        <f t="shared" si="25"/>
        <v>42072</v>
      </c>
      <c r="G803" cm="1">
        <f t="array" ref="G803">PRODUCT( _xlfn._xlws.FILTER($E:$E, ($C:$C=C803)*($F:$F=F803)) ) - 1</f>
        <v>8.2884293219991356E-3</v>
      </c>
      <c r="J803" t="str">
        <v>SU</v>
      </c>
      <c r="K803" s="1">
        <v>41029</v>
      </c>
      <c r="L803">
        <v>-4.5828117771952837E-2</v>
      </c>
    </row>
    <row r="804" spans="1:12" x14ac:dyDescent="0.2">
      <c r="A804" s="1">
        <v>42075</v>
      </c>
      <c r="B804">
        <v>2</v>
      </c>
      <c r="C804" t="s">
        <v>11</v>
      </c>
      <c r="D804">
        <v>6.182E-3</v>
      </c>
      <c r="E804">
        <f t="shared" si="24"/>
        <v>1.0061819999999999</v>
      </c>
      <c r="F804" s="1">
        <f t="shared" si="25"/>
        <v>42072</v>
      </c>
      <c r="G804" cm="1">
        <f t="array" ref="G804">PRODUCT( _xlfn._xlws.FILTER($E:$E, ($C:$C=C804)*($F:$F=F804)) ) - 1</f>
        <v>8.2884293219991356E-3</v>
      </c>
      <c r="J804" t="str">
        <v>SU</v>
      </c>
      <c r="K804" s="1">
        <v>41036</v>
      </c>
      <c r="L804">
        <v>-4.7697831387544576E-2</v>
      </c>
    </row>
    <row r="805" spans="1:12" x14ac:dyDescent="0.2">
      <c r="A805" s="1">
        <v>42076</v>
      </c>
      <c r="B805">
        <v>2</v>
      </c>
      <c r="C805" t="s">
        <v>11</v>
      </c>
      <c r="D805">
        <v>1.2750000000000001E-3</v>
      </c>
      <c r="E805">
        <f t="shared" si="24"/>
        <v>1.0012749999999999</v>
      </c>
      <c r="F805" s="1">
        <f t="shared" si="25"/>
        <v>42072</v>
      </c>
      <c r="G805" cm="1">
        <f t="array" ref="G805">PRODUCT( _xlfn._xlws.FILTER($E:$E, ($C:$C=C805)*($F:$F=F805)) ) - 1</f>
        <v>8.2884293219991356E-3</v>
      </c>
      <c r="J805" t="str">
        <v>SU</v>
      </c>
      <c r="K805" s="1">
        <v>41043</v>
      </c>
      <c r="L805">
        <v>-4.6957381209131954E-2</v>
      </c>
    </row>
    <row r="806" spans="1:12" x14ac:dyDescent="0.2">
      <c r="A806" s="1">
        <v>42079</v>
      </c>
      <c r="B806">
        <v>2</v>
      </c>
      <c r="C806" t="s">
        <v>11</v>
      </c>
      <c r="D806">
        <v>1.7482999999999999E-2</v>
      </c>
      <c r="E806">
        <f t="shared" si="24"/>
        <v>1.0174829999999999</v>
      </c>
      <c r="F806" s="1">
        <f t="shared" si="25"/>
        <v>42079</v>
      </c>
      <c r="G806" cm="1">
        <f t="array" ref="G806">PRODUCT( _xlfn._xlws.FILTER($E:$E, ($C:$C=C806)*($F:$F=F806)) ) - 1</f>
        <v>-5.44128936754118E-3</v>
      </c>
      <c r="J806" t="str">
        <v>SU</v>
      </c>
      <c r="K806" s="1">
        <v>41050</v>
      </c>
      <c r="L806">
        <v>5.3649728442577871E-2</v>
      </c>
    </row>
    <row r="807" spans="1:12" x14ac:dyDescent="0.2">
      <c r="A807" s="1">
        <v>42080</v>
      </c>
      <c r="B807">
        <v>2</v>
      </c>
      <c r="C807" t="s">
        <v>11</v>
      </c>
      <c r="D807">
        <v>-1.1379999999999999E-3</v>
      </c>
      <c r="E807">
        <f t="shared" si="24"/>
        <v>0.99886200000000003</v>
      </c>
      <c r="F807" s="1">
        <f t="shared" si="25"/>
        <v>42079</v>
      </c>
      <c r="G807" cm="1">
        <f t="array" ref="G807">PRODUCT( _xlfn._xlws.FILTER($E:$E, ($C:$C=C807)*($F:$F=F807)) ) - 1</f>
        <v>-5.44128936754118E-3</v>
      </c>
      <c r="J807" t="str">
        <v>SU</v>
      </c>
      <c r="K807" s="1">
        <v>41057</v>
      </c>
      <c r="L807">
        <v>-4.4081003561437404E-2</v>
      </c>
    </row>
    <row r="808" spans="1:12" x14ac:dyDescent="0.2">
      <c r="A808" s="1">
        <v>42081</v>
      </c>
      <c r="B808">
        <v>2</v>
      </c>
      <c r="C808" t="s">
        <v>11</v>
      </c>
      <c r="D808">
        <v>-3.1900000000000001E-3</v>
      </c>
      <c r="E808">
        <f t="shared" si="24"/>
        <v>0.99680999999999997</v>
      </c>
      <c r="F808" s="1">
        <f t="shared" si="25"/>
        <v>42079</v>
      </c>
      <c r="G808" cm="1">
        <f t="array" ref="G808">PRODUCT( _xlfn._xlws.FILTER($E:$E, ($C:$C=C808)*($F:$F=F808)) ) - 1</f>
        <v>-5.44128936754118E-3</v>
      </c>
      <c r="J808" t="str">
        <v>SU</v>
      </c>
      <c r="K808" s="1">
        <v>41064</v>
      </c>
      <c r="L808">
        <v>5.6789815163837742E-2</v>
      </c>
    </row>
    <row r="809" spans="1:12" x14ac:dyDescent="0.2">
      <c r="A809" s="1">
        <v>42082</v>
      </c>
      <c r="B809">
        <v>2</v>
      </c>
      <c r="C809" t="s">
        <v>11</v>
      </c>
      <c r="D809">
        <v>-4.457E-3</v>
      </c>
      <c r="E809">
        <f t="shared" si="24"/>
        <v>0.99554299999999996</v>
      </c>
      <c r="F809" s="1">
        <f t="shared" si="25"/>
        <v>42079</v>
      </c>
      <c r="G809" cm="1">
        <f t="array" ref="G809">PRODUCT( _xlfn._xlws.FILTER($E:$E, ($C:$C=C809)*($F:$F=F809)) ) - 1</f>
        <v>-5.44128936754118E-3</v>
      </c>
      <c r="J809" t="str">
        <v>SU</v>
      </c>
      <c r="K809" s="1">
        <v>41071</v>
      </c>
      <c r="L809">
        <v>-6.8873526027768417E-4</v>
      </c>
    </row>
    <row r="810" spans="1:12" x14ac:dyDescent="0.2">
      <c r="A810" s="1">
        <v>42083</v>
      </c>
      <c r="B810">
        <v>2</v>
      </c>
      <c r="C810" t="s">
        <v>11</v>
      </c>
      <c r="D810">
        <v>-1.389E-2</v>
      </c>
      <c r="E810">
        <f t="shared" si="24"/>
        <v>0.98611000000000004</v>
      </c>
      <c r="F810" s="1">
        <f t="shared" si="25"/>
        <v>42079</v>
      </c>
      <c r="G810" cm="1">
        <f t="array" ref="G810">PRODUCT( _xlfn._xlws.FILTER($E:$E, ($C:$C=C810)*($F:$F=F810)) ) - 1</f>
        <v>-5.44128936754118E-3</v>
      </c>
      <c r="J810" t="str">
        <v>SU</v>
      </c>
      <c r="K810" s="1">
        <v>41078</v>
      </c>
      <c r="L810">
        <v>-2.5852779136929183E-2</v>
      </c>
    </row>
    <row r="811" spans="1:12" x14ac:dyDescent="0.2">
      <c r="A811" s="1">
        <v>42086</v>
      </c>
      <c r="B811">
        <v>2</v>
      </c>
      <c r="C811" t="s">
        <v>11</v>
      </c>
      <c r="D811">
        <v>-2.0256E-2</v>
      </c>
      <c r="E811">
        <f t="shared" si="24"/>
        <v>0.97974399999999995</v>
      </c>
      <c r="F811" s="1">
        <f t="shared" si="25"/>
        <v>42086</v>
      </c>
      <c r="G811" cm="1">
        <f t="array" ref="G811">PRODUCT( _xlfn._xlws.FILTER($E:$E, ($C:$C=C811)*($F:$F=F811)) ) - 1</f>
        <v>-2.968554114786659E-2</v>
      </c>
      <c r="J811" t="str">
        <v>SU</v>
      </c>
      <c r="K811" s="1">
        <v>41085</v>
      </c>
      <c r="L811">
        <v>4.1756583334893849E-2</v>
      </c>
    </row>
    <row r="812" spans="1:12" x14ac:dyDescent="0.2">
      <c r="A812" s="1">
        <v>42087</v>
      </c>
      <c r="B812">
        <v>2</v>
      </c>
      <c r="C812" t="s">
        <v>11</v>
      </c>
      <c r="D812">
        <v>1.6635E-2</v>
      </c>
      <c r="E812">
        <f t="shared" si="24"/>
        <v>1.016635</v>
      </c>
      <c r="F812" s="1">
        <f t="shared" si="25"/>
        <v>42086</v>
      </c>
      <c r="G812" cm="1">
        <f t="array" ref="G812">PRODUCT( _xlfn._xlws.FILTER($E:$E, ($C:$C=C812)*($F:$F=F812)) ) - 1</f>
        <v>-2.968554114786659E-2</v>
      </c>
      <c r="J812" t="str">
        <v>SU</v>
      </c>
      <c r="K812" s="1">
        <v>41092</v>
      </c>
      <c r="L812">
        <v>-2.7177579827618592E-3</v>
      </c>
    </row>
    <row r="813" spans="1:12" x14ac:dyDescent="0.2">
      <c r="A813" s="1">
        <v>42088</v>
      </c>
      <c r="B813">
        <v>2</v>
      </c>
      <c r="C813" t="s">
        <v>11</v>
      </c>
      <c r="D813">
        <v>-1.8817E-2</v>
      </c>
      <c r="E813">
        <f t="shared" si="24"/>
        <v>0.98118300000000003</v>
      </c>
      <c r="F813" s="1">
        <f t="shared" si="25"/>
        <v>42086</v>
      </c>
      <c r="G813" cm="1">
        <f t="array" ref="G813">PRODUCT( _xlfn._xlws.FILTER($E:$E, ($C:$C=C813)*($F:$F=F813)) ) - 1</f>
        <v>-2.968554114786659E-2</v>
      </c>
      <c r="J813" t="str">
        <v>SU</v>
      </c>
      <c r="K813" s="1">
        <v>41099</v>
      </c>
      <c r="L813">
        <v>1.7035812946004647E-3</v>
      </c>
    </row>
    <row r="814" spans="1:12" x14ac:dyDescent="0.2">
      <c r="A814" s="1">
        <v>42089</v>
      </c>
      <c r="B814">
        <v>2</v>
      </c>
      <c r="C814" t="s">
        <v>11</v>
      </c>
      <c r="D814">
        <v>-3.9309999999999996E-3</v>
      </c>
      <c r="E814">
        <f t="shared" si="24"/>
        <v>0.99606899999999998</v>
      </c>
      <c r="F814" s="1">
        <f t="shared" si="25"/>
        <v>42086</v>
      </c>
      <c r="G814" cm="1">
        <f t="array" ref="G814">PRODUCT( _xlfn._xlws.FILTER($E:$E, ($C:$C=C814)*($F:$F=F814)) ) - 1</f>
        <v>-2.968554114786659E-2</v>
      </c>
      <c r="J814" t="str">
        <v>SU</v>
      </c>
      <c r="K814" s="1">
        <v>41106</v>
      </c>
      <c r="L814">
        <v>3.6382469390042305E-2</v>
      </c>
    </row>
    <row r="815" spans="1:12" x14ac:dyDescent="0.2">
      <c r="A815" s="1">
        <v>42090</v>
      </c>
      <c r="B815">
        <v>2</v>
      </c>
      <c r="C815" t="s">
        <v>11</v>
      </c>
      <c r="D815">
        <v>-3.2290000000000001E-3</v>
      </c>
      <c r="E815">
        <f t="shared" si="24"/>
        <v>0.99677099999999996</v>
      </c>
      <c r="F815" s="1">
        <f t="shared" si="25"/>
        <v>42086</v>
      </c>
      <c r="G815" cm="1">
        <f t="array" ref="G815">PRODUCT( _xlfn._xlws.FILTER($E:$E, ($C:$C=C815)*($F:$F=F815)) ) - 1</f>
        <v>-2.968554114786659E-2</v>
      </c>
      <c r="J815" t="str">
        <v>SU</v>
      </c>
      <c r="K815" s="1">
        <v>41113</v>
      </c>
      <c r="L815">
        <v>4.6259133431545418E-2</v>
      </c>
    </row>
    <row r="816" spans="1:12" x14ac:dyDescent="0.2">
      <c r="A816" s="1">
        <v>42093</v>
      </c>
      <c r="B816">
        <v>2</v>
      </c>
      <c r="C816" t="s">
        <v>11</v>
      </c>
      <c r="D816">
        <v>3.7190000000000001E-3</v>
      </c>
      <c r="E816">
        <f t="shared" si="24"/>
        <v>1.003719</v>
      </c>
      <c r="F816" s="1">
        <f t="shared" si="25"/>
        <v>42093</v>
      </c>
      <c r="G816" cm="1">
        <f t="array" ref="G816">PRODUCT( _xlfn._xlws.FILTER($E:$E, ($C:$C=C816)*($F:$F=F816)) ) - 1</f>
        <v>4.079277587515584E-3</v>
      </c>
      <c r="J816" t="str">
        <v>SU</v>
      </c>
      <c r="K816" s="1">
        <v>41120</v>
      </c>
      <c r="L816">
        <v>-8.1531473648152053E-3</v>
      </c>
    </row>
    <row r="817" spans="1:12" x14ac:dyDescent="0.2">
      <c r="A817" s="1">
        <v>42094</v>
      </c>
      <c r="B817">
        <v>2</v>
      </c>
      <c r="C817" t="s">
        <v>11</v>
      </c>
      <c r="D817">
        <v>1.3866E-2</v>
      </c>
      <c r="E817">
        <f t="shared" si="24"/>
        <v>1.0138659999999999</v>
      </c>
      <c r="F817" s="1">
        <f t="shared" si="25"/>
        <v>42093</v>
      </c>
      <c r="G817" cm="1">
        <f t="array" ref="G817">PRODUCT( _xlfn._xlws.FILTER($E:$E, ($C:$C=C817)*($F:$F=F817)) ) - 1</f>
        <v>4.079277587515584E-3</v>
      </c>
      <c r="J817" t="str">
        <v>SU</v>
      </c>
      <c r="K817" s="1">
        <v>41127</v>
      </c>
      <c r="L817">
        <v>4.7422558548524396E-3</v>
      </c>
    </row>
    <row r="818" spans="1:12" x14ac:dyDescent="0.2">
      <c r="A818" s="1">
        <v>42095</v>
      </c>
      <c r="B818">
        <v>2</v>
      </c>
      <c r="C818" t="s">
        <v>11</v>
      </c>
      <c r="D818">
        <v>-1.1554E-2</v>
      </c>
      <c r="E818">
        <f t="shared" si="24"/>
        <v>0.98844600000000005</v>
      </c>
      <c r="F818" s="1">
        <f t="shared" si="25"/>
        <v>42093</v>
      </c>
      <c r="G818" cm="1">
        <f t="array" ref="G818">PRODUCT( _xlfn._xlws.FILTER($E:$E, ($C:$C=C818)*($F:$F=F818)) ) - 1</f>
        <v>4.079277587515584E-3</v>
      </c>
      <c r="J818" t="str">
        <v>SU</v>
      </c>
      <c r="K818" s="1">
        <v>41134</v>
      </c>
      <c r="L818">
        <v>2.0453796091128629E-2</v>
      </c>
    </row>
    <row r="819" spans="1:12" x14ac:dyDescent="0.2">
      <c r="A819" s="1">
        <v>42096</v>
      </c>
      <c r="B819">
        <v>2</v>
      </c>
      <c r="C819" t="s">
        <v>11</v>
      </c>
      <c r="D819">
        <v>-1.789E-3</v>
      </c>
      <c r="E819">
        <f t="shared" si="24"/>
        <v>0.99821099999999996</v>
      </c>
      <c r="F819" s="1">
        <f t="shared" si="25"/>
        <v>42093</v>
      </c>
      <c r="G819" cm="1">
        <f t="array" ref="G819">PRODUCT( _xlfn._xlws.FILTER($E:$E, ($C:$C=C819)*($F:$F=F819)) ) - 1</f>
        <v>4.079277587515584E-3</v>
      </c>
      <c r="J819" t="str">
        <v>SU</v>
      </c>
      <c r="K819" s="1">
        <v>41141</v>
      </c>
      <c r="L819">
        <v>-3.0527728507374952E-2</v>
      </c>
    </row>
    <row r="820" spans="1:12" x14ac:dyDescent="0.2">
      <c r="A820" s="1">
        <v>42100</v>
      </c>
      <c r="B820">
        <v>2</v>
      </c>
      <c r="C820" t="s">
        <v>11</v>
      </c>
      <c r="D820">
        <v>-1.3979999999999999E-2</v>
      </c>
      <c r="E820">
        <f t="shared" si="24"/>
        <v>0.98602000000000001</v>
      </c>
      <c r="F820" s="1">
        <f t="shared" si="25"/>
        <v>42100</v>
      </c>
      <c r="G820" cm="1">
        <f t="array" ref="G820">PRODUCT( _xlfn._xlws.FILTER($E:$E, ($C:$C=C820)*($F:$F=F820)) ) - 1</f>
        <v>8.2442072738111438E-3</v>
      </c>
      <c r="J820" t="str">
        <v>SU</v>
      </c>
      <c r="K820" s="1">
        <v>41148</v>
      </c>
      <c r="L820">
        <v>-1.5887766139636939E-2</v>
      </c>
    </row>
    <row r="821" spans="1:12" x14ac:dyDescent="0.2">
      <c r="A821" s="1">
        <v>42101</v>
      </c>
      <c r="B821">
        <v>2</v>
      </c>
      <c r="C821" t="s">
        <v>11</v>
      </c>
      <c r="D821">
        <v>4.1200000000000004E-3</v>
      </c>
      <c r="E821">
        <f t="shared" si="24"/>
        <v>1.0041199999999999</v>
      </c>
      <c r="F821" s="1">
        <f t="shared" si="25"/>
        <v>42100</v>
      </c>
      <c r="G821" cm="1">
        <f t="array" ref="G821">PRODUCT( _xlfn._xlws.FILTER($E:$E, ($C:$C=C821)*($F:$F=F821)) ) - 1</f>
        <v>8.2442072738111438E-3</v>
      </c>
      <c r="J821" t="str">
        <v>SU</v>
      </c>
      <c r="K821" s="1">
        <v>41155</v>
      </c>
      <c r="L821">
        <v>5.7774197103031222E-2</v>
      </c>
    </row>
    <row r="822" spans="1:12" x14ac:dyDescent="0.2">
      <c r="A822" s="1">
        <v>42102</v>
      </c>
      <c r="B822">
        <v>2</v>
      </c>
      <c r="C822" t="s">
        <v>11</v>
      </c>
      <c r="D822">
        <v>3.741E-3</v>
      </c>
      <c r="E822">
        <f t="shared" si="24"/>
        <v>1.003741</v>
      </c>
      <c r="F822" s="1">
        <f t="shared" si="25"/>
        <v>42100</v>
      </c>
      <c r="G822" cm="1">
        <f t="array" ref="G822">PRODUCT( _xlfn._xlws.FILTER($E:$E, ($C:$C=C822)*($F:$F=F822)) ) - 1</f>
        <v>8.2442072738111438E-3</v>
      </c>
      <c r="J822" t="str">
        <v>SU</v>
      </c>
      <c r="K822" s="1">
        <v>41162</v>
      </c>
      <c r="L822">
        <v>5.30842002023868E-2</v>
      </c>
    </row>
    <row r="823" spans="1:12" x14ac:dyDescent="0.2">
      <c r="A823" s="1">
        <v>42103</v>
      </c>
      <c r="B823">
        <v>2</v>
      </c>
      <c r="C823" t="s">
        <v>11</v>
      </c>
      <c r="D823">
        <v>1.1422E-2</v>
      </c>
      <c r="E823">
        <f t="shared" si="24"/>
        <v>1.011422</v>
      </c>
      <c r="F823" s="1">
        <f t="shared" si="25"/>
        <v>42100</v>
      </c>
      <c r="G823" cm="1">
        <f t="array" ref="G823">PRODUCT( _xlfn._xlws.FILTER($E:$E, ($C:$C=C823)*($F:$F=F823)) ) - 1</f>
        <v>8.2442072738111438E-3</v>
      </c>
      <c r="J823" t="str">
        <v>SU</v>
      </c>
      <c r="K823" s="1">
        <v>41169</v>
      </c>
      <c r="L823">
        <v>-3.875184958289335E-2</v>
      </c>
    </row>
    <row r="824" spans="1:12" x14ac:dyDescent="0.2">
      <c r="A824" s="1">
        <v>42104</v>
      </c>
      <c r="B824">
        <v>2</v>
      </c>
      <c r="C824" t="s">
        <v>11</v>
      </c>
      <c r="D824">
        <v>3.091E-3</v>
      </c>
      <c r="E824">
        <f t="shared" si="24"/>
        <v>1.003091</v>
      </c>
      <c r="F824" s="1">
        <f t="shared" si="25"/>
        <v>42100</v>
      </c>
      <c r="G824" cm="1">
        <f t="array" ref="G824">PRODUCT( _xlfn._xlws.FILTER($E:$E, ($C:$C=C824)*($F:$F=F824)) ) - 1</f>
        <v>8.2442072738111438E-3</v>
      </c>
      <c r="J824" t="str">
        <v>SU</v>
      </c>
      <c r="K824" s="1">
        <v>41176</v>
      </c>
      <c r="L824">
        <v>-1.9704683335684203E-2</v>
      </c>
    </row>
    <row r="825" spans="1:12" x14ac:dyDescent="0.2">
      <c r="A825" s="1">
        <v>42107</v>
      </c>
      <c r="B825">
        <v>2</v>
      </c>
      <c r="C825" t="s">
        <v>11</v>
      </c>
      <c r="D825">
        <v>-1.6236E-2</v>
      </c>
      <c r="E825">
        <f t="shared" si="24"/>
        <v>0.98376399999999997</v>
      </c>
      <c r="F825" s="1">
        <f t="shared" si="25"/>
        <v>42107</v>
      </c>
      <c r="G825" cm="1">
        <f t="array" ref="G825">PRODUCT( _xlfn._xlws.FILTER($E:$E, ($C:$C=C825)*($F:$F=F825)) ) - 1</f>
        <v>-3.7686075527182505E-2</v>
      </c>
      <c r="J825" t="str">
        <v>SU</v>
      </c>
      <c r="K825" s="1">
        <v>41183</v>
      </c>
      <c r="L825">
        <v>2.0407705792188757E-2</v>
      </c>
    </row>
    <row r="826" spans="1:12" x14ac:dyDescent="0.2">
      <c r="A826" s="1">
        <v>42108</v>
      </c>
      <c r="B826">
        <v>2</v>
      </c>
      <c r="C826" t="s">
        <v>11</v>
      </c>
      <c r="D826">
        <v>-9.0349999999999996E-3</v>
      </c>
      <c r="E826">
        <f t="shared" si="24"/>
        <v>0.99096499999999998</v>
      </c>
      <c r="F826" s="1">
        <f t="shared" si="25"/>
        <v>42107</v>
      </c>
      <c r="G826" cm="1">
        <f t="array" ref="G826">PRODUCT( _xlfn._xlws.FILTER($E:$E, ($C:$C=C826)*($F:$F=F826)) ) - 1</f>
        <v>-3.7686075527182505E-2</v>
      </c>
      <c r="J826" t="str">
        <v>SU</v>
      </c>
      <c r="K826" s="1">
        <v>41190</v>
      </c>
      <c r="L826">
        <v>-1.9394720543843169E-2</v>
      </c>
    </row>
    <row r="827" spans="1:12" x14ac:dyDescent="0.2">
      <c r="A827" s="1">
        <v>42109</v>
      </c>
      <c r="B827">
        <v>2</v>
      </c>
      <c r="C827" t="s">
        <v>11</v>
      </c>
      <c r="D827">
        <v>-1.0819E-2</v>
      </c>
      <c r="E827">
        <f t="shared" si="24"/>
        <v>0.98918099999999998</v>
      </c>
      <c r="F827" s="1">
        <f t="shared" si="25"/>
        <v>42107</v>
      </c>
      <c r="G827" cm="1">
        <f t="array" ref="G827">PRODUCT( _xlfn._xlws.FILTER($E:$E, ($C:$C=C827)*($F:$F=F827)) ) - 1</f>
        <v>-3.7686075527182505E-2</v>
      </c>
      <c r="J827" t="str">
        <v>SU</v>
      </c>
      <c r="K827" s="1">
        <v>41197</v>
      </c>
      <c r="L827">
        <v>4.3263794982504766E-2</v>
      </c>
    </row>
    <row r="828" spans="1:12" x14ac:dyDescent="0.2">
      <c r="A828" s="1">
        <v>42110</v>
      </c>
      <c r="B828">
        <v>2</v>
      </c>
      <c r="C828" t="s">
        <v>11</v>
      </c>
      <c r="D828">
        <v>-4.6699999999999997E-3</v>
      </c>
      <c r="E828">
        <f t="shared" si="24"/>
        <v>0.99533000000000005</v>
      </c>
      <c r="F828" s="1">
        <f t="shared" si="25"/>
        <v>42107</v>
      </c>
      <c r="G828" cm="1">
        <f t="array" ref="G828">PRODUCT( _xlfn._xlws.FILTER($E:$E, ($C:$C=C828)*($F:$F=F828)) ) - 1</f>
        <v>-3.7686075527182505E-2</v>
      </c>
      <c r="J828" t="str">
        <v>SU</v>
      </c>
      <c r="K828" s="1">
        <v>41204</v>
      </c>
      <c r="L828">
        <v>-1.7477110831979337E-2</v>
      </c>
    </row>
    <row r="829" spans="1:12" x14ac:dyDescent="0.2">
      <c r="A829" s="1">
        <v>42111</v>
      </c>
      <c r="B829">
        <v>2</v>
      </c>
      <c r="C829" t="s">
        <v>11</v>
      </c>
      <c r="D829">
        <v>2.5929999999999998E-3</v>
      </c>
      <c r="E829">
        <f t="shared" si="24"/>
        <v>1.0025930000000001</v>
      </c>
      <c r="F829" s="1">
        <f t="shared" si="25"/>
        <v>42107</v>
      </c>
      <c r="G829" cm="1">
        <f t="array" ref="G829">PRODUCT( _xlfn._xlws.FILTER($E:$E, ($C:$C=C829)*($F:$F=F829)) ) - 1</f>
        <v>-3.7686075527182505E-2</v>
      </c>
      <c r="J829" t="str">
        <v>SU</v>
      </c>
      <c r="K829" s="1">
        <v>41211</v>
      </c>
      <c r="L829">
        <v>4.4618597848967045E-2</v>
      </c>
    </row>
    <row r="830" spans="1:12" x14ac:dyDescent="0.2">
      <c r="A830" s="1">
        <v>42114</v>
      </c>
      <c r="B830">
        <v>2</v>
      </c>
      <c r="C830" t="s">
        <v>11</v>
      </c>
      <c r="D830">
        <v>2.6478000000000002E-2</v>
      </c>
      <c r="E830">
        <f t="shared" si="24"/>
        <v>1.026478</v>
      </c>
      <c r="F830" s="1">
        <f t="shared" si="25"/>
        <v>42114</v>
      </c>
      <c r="G830" cm="1">
        <f t="array" ref="G830">PRODUCT( _xlfn._xlws.FILTER($E:$E, ($C:$C=C830)*($F:$F=F830)) ) - 1</f>
        <v>-8.1286157079216714E-3</v>
      </c>
      <c r="J830" t="str">
        <v>SU</v>
      </c>
      <c r="K830" s="1">
        <v>41218</v>
      </c>
      <c r="L830">
        <v>-4.011586583591642E-2</v>
      </c>
    </row>
    <row r="831" spans="1:12" x14ac:dyDescent="0.2">
      <c r="A831" s="1">
        <v>42115</v>
      </c>
      <c r="B831">
        <v>2</v>
      </c>
      <c r="C831" t="s">
        <v>11</v>
      </c>
      <c r="D831">
        <v>-3.0834E-2</v>
      </c>
      <c r="E831">
        <f t="shared" si="24"/>
        <v>0.96916599999999997</v>
      </c>
      <c r="F831" s="1">
        <f t="shared" si="25"/>
        <v>42114</v>
      </c>
      <c r="G831" cm="1">
        <f t="array" ref="G831">PRODUCT( _xlfn._xlws.FILTER($E:$E, ($C:$C=C831)*($F:$F=F831)) ) - 1</f>
        <v>-8.1286157079216714E-3</v>
      </c>
      <c r="J831" t="str">
        <v>SU</v>
      </c>
      <c r="K831" s="1">
        <v>41225</v>
      </c>
      <c r="L831">
        <v>-5.1713099869496681E-2</v>
      </c>
    </row>
    <row r="832" spans="1:12" x14ac:dyDescent="0.2">
      <c r="A832" s="1">
        <v>42116</v>
      </c>
      <c r="B832">
        <v>2</v>
      </c>
      <c r="C832" t="s">
        <v>11</v>
      </c>
      <c r="D832">
        <v>1.114E-3</v>
      </c>
      <c r="E832">
        <f t="shared" si="24"/>
        <v>1.0011140000000001</v>
      </c>
      <c r="F832" s="1">
        <f t="shared" si="25"/>
        <v>42114</v>
      </c>
      <c r="G832" cm="1">
        <f t="array" ref="G832">PRODUCT( _xlfn._xlws.FILTER($E:$E, ($C:$C=C832)*($F:$F=F832)) ) - 1</f>
        <v>-8.1286157079216714E-3</v>
      </c>
      <c r="J832" t="str">
        <v>SU</v>
      </c>
      <c r="K832" s="1">
        <v>41232</v>
      </c>
      <c r="L832">
        <v>6.0558386519246277E-2</v>
      </c>
    </row>
    <row r="833" spans="1:12" x14ac:dyDescent="0.2">
      <c r="A833" s="1">
        <v>42117</v>
      </c>
      <c r="B833">
        <v>2</v>
      </c>
      <c r="C833" t="s">
        <v>11</v>
      </c>
      <c r="D833">
        <v>-1.6080000000000001E-3</v>
      </c>
      <c r="E833">
        <f t="shared" si="24"/>
        <v>0.99839199999999995</v>
      </c>
      <c r="F833" s="1">
        <f t="shared" si="25"/>
        <v>42114</v>
      </c>
      <c r="G833" cm="1">
        <f t="array" ref="G833">PRODUCT( _xlfn._xlws.FILTER($E:$E, ($C:$C=C833)*($F:$F=F833)) ) - 1</f>
        <v>-8.1286157079216714E-3</v>
      </c>
      <c r="J833" t="str">
        <v>SU</v>
      </c>
      <c r="K833" s="1">
        <v>41239</v>
      </c>
      <c r="L833">
        <v>-2.575579783438986E-2</v>
      </c>
    </row>
    <row r="834" spans="1:12" x14ac:dyDescent="0.2">
      <c r="A834" s="1">
        <v>42118</v>
      </c>
      <c r="B834">
        <v>2</v>
      </c>
      <c r="C834" t="s">
        <v>11</v>
      </c>
      <c r="D834">
        <v>-2.477E-3</v>
      </c>
      <c r="E834">
        <f t="shared" si="24"/>
        <v>0.99752300000000005</v>
      </c>
      <c r="F834" s="1">
        <f t="shared" si="25"/>
        <v>42114</v>
      </c>
      <c r="G834" cm="1">
        <f t="array" ref="G834">PRODUCT( _xlfn._xlws.FILTER($E:$E, ($C:$C=C834)*($F:$F=F834)) ) - 1</f>
        <v>-8.1286157079216714E-3</v>
      </c>
      <c r="J834" t="str">
        <v>SU</v>
      </c>
      <c r="K834" s="1">
        <v>41246</v>
      </c>
      <c r="L834">
        <v>-6.7782341917089761E-3</v>
      </c>
    </row>
    <row r="835" spans="1:12" x14ac:dyDescent="0.2">
      <c r="A835" s="1">
        <v>42121</v>
      </c>
      <c r="B835">
        <v>2</v>
      </c>
      <c r="C835" t="s">
        <v>11</v>
      </c>
      <c r="D835">
        <v>-1.5768999999999998E-2</v>
      </c>
      <c r="E835">
        <f t="shared" si="24"/>
        <v>0.98423099999999997</v>
      </c>
      <c r="F835" s="1">
        <f t="shared" si="25"/>
        <v>42121</v>
      </c>
      <c r="G835" cm="1">
        <f t="array" ref="G835">PRODUCT( _xlfn._xlws.FILTER($E:$E, ($C:$C=C835)*($F:$F=F835)) ) - 1</f>
        <v>-5.5876223747604037E-3</v>
      </c>
      <c r="J835" t="str">
        <v>SU</v>
      </c>
      <c r="K835" s="1">
        <v>41253</v>
      </c>
      <c r="L835">
        <v>-3.7213549431970305E-3</v>
      </c>
    </row>
    <row r="836" spans="1:12" x14ac:dyDescent="0.2">
      <c r="A836" s="1">
        <v>42122</v>
      </c>
      <c r="B836">
        <v>2</v>
      </c>
      <c r="C836" t="s">
        <v>11</v>
      </c>
      <c r="D836">
        <v>-7.9480000000000002E-3</v>
      </c>
      <c r="E836">
        <f t="shared" ref="E836:E899" si="26">D836+1</f>
        <v>0.99205200000000004</v>
      </c>
      <c r="F836" s="1">
        <f t="shared" ref="F836:F899" si="27">A836 - (WEEKDAY(A836, 2) - 1)</f>
        <v>42121</v>
      </c>
      <c r="G836" cm="1">
        <f t="array" ref="G836">PRODUCT( _xlfn._xlws.FILTER($E:$E, ($C:$C=C836)*($F:$F=F836)) ) - 1</f>
        <v>-5.5876223747604037E-3</v>
      </c>
      <c r="J836" t="str">
        <v>SU</v>
      </c>
      <c r="K836" s="1">
        <v>41260</v>
      </c>
      <c r="L836">
        <v>1.6499298011673158E-2</v>
      </c>
    </row>
    <row r="837" spans="1:12" x14ac:dyDescent="0.2">
      <c r="A837" s="1">
        <v>42123</v>
      </c>
      <c r="B837">
        <v>2</v>
      </c>
      <c r="C837" t="s">
        <v>11</v>
      </c>
      <c r="D837">
        <v>4.4510000000000001E-3</v>
      </c>
      <c r="E837">
        <f t="shared" si="26"/>
        <v>1.004451</v>
      </c>
      <c r="F837" s="1">
        <f t="shared" si="27"/>
        <v>42121</v>
      </c>
      <c r="G837" cm="1">
        <f t="array" ref="G837">PRODUCT( _xlfn._xlws.FILTER($E:$E, ($C:$C=C837)*($F:$F=F837)) ) - 1</f>
        <v>-5.5876223747604037E-3</v>
      </c>
      <c r="J837" t="str">
        <v>SU</v>
      </c>
      <c r="K837" s="1">
        <v>41267</v>
      </c>
      <c r="L837">
        <v>-1.3169207780124204E-2</v>
      </c>
    </row>
    <row r="838" spans="1:12" x14ac:dyDescent="0.2">
      <c r="A838" s="1">
        <v>42124</v>
      </c>
      <c r="B838">
        <v>2</v>
      </c>
      <c r="C838" t="s">
        <v>11</v>
      </c>
      <c r="D838">
        <v>-1.3799000000000001E-2</v>
      </c>
      <c r="E838">
        <f t="shared" si="26"/>
        <v>0.98620099999999999</v>
      </c>
      <c r="F838" s="1">
        <f t="shared" si="27"/>
        <v>42121</v>
      </c>
      <c r="G838" cm="1">
        <f t="array" ref="G838">PRODUCT( _xlfn._xlws.FILTER($E:$E, ($C:$C=C838)*($F:$F=F838)) ) - 1</f>
        <v>-5.5876223747604037E-3</v>
      </c>
      <c r="J838" t="str">
        <v>SU</v>
      </c>
      <c r="K838" s="1">
        <v>41274</v>
      </c>
      <c r="L838">
        <v>4.221008171231988E-2</v>
      </c>
    </row>
    <row r="839" spans="1:12" x14ac:dyDescent="0.2">
      <c r="A839" s="1">
        <v>42125</v>
      </c>
      <c r="B839">
        <v>2</v>
      </c>
      <c r="C839" t="s">
        <v>11</v>
      </c>
      <c r="D839">
        <v>2.8112999999999999E-2</v>
      </c>
      <c r="E839">
        <f t="shared" si="26"/>
        <v>1.0281130000000001</v>
      </c>
      <c r="F839" s="1">
        <f t="shared" si="27"/>
        <v>42121</v>
      </c>
      <c r="G839" cm="1">
        <f t="array" ref="G839">PRODUCT( _xlfn._xlws.FILTER($E:$E, ($C:$C=C839)*($F:$F=F839)) ) - 1</f>
        <v>-5.5876223747604037E-3</v>
      </c>
      <c r="J839" t="str">
        <v>SU</v>
      </c>
      <c r="K839" s="1">
        <v>41281</v>
      </c>
      <c r="L839">
        <v>-1.7861942473785808E-3</v>
      </c>
    </row>
    <row r="840" spans="1:12" x14ac:dyDescent="0.2">
      <c r="A840" s="1">
        <v>42128</v>
      </c>
      <c r="B840">
        <v>2</v>
      </c>
      <c r="C840" t="s">
        <v>11</v>
      </c>
      <c r="D840">
        <v>-3.1210000000000001E-3</v>
      </c>
      <c r="E840">
        <f t="shared" si="26"/>
        <v>0.99687899999999996</v>
      </c>
      <c r="F840" s="1">
        <f t="shared" si="27"/>
        <v>42128</v>
      </c>
      <c r="G840" cm="1">
        <f t="array" ref="G840">PRODUCT( _xlfn._xlws.FILTER($E:$E, ($C:$C=C840)*($F:$F=F840)) ) - 1</f>
        <v>-1.6355151663497658E-2</v>
      </c>
      <c r="J840" t="str">
        <v>SU</v>
      </c>
      <c r="K840" s="1">
        <v>41288</v>
      </c>
      <c r="L840">
        <v>6.5633524899135764E-3</v>
      </c>
    </row>
    <row r="841" spans="1:12" x14ac:dyDescent="0.2">
      <c r="A841" s="1">
        <v>42129</v>
      </c>
      <c r="B841">
        <v>2</v>
      </c>
      <c r="C841" t="s">
        <v>11</v>
      </c>
      <c r="D841">
        <v>-1.528E-2</v>
      </c>
      <c r="E841">
        <f t="shared" si="26"/>
        <v>0.98472000000000004</v>
      </c>
      <c r="F841" s="1">
        <f t="shared" si="27"/>
        <v>42128</v>
      </c>
      <c r="G841" cm="1">
        <f t="array" ref="G841">PRODUCT( _xlfn._xlws.FILTER($E:$E, ($C:$C=C841)*($F:$F=F841)) ) - 1</f>
        <v>-1.6355151663497658E-2</v>
      </c>
      <c r="J841" t="str">
        <v>SU</v>
      </c>
      <c r="K841" s="1">
        <v>41295</v>
      </c>
      <c r="L841">
        <v>1.8672028732476864E-2</v>
      </c>
    </row>
    <row r="842" spans="1:12" x14ac:dyDescent="0.2">
      <c r="A842" s="1">
        <v>42130</v>
      </c>
      <c r="B842">
        <v>2</v>
      </c>
      <c r="C842" t="s">
        <v>11</v>
      </c>
      <c r="D842">
        <v>-1.0175999999999999E-2</v>
      </c>
      <c r="E842">
        <f t="shared" si="26"/>
        <v>0.98982400000000004</v>
      </c>
      <c r="F842" s="1">
        <f t="shared" si="27"/>
        <v>42128</v>
      </c>
      <c r="G842" cm="1">
        <f t="array" ref="G842">PRODUCT( _xlfn._xlws.FILTER($E:$E, ($C:$C=C842)*($F:$F=F842)) ) - 1</f>
        <v>-1.6355151663497658E-2</v>
      </c>
      <c r="J842" t="str">
        <v>SU</v>
      </c>
      <c r="K842" s="1">
        <v>41302</v>
      </c>
      <c r="L842">
        <v>1.4548545629937681E-3</v>
      </c>
    </row>
    <row r="843" spans="1:12" x14ac:dyDescent="0.2">
      <c r="A843" s="1">
        <v>42131</v>
      </c>
      <c r="B843">
        <v>2</v>
      </c>
      <c r="C843" t="s">
        <v>11</v>
      </c>
      <c r="D843">
        <v>8.0960000000000008E-3</v>
      </c>
      <c r="E843">
        <f t="shared" si="26"/>
        <v>1.0080960000000001</v>
      </c>
      <c r="F843" s="1">
        <f t="shared" si="27"/>
        <v>42128</v>
      </c>
      <c r="G843" cm="1">
        <f t="array" ref="G843">PRODUCT( _xlfn._xlws.FILTER($E:$E, ($C:$C=C843)*($F:$F=F843)) ) - 1</f>
        <v>-1.6355151663497658E-2</v>
      </c>
      <c r="J843" t="str">
        <v>SU</v>
      </c>
      <c r="K843" s="1">
        <v>41309</v>
      </c>
      <c r="L843">
        <v>-6.1591899904842151E-2</v>
      </c>
    </row>
    <row r="844" spans="1:12" x14ac:dyDescent="0.2">
      <c r="A844" s="1">
        <v>42132</v>
      </c>
      <c r="B844">
        <v>2</v>
      </c>
      <c r="C844" t="s">
        <v>11</v>
      </c>
      <c r="D844">
        <v>4.2069999999999998E-3</v>
      </c>
      <c r="E844">
        <f t="shared" si="26"/>
        <v>1.0042070000000001</v>
      </c>
      <c r="F844" s="1">
        <f t="shared" si="27"/>
        <v>42128</v>
      </c>
      <c r="G844" cm="1">
        <f t="array" ref="G844">PRODUCT( _xlfn._xlws.FILTER($E:$E, ($C:$C=C844)*($F:$F=F844)) ) - 1</f>
        <v>-1.6355151663497658E-2</v>
      </c>
      <c r="J844" t="str">
        <v>SU</v>
      </c>
      <c r="K844" s="1">
        <v>41316</v>
      </c>
      <c r="L844">
        <v>-1.7028260227722858E-2</v>
      </c>
    </row>
    <row r="845" spans="1:12" x14ac:dyDescent="0.2">
      <c r="A845" s="1">
        <v>42135</v>
      </c>
      <c r="B845">
        <v>2</v>
      </c>
      <c r="C845" t="s">
        <v>11</v>
      </c>
      <c r="D845">
        <v>-5.5849999999999997E-3</v>
      </c>
      <c r="E845">
        <f t="shared" si="26"/>
        <v>0.99441500000000005</v>
      </c>
      <c r="F845" s="1">
        <f t="shared" si="27"/>
        <v>42135</v>
      </c>
      <c r="G845" cm="1">
        <f t="array" ref="G845">PRODUCT( _xlfn._xlws.FILTER($E:$E, ($C:$C=C845)*($F:$F=F845)) ) - 1</f>
        <v>-4.8488451018277035E-2</v>
      </c>
      <c r="J845" t="str">
        <v>SU</v>
      </c>
      <c r="K845" s="1">
        <v>41323</v>
      </c>
      <c r="L845">
        <v>6.298020687414807E-3</v>
      </c>
    </row>
    <row r="846" spans="1:12" x14ac:dyDescent="0.2">
      <c r="A846" s="1">
        <v>42136</v>
      </c>
      <c r="B846">
        <v>2</v>
      </c>
      <c r="C846" t="s">
        <v>11</v>
      </c>
      <c r="D846">
        <v>-2.3104E-2</v>
      </c>
      <c r="E846">
        <f t="shared" si="26"/>
        <v>0.97689599999999999</v>
      </c>
      <c r="F846" s="1">
        <f t="shared" si="27"/>
        <v>42135</v>
      </c>
      <c r="G846" cm="1">
        <f t="array" ref="G846">PRODUCT( _xlfn._xlws.FILTER($E:$E, ($C:$C=C846)*($F:$F=F846)) ) - 1</f>
        <v>-4.8488451018277035E-2</v>
      </c>
      <c r="J846" t="str">
        <v>SU</v>
      </c>
      <c r="K846" s="1">
        <v>41330</v>
      </c>
      <c r="L846">
        <v>-2.8840689855454071E-2</v>
      </c>
    </row>
    <row r="847" spans="1:12" x14ac:dyDescent="0.2">
      <c r="A847" s="1">
        <v>42137</v>
      </c>
      <c r="B847">
        <v>2</v>
      </c>
      <c r="C847" t="s">
        <v>11</v>
      </c>
      <c r="D847">
        <v>-3.1621999999999997E-2</v>
      </c>
      <c r="E847">
        <f t="shared" si="26"/>
        <v>0.96837799999999996</v>
      </c>
      <c r="F847" s="1">
        <f t="shared" si="27"/>
        <v>42135</v>
      </c>
      <c r="G847" cm="1">
        <f t="array" ref="G847">PRODUCT( _xlfn._xlws.FILTER($E:$E, ($C:$C=C847)*($F:$F=F847)) ) - 1</f>
        <v>-4.8488451018277035E-2</v>
      </c>
      <c r="J847" t="str">
        <v>SU</v>
      </c>
      <c r="K847" s="1">
        <v>41337</v>
      </c>
      <c r="L847">
        <v>1.7799705179665448E-2</v>
      </c>
    </row>
    <row r="848" spans="1:12" x14ac:dyDescent="0.2">
      <c r="A848" s="1">
        <v>42138</v>
      </c>
      <c r="B848">
        <v>2</v>
      </c>
      <c r="C848" t="s">
        <v>11</v>
      </c>
      <c r="D848">
        <v>-7.2859999999999999E-3</v>
      </c>
      <c r="E848">
        <f t="shared" si="26"/>
        <v>0.99271399999999999</v>
      </c>
      <c r="F848" s="1">
        <f t="shared" si="27"/>
        <v>42135</v>
      </c>
      <c r="G848" cm="1">
        <f t="array" ref="G848">PRODUCT( _xlfn._xlws.FILTER($E:$E, ($C:$C=C848)*($F:$F=F848)) ) - 1</f>
        <v>-4.8488451018277035E-2</v>
      </c>
      <c r="J848" t="str">
        <v>SU</v>
      </c>
      <c r="K848" s="1">
        <v>41344</v>
      </c>
      <c r="L848">
        <v>6.9949460433411659E-3</v>
      </c>
    </row>
    <row r="849" spans="1:12" x14ac:dyDescent="0.2">
      <c r="A849" s="1">
        <v>42139</v>
      </c>
      <c r="B849">
        <v>2</v>
      </c>
      <c r="C849" t="s">
        <v>11</v>
      </c>
      <c r="D849">
        <v>1.8894000000000001E-2</v>
      </c>
      <c r="E849">
        <f t="shared" si="26"/>
        <v>1.018894</v>
      </c>
      <c r="F849" s="1">
        <f t="shared" si="27"/>
        <v>42135</v>
      </c>
      <c r="G849" cm="1">
        <f t="array" ref="G849">PRODUCT( _xlfn._xlws.FILTER($E:$E, ($C:$C=C849)*($F:$F=F849)) ) - 1</f>
        <v>-4.8488451018277035E-2</v>
      </c>
      <c r="J849" t="str">
        <v>SU</v>
      </c>
      <c r="K849" s="1">
        <v>41351</v>
      </c>
      <c r="L849">
        <v>-2.210248779502566E-2</v>
      </c>
    </row>
    <row r="850" spans="1:12" x14ac:dyDescent="0.2">
      <c r="A850" s="1">
        <v>42143</v>
      </c>
      <c r="B850">
        <v>2</v>
      </c>
      <c r="C850" t="s">
        <v>11</v>
      </c>
      <c r="D850">
        <v>-5.0689999999999997E-3</v>
      </c>
      <c r="E850">
        <f t="shared" si="26"/>
        <v>0.99493100000000001</v>
      </c>
      <c r="F850" s="1">
        <f t="shared" si="27"/>
        <v>42142</v>
      </c>
      <c r="G850" cm="1">
        <f t="array" ref="G850">PRODUCT( _xlfn._xlws.FILTER($E:$E, ($C:$C=C850)*($F:$F=F850)) ) - 1</f>
        <v>-7.3367065622764738E-3</v>
      </c>
      <c r="J850" t="str">
        <v>SU</v>
      </c>
      <c r="K850" s="1">
        <v>41358</v>
      </c>
      <c r="L850">
        <v>-1.7113004184071579E-2</v>
      </c>
    </row>
    <row r="851" spans="1:12" x14ac:dyDescent="0.2">
      <c r="A851" s="1">
        <v>42144</v>
      </c>
      <c r="B851">
        <v>2</v>
      </c>
      <c r="C851" t="s">
        <v>11</v>
      </c>
      <c r="D851">
        <v>-1.1263E-2</v>
      </c>
      <c r="E851">
        <f t="shared" si="26"/>
        <v>0.98873699999999998</v>
      </c>
      <c r="F851" s="1">
        <f t="shared" si="27"/>
        <v>42142</v>
      </c>
      <c r="G851" cm="1">
        <f t="array" ref="G851">PRODUCT( _xlfn._xlws.FILTER($E:$E, ($C:$C=C851)*($F:$F=F851)) ) - 1</f>
        <v>-7.3367065622764738E-3</v>
      </c>
      <c r="J851" t="str">
        <v>SU</v>
      </c>
      <c r="K851" s="1">
        <v>41365</v>
      </c>
      <c r="L851">
        <v>-3.8764773086663484E-2</v>
      </c>
    </row>
    <row r="852" spans="1:12" x14ac:dyDescent="0.2">
      <c r="A852" s="1">
        <v>42145</v>
      </c>
      <c r="B852">
        <v>2</v>
      </c>
      <c r="C852" t="s">
        <v>11</v>
      </c>
      <c r="D852">
        <v>1.0170999999999999E-2</v>
      </c>
      <c r="E852">
        <f t="shared" si="26"/>
        <v>1.0101709999999999</v>
      </c>
      <c r="F852" s="1">
        <f t="shared" si="27"/>
        <v>42142</v>
      </c>
      <c r="G852" cm="1">
        <f t="array" ref="G852">PRODUCT( _xlfn._xlws.FILTER($E:$E, ($C:$C=C852)*($F:$F=F852)) ) - 1</f>
        <v>-7.3367065622764738E-3</v>
      </c>
      <c r="J852" t="str">
        <v>SU</v>
      </c>
      <c r="K852" s="1">
        <v>41372</v>
      </c>
      <c r="L852">
        <v>-1.5037394481114408E-2</v>
      </c>
    </row>
    <row r="853" spans="1:12" x14ac:dyDescent="0.2">
      <c r="A853" s="1">
        <v>42146</v>
      </c>
      <c r="B853">
        <v>2</v>
      </c>
      <c r="C853" t="s">
        <v>11</v>
      </c>
      <c r="D853">
        <v>-1.0740000000000001E-3</v>
      </c>
      <c r="E853">
        <f t="shared" si="26"/>
        <v>0.99892599999999998</v>
      </c>
      <c r="F853" s="1">
        <f t="shared" si="27"/>
        <v>42142</v>
      </c>
      <c r="G853" cm="1">
        <f t="array" ref="G853">PRODUCT( _xlfn._xlws.FILTER($E:$E, ($C:$C=C853)*($F:$F=F853)) ) - 1</f>
        <v>-7.3367065622764738E-3</v>
      </c>
      <c r="J853" t="str">
        <v>SU</v>
      </c>
      <c r="K853" s="1">
        <v>41379</v>
      </c>
      <c r="L853">
        <v>-2.3942862724628089E-2</v>
      </c>
    </row>
    <row r="854" spans="1:12" x14ac:dyDescent="0.2">
      <c r="A854" s="1">
        <v>42149</v>
      </c>
      <c r="B854">
        <v>2</v>
      </c>
      <c r="C854" t="s">
        <v>11</v>
      </c>
      <c r="D854">
        <v>6.5849999999999997E-3</v>
      </c>
      <c r="E854">
        <f t="shared" si="26"/>
        <v>1.0065850000000001</v>
      </c>
      <c r="F854" s="1">
        <f t="shared" si="27"/>
        <v>42149</v>
      </c>
      <c r="G854" cm="1">
        <f t="array" ref="G854">PRODUCT( _xlfn._xlws.FILTER($E:$E, ($C:$C=C854)*($F:$F=F854)) ) - 1</f>
        <v>-8.6016517375384627E-3</v>
      </c>
      <c r="J854" t="str">
        <v>SU</v>
      </c>
      <c r="K854" s="1">
        <v>41386</v>
      </c>
      <c r="L854">
        <v>4.0881914751784265E-2</v>
      </c>
    </row>
    <row r="855" spans="1:12" x14ac:dyDescent="0.2">
      <c r="A855" s="1">
        <v>42150</v>
      </c>
      <c r="B855">
        <v>2</v>
      </c>
      <c r="C855" t="s">
        <v>11</v>
      </c>
      <c r="D855">
        <v>-9.613E-3</v>
      </c>
      <c r="E855">
        <f t="shared" si="26"/>
        <v>0.99038700000000002</v>
      </c>
      <c r="F855" s="1">
        <f t="shared" si="27"/>
        <v>42149</v>
      </c>
      <c r="G855" cm="1">
        <f t="array" ref="G855">PRODUCT( _xlfn._xlws.FILTER($E:$E, ($C:$C=C855)*($F:$F=F855)) ) - 1</f>
        <v>-8.6016517375384627E-3</v>
      </c>
      <c r="J855" t="str">
        <v>SU</v>
      </c>
      <c r="K855" s="1">
        <v>41393</v>
      </c>
      <c r="L855">
        <v>6.1817866962781576E-2</v>
      </c>
    </row>
    <row r="856" spans="1:12" x14ac:dyDescent="0.2">
      <c r="A856" s="1">
        <v>42151</v>
      </c>
      <c r="B856">
        <v>2</v>
      </c>
      <c r="C856" t="s">
        <v>11</v>
      </c>
      <c r="D856">
        <v>1.4289E-2</v>
      </c>
      <c r="E856">
        <f t="shared" si="26"/>
        <v>1.014289</v>
      </c>
      <c r="F856" s="1">
        <f t="shared" si="27"/>
        <v>42149</v>
      </c>
      <c r="G856" cm="1">
        <f t="array" ref="G856">PRODUCT( _xlfn._xlws.FILTER($E:$E, ($C:$C=C856)*($F:$F=F856)) ) - 1</f>
        <v>-8.6016517375384627E-3</v>
      </c>
      <c r="J856" t="str">
        <v>SU</v>
      </c>
      <c r="K856" s="1">
        <v>41400</v>
      </c>
      <c r="L856">
        <v>3.0557364276759591E-2</v>
      </c>
    </row>
    <row r="857" spans="1:12" x14ac:dyDescent="0.2">
      <c r="A857" s="1">
        <v>42152</v>
      </c>
      <c r="B857">
        <v>2</v>
      </c>
      <c r="C857" t="s">
        <v>11</v>
      </c>
      <c r="D857">
        <v>-1.7145000000000001E-2</v>
      </c>
      <c r="E857">
        <f t="shared" si="26"/>
        <v>0.98285500000000003</v>
      </c>
      <c r="F857" s="1">
        <f t="shared" si="27"/>
        <v>42149</v>
      </c>
      <c r="G857" cm="1">
        <f t="array" ref="G857">PRODUCT( _xlfn._xlws.FILTER($E:$E, ($C:$C=C857)*($F:$F=F857)) ) - 1</f>
        <v>-8.6016517375384627E-3</v>
      </c>
      <c r="J857" t="str">
        <v>SU</v>
      </c>
      <c r="K857" s="1">
        <v>41407</v>
      </c>
      <c r="L857">
        <v>2.7465117016100882E-2</v>
      </c>
    </row>
    <row r="858" spans="1:12" x14ac:dyDescent="0.2">
      <c r="A858" s="1">
        <v>42153</v>
      </c>
      <c r="B858">
        <v>2</v>
      </c>
      <c r="C858" t="s">
        <v>11</v>
      </c>
      <c r="D858">
        <v>-2.434E-3</v>
      </c>
      <c r="E858">
        <f t="shared" si="26"/>
        <v>0.99756599999999995</v>
      </c>
      <c r="F858" s="1">
        <f t="shared" si="27"/>
        <v>42149</v>
      </c>
      <c r="G858" cm="1">
        <f t="array" ref="G858">PRODUCT( _xlfn._xlws.FILTER($E:$E, ($C:$C=C858)*($F:$F=F858)) ) - 1</f>
        <v>-8.6016517375384627E-3</v>
      </c>
      <c r="J858" t="str">
        <v>SU</v>
      </c>
      <c r="K858" s="1">
        <v>41414</v>
      </c>
      <c r="L858">
        <v>-2.9465211501683908E-2</v>
      </c>
    </row>
    <row r="859" spans="1:12" x14ac:dyDescent="0.2">
      <c r="A859" s="1">
        <v>42156</v>
      </c>
      <c r="B859">
        <v>2</v>
      </c>
      <c r="C859" t="s">
        <v>11</v>
      </c>
      <c r="D859">
        <v>1.4909999999999999E-3</v>
      </c>
      <c r="E859">
        <f t="shared" si="26"/>
        <v>1.0014909999999999</v>
      </c>
      <c r="F859" s="1">
        <f t="shared" si="27"/>
        <v>42156</v>
      </c>
      <c r="G859" cm="1">
        <f t="array" ref="G859">PRODUCT( _xlfn._xlws.FILTER($E:$E, ($C:$C=C859)*($F:$F=F859)) ) - 1</f>
        <v>7.1156975885600104E-4</v>
      </c>
      <c r="J859" t="str">
        <v>SU</v>
      </c>
      <c r="K859" s="1">
        <v>41421</v>
      </c>
      <c r="L859">
        <v>-9.3895295363876086E-3</v>
      </c>
    </row>
    <row r="860" spans="1:12" x14ac:dyDescent="0.2">
      <c r="A860" s="1">
        <v>42157</v>
      </c>
      <c r="B860">
        <v>2</v>
      </c>
      <c r="C860" t="s">
        <v>11</v>
      </c>
      <c r="D860">
        <v>-4.4669999999999996E-3</v>
      </c>
      <c r="E860">
        <f t="shared" si="26"/>
        <v>0.995533</v>
      </c>
      <c r="F860" s="1">
        <f t="shared" si="27"/>
        <v>42156</v>
      </c>
      <c r="G860" cm="1">
        <f t="array" ref="G860">PRODUCT( _xlfn._xlws.FILTER($E:$E, ($C:$C=C860)*($F:$F=F860)) ) - 1</f>
        <v>7.1156975885600104E-4</v>
      </c>
      <c r="J860" t="str">
        <v>SU</v>
      </c>
      <c r="K860" s="1">
        <v>41428</v>
      </c>
      <c r="L860">
        <v>6.6780441258147416E-3</v>
      </c>
    </row>
    <row r="861" spans="1:12" x14ac:dyDescent="0.2">
      <c r="A861" s="1">
        <v>42158</v>
      </c>
      <c r="B861">
        <v>2</v>
      </c>
      <c r="C861" t="s">
        <v>11</v>
      </c>
      <c r="D861">
        <v>1.4959999999999999E-3</v>
      </c>
      <c r="E861">
        <f t="shared" si="26"/>
        <v>1.0014959999999999</v>
      </c>
      <c r="F861" s="1">
        <f t="shared" si="27"/>
        <v>42156</v>
      </c>
      <c r="G861" cm="1">
        <f t="array" ref="G861">PRODUCT( _xlfn._xlws.FILTER($E:$E, ($C:$C=C861)*($F:$F=F861)) ) - 1</f>
        <v>7.1156975885600104E-4</v>
      </c>
      <c r="J861" t="str">
        <v>SU</v>
      </c>
      <c r="K861" s="1">
        <v>41435</v>
      </c>
      <c r="L861">
        <v>-2.2110377680065962E-2</v>
      </c>
    </row>
    <row r="862" spans="1:12" x14ac:dyDescent="0.2">
      <c r="A862" s="1">
        <v>42159</v>
      </c>
      <c r="B862">
        <v>2</v>
      </c>
      <c r="C862" t="s">
        <v>11</v>
      </c>
      <c r="D862">
        <v>3.3939999999999999E-3</v>
      </c>
      <c r="E862">
        <f t="shared" si="26"/>
        <v>1.0033939999999999</v>
      </c>
      <c r="F862" s="1">
        <f t="shared" si="27"/>
        <v>42156</v>
      </c>
      <c r="G862" cm="1">
        <f t="array" ref="G862">PRODUCT( _xlfn._xlws.FILTER($E:$E, ($C:$C=C862)*($F:$F=F862)) ) - 1</f>
        <v>7.1156975885600104E-4</v>
      </c>
      <c r="J862" t="str">
        <v>SU</v>
      </c>
      <c r="K862" s="1">
        <v>41442</v>
      </c>
      <c r="L862">
        <v>-5.1675153537239504E-3</v>
      </c>
    </row>
    <row r="863" spans="1:12" x14ac:dyDescent="0.2">
      <c r="A863" s="1">
        <v>42160</v>
      </c>
      <c r="B863">
        <v>2</v>
      </c>
      <c r="C863" t="s">
        <v>11</v>
      </c>
      <c r="D863">
        <v>-1.1839999999999999E-3</v>
      </c>
      <c r="E863">
        <f t="shared" si="26"/>
        <v>0.99881600000000004</v>
      </c>
      <c r="F863" s="1">
        <f t="shared" si="27"/>
        <v>42156</v>
      </c>
      <c r="G863" cm="1">
        <f t="array" ref="G863">PRODUCT( _xlfn._xlws.FILTER($E:$E, ($C:$C=C863)*($F:$F=F863)) ) - 1</f>
        <v>7.1156975885600104E-4</v>
      </c>
      <c r="J863" t="str">
        <v>SU</v>
      </c>
      <c r="K863" s="1">
        <v>41449</v>
      </c>
      <c r="L863">
        <v>6.4932512850823798E-3</v>
      </c>
    </row>
    <row r="864" spans="1:12" x14ac:dyDescent="0.2">
      <c r="A864" s="1">
        <v>42163</v>
      </c>
      <c r="B864">
        <v>2</v>
      </c>
      <c r="C864" t="s">
        <v>11</v>
      </c>
      <c r="D864">
        <v>-2.163E-2</v>
      </c>
      <c r="E864">
        <f t="shared" si="26"/>
        <v>0.97836999999999996</v>
      </c>
      <c r="F864" s="1">
        <f t="shared" si="27"/>
        <v>42163</v>
      </c>
      <c r="G864" cm="1">
        <f t="array" ref="G864">PRODUCT( _xlfn._xlws.FILTER($E:$E, ($C:$C=C864)*($F:$F=F864)) ) - 1</f>
        <v>-6.8017135462358214E-3</v>
      </c>
      <c r="J864" t="str">
        <v>SU</v>
      </c>
      <c r="K864" s="1">
        <v>41456</v>
      </c>
      <c r="L864">
        <v>4.193899931340006E-3</v>
      </c>
    </row>
    <row r="865" spans="1:12" x14ac:dyDescent="0.2">
      <c r="A865" s="1">
        <v>42164</v>
      </c>
      <c r="B865">
        <v>2</v>
      </c>
      <c r="C865" t="s">
        <v>11</v>
      </c>
      <c r="D865">
        <v>9.4549999999999999E-3</v>
      </c>
      <c r="E865">
        <f t="shared" si="26"/>
        <v>1.009455</v>
      </c>
      <c r="F865" s="1">
        <f t="shared" si="27"/>
        <v>42163</v>
      </c>
      <c r="G865" cm="1">
        <f t="array" ref="G865">PRODUCT( _xlfn._xlws.FILTER($E:$E, ($C:$C=C865)*($F:$F=F865)) ) - 1</f>
        <v>-6.8017135462358214E-3</v>
      </c>
      <c r="J865" t="str">
        <v>SU</v>
      </c>
      <c r="K865" s="1">
        <v>41463</v>
      </c>
      <c r="L865">
        <v>4.2081883031268585E-2</v>
      </c>
    </row>
    <row r="866" spans="1:12" x14ac:dyDescent="0.2">
      <c r="A866" s="1">
        <v>42165</v>
      </c>
      <c r="B866">
        <v>2</v>
      </c>
      <c r="C866" t="s">
        <v>11</v>
      </c>
      <c r="D866">
        <v>-5.5099999999999995E-4</v>
      </c>
      <c r="E866">
        <f t="shared" si="26"/>
        <v>0.99944900000000003</v>
      </c>
      <c r="F866" s="1">
        <f t="shared" si="27"/>
        <v>42163</v>
      </c>
      <c r="G866" cm="1">
        <f t="array" ref="G866">PRODUCT( _xlfn._xlws.FILTER($E:$E, ($C:$C=C866)*($F:$F=F866)) ) - 1</f>
        <v>-6.8017135462358214E-3</v>
      </c>
      <c r="J866" t="str">
        <v>SU</v>
      </c>
      <c r="K866" s="1">
        <v>41470</v>
      </c>
      <c r="L866">
        <v>1.7262237482922771E-2</v>
      </c>
    </row>
    <row r="867" spans="1:12" x14ac:dyDescent="0.2">
      <c r="A867" s="1">
        <v>42166</v>
      </c>
      <c r="B867">
        <v>2</v>
      </c>
      <c r="C867" t="s">
        <v>11</v>
      </c>
      <c r="D867">
        <v>6.3400000000000001E-3</v>
      </c>
      <c r="E867">
        <f t="shared" si="26"/>
        <v>1.00634</v>
      </c>
      <c r="F867" s="1">
        <f t="shared" si="27"/>
        <v>42163</v>
      </c>
      <c r="G867" cm="1">
        <f t="array" ref="G867">PRODUCT( _xlfn._xlws.FILTER($E:$E, ($C:$C=C867)*($F:$F=F867)) ) - 1</f>
        <v>-6.8017135462358214E-3</v>
      </c>
      <c r="J867" t="str">
        <v>SU</v>
      </c>
      <c r="K867" s="1">
        <v>41477</v>
      </c>
      <c r="L867">
        <v>-1.2121004638551813E-2</v>
      </c>
    </row>
    <row r="868" spans="1:12" x14ac:dyDescent="0.2">
      <c r="A868" s="1">
        <v>42167</v>
      </c>
      <c r="B868">
        <v>2</v>
      </c>
      <c r="C868" t="s">
        <v>11</v>
      </c>
      <c r="D868">
        <v>-1.37E-4</v>
      </c>
      <c r="E868">
        <f t="shared" si="26"/>
        <v>0.99986299999999995</v>
      </c>
      <c r="F868" s="1">
        <f t="shared" si="27"/>
        <v>42163</v>
      </c>
      <c r="G868" cm="1">
        <f t="array" ref="G868">PRODUCT( _xlfn._xlws.FILTER($E:$E, ($C:$C=C868)*($F:$F=F868)) ) - 1</f>
        <v>-6.8017135462358214E-3</v>
      </c>
      <c r="J868" t="str">
        <v>SU</v>
      </c>
      <c r="K868" s="1">
        <v>41484</v>
      </c>
      <c r="L868">
        <v>4.0183840899887802E-2</v>
      </c>
    </row>
    <row r="869" spans="1:12" x14ac:dyDescent="0.2">
      <c r="A869" s="1">
        <v>42170</v>
      </c>
      <c r="B869">
        <v>2</v>
      </c>
      <c r="C869" t="s">
        <v>11</v>
      </c>
      <c r="D869">
        <v>2.7390000000000001E-3</v>
      </c>
      <c r="E869">
        <f t="shared" si="26"/>
        <v>1.002739</v>
      </c>
      <c r="F869" s="1">
        <f t="shared" si="27"/>
        <v>42170</v>
      </c>
      <c r="G869" cm="1">
        <f t="array" ref="G869">PRODUCT( _xlfn._xlws.FILTER($E:$E, ($C:$C=C869)*($F:$F=F869)) ) - 1</f>
        <v>1.7121152220693325E-2</v>
      </c>
      <c r="J869" t="str">
        <v>SU</v>
      </c>
      <c r="K869" s="1">
        <v>41491</v>
      </c>
      <c r="L869">
        <v>-2.064329419493971E-2</v>
      </c>
    </row>
    <row r="870" spans="1:12" x14ac:dyDescent="0.2">
      <c r="A870" s="1">
        <v>42171</v>
      </c>
      <c r="B870">
        <v>2</v>
      </c>
      <c r="C870" t="s">
        <v>11</v>
      </c>
      <c r="D870">
        <v>2.3219999999999998E-3</v>
      </c>
      <c r="E870">
        <f t="shared" si="26"/>
        <v>1.0023219999999999</v>
      </c>
      <c r="F870" s="1">
        <f t="shared" si="27"/>
        <v>42170</v>
      </c>
      <c r="G870" cm="1">
        <f t="array" ref="G870">PRODUCT( _xlfn._xlws.FILTER($E:$E, ($C:$C=C870)*($F:$F=F870)) ) - 1</f>
        <v>1.7121152220693325E-2</v>
      </c>
      <c r="J870" t="str">
        <v>SU</v>
      </c>
      <c r="K870" s="1">
        <v>41498</v>
      </c>
      <c r="L870">
        <v>6.383710182038782E-2</v>
      </c>
    </row>
    <row r="871" spans="1:12" x14ac:dyDescent="0.2">
      <c r="A871" s="1">
        <v>42172</v>
      </c>
      <c r="B871">
        <v>2</v>
      </c>
      <c r="C871" t="s">
        <v>11</v>
      </c>
      <c r="D871">
        <v>7.7679999999999997E-3</v>
      </c>
      <c r="E871">
        <f t="shared" si="26"/>
        <v>1.007768</v>
      </c>
      <c r="F871" s="1">
        <f t="shared" si="27"/>
        <v>42170</v>
      </c>
      <c r="G871" cm="1">
        <f t="array" ref="G871">PRODUCT( _xlfn._xlws.FILTER($E:$E, ($C:$C=C871)*($F:$F=F871)) ) - 1</f>
        <v>1.7121152220693325E-2</v>
      </c>
      <c r="J871" t="str">
        <v>SU</v>
      </c>
      <c r="K871" s="1">
        <v>41505</v>
      </c>
      <c r="L871">
        <v>2.0661725908030615E-2</v>
      </c>
    </row>
    <row r="872" spans="1:12" x14ac:dyDescent="0.2">
      <c r="A872" s="1">
        <v>42173</v>
      </c>
      <c r="B872">
        <v>2</v>
      </c>
      <c r="C872" t="s">
        <v>11</v>
      </c>
      <c r="D872">
        <v>1.3117E-2</v>
      </c>
      <c r="E872">
        <f t="shared" si="26"/>
        <v>1.013117</v>
      </c>
      <c r="F872" s="1">
        <f t="shared" si="27"/>
        <v>42170</v>
      </c>
      <c r="G872" cm="1">
        <f t="array" ref="G872">PRODUCT( _xlfn._xlws.FILTER($E:$E, ($C:$C=C872)*($F:$F=F872)) ) - 1</f>
        <v>1.7121152220693325E-2</v>
      </c>
      <c r="J872" t="str">
        <v>SU</v>
      </c>
      <c r="K872" s="1">
        <v>41512</v>
      </c>
      <c r="L872">
        <v>-9.9819163991079485E-3</v>
      </c>
    </row>
    <row r="873" spans="1:12" x14ac:dyDescent="0.2">
      <c r="A873" s="1">
        <v>42174</v>
      </c>
      <c r="B873">
        <v>2</v>
      </c>
      <c r="C873" t="s">
        <v>11</v>
      </c>
      <c r="D873">
        <v>-8.8090000000000009E-3</v>
      </c>
      <c r="E873">
        <f t="shared" si="26"/>
        <v>0.99119100000000004</v>
      </c>
      <c r="F873" s="1">
        <f t="shared" si="27"/>
        <v>42170</v>
      </c>
      <c r="G873" cm="1">
        <f t="array" ref="G873">PRODUCT( _xlfn._xlws.FILTER($E:$E, ($C:$C=C873)*($F:$F=F873)) ) - 1</f>
        <v>1.7121152220693325E-2</v>
      </c>
      <c r="J873" t="str">
        <v>SU</v>
      </c>
      <c r="K873" s="1">
        <v>41519</v>
      </c>
      <c r="L873">
        <v>3.3239120825205637E-2</v>
      </c>
    </row>
    <row r="874" spans="1:12" x14ac:dyDescent="0.2">
      <c r="A874" s="1">
        <v>42177</v>
      </c>
      <c r="B874">
        <v>2</v>
      </c>
      <c r="C874" t="s">
        <v>11</v>
      </c>
      <c r="D874">
        <v>1.3736E-2</v>
      </c>
      <c r="E874">
        <f t="shared" si="26"/>
        <v>1.013736</v>
      </c>
      <c r="F874" s="1">
        <f t="shared" si="27"/>
        <v>42177</v>
      </c>
      <c r="G874" cm="1">
        <f t="array" ref="G874">PRODUCT( _xlfn._xlws.FILTER($E:$E, ($C:$C=C874)*($F:$F=F874)) ) - 1</f>
        <v>-2.1545615659809725E-2</v>
      </c>
      <c r="J874" t="str">
        <v>SU</v>
      </c>
      <c r="K874" s="1">
        <v>41526</v>
      </c>
      <c r="L874">
        <v>1.8266569884230144E-2</v>
      </c>
    </row>
    <row r="875" spans="1:12" x14ac:dyDescent="0.2">
      <c r="A875" s="1">
        <v>42178</v>
      </c>
      <c r="B875">
        <v>2</v>
      </c>
      <c r="C875" t="s">
        <v>11</v>
      </c>
      <c r="D875">
        <v>-6.6399999999999999E-4</v>
      </c>
      <c r="E875">
        <f t="shared" si="26"/>
        <v>0.999336</v>
      </c>
      <c r="F875" s="1">
        <f t="shared" si="27"/>
        <v>42177</v>
      </c>
      <c r="G875" cm="1">
        <f t="array" ref="G875">PRODUCT( _xlfn._xlws.FILTER($E:$E, ($C:$C=C875)*($F:$F=F875)) ) - 1</f>
        <v>-2.1545615659809725E-2</v>
      </c>
      <c r="J875" t="str">
        <v>SU</v>
      </c>
      <c r="K875" s="1">
        <v>41533</v>
      </c>
      <c r="L875">
        <v>-1.2314410019761968E-2</v>
      </c>
    </row>
    <row r="876" spans="1:12" x14ac:dyDescent="0.2">
      <c r="A876" s="1">
        <v>42179</v>
      </c>
      <c r="B876">
        <v>2</v>
      </c>
      <c r="C876" t="s">
        <v>11</v>
      </c>
      <c r="D876">
        <v>-1.3426E-2</v>
      </c>
      <c r="E876">
        <f t="shared" si="26"/>
        <v>0.98657399999999995</v>
      </c>
      <c r="F876" s="1">
        <f t="shared" si="27"/>
        <v>42177</v>
      </c>
      <c r="G876" cm="1">
        <f t="array" ref="G876">PRODUCT( _xlfn._xlws.FILTER($E:$E, ($C:$C=C876)*($F:$F=F876)) ) - 1</f>
        <v>-2.1545615659809725E-2</v>
      </c>
      <c r="J876" t="str">
        <v>SU</v>
      </c>
      <c r="K876" s="1">
        <v>41540</v>
      </c>
      <c r="L876">
        <v>1.1656104536598821E-2</v>
      </c>
    </row>
    <row r="877" spans="1:12" x14ac:dyDescent="0.2">
      <c r="A877" s="1">
        <v>42180</v>
      </c>
      <c r="B877">
        <v>2</v>
      </c>
      <c r="C877" t="s">
        <v>11</v>
      </c>
      <c r="D877">
        <v>-1.5629000000000001E-2</v>
      </c>
      <c r="E877">
        <f t="shared" si="26"/>
        <v>0.984371</v>
      </c>
      <c r="F877" s="1">
        <f t="shared" si="27"/>
        <v>42177</v>
      </c>
      <c r="G877" cm="1">
        <f t="array" ref="G877">PRODUCT( _xlfn._xlws.FILTER($E:$E, ($C:$C=C877)*($F:$F=F877)) ) - 1</f>
        <v>-2.1545615659809725E-2</v>
      </c>
      <c r="J877" t="str">
        <v>SU</v>
      </c>
      <c r="K877" s="1">
        <v>41547</v>
      </c>
      <c r="L877">
        <v>-1.6880509322047987E-2</v>
      </c>
    </row>
    <row r="878" spans="1:12" x14ac:dyDescent="0.2">
      <c r="A878" s="1">
        <v>42181</v>
      </c>
      <c r="B878">
        <v>2</v>
      </c>
      <c r="C878" t="s">
        <v>11</v>
      </c>
      <c r="D878">
        <v>-5.4749999999999998E-3</v>
      </c>
      <c r="E878">
        <f t="shared" si="26"/>
        <v>0.99452499999999999</v>
      </c>
      <c r="F878" s="1">
        <f t="shared" si="27"/>
        <v>42177</v>
      </c>
      <c r="G878" cm="1">
        <f t="array" ref="G878">PRODUCT( _xlfn._xlws.FILTER($E:$E, ($C:$C=C878)*($F:$F=F878)) ) - 1</f>
        <v>-2.1545615659809725E-2</v>
      </c>
      <c r="J878" t="str">
        <v>SU</v>
      </c>
      <c r="K878" s="1">
        <v>41554</v>
      </c>
      <c r="L878">
        <v>2.9985387943429753E-3</v>
      </c>
    </row>
    <row r="879" spans="1:12" x14ac:dyDescent="0.2">
      <c r="A879" s="1">
        <v>42184</v>
      </c>
      <c r="B879">
        <v>2</v>
      </c>
      <c r="C879" t="s">
        <v>11</v>
      </c>
      <c r="D879">
        <v>-1.5277000000000001E-2</v>
      </c>
      <c r="E879">
        <f t="shared" si="26"/>
        <v>0.98472300000000001</v>
      </c>
      <c r="F879" s="1">
        <f t="shared" si="27"/>
        <v>42184</v>
      </c>
      <c r="G879" cm="1">
        <f t="array" ref="G879">PRODUCT( _xlfn._xlws.FILTER($E:$E, ($C:$C=C879)*($F:$F=F879)) ) - 1</f>
        <v>1.6514936612963105E-2</v>
      </c>
      <c r="J879" t="str">
        <v>SU</v>
      </c>
      <c r="K879" s="1">
        <v>41561</v>
      </c>
      <c r="L879">
        <v>2.5272255377589259E-2</v>
      </c>
    </row>
    <row r="880" spans="1:12" x14ac:dyDescent="0.2">
      <c r="A880" s="1">
        <v>42185</v>
      </c>
      <c r="B880">
        <v>2</v>
      </c>
      <c r="C880" t="s">
        <v>11</v>
      </c>
      <c r="D880">
        <v>7.1279999999999998E-3</v>
      </c>
      <c r="E880">
        <f t="shared" si="26"/>
        <v>1.007128</v>
      </c>
      <c r="F880" s="1">
        <f t="shared" si="27"/>
        <v>42184</v>
      </c>
      <c r="G880" cm="1">
        <f t="array" ref="G880">PRODUCT( _xlfn._xlws.FILTER($E:$E, ($C:$C=C880)*($F:$F=F880)) ) - 1</f>
        <v>1.6514936612963105E-2</v>
      </c>
      <c r="J880" t="str">
        <v>SU</v>
      </c>
      <c r="K880" s="1">
        <v>41568</v>
      </c>
      <c r="L880">
        <v>-1.8560652226534691E-3</v>
      </c>
    </row>
    <row r="881" spans="1:12" x14ac:dyDescent="0.2">
      <c r="A881" s="1">
        <v>42187</v>
      </c>
      <c r="B881">
        <v>2</v>
      </c>
      <c r="C881" t="s">
        <v>11</v>
      </c>
      <c r="D881">
        <v>1.8873000000000001E-2</v>
      </c>
      <c r="E881">
        <f t="shared" si="26"/>
        <v>1.0188729999999999</v>
      </c>
      <c r="F881" s="1">
        <f t="shared" si="27"/>
        <v>42184</v>
      </c>
      <c r="G881" cm="1">
        <f t="array" ref="G881">PRODUCT( _xlfn._xlws.FILTER($E:$E, ($C:$C=C881)*($F:$F=F881)) ) - 1</f>
        <v>1.6514936612963105E-2</v>
      </c>
      <c r="J881" t="str">
        <v>SU</v>
      </c>
      <c r="K881" s="1">
        <v>41575</v>
      </c>
      <c r="L881">
        <v>-2.2835674284785057E-2</v>
      </c>
    </row>
    <row r="882" spans="1:12" x14ac:dyDescent="0.2">
      <c r="A882" s="1">
        <v>42188</v>
      </c>
      <c r="B882">
        <v>2</v>
      </c>
      <c r="C882" t="s">
        <v>11</v>
      </c>
      <c r="D882">
        <v>5.9930000000000001E-3</v>
      </c>
      <c r="E882">
        <f t="shared" si="26"/>
        <v>1.0059929999999999</v>
      </c>
      <c r="F882" s="1">
        <f t="shared" si="27"/>
        <v>42184</v>
      </c>
      <c r="G882" cm="1">
        <f t="array" ref="G882">PRODUCT( _xlfn._xlws.FILTER($E:$E, ($C:$C=C882)*($F:$F=F882)) ) - 1</f>
        <v>1.6514936612963105E-2</v>
      </c>
      <c r="J882" t="str">
        <v>SU</v>
      </c>
      <c r="K882" s="1">
        <v>41582</v>
      </c>
      <c r="L882">
        <v>1.9023265505873077E-3</v>
      </c>
    </row>
    <row r="883" spans="1:12" x14ac:dyDescent="0.2">
      <c r="A883" s="1">
        <v>42191</v>
      </c>
      <c r="B883">
        <v>2</v>
      </c>
      <c r="C883" t="s">
        <v>11</v>
      </c>
      <c r="D883">
        <v>-1.2997999999999999E-2</v>
      </c>
      <c r="E883">
        <f t="shared" si="26"/>
        <v>0.98700200000000005</v>
      </c>
      <c r="F883" s="1">
        <f t="shared" si="27"/>
        <v>42191</v>
      </c>
      <c r="G883" cm="1">
        <f t="array" ref="G883">PRODUCT( _xlfn._xlws.FILTER($E:$E, ($C:$C=C883)*($F:$F=F883)) ) - 1</f>
        <v>-1.2456345372661271E-2</v>
      </c>
      <c r="J883" t="str">
        <v>SU</v>
      </c>
      <c r="K883" s="1">
        <v>41589</v>
      </c>
      <c r="L883">
        <v>1.3290498021544028E-2</v>
      </c>
    </row>
    <row r="884" spans="1:12" x14ac:dyDescent="0.2">
      <c r="A884" s="1">
        <v>42192</v>
      </c>
      <c r="B884">
        <v>2</v>
      </c>
      <c r="C884" t="s">
        <v>11</v>
      </c>
      <c r="D884">
        <v>9.7389999999999994E-3</v>
      </c>
      <c r="E884">
        <f t="shared" si="26"/>
        <v>1.0097389999999999</v>
      </c>
      <c r="F884" s="1">
        <f t="shared" si="27"/>
        <v>42191</v>
      </c>
      <c r="G884" cm="1">
        <f t="array" ref="G884">PRODUCT( _xlfn._xlws.FILTER($E:$E, ($C:$C=C884)*($F:$F=F884)) ) - 1</f>
        <v>-1.2456345372661271E-2</v>
      </c>
      <c r="J884" t="str">
        <v>SU</v>
      </c>
      <c r="K884" s="1">
        <v>41596</v>
      </c>
      <c r="L884">
        <v>1.6060412461060158E-2</v>
      </c>
    </row>
    <row r="885" spans="1:12" x14ac:dyDescent="0.2">
      <c r="A885" s="1">
        <v>42193</v>
      </c>
      <c r="B885">
        <v>2</v>
      </c>
      <c r="C885" t="s">
        <v>11</v>
      </c>
      <c r="D885">
        <v>-1.6029999999999999E-2</v>
      </c>
      <c r="E885">
        <f t="shared" si="26"/>
        <v>0.98397000000000001</v>
      </c>
      <c r="F885" s="1">
        <f t="shared" si="27"/>
        <v>42191</v>
      </c>
      <c r="G885" cm="1">
        <f t="array" ref="G885">PRODUCT( _xlfn._xlws.FILTER($E:$E, ($C:$C=C885)*($F:$F=F885)) ) - 1</f>
        <v>-1.2456345372661271E-2</v>
      </c>
      <c r="J885" t="str">
        <v>SU</v>
      </c>
      <c r="K885" s="1">
        <v>41603</v>
      </c>
      <c r="L885">
        <v>-3.5299872166390966E-2</v>
      </c>
    </row>
    <row r="886" spans="1:12" x14ac:dyDescent="0.2">
      <c r="A886" s="1">
        <v>42194</v>
      </c>
      <c r="B886">
        <v>2</v>
      </c>
      <c r="C886" t="s">
        <v>11</v>
      </c>
      <c r="D886">
        <v>-9.3880000000000005E-3</v>
      </c>
      <c r="E886">
        <f t="shared" si="26"/>
        <v>0.99061200000000005</v>
      </c>
      <c r="F886" s="1">
        <f t="shared" si="27"/>
        <v>42191</v>
      </c>
      <c r="G886" cm="1">
        <f t="array" ref="G886">PRODUCT( _xlfn._xlws.FILTER($E:$E, ($C:$C=C886)*($F:$F=F886)) ) - 1</f>
        <v>-1.2456345372661271E-2</v>
      </c>
      <c r="J886" t="str">
        <v>SU</v>
      </c>
      <c r="K886" s="1">
        <v>41610</v>
      </c>
      <c r="L886">
        <v>-1.8945390269594298E-2</v>
      </c>
    </row>
    <row r="887" spans="1:12" x14ac:dyDescent="0.2">
      <c r="A887" s="1">
        <v>42195</v>
      </c>
      <c r="B887">
        <v>2</v>
      </c>
      <c r="C887" t="s">
        <v>11</v>
      </c>
      <c r="D887">
        <v>1.6584999999999999E-2</v>
      </c>
      <c r="E887">
        <f t="shared" si="26"/>
        <v>1.0165850000000001</v>
      </c>
      <c r="F887" s="1">
        <f t="shared" si="27"/>
        <v>42191</v>
      </c>
      <c r="G887" cm="1">
        <f t="array" ref="G887">PRODUCT( _xlfn._xlws.FILTER($E:$E, ($C:$C=C887)*($F:$F=F887)) ) - 1</f>
        <v>-1.2456345372661271E-2</v>
      </c>
      <c r="J887" t="str">
        <v>SU</v>
      </c>
      <c r="K887" s="1">
        <v>41617</v>
      </c>
      <c r="L887">
        <v>1.9589052184889599E-3</v>
      </c>
    </row>
    <row r="888" spans="1:12" x14ac:dyDescent="0.2">
      <c r="A888" s="1">
        <v>42198</v>
      </c>
      <c r="B888">
        <v>2</v>
      </c>
      <c r="C888" t="s">
        <v>11</v>
      </c>
      <c r="D888">
        <v>1.4532E-2</v>
      </c>
      <c r="E888">
        <f t="shared" si="26"/>
        <v>1.014532</v>
      </c>
      <c r="F888" s="1">
        <f t="shared" si="27"/>
        <v>42198</v>
      </c>
      <c r="G888" cm="1">
        <f t="array" ref="G888">PRODUCT( _xlfn._xlws.FILTER($E:$E, ($C:$C=C888)*($F:$F=F888)) ) - 1</f>
        <v>6.6766342046874483E-2</v>
      </c>
      <c r="J888" t="str">
        <v>SU</v>
      </c>
      <c r="K888" s="1">
        <v>41624</v>
      </c>
      <c r="L888">
        <v>1.3687443810654898E-2</v>
      </c>
    </row>
    <row r="889" spans="1:12" x14ac:dyDescent="0.2">
      <c r="A889" s="1">
        <v>42199</v>
      </c>
      <c r="B889">
        <v>2</v>
      </c>
      <c r="C889" t="s">
        <v>11</v>
      </c>
      <c r="D889">
        <v>9.0539999999999995E-3</v>
      </c>
      <c r="E889">
        <f t="shared" si="26"/>
        <v>1.0090539999999999</v>
      </c>
      <c r="F889" s="1">
        <f t="shared" si="27"/>
        <v>42198</v>
      </c>
      <c r="G889" cm="1">
        <f t="array" ref="G889">PRODUCT( _xlfn._xlws.FILTER($E:$E, ($C:$C=C889)*($F:$F=F889)) ) - 1</f>
        <v>6.6766342046874483E-2</v>
      </c>
      <c r="J889" t="str">
        <v>SU</v>
      </c>
      <c r="K889" s="1">
        <v>41631</v>
      </c>
      <c r="L889">
        <v>2.6178500273849492E-2</v>
      </c>
    </row>
    <row r="890" spans="1:12" x14ac:dyDescent="0.2">
      <c r="A890" s="1">
        <v>42200</v>
      </c>
      <c r="B890">
        <v>2</v>
      </c>
      <c r="C890" t="s">
        <v>11</v>
      </c>
      <c r="D890">
        <v>2.5579000000000001E-2</v>
      </c>
      <c r="E890">
        <f t="shared" si="26"/>
        <v>1.025579</v>
      </c>
      <c r="F890" s="1">
        <f t="shared" si="27"/>
        <v>42198</v>
      </c>
      <c r="G890" cm="1">
        <f t="array" ref="G890">PRODUCT( _xlfn._xlws.FILTER($E:$E, ($C:$C=C890)*($F:$F=F890)) ) - 1</f>
        <v>6.6766342046874483E-2</v>
      </c>
      <c r="J890" t="str">
        <v>SU</v>
      </c>
      <c r="K890" s="1">
        <v>41638</v>
      </c>
      <c r="L890">
        <v>-1.7723377742030921E-2</v>
      </c>
    </row>
    <row r="891" spans="1:12" x14ac:dyDescent="0.2">
      <c r="A891" s="1">
        <v>42201</v>
      </c>
      <c r="B891">
        <v>2</v>
      </c>
      <c r="C891" t="s">
        <v>11</v>
      </c>
      <c r="D891">
        <v>1.9589999999999998E-3</v>
      </c>
      <c r="E891">
        <f t="shared" si="26"/>
        <v>1.001959</v>
      </c>
      <c r="F891" s="1">
        <f t="shared" si="27"/>
        <v>42198</v>
      </c>
      <c r="G891" cm="1">
        <f t="array" ref="G891">PRODUCT( _xlfn._xlws.FILTER($E:$E, ($C:$C=C891)*($F:$F=F891)) ) - 1</f>
        <v>6.6766342046874483E-2</v>
      </c>
      <c r="J891" t="str">
        <v>SU</v>
      </c>
      <c r="K891" s="1">
        <v>41645</v>
      </c>
      <c r="L891">
        <v>3.7725021790976587E-2</v>
      </c>
    </row>
    <row r="892" spans="1:12" x14ac:dyDescent="0.2">
      <c r="A892" s="1">
        <v>42202</v>
      </c>
      <c r="B892">
        <v>2</v>
      </c>
      <c r="C892" t="s">
        <v>11</v>
      </c>
      <c r="D892">
        <v>1.4075000000000001E-2</v>
      </c>
      <c r="E892">
        <f t="shared" si="26"/>
        <v>1.0140750000000001</v>
      </c>
      <c r="F892" s="1">
        <f t="shared" si="27"/>
        <v>42198</v>
      </c>
      <c r="G892" cm="1">
        <f t="array" ref="G892">PRODUCT( _xlfn._xlws.FILTER($E:$E, ($C:$C=C892)*($F:$F=F892)) ) - 1</f>
        <v>6.6766342046874483E-2</v>
      </c>
      <c r="J892" t="str">
        <v>SU</v>
      </c>
      <c r="K892" s="1">
        <v>41652</v>
      </c>
      <c r="L892">
        <v>-1.5278986767973457E-2</v>
      </c>
    </row>
    <row r="893" spans="1:12" x14ac:dyDescent="0.2">
      <c r="A893" s="1">
        <v>42205</v>
      </c>
      <c r="B893">
        <v>2</v>
      </c>
      <c r="C893" t="s">
        <v>11</v>
      </c>
      <c r="D893">
        <v>1.157E-3</v>
      </c>
      <c r="E893">
        <f t="shared" si="26"/>
        <v>1.0011570000000001</v>
      </c>
      <c r="F893" s="1">
        <f t="shared" si="27"/>
        <v>42205</v>
      </c>
      <c r="G893" cm="1">
        <f t="array" ref="G893">PRODUCT( _xlfn._xlws.FILTER($E:$E, ($C:$C=C893)*($F:$F=F893)) ) - 1</f>
        <v>1.4779316416841271E-2</v>
      </c>
      <c r="J893" t="str">
        <v>SU</v>
      </c>
      <c r="K893" s="1">
        <v>41659</v>
      </c>
      <c r="L893">
        <v>-1.2573779089588233E-2</v>
      </c>
    </row>
    <row r="894" spans="1:12" x14ac:dyDescent="0.2">
      <c r="A894" s="1">
        <v>42206</v>
      </c>
      <c r="B894">
        <v>2</v>
      </c>
      <c r="C894" t="s">
        <v>11</v>
      </c>
      <c r="D894">
        <v>2.1694000000000001E-2</v>
      </c>
      <c r="E894">
        <f t="shared" si="26"/>
        <v>1.0216940000000001</v>
      </c>
      <c r="F894" s="1">
        <f t="shared" si="27"/>
        <v>42205</v>
      </c>
      <c r="G894" cm="1">
        <f t="array" ref="G894">PRODUCT( _xlfn._xlws.FILTER($E:$E, ($C:$C=C894)*($F:$F=F894)) ) - 1</f>
        <v>1.4779316416841271E-2</v>
      </c>
      <c r="J894" t="str">
        <v>SU</v>
      </c>
      <c r="K894" s="1">
        <v>41666</v>
      </c>
      <c r="L894">
        <v>-8.669153268990426E-3</v>
      </c>
    </row>
    <row r="895" spans="1:12" x14ac:dyDescent="0.2">
      <c r="A895" s="1">
        <v>42207</v>
      </c>
      <c r="B895">
        <v>2</v>
      </c>
      <c r="C895" t="s">
        <v>11</v>
      </c>
      <c r="D895">
        <v>-7.54E-4</v>
      </c>
      <c r="E895">
        <f t="shared" si="26"/>
        <v>0.99924599999999997</v>
      </c>
      <c r="F895" s="1">
        <f t="shared" si="27"/>
        <v>42205</v>
      </c>
      <c r="G895" cm="1">
        <f t="array" ref="G895">PRODUCT( _xlfn._xlws.FILTER($E:$E, ($C:$C=C895)*($F:$F=F895)) ) - 1</f>
        <v>1.4779316416841271E-2</v>
      </c>
      <c r="J895" t="str">
        <v>SU</v>
      </c>
      <c r="K895" s="1">
        <v>41673</v>
      </c>
      <c r="L895">
        <v>-9.0181255842164409E-3</v>
      </c>
    </row>
    <row r="896" spans="1:12" x14ac:dyDescent="0.2">
      <c r="A896" s="1">
        <v>42208</v>
      </c>
      <c r="B896">
        <v>2</v>
      </c>
      <c r="C896" t="s">
        <v>11</v>
      </c>
      <c r="D896">
        <v>-1.2197E-2</v>
      </c>
      <c r="E896">
        <f t="shared" si="26"/>
        <v>0.98780299999999999</v>
      </c>
      <c r="F896" s="1">
        <f t="shared" si="27"/>
        <v>42205</v>
      </c>
      <c r="G896" cm="1">
        <f t="array" ref="G896">PRODUCT( _xlfn._xlws.FILTER($E:$E, ($C:$C=C896)*($F:$F=F896)) ) - 1</f>
        <v>1.4779316416841271E-2</v>
      </c>
      <c r="J896" t="str">
        <v>SU</v>
      </c>
      <c r="K896" s="1">
        <v>41680</v>
      </c>
      <c r="L896">
        <v>1.2687091743120105E-2</v>
      </c>
    </row>
    <row r="897" spans="1:12" x14ac:dyDescent="0.2">
      <c r="A897" s="1">
        <v>42209</v>
      </c>
      <c r="B897">
        <v>2</v>
      </c>
      <c r="C897" t="s">
        <v>11</v>
      </c>
      <c r="D897">
        <v>5.0920000000000002E-3</v>
      </c>
      <c r="E897">
        <f t="shared" si="26"/>
        <v>1.0050920000000001</v>
      </c>
      <c r="F897" s="1">
        <f t="shared" si="27"/>
        <v>42205</v>
      </c>
      <c r="G897" cm="1">
        <f t="array" ref="G897">PRODUCT( _xlfn._xlws.FILTER($E:$E, ($C:$C=C897)*($F:$F=F897)) ) - 1</f>
        <v>1.4779316416841271E-2</v>
      </c>
      <c r="J897" t="str">
        <v>SU</v>
      </c>
      <c r="K897" s="1">
        <v>41687</v>
      </c>
      <c r="L897">
        <v>-1.90672861829011E-3</v>
      </c>
    </row>
    <row r="898" spans="1:12" x14ac:dyDescent="0.2">
      <c r="A898" s="1">
        <v>42212</v>
      </c>
      <c r="B898">
        <v>2</v>
      </c>
      <c r="C898" t="s">
        <v>11</v>
      </c>
      <c r="D898">
        <v>-5.4460000000000003E-3</v>
      </c>
      <c r="E898">
        <f t="shared" si="26"/>
        <v>0.99455400000000005</v>
      </c>
      <c r="F898" s="1">
        <f t="shared" si="27"/>
        <v>42212</v>
      </c>
      <c r="G898" cm="1">
        <f t="array" ref="G898">PRODUCT( _xlfn._xlws.FILTER($E:$E, ($C:$C=C898)*($F:$F=F898)) ) - 1</f>
        <v>3.3308754159414145E-2</v>
      </c>
      <c r="J898" t="str">
        <v>SU</v>
      </c>
      <c r="K898" s="1">
        <v>41694</v>
      </c>
      <c r="L898">
        <v>3.0011687094539941E-3</v>
      </c>
    </row>
    <row r="899" spans="1:12" x14ac:dyDescent="0.2">
      <c r="A899" s="1">
        <v>42213</v>
      </c>
      <c r="B899">
        <v>2</v>
      </c>
      <c r="C899" t="s">
        <v>11</v>
      </c>
      <c r="D899">
        <v>1.4517E-2</v>
      </c>
      <c r="E899">
        <f t="shared" si="26"/>
        <v>1.0145169999999999</v>
      </c>
      <c r="F899" s="1">
        <f t="shared" si="27"/>
        <v>42212</v>
      </c>
      <c r="G899" cm="1">
        <f t="array" ref="G899">PRODUCT( _xlfn._xlws.FILTER($E:$E, ($C:$C=C899)*($F:$F=F899)) ) - 1</f>
        <v>3.3308754159414145E-2</v>
      </c>
      <c r="J899" t="str">
        <v>SU</v>
      </c>
      <c r="K899" s="1">
        <v>41701</v>
      </c>
      <c r="L899">
        <v>1.0402185365192107E-2</v>
      </c>
    </row>
    <row r="900" spans="1:12" x14ac:dyDescent="0.2">
      <c r="A900" s="1">
        <v>42214</v>
      </c>
      <c r="B900">
        <v>2</v>
      </c>
      <c r="C900" t="s">
        <v>11</v>
      </c>
      <c r="D900">
        <v>1.7697999999999998E-2</v>
      </c>
      <c r="E900">
        <f t="shared" ref="E900:E963" si="28">D900+1</f>
        <v>1.017698</v>
      </c>
      <c r="F900" s="1">
        <f t="shared" ref="F900:F963" si="29">A900 - (WEEKDAY(A900, 2) - 1)</f>
        <v>42212</v>
      </c>
      <c r="G900" cm="1">
        <f t="array" ref="G900">PRODUCT( _xlfn._xlws.FILTER($E:$E, ($C:$C=C900)*($F:$F=F900)) ) - 1</f>
        <v>3.3308754159414145E-2</v>
      </c>
      <c r="J900" t="str">
        <v>SU</v>
      </c>
      <c r="K900" s="1">
        <v>41708</v>
      </c>
      <c r="L900">
        <v>-1.815280613318182E-2</v>
      </c>
    </row>
    <row r="901" spans="1:12" x14ac:dyDescent="0.2">
      <c r="A901" s="1">
        <v>42215</v>
      </c>
      <c r="B901">
        <v>2</v>
      </c>
      <c r="C901" t="s">
        <v>11</v>
      </c>
      <c r="D901">
        <v>6.9069999999999999E-3</v>
      </c>
      <c r="E901">
        <f t="shared" si="28"/>
        <v>1.006907</v>
      </c>
      <c r="F901" s="1">
        <f t="shared" si="29"/>
        <v>42212</v>
      </c>
      <c r="G901" cm="1">
        <f t="array" ref="G901">PRODUCT( _xlfn._xlws.FILTER($E:$E, ($C:$C=C901)*($F:$F=F901)) ) - 1</f>
        <v>3.3308754159414145E-2</v>
      </c>
      <c r="J901" t="str">
        <v>SU</v>
      </c>
      <c r="K901" s="1">
        <v>41715</v>
      </c>
      <c r="L901">
        <v>2.7588997966228046E-3</v>
      </c>
    </row>
    <row r="902" spans="1:12" x14ac:dyDescent="0.2">
      <c r="A902" s="1">
        <v>42216</v>
      </c>
      <c r="B902">
        <v>2</v>
      </c>
      <c r="C902" t="s">
        <v>11</v>
      </c>
      <c r="D902">
        <v>-6.1200000000000002E-4</v>
      </c>
      <c r="E902">
        <f t="shared" si="28"/>
        <v>0.99938800000000005</v>
      </c>
      <c r="F902" s="1">
        <f t="shared" si="29"/>
        <v>42212</v>
      </c>
      <c r="G902" cm="1">
        <f t="array" ref="G902">PRODUCT( _xlfn._xlws.FILTER($E:$E, ($C:$C=C902)*($F:$F=F902)) ) - 1</f>
        <v>3.3308754159414145E-2</v>
      </c>
      <c r="J902" t="str">
        <v>SU</v>
      </c>
      <c r="K902" s="1">
        <v>41722</v>
      </c>
      <c r="L902">
        <v>5.0907695189054136E-2</v>
      </c>
    </row>
    <row r="903" spans="1:12" x14ac:dyDescent="0.2">
      <c r="A903" s="1">
        <v>42220</v>
      </c>
      <c r="B903">
        <v>2</v>
      </c>
      <c r="C903" t="s">
        <v>11</v>
      </c>
      <c r="D903">
        <v>1.3114000000000001E-2</v>
      </c>
      <c r="E903">
        <f t="shared" si="28"/>
        <v>1.0131140000000001</v>
      </c>
      <c r="F903" s="1">
        <f t="shared" si="29"/>
        <v>42219</v>
      </c>
      <c r="G903" cm="1">
        <f t="array" ref="G903">PRODUCT( _xlfn._xlws.FILTER($E:$E, ($C:$C=C903)*($F:$F=F903)) ) - 1</f>
        <v>2.4408968793854235E-4</v>
      </c>
      <c r="J903" t="str">
        <v>SU</v>
      </c>
      <c r="K903" s="1">
        <v>41729</v>
      </c>
      <c r="L903">
        <v>3.561130854231731E-2</v>
      </c>
    </row>
    <row r="904" spans="1:12" x14ac:dyDescent="0.2">
      <c r="A904" s="1">
        <v>42221</v>
      </c>
      <c r="B904">
        <v>2</v>
      </c>
      <c r="C904" t="s">
        <v>11</v>
      </c>
      <c r="D904">
        <v>3.5079999999999998E-3</v>
      </c>
      <c r="E904">
        <f t="shared" si="28"/>
        <v>1.0035080000000001</v>
      </c>
      <c r="F904" s="1">
        <f t="shared" si="29"/>
        <v>42219</v>
      </c>
      <c r="G904" cm="1">
        <f t="array" ref="G904">PRODUCT( _xlfn._xlws.FILTER($E:$E, ($C:$C=C904)*($F:$F=F904)) ) - 1</f>
        <v>2.4408968793854235E-4</v>
      </c>
      <c r="J904" t="str">
        <v>SU</v>
      </c>
      <c r="K904" s="1">
        <v>41736</v>
      </c>
      <c r="L904">
        <v>-2.0227460628632343E-3</v>
      </c>
    </row>
    <row r="905" spans="1:12" x14ac:dyDescent="0.2">
      <c r="A905" s="1">
        <v>42222</v>
      </c>
      <c r="B905">
        <v>2</v>
      </c>
      <c r="C905" t="s">
        <v>11</v>
      </c>
      <c r="D905">
        <v>-1.302E-2</v>
      </c>
      <c r="E905">
        <f t="shared" si="28"/>
        <v>0.98697999999999997</v>
      </c>
      <c r="F905" s="1">
        <f t="shared" si="29"/>
        <v>42219</v>
      </c>
      <c r="G905" cm="1">
        <f t="array" ref="G905">PRODUCT( _xlfn._xlws.FILTER($E:$E, ($C:$C=C905)*($F:$F=F905)) ) - 1</f>
        <v>2.4408968793854235E-4</v>
      </c>
      <c r="J905" t="str">
        <v>SU</v>
      </c>
      <c r="K905" s="1">
        <v>41743</v>
      </c>
      <c r="L905">
        <v>2.5335499676953255E-2</v>
      </c>
    </row>
    <row r="906" spans="1:12" x14ac:dyDescent="0.2">
      <c r="A906" s="1">
        <v>42223</v>
      </c>
      <c r="B906">
        <v>2</v>
      </c>
      <c r="C906" t="s">
        <v>11</v>
      </c>
      <c r="D906">
        <v>-3.176E-3</v>
      </c>
      <c r="E906">
        <f t="shared" si="28"/>
        <v>0.99682400000000004</v>
      </c>
      <c r="F906" s="1">
        <f t="shared" si="29"/>
        <v>42219</v>
      </c>
      <c r="G906" cm="1">
        <f t="array" ref="G906">PRODUCT( _xlfn._xlws.FILTER($E:$E, ($C:$C=C906)*($F:$F=F906)) ) - 1</f>
        <v>2.4408968793854235E-4</v>
      </c>
      <c r="J906" t="str">
        <v>SU</v>
      </c>
      <c r="K906" s="1">
        <v>41750</v>
      </c>
      <c r="L906">
        <v>1.2107364350874894E-2</v>
      </c>
    </row>
    <row r="907" spans="1:12" x14ac:dyDescent="0.2">
      <c r="A907" s="1">
        <v>42226</v>
      </c>
      <c r="B907">
        <v>2</v>
      </c>
      <c r="C907" t="s">
        <v>11</v>
      </c>
      <c r="D907">
        <v>6.9839999999999998E-3</v>
      </c>
      <c r="E907">
        <f t="shared" si="28"/>
        <v>1.0069840000000001</v>
      </c>
      <c r="F907" s="1">
        <f t="shared" si="29"/>
        <v>42226</v>
      </c>
      <c r="G907" cm="1">
        <f t="array" ref="G907">PRODUCT( _xlfn._xlws.FILTER($E:$E, ($C:$C=C907)*($F:$F=F907)) ) - 1</f>
        <v>-8.0869909910576965E-3</v>
      </c>
      <c r="J907" t="str">
        <v>SU</v>
      </c>
      <c r="K907" s="1">
        <v>41757</v>
      </c>
      <c r="L907">
        <v>5.5175393172841147E-2</v>
      </c>
    </row>
    <row r="908" spans="1:12" x14ac:dyDescent="0.2">
      <c r="A908" s="1">
        <v>42227</v>
      </c>
      <c r="B908">
        <v>2</v>
      </c>
      <c r="C908" t="s">
        <v>11</v>
      </c>
      <c r="D908">
        <v>-1.375E-2</v>
      </c>
      <c r="E908">
        <f t="shared" si="28"/>
        <v>0.98624999999999996</v>
      </c>
      <c r="F908" s="1">
        <f t="shared" si="29"/>
        <v>42226</v>
      </c>
      <c r="G908" cm="1">
        <f t="array" ref="G908">PRODUCT( _xlfn._xlws.FILTER($E:$E, ($C:$C=C908)*($F:$F=F908)) ) - 1</f>
        <v>-8.0869909910576965E-3</v>
      </c>
      <c r="J908" t="str">
        <v>SU</v>
      </c>
      <c r="K908" s="1">
        <v>41764</v>
      </c>
      <c r="L908">
        <v>-2.4987788971471137E-2</v>
      </c>
    </row>
    <row r="909" spans="1:12" x14ac:dyDescent="0.2">
      <c r="A909" s="1">
        <v>42228</v>
      </c>
      <c r="B909">
        <v>2</v>
      </c>
      <c r="C909" t="s">
        <v>11</v>
      </c>
      <c r="D909">
        <v>-1.0858E-2</v>
      </c>
      <c r="E909">
        <f t="shared" si="28"/>
        <v>0.98914199999999997</v>
      </c>
      <c r="F909" s="1">
        <f t="shared" si="29"/>
        <v>42226</v>
      </c>
      <c r="G909" cm="1">
        <f t="array" ref="G909">PRODUCT( _xlfn._xlws.FILTER($E:$E, ($C:$C=C909)*($F:$F=F909)) ) - 1</f>
        <v>-8.0869909910576965E-3</v>
      </c>
      <c r="J909" t="str">
        <v>SU</v>
      </c>
      <c r="K909" s="1">
        <v>41771</v>
      </c>
      <c r="L909">
        <v>1.9761131997420023E-7</v>
      </c>
    </row>
    <row r="910" spans="1:12" x14ac:dyDescent="0.2">
      <c r="A910" s="1">
        <v>42229</v>
      </c>
      <c r="B910">
        <v>2</v>
      </c>
      <c r="C910" t="s">
        <v>11</v>
      </c>
      <c r="D910">
        <v>8.2330000000000007E-3</v>
      </c>
      <c r="E910">
        <f t="shared" si="28"/>
        <v>1.0082329999999999</v>
      </c>
      <c r="F910" s="1">
        <f t="shared" si="29"/>
        <v>42226</v>
      </c>
      <c r="G910" cm="1">
        <f t="array" ref="G910">PRODUCT( _xlfn._xlws.FILTER($E:$E, ($C:$C=C910)*($F:$F=F910)) ) - 1</f>
        <v>-8.0869909910576965E-3</v>
      </c>
      <c r="J910" t="str">
        <v>SU</v>
      </c>
      <c r="K910" s="1">
        <v>41778</v>
      </c>
      <c r="L910">
        <v>5.9321527503868321E-3</v>
      </c>
    </row>
    <row r="911" spans="1:12" x14ac:dyDescent="0.2">
      <c r="A911" s="1">
        <v>42230</v>
      </c>
      <c r="B911">
        <v>2</v>
      </c>
      <c r="C911" t="s">
        <v>11</v>
      </c>
      <c r="D911">
        <v>1.485E-3</v>
      </c>
      <c r="E911">
        <f t="shared" si="28"/>
        <v>1.001485</v>
      </c>
      <c r="F911" s="1">
        <f t="shared" si="29"/>
        <v>42226</v>
      </c>
      <c r="G911" cm="1">
        <f t="array" ref="G911">PRODUCT( _xlfn._xlws.FILTER($E:$E, ($C:$C=C911)*($F:$F=F911)) ) - 1</f>
        <v>-8.0869909910576965E-3</v>
      </c>
      <c r="J911" t="str">
        <v>SU</v>
      </c>
      <c r="K911" s="1">
        <v>41785</v>
      </c>
      <c r="L911">
        <v>-1.5570580992384953E-2</v>
      </c>
    </row>
    <row r="912" spans="1:12" x14ac:dyDescent="0.2">
      <c r="A912" s="1">
        <v>42233</v>
      </c>
      <c r="B912">
        <v>2</v>
      </c>
      <c r="C912" t="s">
        <v>11</v>
      </c>
      <c r="D912">
        <v>-1.0377000000000001E-2</v>
      </c>
      <c r="E912">
        <f t="shared" si="28"/>
        <v>0.98962300000000003</v>
      </c>
      <c r="F912" s="1">
        <f t="shared" si="29"/>
        <v>42233</v>
      </c>
      <c r="G912" cm="1">
        <f t="array" ref="G912">PRODUCT( _xlfn._xlws.FILTER($E:$E, ($C:$C=C912)*($F:$F=F912)) ) - 1</f>
        <v>-8.350769397130775E-2</v>
      </c>
      <c r="J912" t="str">
        <v>SU</v>
      </c>
      <c r="K912" s="1">
        <v>41792</v>
      </c>
      <c r="L912">
        <v>3.2457367364262968E-2</v>
      </c>
    </row>
    <row r="913" spans="1:12" x14ac:dyDescent="0.2">
      <c r="A913" s="1">
        <v>42234</v>
      </c>
      <c r="B913">
        <v>2</v>
      </c>
      <c r="C913" t="s">
        <v>11</v>
      </c>
      <c r="D913">
        <v>-7.4900000000000001E-3</v>
      </c>
      <c r="E913">
        <f t="shared" si="28"/>
        <v>0.99251</v>
      </c>
      <c r="F913" s="1">
        <f t="shared" si="29"/>
        <v>42233</v>
      </c>
      <c r="G913" cm="1">
        <f t="array" ref="G913">PRODUCT( _xlfn._xlws.FILTER($E:$E, ($C:$C=C913)*($F:$F=F913)) ) - 1</f>
        <v>-8.350769397130775E-2</v>
      </c>
      <c r="J913" t="str">
        <v>SU</v>
      </c>
      <c r="K913" s="1">
        <v>41799</v>
      </c>
      <c r="L913">
        <v>8.1679004329025862E-2</v>
      </c>
    </row>
    <row r="914" spans="1:12" x14ac:dyDescent="0.2">
      <c r="A914" s="1">
        <v>42235</v>
      </c>
      <c r="B914">
        <v>2</v>
      </c>
      <c r="C914" t="s">
        <v>11</v>
      </c>
      <c r="D914">
        <v>-1.8362E-2</v>
      </c>
      <c r="E914">
        <f t="shared" si="28"/>
        <v>0.98163800000000001</v>
      </c>
      <c r="F914" s="1">
        <f t="shared" si="29"/>
        <v>42233</v>
      </c>
      <c r="G914" cm="1">
        <f t="array" ref="G914">PRODUCT( _xlfn._xlws.FILTER($E:$E, ($C:$C=C914)*($F:$F=F914)) ) - 1</f>
        <v>-8.350769397130775E-2</v>
      </c>
      <c r="J914" t="str">
        <v>SU</v>
      </c>
      <c r="K914" s="1">
        <v>41806</v>
      </c>
      <c r="L914">
        <v>-6.0413767741369639E-3</v>
      </c>
    </row>
    <row r="915" spans="1:12" x14ac:dyDescent="0.2">
      <c r="A915" s="1">
        <v>42236</v>
      </c>
      <c r="B915">
        <v>2</v>
      </c>
      <c r="C915" t="s">
        <v>11</v>
      </c>
      <c r="D915">
        <v>-2.7418000000000001E-2</v>
      </c>
      <c r="E915">
        <f t="shared" si="28"/>
        <v>0.97258199999999995</v>
      </c>
      <c r="F915" s="1">
        <f t="shared" si="29"/>
        <v>42233</v>
      </c>
      <c r="G915" cm="1">
        <f t="array" ref="G915">PRODUCT( _xlfn._xlws.FILTER($E:$E, ($C:$C=C915)*($F:$F=F915)) ) - 1</f>
        <v>-8.350769397130775E-2</v>
      </c>
      <c r="J915" t="str">
        <v>SU</v>
      </c>
      <c r="K915" s="1">
        <v>41813</v>
      </c>
      <c r="L915">
        <v>-9.984430965538138E-3</v>
      </c>
    </row>
    <row r="916" spans="1:12" x14ac:dyDescent="0.2">
      <c r="A916" s="1">
        <v>42237</v>
      </c>
      <c r="B916">
        <v>2</v>
      </c>
      <c r="C916" t="s">
        <v>11</v>
      </c>
      <c r="D916">
        <v>-2.2658000000000001E-2</v>
      </c>
      <c r="E916">
        <f t="shared" si="28"/>
        <v>0.97734200000000004</v>
      </c>
      <c r="F916" s="1">
        <f t="shared" si="29"/>
        <v>42233</v>
      </c>
      <c r="G916" cm="1">
        <f t="array" ref="G916">PRODUCT( _xlfn._xlws.FILTER($E:$E, ($C:$C=C916)*($F:$F=F916)) ) - 1</f>
        <v>-8.350769397130775E-2</v>
      </c>
      <c r="J916" t="str">
        <v>SU</v>
      </c>
      <c r="K916" s="1">
        <v>41820</v>
      </c>
      <c r="L916">
        <v>-6.5775145619828557E-3</v>
      </c>
    </row>
    <row r="917" spans="1:12" x14ac:dyDescent="0.2">
      <c r="A917" s="1">
        <v>42240</v>
      </c>
      <c r="B917">
        <v>2</v>
      </c>
      <c r="C917" t="s">
        <v>11</v>
      </c>
      <c r="D917">
        <v>-1.9543999999999999E-2</v>
      </c>
      <c r="E917">
        <f t="shared" si="28"/>
        <v>0.98045599999999999</v>
      </c>
      <c r="F917" s="1">
        <f t="shared" si="29"/>
        <v>42240</v>
      </c>
      <c r="G917" cm="1">
        <f t="array" ref="G917">PRODUCT( _xlfn._xlws.FILTER($E:$E, ($C:$C=C917)*($F:$F=F917)) ) - 1</f>
        <v>-8.7608032917181333E-3</v>
      </c>
      <c r="J917" t="str">
        <v>SU</v>
      </c>
      <c r="K917" s="1">
        <v>41827</v>
      </c>
      <c r="L917">
        <v>-2.3616316022406547E-2</v>
      </c>
    </row>
    <row r="918" spans="1:12" x14ac:dyDescent="0.2">
      <c r="A918" s="1">
        <v>42241</v>
      </c>
      <c r="B918">
        <v>2</v>
      </c>
      <c r="C918" t="s">
        <v>11</v>
      </c>
      <c r="D918">
        <v>-2.3646E-2</v>
      </c>
      <c r="E918">
        <f t="shared" si="28"/>
        <v>0.97635399999999994</v>
      </c>
      <c r="F918" s="1">
        <f t="shared" si="29"/>
        <v>42240</v>
      </c>
      <c r="G918" cm="1">
        <f t="array" ref="G918">PRODUCT( _xlfn._xlws.FILTER($E:$E, ($C:$C=C918)*($F:$F=F918)) ) - 1</f>
        <v>-8.7608032917181333E-3</v>
      </c>
      <c r="J918" t="str">
        <v>SU</v>
      </c>
      <c r="K918" s="1">
        <v>41834</v>
      </c>
      <c r="L918">
        <v>8.5891727330487111E-3</v>
      </c>
    </row>
    <row r="919" spans="1:12" x14ac:dyDescent="0.2">
      <c r="A919" s="1">
        <v>42242</v>
      </c>
      <c r="B919">
        <v>2</v>
      </c>
      <c r="C919" t="s">
        <v>11</v>
      </c>
      <c r="D919">
        <v>7.6039999999999996E-3</v>
      </c>
      <c r="E919">
        <f t="shared" si="28"/>
        <v>1.0076039999999999</v>
      </c>
      <c r="F919" s="1">
        <f t="shared" si="29"/>
        <v>42240</v>
      </c>
      <c r="G919" cm="1">
        <f t="array" ref="G919">PRODUCT( _xlfn._xlws.FILTER($E:$E, ($C:$C=C919)*($F:$F=F919)) ) - 1</f>
        <v>-8.7608032917181333E-3</v>
      </c>
      <c r="J919" t="str">
        <v>SU</v>
      </c>
      <c r="K919" s="1">
        <v>41841</v>
      </c>
      <c r="L919">
        <v>2.12907741679218E-2</v>
      </c>
    </row>
    <row r="920" spans="1:12" x14ac:dyDescent="0.2">
      <c r="A920" s="1">
        <v>42243</v>
      </c>
      <c r="B920">
        <v>2</v>
      </c>
      <c r="C920" t="s">
        <v>11</v>
      </c>
      <c r="D920">
        <v>2.5014000000000002E-2</v>
      </c>
      <c r="E920">
        <f t="shared" si="28"/>
        <v>1.0250140000000001</v>
      </c>
      <c r="F920" s="1">
        <f t="shared" si="29"/>
        <v>42240</v>
      </c>
      <c r="G920" cm="1">
        <f t="array" ref="G920">PRODUCT( _xlfn._xlws.FILTER($E:$E, ($C:$C=C920)*($F:$F=F920)) ) - 1</f>
        <v>-8.7608032917181333E-3</v>
      </c>
      <c r="J920" t="str">
        <v>SU</v>
      </c>
      <c r="K920" s="1">
        <v>41848</v>
      </c>
      <c r="L920">
        <v>-4.6961224846386318E-2</v>
      </c>
    </row>
    <row r="921" spans="1:12" x14ac:dyDescent="0.2">
      <c r="A921" s="1">
        <v>42244</v>
      </c>
      <c r="B921">
        <v>2</v>
      </c>
      <c r="C921" t="s">
        <v>11</v>
      </c>
      <c r="D921">
        <v>2.5899999999999999E-3</v>
      </c>
      <c r="E921">
        <f t="shared" si="28"/>
        <v>1.0025900000000001</v>
      </c>
      <c r="F921" s="1">
        <f t="shared" si="29"/>
        <v>42240</v>
      </c>
      <c r="G921" cm="1">
        <f t="array" ref="G921">PRODUCT( _xlfn._xlws.FILTER($E:$E, ($C:$C=C921)*($F:$F=F921)) ) - 1</f>
        <v>-8.7608032917181333E-3</v>
      </c>
      <c r="J921" t="str">
        <v>SU</v>
      </c>
      <c r="K921" s="1">
        <v>41855</v>
      </c>
      <c r="L921">
        <v>-9.9009098983823263E-3</v>
      </c>
    </row>
    <row r="922" spans="1:12" x14ac:dyDescent="0.2">
      <c r="A922" s="1">
        <v>42247</v>
      </c>
      <c r="B922">
        <v>2</v>
      </c>
      <c r="C922" t="s">
        <v>11</v>
      </c>
      <c r="D922">
        <v>-7.2069999999999999E-3</v>
      </c>
      <c r="E922">
        <f t="shared" si="28"/>
        <v>0.99279300000000004</v>
      </c>
      <c r="F922" s="1">
        <f t="shared" si="29"/>
        <v>42247</v>
      </c>
      <c r="G922" cm="1">
        <f t="array" ref="G922">PRODUCT( _xlfn._xlws.FILTER($E:$E, ($C:$C=C922)*($F:$F=F922)) ) - 1</f>
        <v>-3.3009448354905491E-2</v>
      </c>
      <c r="J922" t="str">
        <v>SU</v>
      </c>
      <c r="K922" s="1">
        <v>41862</v>
      </c>
      <c r="L922">
        <v>-1.3946403854977474E-3</v>
      </c>
    </row>
    <row r="923" spans="1:12" x14ac:dyDescent="0.2">
      <c r="A923" s="1">
        <v>42248</v>
      </c>
      <c r="B923">
        <v>2</v>
      </c>
      <c r="C923" t="s">
        <v>11</v>
      </c>
      <c r="D923">
        <v>-1.7257999999999999E-2</v>
      </c>
      <c r="E923">
        <f t="shared" si="28"/>
        <v>0.982742</v>
      </c>
      <c r="F923" s="1">
        <f t="shared" si="29"/>
        <v>42247</v>
      </c>
      <c r="G923" cm="1">
        <f t="array" ref="G923">PRODUCT( _xlfn._xlws.FILTER($E:$E, ($C:$C=C923)*($F:$F=F923)) ) - 1</f>
        <v>-3.3009448354905491E-2</v>
      </c>
      <c r="J923" t="str">
        <v>SU</v>
      </c>
      <c r="K923" s="1">
        <v>41869</v>
      </c>
      <c r="L923">
        <v>2.3753956906755525E-2</v>
      </c>
    </row>
    <row r="924" spans="1:12" x14ac:dyDescent="0.2">
      <c r="A924" s="1">
        <v>42249</v>
      </c>
      <c r="B924">
        <v>2</v>
      </c>
      <c r="C924" t="s">
        <v>11</v>
      </c>
      <c r="D924">
        <v>-4.7390000000000002E-3</v>
      </c>
      <c r="E924">
        <f t="shared" si="28"/>
        <v>0.99526099999999995</v>
      </c>
      <c r="F924" s="1">
        <f t="shared" si="29"/>
        <v>42247</v>
      </c>
      <c r="G924" cm="1">
        <f t="array" ref="G924">PRODUCT( _xlfn._xlws.FILTER($E:$E, ($C:$C=C924)*($F:$F=F924)) ) - 1</f>
        <v>-3.3009448354905491E-2</v>
      </c>
      <c r="J924" t="str">
        <v>SU</v>
      </c>
      <c r="K924" s="1">
        <v>41876</v>
      </c>
      <c r="L924">
        <v>1.5923612989303226E-2</v>
      </c>
    </row>
    <row r="925" spans="1:12" x14ac:dyDescent="0.2">
      <c r="A925" s="1">
        <v>42250</v>
      </c>
      <c r="B925">
        <v>2</v>
      </c>
      <c r="C925" t="s">
        <v>11</v>
      </c>
      <c r="D925">
        <v>8.2620000000000002E-3</v>
      </c>
      <c r="E925">
        <f t="shared" si="28"/>
        <v>1.008262</v>
      </c>
      <c r="F925" s="1">
        <f t="shared" si="29"/>
        <v>42247</v>
      </c>
      <c r="G925" cm="1">
        <f t="array" ref="G925">PRODUCT( _xlfn._xlws.FILTER($E:$E, ($C:$C=C925)*($F:$F=F925)) ) - 1</f>
        <v>-3.3009448354905491E-2</v>
      </c>
      <c r="J925" t="str">
        <v>SU</v>
      </c>
      <c r="K925" s="1">
        <v>41883</v>
      </c>
      <c r="L925">
        <v>-5.7552247373101606E-3</v>
      </c>
    </row>
    <row r="926" spans="1:12" x14ac:dyDescent="0.2">
      <c r="A926" s="1">
        <v>42251</v>
      </c>
      <c r="B926">
        <v>2</v>
      </c>
      <c r="C926" t="s">
        <v>11</v>
      </c>
      <c r="D926">
        <v>-1.2326E-2</v>
      </c>
      <c r="E926">
        <f t="shared" si="28"/>
        <v>0.98767400000000005</v>
      </c>
      <c r="F926" s="1">
        <f t="shared" si="29"/>
        <v>42247</v>
      </c>
      <c r="G926" cm="1">
        <f t="array" ref="G926">PRODUCT( _xlfn._xlws.FILTER($E:$E, ($C:$C=C926)*($F:$F=F926)) ) - 1</f>
        <v>-3.3009448354905491E-2</v>
      </c>
      <c r="J926" t="str">
        <v>SU</v>
      </c>
      <c r="K926" s="1">
        <v>41890</v>
      </c>
      <c r="L926">
        <v>-2.7197324506337273E-2</v>
      </c>
    </row>
    <row r="927" spans="1:12" x14ac:dyDescent="0.2">
      <c r="A927" s="1">
        <v>42255</v>
      </c>
      <c r="B927">
        <v>2</v>
      </c>
      <c r="C927" t="s">
        <v>11</v>
      </c>
      <c r="D927">
        <v>2.726E-2</v>
      </c>
      <c r="E927">
        <f t="shared" si="28"/>
        <v>1.0272600000000001</v>
      </c>
      <c r="F927" s="1">
        <f t="shared" si="29"/>
        <v>42254</v>
      </c>
      <c r="G927" cm="1">
        <f t="array" ref="G927">PRODUCT( _xlfn._xlws.FILTER($E:$E, ($C:$C=C927)*($F:$F=F927)) ) - 1</f>
        <v>3.4322790877171938E-2</v>
      </c>
      <c r="J927" t="str">
        <v>SU</v>
      </c>
      <c r="K927" s="1">
        <v>41897</v>
      </c>
      <c r="L927">
        <v>-2.1668217888756391E-2</v>
      </c>
    </row>
    <row r="928" spans="1:12" x14ac:dyDescent="0.2">
      <c r="A928" s="1">
        <v>42256</v>
      </c>
      <c r="B928">
        <v>2</v>
      </c>
      <c r="C928" t="s">
        <v>11</v>
      </c>
      <c r="D928">
        <v>4.6750000000000003E-3</v>
      </c>
      <c r="E928">
        <f t="shared" si="28"/>
        <v>1.004675</v>
      </c>
      <c r="F928" s="1">
        <f t="shared" si="29"/>
        <v>42254</v>
      </c>
      <c r="G928" cm="1">
        <f t="array" ref="G928">PRODUCT( _xlfn._xlws.FILTER($E:$E, ($C:$C=C928)*($F:$F=F928)) ) - 1</f>
        <v>3.4322790877171938E-2</v>
      </c>
      <c r="J928" t="str">
        <v>SU</v>
      </c>
      <c r="K928" s="1">
        <v>41904</v>
      </c>
      <c r="L928">
        <v>-3.0960601677401334E-2</v>
      </c>
    </row>
    <row r="929" spans="1:12" x14ac:dyDescent="0.2">
      <c r="A929" s="1">
        <v>42257</v>
      </c>
      <c r="B929">
        <v>2</v>
      </c>
      <c r="C929" t="s">
        <v>11</v>
      </c>
      <c r="D929">
        <v>7.5269999999999998E-3</v>
      </c>
      <c r="E929">
        <f t="shared" si="28"/>
        <v>1.0075270000000001</v>
      </c>
      <c r="F929" s="1">
        <f t="shared" si="29"/>
        <v>42254</v>
      </c>
      <c r="G929" cm="1">
        <f t="array" ref="G929">PRODUCT( _xlfn._xlws.FILTER($E:$E, ($C:$C=C929)*($F:$F=F929)) ) - 1</f>
        <v>3.4322790877171938E-2</v>
      </c>
      <c r="J929" t="str">
        <v>SU</v>
      </c>
      <c r="K929" s="1">
        <v>41911</v>
      </c>
      <c r="L929">
        <v>-2.064325726036198E-2</v>
      </c>
    </row>
    <row r="930" spans="1:12" x14ac:dyDescent="0.2">
      <c r="A930" s="1">
        <v>42258</v>
      </c>
      <c r="B930">
        <v>2</v>
      </c>
      <c r="C930" t="s">
        <v>11</v>
      </c>
      <c r="D930">
        <v>-5.2969999999999996E-3</v>
      </c>
      <c r="E930">
        <f t="shared" si="28"/>
        <v>0.994703</v>
      </c>
      <c r="F930" s="1">
        <f t="shared" si="29"/>
        <v>42254</v>
      </c>
      <c r="G930" cm="1">
        <f t="array" ref="G930">PRODUCT( _xlfn._xlws.FILTER($E:$E, ($C:$C=C930)*($F:$F=F930)) ) - 1</f>
        <v>3.4322790877171938E-2</v>
      </c>
      <c r="J930" t="str">
        <v>SU</v>
      </c>
      <c r="K930" s="1">
        <v>41918</v>
      </c>
      <c r="L930">
        <v>-8.0050604526114566E-2</v>
      </c>
    </row>
    <row r="931" spans="1:12" x14ac:dyDescent="0.2">
      <c r="A931" s="1">
        <v>42261</v>
      </c>
      <c r="B931">
        <v>2</v>
      </c>
      <c r="C931" t="s">
        <v>11</v>
      </c>
      <c r="D931">
        <v>-2.1849999999999999E-3</v>
      </c>
      <c r="E931">
        <f t="shared" si="28"/>
        <v>0.99781500000000001</v>
      </c>
      <c r="F931" s="1">
        <f t="shared" si="29"/>
        <v>42261</v>
      </c>
      <c r="G931" cm="1">
        <f t="array" ref="G931">PRODUCT( _xlfn._xlws.FILTER($E:$E, ($C:$C=C931)*($F:$F=F931)) ) - 1</f>
        <v>2.0211112546090426E-2</v>
      </c>
      <c r="J931" t="str">
        <v>SU</v>
      </c>
      <c r="K931" s="1">
        <v>41925</v>
      </c>
      <c r="L931">
        <v>2.9186878535567562E-2</v>
      </c>
    </row>
    <row r="932" spans="1:12" x14ac:dyDescent="0.2">
      <c r="A932" s="1">
        <v>42262</v>
      </c>
      <c r="B932">
        <v>2</v>
      </c>
      <c r="C932" t="s">
        <v>11</v>
      </c>
      <c r="D932">
        <v>1.8612E-2</v>
      </c>
      <c r="E932">
        <f t="shared" si="28"/>
        <v>1.0186120000000001</v>
      </c>
      <c r="F932" s="1">
        <f t="shared" si="29"/>
        <v>42261</v>
      </c>
      <c r="G932" cm="1">
        <f t="array" ref="G932">PRODUCT( _xlfn._xlws.FILTER($E:$E, ($C:$C=C932)*($F:$F=F932)) ) - 1</f>
        <v>2.0211112546090426E-2</v>
      </c>
      <c r="J932" t="str">
        <v>SU</v>
      </c>
      <c r="K932" s="1">
        <v>41932</v>
      </c>
      <c r="L932">
        <v>3.0215657325303624E-2</v>
      </c>
    </row>
    <row r="933" spans="1:12" x14ac:dyDescent="0.2">
      <c r="A933" s="1">
        <v>42263</v>
      </c>
      <c r="B933">
        <v>2</v>
      </c>
      <c r="C933" t="s">
        <v>11</v>
      </c>
      <c r="D933">
        <v>2.3377999999999999E-2</v>
      </c>
      <c r="E933">
        <f t="shared" si="28"/>
        <v>1.0233779999999999</v>
      </c>
      <c r="F933" s="1">
        <f t="shared" si="29"/>
        <v>42261</v>
      </c>
      <c r="G933" cm="1">
        <f t="array" ref="G933">PRODUCT( _xlfn._xlws.FILTER($E:$E, ($C:$C=C933)*($F:$F=F933)) ) - 1</f>
        <v>2.0211112546090426E-2</v>
      </c>
      <c r="J933" t="str">
        <v>SU</v>
      </c>
      <c r="K933" s="1">
        <v>41939</v>
      </c>
      <c r="L933">
        <v>2.9585929629364349E-2</v>
      </c>
    </row>
    <row r="934" spans="1:12" x14ac:dyDescent="0.2">
      <c r="A934" s="1">
        <v>42264</v>
      </c>
      <c r="B934">
        <v>2</v>
      </c>
      <c r="C934" t="s">
        <v>11</v>
      </c>
      <c r="D934">
        <v>3.0200000000000001E-3</v>
      </c>
      <c r="E934">
        <f t="shared" si="28"/>
        <v>1.00302</v>
      </c>
      <c r="F934" s="1">
        <f t="shared" si="29"/>
        <v>42261</v>
      </c>
      <c r="G934" cm="1">
        <f t="array" ref="G934">PRODUCT( _xlfn._xlws.FILTER($E:$E, ($C:$C=C934)*($F:$F=F934)) ) - 1</f>
        <v>2.0211112546090426E-2</v>
      </c>
      <c r="J934" t="str">
        <v>SU</v>
      </c>
      <c r="K934" s="1">
        <v>41946</v>
      </c>
      <c r="L934">
        <v>-2.0739523627618328E-2</v>
      </c>
    </row>
    <row r="935" spans="1:12" x14ac:dyDescent="0.2">
      <c r="A935" s="1">
        <v>42265</v>
      </c>
      <c r="B935">
        <v>2</v>
      </c>
      <c r="C935" t="s">
        <v>11</v>
      </c>
      <c r="D935">
        <v>-2.2120000000000001E-2</v>
      </c>
      <c r="E935">
        <f t="shared" si="28"/>
        <v>0.97787999999999997</v>
      </c>
      <c r="F935" s="1">
        <f t="shared" si="29"/>
        <v>42261</v>
      </c>
      <c r="G935" cm="1">
        <f t="array" ref="G935">PRODUCT( _xlfn._xlws.FILTER($E:$E, ($C:$C=C935)*($F:$F=F935)) ) - 1</f>
        <v>2.0211112546090426E-2</v>
      </c>
      <c r="J935" t="str">
        <v>SU</v>
      </c>
      <c r="K935" s="1">
        <v>41953</v>
      </c>
      <c r="L935">
        <v>9.6968916346726886E-3</v>
      </c>
    </row>
    <row r="936" spans="1:12" x14ac:dyDescent="0.2">
      <c r="A936" s="1">
        <v>42268</v>
      </c>
      <c r="B936">
        <v>2</v>
      </c>
      <c r="C936" t="s">
        <v>11</v>
      </c>
      <c r="D936">
        <v>2.6769999999999999E-2</v>
      </c>
      <c r="E936">
        <f t="shared" si="28"/>
        <v>1.02677</v>
      </c>
      <c r="F936" s="1">
        <f t="shared" si="29"/>
        <v>42268</v>
      </c>
      <c r="G936" cm="1">
        <f t="array" ref="G936">PRODUCT( _xlfn._xlws.FILTER($E:$E, ($C:$C=C936)*($F:$F=F936)) ) - 1</f>
        <v>-4.5512104685916377E-3</v>
      </c>
      <c r="J936" t="str">
        <v>SU</v>
      </c>
      <c r="K936" s="1">
        <v>41960</v>
      </c>
      <c r="L936">
        <v>2.4007818153502836E-2</v>
      </c>
    </row>
    <row r="937" spans="1:12" x14ac:dyDescent="0.2">
      <c r="A937" s="1">
        <v>42269</v>
      </c>
      <c r="B937">
        <v>2</v>
      </c>
      <c r="C937" t="s">
        <v>11</v>
      </c>
      <c r="D937">
        <v>-2.6594E-2</v>
      </c>
      <c r="E937">
        <f t="shared" si="28"/>
        <v>0.97340599999999999</v>
      </c>
      <c r="F937" s="1">
        <f t="shared" si="29"/>
        <v>42268</v>
      </c>
      <c r="G937" cm="1">
        <f t="array" ref="G937">PRODUCT( _xlfn._xlws.FILTER($E:$E, ($C:$C=C937)*($F:$F=F937)) ) - 1</f>
        <v>-4.5512104685916377E-3</v>
      </c>
      <c r="J937" t="str">
        <v>SU</v>
      </c>
      <c r="K937" s="1">
        <v>41967</v>
      </c>
      <c r="L937">
        <v>-0.10883510011784669</v>
      </c>
    </row>
    <row r="938" spans="1:12" x14ac:dyDescent="0.2">
      <c r="A938" s="1">
        <v>42270</v>
      </c>
      <c r="B938">
        <v>2</v>
      </c>
      <c r="C938" t="s">
        <v>11</v>
      </c>
      <c r="D938">
        <v>-1.7142000000000001E-2</v>
      </c>
      <c r="E938">
        <f t="shared" si="28"/>
        <v>0.98285800000000001</v>
      </c>
      <c r="F938" s="1">
        <f t="shared" si="29"/>
        <v>42268</v>
      </c>
      <c r="G938" cm="1">
        <f t="array" ref="G938">PRODUCT( _xlfn._xlws.FILTER($E:$E, ($C:$C=C938)*($F:$F=F938)) ) - 1</f>
        <v>-4.5512104685916377E-3</v>
      </c>
      <c r="J938" t="str">
        <v>SU</v>
      </c>
      <c r="K938" s="1">
        <v>41974</v>
      </c>
      <c r="L938">
        <v>-2.3719612292183445E-3</v>
      </c>
    </row>
    <row r="939" spans="1:12" x14ac:dyDescent="0.2">
      <c r="A939" s="1">
        <v>42271</v>
      </c>
      <c r="B939">
        <v>2</v>
      </c>
      <c r="C939" t="s">
        <v>11</v>
      </c>
      <c r="D939">
        <v>-3.2699999999999999E-3</v>
      </c>
      <c r="E939">
        <f t="shared" si="28"/>
        <v>0.99673</v>
      </c>
      <c r="F939" s="1">
        <f t="shared" si="29"/>
        <v>42268</v>
      </c>
      <c r="G939" cm="1">
        <f t="array" ref="G939">PRODUCT( _xlfn._xlws.FILTER($E:$E, ($C:$C=C939)*($F:$F=F939)) ) - 1</f>
        <v>-4.5512104685916377E-3</v>
      </c>
      <c r="J939" t="str">
        <v>SU</v>
      </c>
      <c r="K939" s="1">
        <v>41981</v>
      </c>
      <c r="L939">
        <v>-0.10125928603247858</v>
      </c>
    </row>
    <row r="940" spans="1:12" x14ac:dyDescent="0.2">
      <c r="A940" s="1">
        <v>42272</v>
      </c>
      <c r="B940">
        <v>2</v>
      </c>
      <c r="C940" t="s">
        <v>11</v>
      </c>
      <c r="D940">
        <v>1.6677999999999998E-2</v>
      </c>
      <c r="E940">
        <f t="shared" si="28"/>
        <v>1.016678</v>
      </c>
      <c r="F940" s="1">
        <f t="shared" si="29"/>
        <v>42268</v>
      </c>
      <c r="G940" cm="1">
        <f t="array" ref="G940">PRODUCT( _xlfn._xlws.FILTER($E:$E, ($C:$C=C940)*($F:$F=F940)) ) - 1</f>
        <v>-4.5512104685916377E-3</v>
      </c>
      <c r="J940" t="str">
        <v>SU</v>
      </c>
      <c r="K940" s="1">
        <v>41988</v>
      </c>
      <c r="L940">
        <v>0.1235596712345286</v>
      </c>
    </row>
    <row r="941" spans="1:12" x14ac:dyDescent="0.2">
      <c r="A941" s="1">
        <v>42275</v>
      </c>
      <c r="B941">
        <v>2</v>
      </c>
      <c r="C941" t="s">
        <v>11</v>
      </c>
      <c r="D941">
        <v>-1.0085E-2</v>
      </c>
      <c r="E941">
        <f t="shared" si="28"/>
        <v>0.98991499999999999</v>
      </c>
      <c r="F941" s="1">
        <f t="shared" si="29"/>
        <v>42275</v>
      </c>
      <c r="G941" cm="1">
        <f t="array" ref="G941">PRODUCT( _xlfn._xlws.FILTER($E:$E, ($C:$C=C941)*($F:$F=F941)) ) - 1</f>
        <v>2.8237646461942933E-2</v>
      </c>
      <c r="J941" t="str">
        <v>SU</v>
      </c>
      <c r="K941" s="1">
        <v>41995</v>
      </c>
      <c r="L941">
        <v>3.3518554519418098E-2</v>
      </c>
    </row>
    <row r="942" spans="1:12" x14ac:dyDescent="0.2">
      <c r="A942" s="1">
        <v>42276</v>
      </c>
      <c r="B942">
        <v>2</v>
      </c>
      <c r="C942" t="s">
        <v>11</v>
      </c>
      <c r="D942">
        <v>1.0867E-2</v>
      </c>
      <c r="E942">
        <f t="shared" si="28"/>
        <v>1.010867</v>
      </c>
      <c r="F942" s="1">
        <f t="shared" si="29"/>
        <v>42275</v>
      </c>
      <c r="G942" cm="1">
        <f t="array" ref="G942">PRODUCT( _xlfn._xlws.FILTER($E:$E, ($C:$C=C942)*($F:$F=F942)) ) - 1</f>
        <v>2.8237646461942933E-2</v>
      </c>
      <c r="J942" t="str">
        <v>SU</v>
      </c>
      <c r="K942" s="1">
        <v>42002</v>
      </c>
      <c r="L942">
        <v>1.071196826576637E-3</v>
      </c>
    </row>
    <row r="943" spans="1:12" x14ac:dyDescent="0.2">
      <c r="A943" s="1">
        <v>42277</v>
      </c>
      <c r="B943">
        <v>2</v>
      </c>
      <c r="C943" t="s">
        <v>11</v>
      </c>
      <c r="D943">
        <v>1.8275E-2</v>
      </c>
      <c r="E943">
        <f t="shared" si="28"/>
        <v>1.018275</v>
      </c>
      <c r="F943" s="1">
        <f t="shared" si="29"/>
        <v>42275</v>
      </c>
      <c r="G943" cm="1">
        <f t="array" ref="G943">PRODUCT( _xlfn._xlws.FILTER($E:$E, ($C:$C=C943)*($F:$F=F943)) ) - 1</f>
        <v>2.8237646461942933E-2</v>
      </c>
      <c r="J943" t="str">
        <v>SU</v>
      </c>
      <c r="K943" s="1">
        <v>42009</v>
      </c>
      <c r="L943">
        <v>-4.6586315516532584E-2</v>
      </c>
    </row>
    <row r="944" spans="1:12" x14ac:dyDescent="0.2">
      <c r="A944" s="1">
        <v>42278</v>
      </c>
      <c r="B944">
        <v>2</v>
      </c>
      <c r="C944" t="s">
        <v>11</v>
      </c>
      <c r="D944">
        <v>-3.8270000000000001E-3</v>
      </c>
      <c r="E944">
        <f t="shared" si="28"/>
        <v>0.99617299999999998</v>
      </c>
      <c r="F944" s="1">
        <f t="shared" si="29"/>
        <v>42275</v>
      </c>
      <c r="G944" cm="1">
        <f t="array" ref="G944">PRODUCT( _xlfn._xlws.FILTER($E:$E, ($C:$C=C944)*($F:$F=F944)) ) - 1</f>
        <v>2.8237646461942933E-2</v>
      </c>
      <c r="J944" t="str">
        <v>SU</v>
      </c>
      <c r="K944" s="1">
        <v>42016</v>
      </c>
      <c r="L944">
        <v>1.0951025684694526E-2</v>
      </c>
    </row>
    <row r="945" spans="1:12" x14ac:dyDescent="0.2">
      <c r="A945" s="1">
        <v>42279</v>
      </c>
      <c r="B945">
        <v>2</v>
      </c>
      <c r="C945" t="s">
        <v>11</v>
      </c>
      <c r="D945">
        <v>1.2982E-2</v>
      </c>
      <c r="E945">
        <f t="shared" si="28"/>
        <v>1.012982</v>
      </c>
      <c r="F945" s="1">
        <f t="shared" si="29"/>
        <v>42275</v>
      </c>
      <c r="G945" cm="1">
        <f t="array" ref="G945">PRODUCT( _xlfn._xlws.FILTER($E:$E, ($C:$C=C945)*($F:$F=F945)) ) - 1</f>
        <v>2.8237646461942933E-2</v>
      </c>
      <c r="J945" t="str">
        <v>SU</v>
      </c>
      <c r="K945" s="1">
        <v>42023</v>
      </c>
      <c r="L945">
        <v>3.7221878594781321E-2</v>
      </c>
    </row>
    <row r="946" spans="1:12" x14ac:dyDescent="0.2">
      <c r="A946" s="1">
        <v>42282</v>
      </c>
      <c r="B946">
        <v>2</v>
      </c>
      <c r="C946" t="s">
        <v>11</v>
      </c>
      <c r="D946">
        <v>1.0331E-2</v>
      </c>
      <c r="E946">
        <f t="shared" si="28"/>
        <v>1.0103310000000001</v>
      </c>
      <c r="F946" s="1">
        <f t="shared" si="29"/>
        <v>42282</v>
      </c>
      <c r="G946" cm="1">
        <f t="array" ref="G946">PRODUCT( _xlfn._xlws.FILTER($E:$E, ($C:$C=C946)*($F:$F=F946)) ) - 1</f>
        <v>5.1785230563840212E-2</v>
      </c>
      <c r="J946" t="str">
        <v>SU</v>
      </c>
      <c r="K946" s="1">
        <v>42030</v>
      </c>
      <c r="L946">
        <v>1.4996510523829665E-2</v>
      </c>
    </row>
    <row r="947" spans="1:12" x14ac:dyDescent="0.2">
      <c r="A947" s="1">
        <v>42283</v>
      </c>
      <c r="B947">
        <v>2</v>
      </c>
      <c r="C947" t="s">
        <v>11</v>
      </c>
      <c r="D947">
        <v>-1.0743000000000001E-2</v>
      </c>
      <c r="E947">
        <f t="shared" si="28"/>
        <v>0.98925700000000005</v>
      </c>
      <c r="F947" s="1">
        <f t="shared" si="29"/>
        <v>42282</v>
      </c>
      <c r="G947" cm="1">
        <f t="array" ref="G947">PRODUCT( _xlfn._xlws.FILTER($E:$E, ($C:$C=C947)*($F:$F=F947)) ) - 1</f>
        <v>5.1785230563840212E-2</v>
      </c>
      <c r="J947" t="str">
        <v>SU</v>
      </c>
      <c r="K947" s="1">
        <v>42037</v>
      </c>
      <c r="L947">
        <v>2.2164522433320455E-2</v>
      </c>
    </row>
    <row r="948" spans="1:12" x14ac:dyDescent="0.2">
      <c r="A948" s="1">
        <v>42284</v>
      </c>
      <c r="B948">
        <v>2</v>
      </c>
      <c r="C948" t="s">
        <v>11</v>
      </c>
      <c r="D948">
        <v>2.5252E-2</v>
      </c>
      <c r="E948">
        <f t="shared" si="28"/>
        <v>1.0252520000000001</v>
      </c>
      <c r="F948" s="1">
        <f t="shared" si="29"/>
        <v>42282</v>
      </c>
      <c r="G948" cm="1">
        <f t="array" ref="G948">PRODUCT( _xlfn._xlws.FILTER($E:$E, ($C:$C=C948)*($F:$F=F948)) ) - 1</f>
        <v>5.1785230563840212E-2</v>
      </c>
      <c r="J948" t="str">
        <v>SU</v>
      </c>
      <c r="K948" s="1">
        <v>42044</v>
      </c>
      <c r="L948">
        <v>1.7036291487320776E-2</v>
      </c>
    </row>
    <row r="949" spans="1:12" x14ac:dyDescent="0.2">
      <c r="A949" s="1">
        <v>42285</v>
      </c>
      <c r="B949">
        <v>2</v>
      </c>
      <c r="C949" t="s">
        <v>11</v>
      </c>
      <c r="D949">
        <v>2.1312000000000001E-2</v>
      </c>
      <c r="E949">
        <f t="shared" si="28"/>
        <v>1.021312</v>
      </c>
      <c r="F949" s="1">
        <f t="shared" si="29"/>
        <v>42282</v>
      </c>
      <c r="G949" cm="1">
        <f t="array" ref="G949">PRODUCT( _xlfn._xlws.FILTER($E:$E, ($C:$C=C949)*($F:$F=F949)) ) - 1</f>
        <v>5.1785230563840212E-2</v>
      </c>
      <c r="J949" t="str">
        <v>SU</v>
      </c>
      <c r="K949" s="1">
        <v>42051</v>
      </c>
      <c r="L949">
        <v>-2.360402605128531E-2</v>
      </c>
    </row>
    <row r="950" spans="1:12" x14ac:dyDescent="0.2">
      <c r="A950" s="1">
        <v>42286</v>
      </c>
      <c r="B950">
        <v>2</v>
      </c>
      <c r="C950" t="s">
        <v>11</v>
      </c>
      <c r="D950">
        <v>4.9979999999999998E-3</v>
      </c>
      <c r="E950">
        <f t="shared" si="28"/>
        <v>1.0049980000000001</v>
      </c>
      <c r="F950" s="1">
        <f t="shared" si="29"/>
        <v>42282</v>
      </c>
      <c r="G950" cm="1">
        <f t="array" ref="G950">PRODUCT( _xlfn._xlws.FILTER($E:$E, ($C:$C=C950)*($F:$F=F950)) ) - 1</f>
        <v>5.1785230563840212E-2</v>
      </c>
      <c r="J950" t="str">
        <v>SU</v>
      </c>
      <c r="K950" s="1">
        <v>42058</v>
      </c>
      <c r="L950">
        <v>-2.4435021812303059E-2</v>
      </c>
    </row>
    <row r="951" spans="1:12" x14ac:dyDescent="0.2">
      <c r="A951" s="1">
        <v>42290</v>
      </c>
      <c r="B951">
        <v>2</v>
      </c>
      <c r="C951" t="s">
        <v>11</v>
      </c>
      <c r="D951">
        <v>-3.0213E-2</v>
      </c>
      <c r="E951">
        <f t="shared" si="28"/>
        <v>0.96978699999999995</v>
      </c>
      <c r="F951" s="1">
        <f t="shared" si="29"/>
        <v>42289</v>
      </c>
      <c r="G951" cm="1">
        <f t="array" ref="G951">PRODUCT( _xlfn._xlws.FILTER($E:$E, ($C:$C=C951)*($F:$F=F951)) ) - 1</f>
        <v>-4.5380913456135707E-2</v>
      </c>
      <c r="J951" t="str">
        <v>SU</v>
      </c>
      <c r="K951" s="1">
        <v>42065</v>
      </c>
      <c r="L951">
        <v>-9.0937907582367972E-3</v>
      </c>
    </row>
    <row r="952" spans="1:12" x14ac:dyDescent="0.2">
      <c r="A952" s="1">
        <v>42291</v>
      </c>
      <c r="B952">
        <v>2</v>
      </c>
      <c r="C952" t="s">
        <v>11</v>
      </c>
      <c r="D952">
        <v>-7.4359999999999999E-3</v>
      </c>
      <c r="E952">
        <f t="shared" si="28"/>
        <v>0.992564</v>
      </c>
      <c r="F952" s="1">
        <f t="shared" si="29"/>
        <v>42289</v>
      </c>
      <c r="G952" cm="1">
        <f t="array" ref="G952">PRODUCT( _xlfn._xlws.FILTER($E:$E, ($C:$C=C952)*($F:$F=F952)) ) - 1</f>
        <v>-4.5380913456135707E-2</v>
      </c>
      <c r="J952" t="str">
        <v>SU</v>
      </c>
      <c r="K952" s="1">
        <v>42072</v>
      </c>
      <c r="L952">
        <v>-4.253635803362632E-2</v>
      </c>
    </row>
    <row r="953" spans="1:12" x14ac:dyDescent="0.2">
      <c r="A953" s="1">
        <v>42292</v>
      </c>
      <c r="B953">
        <v>2</v>
      </c>
      <c r="C953" t="s">
        <v>11</v>
      </c>
      <c r="D953">
        <v>2.196E-3</v>
      </c>
      <c r="E953">
        <f t="shared" si="28"/>
        <v>1.0021960000000001</v>
      </c>
      <c r="F953" s="1">
        <f t="shared" si="29"/>
        <v>42289</v>
      </c>
      <c r="G953" cm="1">
        <f t="array" ref="G953">PRODUCT( _xlfn._xlws.FILTER($E:$E, ($C:$C=C953)*($F:$F=F953)) ) - 1</f>
        <v>-4.5380913456135707E-2</v>
      </c>
      <c r="J953" t="str">
        <v>SU</v>
      </c>
      <c r="K953" s="1">
        <v>42079</v>
      </c>
      <c r="L953">
        <v>3.1122185609948616E-3</v>
      </c>
    </row>
    <row r="954" spans="1:12" x14ac:dyDescent="0.2">
      <c r="A954" s="1">
        <v>42293</v>
      </c>
      <c r="B954">
        <v>2</v>
      </c>
      <c r="C954" t="s">
        <v>11</v>
      </c>
      <c r="D954">
        <v>-1.0439E-2</v>
      </c>
      <c r="E954">
        <f t="shared" si="28"/>
        <v>0.98956100000000002</v>
      </c>
      <c r="F954" s="1">
        <f t="shared" si="29"/>
        <v>42289</v>
      </c>
      <c r="G954" cm="1">
        <f t="array" ref="G954">PRODUCT( _xlfn._xlws.FILTER($E:$E, ($C:$C=C954)*($F:$F=F954)) ) - 1</f>
        <v>-4.5380913456135707E-2</v>
      </c>
      <c r="J954" t="str">
        <v>SU</v>
      </c>
      <c r="K954" s="1">
        <v>42086</v>
      </c>
      <c r="L954">
        <v>3.3286050600241035E-2</v>
      </c>
    </row>
    <row r="955" spans="1:12" x14ac:dyDescent="0.2">
      <c r="A955" s="1">
        <v>42296</v>
      </c>
      <c r="B955">
        <v>2</v>
      </c>
      <c r="C955" t="s">
        <v>11</v>
      </c>
      <c r="D955">
        <v>4.1679999999999998E-3</v>
      </c>
      <c r="E955">
        <f t="shared" si="28"/>
        <v>1.0041679999999999</v>
      </c>
      <c r="F955" s="1">
        <f t="shared" si="29"/>
        <v>42296</v>
      </c>
      <c r="G955" cm="1">
        <f t="array" ref="G955">PRODUCT( _xlfn._xlws.FILTER($E:$E, ($C:$C=C955)*($F:$F=F955)) ) - 1</f>
        <v>6.0431713974097967E-2</v>
      </c>
      <c r="J955" t="str">
        <v>SU</v>
      </c>
      <c r="K955" s="1">
        <v>42093</v>
      </c>
      <c r="L955">
        <v>5.5146305059623035E-2</v>
      </c>
    </row>
    <row r="956" spans="1:12" x14ac:dyDescent="0.2">
      <c r="A956" s="1">
        <v>42297</v>
      </c>
      <c r="B956">
        <v>2</v>
      </c>
      <c r="C956" t="s">
        <v>11</v>
      </c>
      <c r="D956">
        <v>1.9324999999999998E-2</v>
      </c>
      <c r="E956">
        <f t="shared" si="28"/>
        <v>1.019325</v>
      </c>
      <c r="F956" s="1">
        <f t="shared" si="29"/>
        <v>42296</v>
      </c>
      <c r="G956" cm="1">
        <f t="array" ref="G956">PRODUCT( _xlfn._xlws.FILTER($E:$E, ($C:$C=C956)*($F:$F=F956)) ) - 1</f>
        <v>6.0431713974097967E-2</v>
      </c>
      <c r="J956" t="str">
        <v>SU</v>
      </c>
      <c r="K956" s="1">
        <v>42100</v>
      </c>
      <c r="L956">
        <v>2.6649249941250064E-2</v>
      </c>
    </row>
    <row r="957" spans="1:12" x14ac:dyDescent="0.2">
      <c r="A957" s="1">
        <v>42298</v>
      </c>
      <c r="B957">
        <v>2</v>
      </c>
      <c r="C957" t="s">
        <v>11</v>
      </c>
      <c r="D957">
        <v>3.3080000000000002E-3</v>
      </c>
      <c r="E957">
        <f t="shared" si="28"/>
        <v>1.0033080000000001</v>
      </c>
      <c r="F957" s="1">
        <f t="shared" si="29"/>
        <v>42296</v>
      </c>
      <c r="G957" cm="1">
        <f t="array" ref="G957">PRODUCT( _xlfn._xlws.FILTER($E:$E, ($C:$C=C957)*($F:$F=F957)) ) - 1</f>
        <v>6.0431713974097967E-2</v>
      </c>
      <c r="J957" t="str">
        <v>SU</v>
      </c>
      <c r="K957" s="1">
        <v>42107</v>
      </c>
      <c r="L957">
        <v>1.1088803543194636E-2</v>
      </c>
    </row>
    <row r="958" spans="1:12" x14ac:dyDescent="0.2">
      <c r="A958" s="1">
        <v>42299</v>
      </c>
      <c r="B958">
        <v>2</v>
      </c>
      <c r="C958" t="s">
        <v>11</v>
      </c>
      <c r="D958">
        <v>2.4983999999999999E-2</v>
      </c>
      <c r="E958">
        <f t="shared" si="28"/>
        <v>1.0249839999999999</v>
      </c>
      <c r="F958" s="1">
        <f t="shared" si="29"/>
        <v>42296</v>
      </c>
      <c r="G958" cm="1">
        <f t="array" ref="G958">PRODUCT( _xlfn._xlws.FILTER($E:$E, ($C:$C=C958)*($F:$F=F958)) ) - 1</f>
        <v>6.0431713974097967E-2</v>
      </c>
      <c r="J958" t="str">
        <v>SU</v>
      </c>
      <c r="K958" s="1">
        <v>42114</v>
      </c>
      <c r="L958">
        <v>2.4929885734761292E-3</v>
      </c>
    </row>
    <row r="959" spans="1:12" x14ac:dyDescent="0.2">
      <c r="A959" s="1">
        <v>42300</v>
      </c>
      <c r="B959">
        <v>2</v>
      </c>
      <c r="C959" t="s">
        <v>11</v>
      </c>
      <c r="D959">
        <v>7.424E-3</v>
      </c>
      <c r="E959">
        <f t="shared" si="28"/>
        <v>1.0074240000000001</v>
      </c>
      <c r="F959" s="1">
        <f t="shared" si="29"/>
        <v>42296</v>
      </c>
      <c r="G959" cm="1">
        <f t="array" ref="G959">PRODUCT( _xlfn._xlws.FILTER($E:$E, ($C:$C=C959)*($F:$F=F959)) ) - 1</f>
        <v>6.0431713974097967E-2</v>
      </c>
      <c r="J959" t="str">
        <v>SU</v>
      </c>
      <c r="K959" s="1">
        <v>42121</v>
      </c>
      <c r="L959">
        <v>-2.71007419716357E-2</v>
      </c>
    </row>
    <row r="960" spans="1:12" x14ac:dyDescent="0.2">
      <c r="A960" s="1">
        <v>42303</v>
      </c>
      <c r="B960">
        <v>2</v>
      </c>
      <c r="C960" t="s">
        <v>11</v>
      </c>
      <c r="D960">
        <v>4.79E-3</v>
      </c>
      <c r="E960">
        <f t="shared" si="28"/>
        <v>1.0047900000000001</v>
      </c>
      <c r="F960" s="1">
        <f t="shared" si="29"/>
        <v>42303</v>
      </c>
      <c r="G960" cm="1">
        <f t="array" ref="G960">PRODUCT( _xlfn._xlws.FILTER($E:$E, ($C:$C=C960)*($F:$F=F960)) ) - 1</f>
        <v>-1.9036837032380571E-2</v>
      </c>
      <c r="J960" t="str">
        <v>SU</v>
      </c>
      <c r="K960" s="1">
        <v>42128</v>
      </c>
      <c r="L960">
        <v>-6.0311396833474196E-2</v>
      </c>
    </row>
    <row r="961" spans="1:12" x14ac:dyDescent="0.2">
      <c r="A961" s="1">
        <v>42304</v>
      </c>
      <c r="B961">
        <v>2</v>
      </c>
      <c r="C961" t="s">
        <v>11</v>
      </c>
      <c r="D961">
        <v>-2.8114E-2</v>
      </c>
      <c r="E961">
        <f t="shared" si="28"/>
        <v>0.97188600000000003</v>
      </c>
      <c r="F961" s="1">
        <f t="shared" si="29"/>
        <v>42303</v>
      </c>
      <c r="G961" cm="1">
        <f t="array" ref="G961">PRODUCT( _xlfn._xlws.FILTER($E:$E, ($C:$C=C961)*($F:$F=F961)) ) - 1</f>
        <v>-1.9036837032380571E-2</v>
      </c>
      <c r="J961" t="str">
        <v>SU</v>
      </c>
      <c r="K961" s="1">
        <v>42135</v>
      </c>
      <c r="L961">
        <v>-5.1654902208735365E-3</v>
      </c>
    </row>
    <row r="962" spans="1:12" x14ac:dyDescent="0.2">
      <c r="A962" s="1">
        <v>42305</v>
      </c>
      <c r="B962">
        <v>2</v>
      </c>
      <c r="C962" t="s">
        <v>11</v>
      </c>
      <c r="D962">
        <v>2.8676E-2</v>
      </c>
      <c r="E962">
        <f t="shared" si="28"/>
        <v>1.0286759999999999</v>
      </c>
      <c r="F962" s="1">
        <f t="shared" si="29"/>
        <v>42303</v>
      </c>
      <c r="G962" cm="1">
        <f t="array" ref="G962">PRODUCT( _xlfn._xlws.FILTER($E:$E, ($C:$C=C962)*($F:$F=F962)) ) - 1</f>
        <v>-1.9036837032380571E-2</v>
      </c>
      <c r="J962" t="str">
        <v>SU</v>
      </c>
      <c r="K962" s="1">
        <v>42142</v>
      </c>
      <c r="L962">
        <v>1.4489580228585375E-2</v>
      </c>
    </row>
    <row r="963" spans="1:12" x14ac:dyDescent="0.2">
      <c r="A963" s="1">
        <v>42306</v>
      </c>
      <c r="B963">
        <v>2</v>
      </c>
      <c r="C963" t="s">
        <v>11</v>
      </c>
      <c r="D963">
        <v>2.4399999999999999E-4</v>
      </c>
      <c r="E963">
        <f t="shared" si="28"/>
        <v>1.0002439999999999</v>
      </c>
      <c r="F963" s="1">
        <f t="shared" si="29"/>
        <v>42303</v>
      </c>
      <c r="G963" cm="1">
        <f t="array" ref="G963">PRODUCT( _xlfn._xlws.FILTER($E:$E, ($C:$C=C963)*($F:$F=F963)) ) - 1</f>
        <v>-1.9036837032380571E-2</v>
      </c>
      <c r="J963" t="str">
        <v>SU</v>
      </c>
      <c r="K963" s="1">
        <v>42149</v>
      </c>
      <c r="L963">
        <v>-2.0480268563272896E-2</v>
      </c>
    </row>
    <row r="964" spans="1:12" x14ac:dyDescent="0.2">
      <c r="A964" s="1">
        <v>42307</v>
      </c>
      <c r="B964">
        <v>2</v>
      </c>
      <c r="C964" t="s">
        <v>11</v>
      </c>
      <c r="D964">
        <v>-2.3713000000000001E-2</v>
      </c>
      <c r="E964">
        <f t="shared" ref="E964:E1027" si="30">D964+1</f>
        <v>0.97628700000000002</v>
      </c>
      <c r="F964" s="1">
        <f t="shared" ref="F964:F1027" si="31">A964 - (WEEKDAY(A964, 2) - 1)</f>
        <v>42303</v>
      </c>
      <c r="G964" cm="1">
        <f t="array" ref="G964">PRODUCT( _xlfn._xlws.FILTER($E:$E, ($C:$C=C964)*($F:$F=F964)) ) - 1</f>
        <v>-1.9036837032380571E-2</v>
      </c>
      <c r="J964" t="str">
        <v>SU</v>
      </c>
      <c r="K964" s="1">
        <v>42156</v>
      </c>
      <c r="L964">
        <v>-1.6787112804679261E-3</v>
      </c>
    </row>
    <row r="965" spans="1:12" x14ac:dyDescent="0.2">
      <c r="A965" s="1">
        <v>42310</v>
      </c>
      <c r="B965">
        <v>2</v>
      </c>
      <c r="C965" t="s">
        <v>11</v>
      </c>
      <c r="D965">
        <v>-7.5100000000000004E-4</v>
      </c>
      <c r="E965">
        <f t="shared" si="30"/>
        <v>0.99924900000000005</v>
      </c>
      <c r="F965" s="1">
        <f t="shared" si="31"/>
        <v>42310</v>
      </c>
      <c r="G965" cm="1">
        <f t="array" ref="G965">PRODUCT( _xlfn._xlws.FILTER($E:$E, ($C:$C=C965)*($F:$F=F965)) ) - 1</f>
        <v>-1.5023886836544209E-2</v>
      </c>
      <c r="J965" t="str">
        <v>SU</v>
      </c>
      <c r="K965" s="1">
        <v>42163</v>
      </c>
      <c r="L965">
        <v>-3.3600190689730969E-2</v>
      </c>
    </row>
    <row r="966" spans="1:12" x14ac:dyDescent="0.2">
      <c r="A966" s="1">
        <v>42311</v>
      </c>
      <c r="B966">
        <v>2</v>
      </c>
      <c r="C966" t="s">
        <v>11</v>
      </c>
      <c r="D966">
        <v>-4.2599999999999999E-3</v>
      </c>
      <c r="E966">
        <f t="shared" si="30"/>
        <v>0.99573999999999996</v>
      </c>
      <c r="F966" s="1">
        <f t="shared" si="31"/>
        <v>42310</v>
      </c>
      <c r="G966" cm="1">
        <f t="array" ref="G966">PRODUCT( _xlfn._xlws.FILTER($E:$E, ($C:$C=C966)*($F:$F=F966)) ) - 1</f>
        <v>-1.5023886836544209E-2</v>
      </c>
      <c r="J966" t="str">
        <v>SU</v>
      </c>
      <c r="K966" s="1">
        <v>42170</v>
      </c>
      <c r="L966">
        <v>-3.1610450083930486E-2</v>
      </c>
    </row>
    <row r="967" spans="1:12" x14ac:dyDescent="0.2">
      <c r="A967" s="1">
        <v>42312</v>
      </c>
      <c r="B967">
        <v>2</v>
      </c>
      <c r="C967" t="s">
        <v>11</v>
      </c>
      <c r="D967">
        <v>5.0299999999999997E-4</v>
      </c>
      <c r="E967">
        <f t="shared" si="30"/>
        <v>1.0005029999999999</v>
      </c>
      <c r="F967" s="1">
        <f t="shared" si="31"/>
        <v>42310</v>
      </c>
      <c r="G967" cm="1">
        <f t="array" ref="G967">PRODUCT( _xlfn._xlws.FILTER($E:$E, ($C:$C=C967)*($F:$F=F967)) ) - 1</f>
        <v>-1.5023886836544209E-2</v>
      </c>
      <c r="J967" t="str">
        <v>SU</v>
      </c>
      <c r="K967" s="1">
        <v>42177</v>
      </c>
      <c r="L967">
        <v>1.988050581934675E-2</v>
      </c>
    </row>
    <row r="968" spans="1:12" x14ac:dyDescent="0.2">
      <c r="A968" s="1">
        <v>42313</v>
      </c>
      <c r="B968">
        <v>2</v>
      </c>
      <c r="C968" t="s">
        <v>11</v>
      </c>
      <c r="D968">
        <v>-9.1809999999999999E-3</v>
      </c>
      <c r="E968">
        <f t="shared" si="30"/>
        <v>0.99081900000000001</v>
      </c>
      <c r="F968" s="1">
        <f t="shared" si="31"/>
        <v>42310</v>
      </c>
      <c r="G968" cm="1">
        <f t="array" ref="G968">PRODUCT( _xlfn._xlws.FILTER($E:$E, ($C:$C=C968)*($F:$F=F968)) ) - 1</f>
        <v>-1.5023886836544209E-2</v>
      </c>
      <c r="J968" t="str">
        <v>SU</v>
      </c>
      <c r="K968" s="1">
        <v>42184</v>
      </c>
      <c r="L968">
        <v>6.6926434219420905E-3</v>
      </c>
    </row>
    <row r="969" spans="1:12" x14ac:dyDescent="0.2">
      <c r="A969" s="1">
        <v>42314</v>
      </c>
      <c r="B969">
        <v>2</v>
      </c>
      <c r="C969" t="s">
        <v>11</v>
      </c>
      <c r="D969">
        <v>-1.3960000000000001E-3</v>
      </c>
      <c r="E969">
        <f t="shared" si="30"/>
        <v>0.99860400000000005</v>
      </c>
      <c r="F969" s="1">
        <f t="shared" si="31"/>
        <v>42310</v>
      </c>
      <c r="G969" cm="1">
        <f t="array" ref="G969">PRODUCT( _xlfn._xlws.FILTER($E:$E, ($C:$C=C969)*($F:$F=F969)) ) - 1</f>
        <v>-1.5023886836544209E-2</v>
      </c>
      <c r="J969" t="str">
        <v>SU</v>
      </c>
      <c r="K969" s="1">
        <v>42191</v>
      </c>
      <c r="L969">
        <v>-1.7340295035810804E-2</v>
      </c>
    </row>
    <row r="970" spans="1:12" x14ac:dyDescent="0.2">
      <c r="A970" s="1">
        <v>42317</v>
      </c>
      <c r="B970">
        <v>2</v>
      </c>
      <c r="C970" t="s">
        <v>11</v>
      </c>
      <c r="D970">
        <v>7.8810000000000009E-3</v>
      </c>
      <c r="E970">
        <f t="shared" si="30"/>
        <v>1.007881</v>
      </c>
      <c r="F970" s="1">
        <f t="shared" si="31"/>
        <v>42317</v>
      </c>
      <c r="G970" cm="1">
        <f t="array" ref="G970">PRODUCT( _xlfn._xlws.FILTER($E:$E, ($C:$C=C970)*($F:$F=F970)) ) - 1</f>
        <v>-2.8601801288334339E-2</v>
      </c>
      <c r="J970" t="str">
        <v>SU</v>
      </c>
      <c r="K970" s="1">
        <v>42198</v>
      </c>
      <c r="L970">
        <v>1.7057286570429264E-2</v>
      </c>
    </row>
    <row r="971" spans="1:12" x14ac:dyDescent="0.2">
      <c r="A971" s="1">
        <v>42318</v>
      </c>
      <c r="B971">
        <v>2</v>
      </c>
      <c r="C971" t="s">
        <v>11</v>
      </c>
      <c r="D971">
        <v>-1.6521999999999998E-2</v>
      </c>
      <c r="E971">
        <f t="shared" si="30"/>
        <v>0.98347799999999996</v>
      </c>
      <c r="F971" s="1">
        <f t="shared" si="31"/>
        <v>42317</v>
      </c>
      <c r="G971" cm="1">
        <f t="array" ref="G971">PRODUCT( _xlfn._xlws.FILTER($E:$E, ($C:$C=C971)*($F:$F=F971)) ) - 1</f>
        <v>-2.8601801288334339E-2</v>
      </c>
      <c r="J971" t="str">
        <v>SU</v>
      </c>
      <c r="K971" s="1">
        <v>42205</v>
      </c>
      <c r="L971">
        <v>-4.3376946026554841E-2</v>
      </c>
    </row>
    <row r="972" spans="1:12" x14ac:dyDescent="0.2">
      <c r="A972" s="1">
        <v>42319</v>
      </c>
      <c r="B972">
        <v>2</v>
      </c>
      <c r="C972" t="s">
        <v>11</v>
      </c>
      <c r="D972">
        <v>0</v>
      </c>
      <c r="E972">
        <f t="shared" si="30"/>
        <v>1</v>
      </c>
      <c r="F972" s="1">
        <f t="shared" si="31"/>
        <v>42317</v>
      </c>
      <c r="G972" cm="1">
        <f t="array" ref="G972">PRODUCT( _xlfn._xlws.FILTER($E:$E, ($C:$C=C972)*($F:$F=F972)) ) - 1</f>
        <v>-2.8601801288334339E-2</v>
      </c>
      <c r="J972" t="str">
        <v>SU</v>
      </c>
      <c r="K972" s="1">
        <v>42212</v>
      </c>
      <c r="L972">
        <v>0.11366401617659672</v>
      </c>
    </row>
    <row r="973" spans="1:12" x14ac:dyDescent="0.2">
      <c r="A973" s="1">
        <v>42320</v>
      </c>
      <c r="B973">
        <v>2</v>
      </c>
      <c r="C973" t="s">
        <v>11</v>
      </c>
      <c r="D973">
        <v>-1.6414999999999999E-2</v>
      </c>
      <c r="E973">
        <f t="shared" si="30"/>
        <v>0.98358500000000004</v>
      </c>
      <c r="F973" s="1">
        <f t="shared" si="31"/>
        <v>42317</v>
      </c>
      <c r="G973" cm="1">
        <f t="array" ref="G973">PRODUCT( _xlfn._xlws.FILTER($E:$E, ($C:$C=C973)*($F:$F=F973)) ) - 1</f>
        <v>-2.8601801288334339E-2</v>
      </c>
      <c r="J973" t="str">
        <v>SU</v>
      </c>
      <c r="K973" s="1">
        <v>42219</v>
      </c>
      <c r="L973">
        <v>1.3843548918539561E-2</v>
      </c>
    </row>
    <row r="974" spans="1:12" x14ac:dyDescent="0.2">
      <c r="A974" s="1">
        <v>42321</v>
      </c>
      <c r="B974">
        <v>2</v>
      </c>
      <c r="C974" t="s">
        <v>11</v>
      </c>
      <c r="D974">
        <v>-3.6510000000000002E-3</v>
      </c>
      <c r="E974">
        <f t="shared" si="30"/>
        <v>0.99634900000000004</v>
      </c>
      <c r="F974" s="1">
        <f t="shared" si="31"/>
        <v>42317</v>
      </c>
      <c r="G974" cm="1">
        <f t="array" ref="G974">PRODUCT( _xlfn._xlws.FILTER($E:$E, ($C:$C=C974)*($F:$F=F974)) ) - 1</f>
        <v>-2.8601801288334339E-2</v>
      </c>
      <c r="J974" t="str">
        <v>SU</v>
      </c>
      <c r="K974" s="1">
        <v>42226</v>
      </c>
      <c r="L974">
        <v>-2.40846901677505E-3</v>
      </c>
    </row>
    <row r="975" spans="1:12" x14ac:dyDescent="0.2">
      <c r="A975" s="1">
        <v>42324</v>
      </c>
      <c r="B975">
        <v>2</v>
      </c>
      <c r="C975" t="s">
        <v>11</v>
      </c>
      <c r="D975">
        <v>4.5799999999999999E-3</v>
      </c>
      <c r="E975">
        <f t="shared" si="30"/>
        <v>1.00458</v>
      </c>
      <c r="F975" s="1">
        <f t="shared" si="31"/>
        <v>42324</v>
      </c>
      <c r="G975" cm="1">
        <f t="array" ref="G975">PRODUCT( _xlfn._xlws.FILTER($E:$E, ($C:$C=C975)*($F:$F=F975)) ) - 1</f>
        <v>5.2473807163332387E-2</v>
      </c>
      <c r="J975" t="str">
        <v>SU</v>
      </c>
      <c r="K975" s="1">
        <v>42233</v>
      </c>
      <c r="L975">
        <v>-7.9978742565995686E-2</v>
      </c>
    </row>
    <row r="976" spans="1:12" x14ac:dyDescent="0.2">
      <c r="A976" s="1">
        <v>42325</v>
      </c>
      <c r="B976">
        <v>2</v>
      </c>
      <c r="C976" t="s">
        <v>11</v>
      </c>
      <c r="D976">
        <v>2.8660000000000001E-3</v>
      </c>
      <c r="E976">
        <f t="shared" si="30"/>
        <v>1.002866</v>
      </c>
      <c r="F976" s="1">
        <f t="shared" si="31"/>
        <v>42324</v>
      </c>
      <c r="G976" cm="1">
        <f t="array" ref="G976">PRODUCT( _xlfn._xlws.FILTER($E:$E, ($C:$C=C976)*($F:$F=F976)) ) - 1</f>
        <v>5.2473807163332387E-2</v>
      </c>
      <c r="J976" t="str">
        <v>SU</v>
      </c>
      <c r="K976" s="1">
        <v>42240</v>
      </c>
      <c r="L976">
        <v>7.3803987010980787E-2</v>
      </c>
    </row>
    <row r="977" spans="1:12" x14ac:dyDescent="0.2">
      <c r="A977" s="1">
        <v>42326</v>
      </c>
      <c r="B977">
        <v>2</v>
      </c>
      <c r="C977" t="s">
        <v>11</v>
      </c>
      <c r="D977">
        <v>2.247E-2</v>
      </c>
      <c r="E977">
        <f t="shared" si="30"/>
        <v>1.02247</v>
      </c>
      <c r="F977" s="1">
        <f t="shared" si="31"/>
        <v>42324</v>
      </c>
      <c r="G977" cm="1">
        <f t="array" ref="G977">PRODUCT( _xlfn._xlws.FILTER($E:$E, ($C:$C=C977)*($F:$F=F977)) ) - 1</f>
        <v>5.2473807163332387E-2</v>
      </c>
      <c r="J977" t="str">
        <v>SU</v>
      </c>
      <c r="K977" s="1">
        <v>42247</v>
      </c>
      <c r="L977">
        <v>-4.1292778835786303E-2</v>
      </c>
    </row>
    <row r="978" spans="1:12" x14ac:dyDescent="0.2">
      <c r="A978" s="1">
        <v>42327</v>
      </c>
      <c r="B978">
        <v>2</v>
      </c>
      <c r="C978" t="s">
        <v>11</v>
      </c>
      <c r="D978">
        <v>1.4355E-2</v>
      </c>
      <c r="E978">
        <f t="shared" si="30"/>
        <v>1.0143549999999999</v>
      </c>
      <c r="F978" s="1">
        <f t="shared" si="31"/>
        <v>42324</v>
      </c>
      <c r="G978" cm="1">
        <f t="array" ref="G978">PRODUCT( _xlfn._xlws.FILTER($E:$E, ($C:$C=C978)*($F:$F=F978)) ) - 1</f>
        <v>5.2473807163332387E-2</v>
      </c>
      <c r="J978" t="str">
        <v>SU</v>
      </c>
      <c r="K978" s="1">
        <v>42254</v>
      </c>
      <c r="L978">
        <v>-2.6285516855124369E-2</v>
      </c>
    </row>
    <row r="979" spans="1:12" x14ac:dyDescent="0.2">
      <c r="A979" s="1">
        <v>42328</v>
      </c>
      <c r="B979">
        <v>2</v>
      </c>
      <c r="C979" t="s">
        <v>11</v>
      </c>
      <c r="D979">
        <v>7.2639999999999996E-3</v>
      </c>
      <c r="E979">
        <f t="shared" si="30"/>
        <v>1.0072639999999999</v>
      </c>
      <c r="F979" s="1">
        <f t="shared" si="31"/>
        <v>42324</v>
      </c>
      <c r="G979" cm="1">
        <f t="array" ref="G979">PRODUCT( _xlfn._xlws.FILTER($E:$E, ($C:$C=C979)*($F:$F=F979)) ) - 1</f>
        <v>5.2473807163332387E-2</v>
      </c>
      <c r="J979" t="str">
        <v>SU</v>
      </c>
      <c r="K979" s="1">
        <v>42261</v>
      </c>
      <c r="L979">
        <v>-8.7999468982724594E-4</v>
      </c>
    </row>
    <row r="980" spans="1:12" x14ac:dyDescent="0.2">
      <c r="A980" s="1">
        <v>42331</v>
      </c>
      <c r="B980">
        <v>2</v>
      </c>
      <c r="C980" t="s">
        <v>11</v>
      </c>
      <c r="D980">
        <v>-1.6286999999999999E-2</v>
      </c>
      <c r="E980">
        <f t="shared" si="30"/>
        <v>0.98371299999999995</v>
      </c>
      <c r="F980" s="1">
        <f t="shared" si="31"/>
        <v>42331</v>
      </c>
      <c r="G980" cm="1">
        <f t="array" ref="G980">PRODUCT( _xlfn._xlws.FILTER($E:$E, ($C:$C=C980)*($F:$F=F980)) ) - 1</f>
        <v>-9.4478198049007256E-3</v>
      </c>
      <c r="J980" t="str">
        <v>SU</v>
      </c>
      <c r="K980" s="1">
        <v>42268</v>
      </c>
      <c r="L980">
        <v>2.9955446423436394E-2</v>
      </c>
    </row>
    <row r="981" spans="1:12" x14ac:dyDescent="0.2">
      <c r="A981" s="1">
        <v>42332</v>
      </c>
      <c r="B981">
        <v>2</v>
      </c>
      <c r="C981" t="s">
        <v>11</v>
      </c>
      <c r="D981">
        <v>-1.3396999999999999E-2</v>
      </c>
      <c r="E981">
        <f t="shared" si="30"/>
        <v>0.98660300000000001</v>
      </c>
      <c r="F981" s="1">
        <f t="shared" si="31"/>
        <v>42331</v>
      </c>
      <c r="G981" cm="1">
        <f t="array" ref="G981">PRODUCT( _xlfn._xlws.FILTER($E:$E, ($C:$C=C981)*($F:$F=F981)) ) - 1</f>
        <v>-9.4478198049007256E-3</v>
      </c>
      <c r="J981" t="str">
        <v>SU</v>
      </c>
      <c r="K981" s="1">
        <v>42275</v>
      </c>
      <c r="L981">
        <v>8.5545362308212525E-3</v>
      </c>
    </row>
    <row r="982" spans="1:12" x14ac:dyDescent="0.2">
      <c r="A982" s="1">
        <v>42333</v>
      </c>
      <c r="B982">
        <v>2</v>
      </c>
      <c r="C982" t="s">
        <v>11</v>
      </c>
      <c r="D982">
        <v>5.3810000000000004E-3</v>
      </c>
      <c r="E982">
        <f t="shared" si="30"/>
        <v>1.0053810000000001</v>
      </c>
      <c r="F982" s="1">
        <f t="shared" si="31"/>
        <v>42331</v>
      </c>
      <c r="G982" cm="1">
        <f t="array" ref="G982">PRODUCT( _xlfn._xlws.FILTER($E:$E, ($C:$C=C982)*($F:$F=F982)) ) - 1</f>
        <v>-9.4478198049007256E-3</v>
      </c>
      <c r="J982" t="str">
        <v>SU</v>
      </c>
      <c r="K982" s="1">
        <v>42282</v>
      </c>
      <c r="L982">
        <v>3.6753748882101256E-2</v>
      </c>
    </row>
    <row r="983" spans="1:12" x14ac:dyDescent="0.2">
      <c r="A983" s="1">
        <v>42334</v>
      </c>
      <c r="B983">
        <v>2</v>
      </c>
      <c r="C983" t="s">
        <v>11</v>
      </c>
      <c r="D983">
        <v>1.0194E-2</v>
      </c>
      <c r="E983">
        <f t="shared" si="30"/>
        <v>1.010194</v>
      </c>
      <c r="F983" s="1">
        <f t="shared" si="31"/>
        <v>42331</v>
      </c>
      <c r="G983" cm="1">
        <f t="array" ref="G983">PRODUCT( _xlfn._xlws.FILTER($E:$E, ($C:$C=C983)*($F:$F=F983)) ) - 1</f>
        <v>-9.4478198049007256E-3</v>
      </c>
      <c r="J983" t="str">
        <v>SU</v>
      </c>
      <c r="K983" s="1">
        <v>42289</v>
      </c>
      <c r="L983">
        <v>5.1816147951346814E-3</v>
      </c>
    </row>
    <row r="984" spans="1:12" x14ac:dyDescent="0.2">
      <c r="A984" s="1">
        <v>42335</v>
      </c>
      <c r="B984">
        <v>2</v>
      </c>
      <c r="C984" t="s">
        <v>11</v>
      </c>
      <c r="D984">
        <v>4.9189999999999998E-3</v>
      </c>
      <c r="E984">
        <f t="shared" si="30"/>
        <v>1.0049189999999999</v>
      </c>
      <c r="F984" s="1">
        <f t="shared" si="31"/>
        <v>42331</v>
      </c>
      <c r="G984" cm="1">
        <f t="array" ref="G984">PRODUCT( _xlfn._xlws.FILTER($E:$E, ($C:$C=C984)*($F:$F=F984)) ) - 1</f>
        <v>-9.4478198049007256E-3</v>
      </c>
      <c r="J984" t="str">
        <v>SU</v>
      </c>
      <c r="K984" s="1">
        <v>42296</v>
      </c>
      <c r="L984">
        <v>1.7363273450935246E-2</v>
      </c>
    </row>
    <row r="985" spans="1:12" x14ac:dyDescent="0.2">
      <c r="A985" s="1">
        <v>42338</v>
      </c>
      <c r="B985">
        <v>2</v>
      </c>
      <c r="C985" t="s">
        <v>11</v>
      </c>
      <c r="D985">
        <v>5.0199999999999995E-4</v>
      </c>
      <c r="E985">
        <f t="shared" si="30"/>
        <v>1.000502</v>
      </c>
      <c r="F985" s="1">
        <f t="shared" si="31"/>
        <v>42338</v>
      </c>
      <c r="G985" cm="1">
        <f t="array" ref="G985">PRODUCT( _xlfn._xlws.FILTER($E:$E, ($C:$C=C985)*($F:$F=F985)) ) - 1</f>
        <v>-4.4308411380191703E-2</v>
      </c>
      <c r="J985" t="str">
        <v>SU</v>
      </c>
      <c r="K985" s="1">
        <v>42303</v>
      </c>
      <c r="L985">
        <v>3.7599844636144741E-2</v>
      </c>
    </row>
    <row r="986" spans="1:12" x14ac:dyDescent="0.2">
      <c r="A986" s="1">
        <v>42339</v>
      </c>
      <c r="B986">
        <v>2</v>
      </c>
      <c r="C986" t="s">
        <v>11</v>
      </c>
      <c r="D986">
        <v>5.7710000000000001E-3</v>
      </c>
      <c r="E986">
        <f t="shared" si="30"/>
        <v>1.005771</v>
      </c>
      <c r="F986" s="1">
        <f t="shared" si="31"/>
        <v>42338</v>
      </c>
      <c r="G986" cm="1">
        <f t="array" ref="G986">PRODUCT( _xlfn._xlws.FILTER($E:$E, ($C:$C=C986)*($F:$F=F986)) ) - 1</f>
        <v>-4.4308411380191703E-2</v>
      </c>
      <c r="J986" t="str">
        <v>SU</v>
      </c>
      <c r="K986" s="1">
        <v>42310</v>
      </c>
      <c r="L986">
        <v>1.4392800490185209E-2</v>
      </c>
    </row>
    <row r="987" spans="1:12" x14ac:dyDescent="0.2">
      <c r="A987" s="1">
        <v>42340</v>
      </c>
      <c r="B987">
        <v>2</v>
      </c>
      <c r="C987" t="s">
        <v>11</v>
      </c>
      <c r="D987">
        <v>-2.1829000000000001E-2</v>
      </c>
      <c r="E987">
        <f t="shared" si="30"/>
        <v>0.97817100000000001</v>
      </c>
      <c r="F987" s="1">
        <f t="shared" si="31"/>
        <v>42338</v>
      </c>
      <c r="G987" cm="1">
        <f t="array" ref="G987">PRODUCT( _xlfn._xlws.FILTER($E:$E, ($C:$C=C987)*($F:$F=F987)) ) - 1</f>
        <v>-4.4308411380191703E-2</v>
      </c>
      <c r="J987" t="str">
        <v>SU</v>
      </c>
      <c r="K987" s="1">
        <v>42317</v>
      </c>
      <c r="L987">
        <v>-6.4352487625743193E-2</v>
      </c>
    </row>
    <row r="988" spans="1:12" x14ac:dyDescent="0.2">
      <c r="A988" s="1">
        <v>42341</v>
      </c>
      <c r="B988">
        <v>2</v>
      </c>
      <c r="C988" t="s">
        <v>11</v>
      </c>
      <c r="D988">
        <v>-2.1423000000000001E-2</v>
      </c>
      <c r="E988">
        <f t="shared" si="30"/>
        <v>0.97857700000000003</v>
      </c>
      <c r="F988" s="1">
        <f t="shared" si="31"/>
        <v>42338</v>
      </c>
      <c r="G988" cm="1">
        <f t="array" ref="G988">PRODUCT( _xlfn._xlws.FILTER($E:$E, ($C:$C=C988)*($F:$F=F988)) ) - 1</f>
        <v>-4.4308411380191703E-2</v>
      </c>
      <c r="J988" t="str">
        <v>SU</v>
      </c>
      <c r="K988" s="1">
        <v>42324</v>
      </c>
      <c r="L988">
        <v>-8.9354491396932412E-3</v>
      </c>
    </row>
    <row r="989" spans="1:12" x14ac:dyDescent="0.2">
      <c r="A989" s="1">
        <v>42342</v>
      </c>
      <c r="B989">
        <v>2</v>
      </c>
      <c r="C989" t="s">
        <v>11</v>
      </c>
      <c r="D989">
        <v>-7.8189999999999996E-3</v>
      </c>
      <c r="E989">
        <f t="shared" si="30"/>
        <v>0.99218099999999998</v>
      </c>
      <c r="F989" s="1">
        <f t="shared" si="31"/>
        <v>42338</v>
      </c>
      <c r="G989" cm="1">
        <f t="array" ref="G989">PRODUCT( _xlfn._xlws.FILTER($E:$E, ($C:$C=C989)*($F:$F=F989)) ) - 1</f>
        <v>-4.4308411380191703E-2</v>
      </c>
      <c r="J989" t="str">
        <v>SU</v>
      </c>
      <c r="K989" s="1">
        <v>42331</v>
      </c>
      <c r="L989">
        <v>-8.7430363841444203E-3</v>
      </c>
    </row>
    <row r="990" spans="1:12" x14ac:dyDescent="0.2">
      <c r="A990" s="1">
        <v>42345</v>
      </c>
      <c r="B990">
        <v>2</v>
      </c>
      <c r="C990" t="s">
        <v>11</v>
      </c>
      <c r="D990">
        <v>-2.4166E-2</v>
      </c>
      <c r="E990">
        <f t="shared" si="30"/>
        <v>0.97583399999999998</v>
      </c>
      <c r="F990" s="1">
        <f t="shared" si="31"/>
        <v>42345</v>
      </c>
      <c r="G990" cm="1">
        <f t="array" ref="G990">PRODUCT( _xlfn._xlws.FILTER($E:$E, ($C:$C=C990)*($F:$F=F990)) ) - 1</f>
        <v>-4.4125426490178921E-2</v>
      </c>
      <c r="J990" t="str">
        <v>SU</v>
      </c>
      <c r="K990" s="1">
        <v>42338</v>
      </c>
      <c r="L990">
        <v>9.1417077996580609E-4</v>
      </c>
    </row>
    <row r="991" spans="1:12" x14ac:dyDescent="0.2">
      <c r="A991" s="1">
        <v>42346</v>
      </c>
      <c r="B991">
        <v>2</v>
      </c>
      <c r="C991" t="s">
        <v>11</v>
      </c>
      <c r="D991">
        <v>-1.3559999999999999E-2</v>
      </c>
      <c r="E991">
        <f t="shared" si="30"/>
        <v>0.98643999999999998</v>
      </c>
      <c r="F991" s="1">
        <f t="shared" si="31"/>
        <v>42345</v>
      </c>
      <c r="G991" cm="1">
        <f t="array" ref="G991">PRODUCT( _xlfn._xlws.FILTER($E:$E, ($C:$C=C991)*($F:$F=F991)) ) - 1</f>
        <v>-4.4125426490178921E-2</v>
      </c>
      <c r="J991" t="str">
        <v>SU</v>
      </c>
      <c r="K991" s="1">
        <v>42345</v>
      </c>
      <c r="L991">
        <v>-2.2481653115275835E-2</v>
      </c>
    </row>
    <row r="992" spans="1:12" x14ac:dyDescent="0.2">
      <c r="A992" s="1">
        <v>42347</v>
      </c>
      <c r="B992">
        <v>2</v>
      </c>
      <c r="C992" t="s">
        <v>11</v>
      </c>
      <c r="D992">
        <v>1.0825E-2</v>
      </c>
      <c r="E992">
        <f t="shared" si="30"/>
        <v>1.0108250000000001</v>
      </c>
      <c r="F992" s="1">
        <f t="shared" si="31"/>
        <v>42345</v>
      </c>
      <c r="G992" cm="1">
        <f t="array" ref="G992">PRODUCT( _xlfn._xlws.FILTER($E:$E, ($C:$C=C992)*($F:$F=F992)) ) - 1</f>
        <v>-4.4125426490178921E-2</v>
      </c>
      <c r="J992" t="str">
        <v>SU</v>
      </c>
      <c r="K992" s="1">
        <v>42352</v>
      </c>
      <c r="L992">
        <v>2.1861811440130774E-2</v>
      </c>
    </row>
    <row r="993" spans="1:12" x14ac:dyDescent="0.2">
      <c r="A993" s="1">
        <v>42348</v>
      </c>
      <c r="B993">
        <v>2</v>
      </c>
      <c r="C993" t="s">
        <v>11</v>
      </c>
      <c r="D993">
        <v>-3.6600000000000001E-3</v>
      </c>
      <c r="E993">
        <f t="shared" si="30"/>
        <v>0.99634</v>
      </c>
      <c r="F993" s="1">
        <f t="shared" si="31"/>
        <v>42345</v>
      </c>
      <c r="G993" cm="1">
        <f t="array" ref="G993">PRODUCT( _xlfn._xlws.FILTER($E:$E, ($C:$C=C993)*($F:$F=F993)) ) - 1</f>
        <v>-4.4125426490178921E-2</v>
      </c>
      <c r="J993" t="str">
        <v>SU</v>
      </c>
      <c r="K993" s="1">
        <v>42359</v>
      </c>
      <c r="L993">
        <v>2.5006546013722097E-2</v>
      </c>
    </row>
    <row r="994" spans="1:12" x14ac:dyDescent="0.2">
      <c r="A994" s="1">
        <v>42349</v>
      </c>
      <c r="B994">
        <v>2</v>
      </c>
      <c r="C994" t="s">
        <v>11</v>
      </c>
      <c r="D994">
        <v>-1.4014E-2</v>
      </c>
      <c r="E994">
        <f t="shared" si="30"/>
        <v>0.98598600000000003</v>
      </c>
      <c r="F994" s="1">
        <f t="shared" si="31"/>
        <v>42345</v>
      </c>
      <c r="G994" cm="1">
        <f t="array" ref="G994">PRODUCT( _xlfn._xlws.FILTER($E:$E, ($C:$C=C994)*($F:$F=F994)) ) - 1</f>
        <v>-4.4125426490178921E-2</v>
      </c>
      <c r="J994" t="str">
        <v>SU</v>
      </c>
      <c r="K994" s="1">
        <v>42366</v>
      </c>
      <c r="L994">
        <v>-3.1716143678185871E-2</v>
      </c>
    </row>
    <row r="995" spans="1:12" x14ac:dyDescent="0.2">
      <c r="A995" s="1">
        <v>42352</v>
      </c>
      <c r="B995">
        <v>2</v>
      </c>
      <c r="C995" t="s">
        <v>11</v>
      </c>
      <c r="D995">
        <v>2.2216E-2</v>
      </c>
      <c r="E995">
        <f t="shared" si="30"/>
        <v>1.022216</v>
      </c>
      <c r="F995" s="1">
        <f t="shared" si="31"/>
        <v>42352</v>
      </c>
      <c r="G995" cm="1">
        <f t="array" ref="G995">PRODUCT( _xlfn._xlws.FILTER($E:$E, ($C:$C=C995)*($F:$F=F995)) ) - 1</f>
        <v>7.4236918113878225E-2</v>
      </c>
      <c r="J995" t="str">
        <v>SU</v>
      </c>
      <c r="K995" s="1">
        <v>42373</v>
      </c>
      <c r="L995">
        <v>-6.9149158255976451E-2</v>
      </c>
    </row>
    <row r="996" spans="1:12" x14ac:dyDescent="0.2">
      <c r="A996" s="1">
        <v>42353</v>
      </c>
      <c r="B996">
        <v>2</v>
      </c>
      <c r="C996" t="s">
        <v>11</v>
      </c>
      <c r="D996">
        <v>1.0394E-2</v>
      </c>
      <c r="E996">
        <f t="shared" si="30"/>
        <v>1.010394</v>
      </c>
      <c r="F996" s="1">
        <f t="shared" si="31"/>
        <v>42352</v>
      </c>
      <c r="G996" cm="1">
        <f t="array" ref="G996">PRODUCT( _xlfn._xlws.FILTER($E:$E, ($C:$C=C996)*($F:$F=F996)) ) - 1</f>
        <v>7.4236918113878225E-2</v>
      </c>
      <c r="J996" t="str">
        <v>SU</v>
      </c>
      <c r="K996" s="1">
        <v>42380</v>
      </c>
      <c r="L996">
        <v>-6.1052662504070931E-2</v>
      </c>
    </row>
    <row r="997" spans="1:12" x14ac:dyDescent="0.2">
      <c r="A997" s="1">
        <v>42354</v>
      </c>
      <c r="B997">
        <v>2</v>
      </c>
      <c r="C997" t="s">
        <v>11</v>
      </c>
      <c r="D997">
        <v>2.5784999999999999E-2</v>
      </c>
      <c r="E997">
        <f t="shared" si="30"/>
        <v>1.0257849999999999</v>
      </c>
      <c r="F997" s="1">
        <f t="shared" si="31"/>
        <v>42352</v>
      </c>
      <c r="G997" cm="1">
        <f t="array" ref="G997">PRODUCT( _xlfn._xlws.FILTER($E:$E, ($C:$C=C997)*($F:$F=F997)) ) - 1</f>
        <v>7.4236918113878225E-2</v>
      </c>
      <c r="J997" t="str">
        <v>SU</v>
      </c>
      <c r="K997" s="1">
        <v>42387</v>
      </c>
      <c r="L997">
        <v>3.5229981674023136E-3</v>
      </c>
    </row>
    <row r="998" spans="1:12" x14ac:dyDescent="0.2">
      <c r="A998" s="1">
        <v>42355</v>
      </c>
      <c r="B998">
        <v>2</v>
      </c>
      <c r="C998" t="s">
        <v>11</v>
      </c>
      <c r="D998">
        <v>1.081E-2</v>
      </c>
      <c r="E998">
        <f t="shared" si="30"/>
        <v>1.01081</v>
      </c>
      <c r="F998" s="1">
        <f t="shared" si="31"/>
        <v>42352</v>
      </c>
      <c r="G998" cm="1">
        <f t="array" ref="G998">PRODUCT( _xlfn._xlws.FILTER($E:$E, ($C:$C=C998)*($F:$F=F998)) ) - 1</f>
        <v>7.4236918113878225E-2</v>
      </c>
      <c r="J998" t="str">
        <v>SU</v>
      </c>
      <c r="K998" s="1">
        <v>42394</v>
      </c>
      <c r="L998">
        <v>5.9049854043411454E-2</v>
      </c>
    </row>
    <row r="999" spans="1:12" x14ac:dyDescent="0.2">
      <c r="A999" s="1">
        <v>42356</v>
      </c>
      <c r="B999">
        <v>2</v>
      </c>
      <c r="C999" t="s">
        <v>11</v>
      </c>
      <c r="D999">
        <v>3.0920000000000001E-3</v>
      </c>
      <c r="E999">
        <f t="shared" si="30"/>
        <v>1.0030920000000001</v>
      </c>
      <c r="F999" s="1">
        <f t="shared" si="31"/>
        <v>42352</v>
      </c>
      <c r="G999" cm="1">
        <f t="array" ref="G999">PRODUCT( _xlfn._xlws.FILTER($E:$E, ($C:$C=C999)*($F:$F=F999)) ) - 1</f>
        <v>7.4236918113878225E-2</v>
      </c>
      <c r="J999" t="str">
        <v>SU</v>
      </c>
      <c r="K999" s="1">
        <v>42401</v>
      </c>
      <c r="L999">
        <v>-3.9179158089506672E-2</v>
      </c>
    </row>
    <row r="1000" spans="1:12" x14ac:dyDescent="0.2">
      <c r="A1000" s="1">
        <v>42359</v>
      </c>
      <c r="B1000">
        <v>2</v>
      </c>
      <c r="C1000" t="s">
        <v>11</v>
      </c>
      <c r="D1000">
        <v>1.2845000000000001E-2</v>
      </c>
      <c r="E1000">
        <f t="shared" si="30"/>
        <v>1.012845</v>
      </c>
      <c r="F1000" s="1">
        <f t="shared" si="31"/>
        <v>42359</v>
      </c>
      <c r="G1000" cm="1">
        <f t="array" ref="G1000">PRODUCT( _xlfn._xlws.FILTER($E:$E, ($C:$C=C1000)*($F:$F=F1000)) ) - 1</f>
        <v>1.1945878611859584E-2</v>
      </c>
      <c r="J1000" t="str">
        <v>SU</v>
      </c>
      <c r="K1000" s="1">
        <v>42408</v>
      </c>
      <c r="L1000">
        <v>-4.1090679394449103E-2</v>
      </c>
    </row>
    <row r="1001" spans="1:12" x14ac:dyDescent="0.2">
      <c r="A1001" s="1">
        <v>42360</v>
      </c>
      <c r="B1001">
        <v>2</v>
      </c>
      <c r="C1001" t="s">
        <v>11</v>
      </c>
      <c r="D1001">
        <v>1.5219999999999999E-3</v>
      </c>
      <c r="E1001">
        <f t="shared" si="30"/>
        <v>1.001522</v>
      </c>
      <c r="F1001" s="1">
        <f t="shared" si="31"/>
        <v>42359</v>
      </c>
      <c r="G1001" cm="1">
        <f t="array" ref="G1001">PRODUCT( _xlfn._xlws.FILTER($E:$E, ($C:$C=C1001)*($F:$F=F1001)) ) - 1</f>
        <v>1.1945878611859584E-2</v>
      </c>
      <c r="J1001" t="str">
        <v>SU</v>
      </c>
      <c r="K1001" s="1">
        <v>42415</v>
      </c>
      <c r="L1001">
        <v>7.4911248908796191E-2</v>
      </c>
    </row>
    <row r="1002" spans="1:12" x14ac:dyDescent="0.2">
      <c r="A1002" s="1">
        <v>42361</v>
      </c>
      <c r="B1002">
        <v>2</v>
      </c>
      <c r="C1002" t="s">
        <v>11</v>
      </c>
      <c r="D1002">
        <v>-3.5460000000000001E-3</v>
      </c>
      <c r="E1002">
        <f t="shared" si="30"/>
        <v>0.99645399999999995</v>
      </c>
      <c r="F1002" s="1">
        <f t="shared" si="31"/>
        <v>42359</v>
      </c>
      <c r="G1002" cm="1">
        <f t="array" ref="G1002">PRODUCT( _xlfn._xlws.FILTER($E:$E, ($C:$C=C1002)*($F:$F=F1002)) ) - 1</f>
        <v>1.1945878611859584E-2</v>
      </c>
      <c r="J1002" t="str">
        <v>SU</v>
      </c>
      <c r="K1002" s="1">
        <v>42422</v>
      </c>
      <c r="L1002">
        <v>9.1343690604217542E-4</v>
      </c>
    </row>
    <row r="1003" spans="1:12" x14ac:dyDescent="0.2">
      <c r="A1003" s="1">
        <v>42362</v>
      </c>
      <c r="B1003">
        <v>2</v>
      </c>
      <c r="C1003" t="s">
        <v>11</v>
      </c>
      <c r="D1003">
        <v>1.1440000000000001E-3</v>
      </c>
      <c r="E1003">
        <f t="shared" si="30"/>
        <v>1.001144</v>
      </c>
      <c r="F1003" s="1">
        <f t="shared" si="31"/>
        <v>42359</v>
      </c>
      <c r="G1003" cm="1">
        <f t="array" ref="G1003">PRODUCT( _xlfn._xlws.FILTER($E:$E, ($C:$C=C1003)*($F:$F=F1003)) ) - 1</f>
        <v>1.1945878611859584E-2</v>
      </c>
      <c r="J1003" t="str">
        <v>SU</v>
      </c>
      <c r="K1003" s="1">
        <v>42429</v>
      </c>
      <c r="L1003">
        <v>3.5061003497596666E-2</v>
      </c>
    </row>
    <row r="1004" spans="1:12" x14ac:dyDescent="0.2">
      <c r="A1004" s="1">
        <v>42367</v>
      </c>
      <c r="B1004">
        <v>2</v>
      </c>
      <c r="C1004" t="s">
        <v>11</v>
      </c>
      <c r="D1004">
        <v>-6.4739999999999997E-3</v>
      </c>
      <c r="E1004">
        <f t="shared" si="30"/>
        <v>0.99352600000000002</v>
      </c>
      <c r="F1004" s="1">
        <f t="shared" si="31"/>
        <v>42366</v>
      </c>
      <c r="G1004" cm="1">
        <f t="array" ref="G1004">PRODUCT( _xlfn._xlws.FILTER($E:$E, ($C:$C=C1004)*($F:$F=F1004)) ) - 1</f>
        <v>-1.8151540148857448E-2</v>
      </c>
      <c r="J1004" t="str">
        <v>SU</v>
      </c>
      <c r="K1004" s="1">
        <v>42436</v>
      </c>
      <c r="L1004">
        <v>2.5777244133538435E-2</v>
      </c>
    </row>
    <row r="1005" spans="1:12" x14ac:dyDescent="0.2">
      <c r="A1005" s="1">
        <v>42368</v>
      </c>
      <c r="B1005">
        <v>2</v>
      </c>
      <c r="C1005" t="s">
        <v>11</v>
      </c>
      <c r="D1005">
        <v>1.2780000000000001E-3</v>
      </c>
      <c r="E1005">
        <f t="shared" si="30"/>
        <v>1.0012779999999999</v>
      </c>
      <c r="F1005" s="1">
        <f t="shared" si="31"/>
        <v>42366</v>
      </c>
      <c r="G1005" cm="1">
        <f t="array" ref="G1005">PRODUCT( _xlfn._xlws.FILTER($E:$E, ($C:$C=C1005)*($F:$F=F1005)) ) - 1</f>
        <v>-1.8151540148857448E-2</v>
      </c>
      <c r="J1005" t="str">
        <v>SU</v>
      </c>
      <c r="K1005" s="1">
        <v>42443</v>
      </c>
      <c r="L1005">
        <v>3.9862223962588983E-2</v>
      </c>
    </row>
    <row r="1006" spans="1:12" x14ac:dyDescent="0.2">
      <c r="A1006" s="1">
        <v>42369</v>
      </c>
      <c r="B1006">
        <v>2</v>
      </c>
      <c r="C1006" t="s">
        <v>11</v>
      </c>
      <c r="D1006">
        <v>-1.3015000000000001E-2</v>
      </c>
      <c r="E1006">
        <f t="shared" si="30"/>
        <v>0.986985</v>
      </c>
      <c r="F1006" s="1">
        <f t="shared" si="31"/>
        <v>42366</v>
      </c>
      <c r="G1006" cm="1">
        <f t="array" ref="G1006">PRODUCT( _xlfn._xlws.FILTER($E:$E, ($C:$C=C1006)*($F:$F=F1006)) ) - 1</f>
        <v>-1.8151540148857448E-2</v>
      </c>
      <c r="J1006" t="str">
        <v>SU</v>
      </c>
      <c r="K1006" s="1">
        <v>42450</v>
      </c>
      <c r="L1006">
        <v>-3.8887080301297505E-3</v>
      </c>
    </row>
    <row r="1007" spans="1:12" x14ac:dyDescent="0.2">
      <c r="A1007" s="1">
        <v>42373</v>
      </c>
      <c r="B1007">
        <v>2</v>
      </c>
      <c r="C1007" t="s">
        <v>11</v>
      </c>
      <c r="D1007">
        <v>-1.1377E-2</v>
      </c>
      <c r="E1007">
        <f t="shared" si="30"/>
        <v>0.98862300000000003</v>
      </c>
      <c r="F1007" s="1">
        <f t="shared" si="31"/>
        <v>42373</v>
      </c>
      <c r="G1007" cm="1">
        <f t="array" ref="G1007">PRODUCT( _xlfn._xlws.FILTER($E:$E, ($C:$C=C1007)*($F:$F=F1007)) ) - 1</f>
        <v>-6.1150457676899084E-2</v>
      </c>
      <c r="J1007" t="str">
        <v>SU</v>
      </c>
      <c r="K1007" s="1">
        <v>42457</v>
      </c>
      <c r="L1007">
        <v>4.7401894479970341E-3</v>
      </c>
    </row>
    <row r="1008" spans="1:12" x14ac:dyDescent="0.2">
      <c r="A1008" s="1">
        <v>42374</v>
      </c>
      <c r="B1008">
        <v>2</v>
      </c>
      <c r="C1008" t="s">
        <v>11</v>
      </c>
      <c r="D1008">
        <v>-1.3077E-2</v>
      </c>
      <c r="E1008">
        <f t="shared" si="30"/>
        <v>0.98692299999999999</v>
      </c>
      <c r="F1008" s="1">
        <f t="shared" si="31"/>
        <v>42373</v>
      </c>
      <c r="G1008" cm="1">
        <f t="array" ref="G1008">PRODUCT( _xlfn._xlws.FILTER($E:$E, ($C:$C=C1008)*($F:$F=F1008)) ) - 1</f>
        <v>-6.1150457676899084E-2</v>
      </c>
      <c r="J1008" t="str">
        <v>SU</v>
      </c>
      <c r="K1008" s="1">
        <v>42464</v>
      </c>
      <c r="L1008">
        <v>-5.8290318896652149E-3</v>
      </c>
    </row>
    <row r="1009" spans="1:12" x14ac:dyDescent="0.2">
      <c r="A1009" s="1">
        <v>42375</v>
      </c>
      <c r="B1009">
        <v>2</v>
      </c>
      <c r="C1009" t="s">
        <v>11</v>
      </c>
      <c r="D1009">
        <v>-2.6766000000000002E-2</v>
      </c>
      <c r="E1009">
        <f t="shared" si="30"/>
        <v>0.97323400000000004</v>
      </c>
      <c r="F1009" s="1">
        <f t="shared" si="31"/>
        <v>42373</v>
      </c>
      <c r="G1009" cm="1">
        <f t="array" ref="G1009">PRODUCT( _xlfn._xlws.FILTER($E:$E, ($C:$C=C1009)*($F:$F=F1009)) ) - 1</f>
        <v>-6.1150457676899084E-2</v>
      </c>
      <c r="J1009" t="str">
        <v>SU</v>
      </c>
      <c r="K1009" s="1">
        <v>42471</v>
      </c>
      <c r="L1009">
        <v>2.7916107173284743E-3</v>
      </c>
    </row>
    <row r="1010" spans="1:12" x14ac:dyDescent="0.2">
      <c r="A1010" s="1">
        <v>42376</v>
      </c>
      <c r="B1010">
        <v>2</v>
      </c>
      <c r="C1010" t="s">
        <v>11</v>
      </c>
      <c r="D1010">
        <v>-2.0694000000000001E-2</v>
      </c>
      <c r="E1010">
        <f t="shared" si="30"/>
        <v>0.97930600000000001</v>
      </c>
      <c r="F1010" s="1">
        <f t="shared" si="31"/>
        <v>42373</v>
      </c>
      <c r="G1010" cm="1">
        <f t="array" ref="G1010">PRODUCT( _xlfn._xlws.FILTER($E:$E, ($C:$C=C1010)*($F:$F=F1010)) ) - 1</f>
        <v>-6.1150457676899084E-2</v>
      </c>
      <c r="J1010" t="str">
        <v>SU</v>
      </c>
      <c r="K1010" s="1">
        <v>42478</v>
      </c>
      <c r="L1010">
        <v>1.0579763188053093E-2</v>
      </c>
    </row>
    <row r="1011" spans="1:12" x14ac:dyDescent="0.2">
      <c r="A1011" s="1">
        <v>42377</v>
      </c>
      <c r="B1011">
        <v>2</v>
      </c>
      <c r="C1011" t="s">
        <v>11</v>
      </c>
      <c r="D1011">
        <v>9.5930000000000008E-3</v>
      </c>
      <c r="E1011">
        <f t="shared" si="30"/>
        <v>1.009593</v>
      </c>
      <c r="F1011" s="1">
        <f t="shared" si="31"/>
        <v>42373</v>
      </c>
      <c r="G1011" cm="1">
        <f t="array" ref="G1011">PRODUCT( _xlfn._xlws.FILTER($E:$E, ($C:$C=C1011)*($F:$F=F1011)) ) - 1</f>
        <v>-6.1150457676899084E-2</v>
      </c>
      <c r="J1011" t="str">
        <v>SU</v>
      </c>
      <c r="K1011" s="1">
        <v>42485</v>
      </c>
      <c r="L1011">
        <v>1.4601372420145031E-2</v>
      </c>
    </row>
    <row r="1012" spans="1:12" x14ac:dyDescent="0.2">
      <c r="A1012" s="1">
        <v>42380</v>
      </c>
      <c r="B1012">
        <v>2</v>
      </c>
      <c r="C1012" t="s">
        <v>11</v>
      </c>
      <c r="D1012">
        <v>1.1705E-2</v>
      </c>
      <c r="E1012">
        <f t="shared" si="30"/>
        <v>1.0117050000000001</v>
      </c>
      <c r="F1012" s="1">
        <f t="shared" si="31"/>
        <v>42380</v>
      </c>
      <c r="G1012" cm="1">
        <f t="array" ref="G1012">PRODUCT( _xlfn._xlws.FILTER($E:$E, ($C:$C=C1012)*($F:$F=F1012)) ) - 1</f>
        <v>-2.753639847221101E-3</v>
      </c>
      <c r="J1012" t="str">
        <v>SU</v>
      </c>
      <c r="K1012" s="1">
        <v>42492</v>
      </c>
      <c r="L1012">
        <v>-8.1183690700403877E-2</v>
      </c>
    </row>
    <row r="1013" spans="1:12" x14ac:dyDescent="0.2">
      <c r="A1013" s="1">
        <v>42381</v>
      </c>
      <c r="B1013">
        <v>2</v>
      </c>
      <c r="C1013" t="s">
        <v>11</v>
      </c>
      <c r="D1013">
        <v>1.9599999999999999E-2</v>
      </c>
      <c r="E1013">
        <f t="shared" si="30"/>
        <v>1.0196000000000001</v>
      </c>
      <c r="F1013" s="1">
        <f t="shared" si="31"/>
        <v>42380</v>
      </c>
      <c r="G1013" cm="1">
        <f t="array" ref="G1013">PRODUCT( _xlfn._xlws.FILTER($E:$E, ($C:$C=C1013)*($F:$F=F1013)) ) - 1</f>
        <v>-2.753639847221101E-3</v>
      </c>
      <c r="J1013" t="str">
        <v>SU</v>
      </c>
      <c r="K1013" s="1">
        <v>42499</v>
      </c>
      <c r="L1013">
        <v>6.7973470235971334E-3</v>
      </c>
    </row>
    <row r="1014" spans="1:12" x14ac:dyDescent="0.2">
      <c r="A1014" s="1">
        <v>42382</v>
      </c>
      <c r="B1014">
        <v>2</v>
      </c>
      <c r="C1014" t="s">
        <v>11</v>
      </c>
      <c r="D1014">
        <v>-2.6832000000000002E-2</v>
      </c>
      <c r="E1014">
        <f t="shared" si="30"/>
        <v>0.97316800000000003</v>
      </c>
      <c r="F1014" s="1">
        <f t="shared" si="31"/>
        <v>42380</v>
      </c>
      <c r="G1014" cm="1">
        <f t="array" ref="G1014">PRODUCT( _xlfn._xlws.FILTER($E:$E, ($C:$C=C1014)*($F:$F=F1014)) ) - 1</f>
        <v>-2.753639847221101E-3</v>
      </c>
      <c r="J1014" t="str">
        <v>SU</v>
      </c>
      <c r="K1014" s="1">
        <v>42506</v>
      </c>
      <c r="L1014">
        <v>1.2621282467211614E-2</v>
      </c>
    </row>
    <row r="1015" spans="1:12" x14ac:dyDescent="0.2">
      <c r="A1015" s="1">
        <v>42383</v>
      </c>
      <c r="B1015">
        <v>2</v>
      </c>
      <c r="C1015" t="s">
        <v>11</v>
      </c>
      <c r="D1015">
        <v>1.7284000000000001E-2</v>
      </c>
      <c r="E1015">
        <f t="shared" si="30"/>
        <v>1.0172840000000001</v>
      </c>
      <c r="F1015" s="1">
        <f t="shared" si="31"/>
        <v>42380</v>
      </c>
      <c r="G1015" cm="1">
        <f t="array" ref="G1015">PRODUCT( _xlfn._xlws.FILTER($E:$E, ($C:$C=C1015)*($F:$F=F1015)) ) - 1</f>
        <v>-2.753639847221101E-3</v>
      </c>
      <c r="J1015" t="str">
        <v>SU</v>
      </c>
      <c r="K1015" s="1">
        <v>42513</v>
      </c>
      <c r="L1015">
        <v>4.0579835983595824E-2</v>
      </c>
    </row>
    <row r="1016" spans="1:12" x14ac:dyDescent="0.2">
      <c r="A1016" s="1">
        <v>42384</v>
      </c>
      <c r="B1016">
        <v>2</v>
      </c>
      <c r="C1016" t="s">
        <v>11</v>
      </c>
      <c r="D1016">
        <v>-2.3463000000000001E-2</v>
      </c>
      <c r="E1016">
        <f t="shared" si="30"/>
        <v>0.97653699999999999</v>
      </c>
      <c r="F1016" s="1">
        <f t="shared" si="31"/>
        <v>42380</v>
      </c>
      <c r="G1016" cm="1">
        <f t="array" ref="G1016">PRODUCT( _xlfn._xlws.FILTER($E:$E, ($C:$C=C1016)*($F:$F=F1016)) ) - 1</f>
        <v>-2.753639847221101E-3</v>
      </c>
      <c r="J1016" t="str">
        <v>SU</v>
      </c>
      <c r="K1016" s="1">
        <v>42520</v>
      </c>
      <c r="L1016">
        <v>-2.2338493772777746E-4</v>
      </c>
    </row>
    <row r="1017" spans="1:12" x14ac:dyDescent="0.2">
      <c r="A1017" s="1">
        <v>42387</v>
      </c>
      <c r="B1017">
        <v>2</v>
      </c>
      <c r="C1017" t="s">
        <v>11</v>
      </c>
      <c r="D1017">
        <v>1.077E-2</v>
      </c>
      <c r="E1017">
        <f t="shared" si="30"/>
        <v>1.0107699999999999</v>
      </c>
      <c r="F1017" s="1">
        <f t="shared" si="31"/>
        <v>42387</v>
      </c>
      <c r="G1017" cm="1">
        <f t="array" ref="G1017">PRODUCT( _xlfn._xlws.FILTER($E:$E, ($C:$C=C1017)*($F:$F=F1017)) ) - 1</f>
        <v>-2.7064758485745855E-2</v>
      </c>
      <c r="J1017" t="str">
        <v>SU</v>
      </c>
      <c r="K1017" s="1">
        <v>42527</v>
      </c>
      <c r="L1017">
        <v>-3.4268971884844568E-2</v>
      </c>
    </row>
    <row r="1018" spans="1:12" x14ac:dyDescent="0.2">
      <c r="A1018" s="1">
        <v>42388</v>
      </c>
      <c r="B1018">
        <v>2</v>
      </c>
      <c r="C1018" t="s">
        <v>11</v>
      </c>
      <c r="D1018">
        <v>-2.0492E-2</v>
      </c>
      <c r="E1018">
        <f t="shared" si="30"/>
        <v>0.97950800000000005</v>
      </c>
      <c r="F1018" s="1">
        <f t="shared" si="31"/>
        <v>42387</v>
      </c>
      <c r="G1018" cm="1">
        <f t="array" ref="G1018">PRODUCT( _xlfn._xlws.FILTER($E:$E, ($C:$C=C1018)*($F:$F=F1018)) ) - 1</f>
        <v>-2.7064758485745855E-2</v>
      </c>
      <c r="J1018" t="str">
        <v>SU</v>
      </c>
      <c r="K1018" s="1">
        <v>42534</v>
      </c>
      <c r="L1018">
        <v>-1.1638395086220887E-3</v>
      </c>
    </row>
    <row r="1019" spans="1:12" x14ac:dyDescent="0.2">
      <c r="A1019" s="1">
        <v>42389</v>
      </c>
      <c r="B1019">
        <v>2</v>
      </c>
      <c r="C1019" t="s">
        <v>11</v>
      </c>
      <c r="D1019">
        <v>-3.7099E-2</v>
      </c>
      <c r="E1019">
        <f t="shared" si="30"/>
        <v>0.96290100000000001</v>
      </c>
      <c r="F1019" s="1">
        <f t="shared" si="31"/>
        <v>42387</v>
      </c>
      <c r="G1019" cm="1">
        <f t="array" ref="G1019">PRODUCT( _xlfn._xlws.FILTER($E:$E, ($C:$C=C1019)*($F:$F=F1019)) ) - 1</f>
        <v>-2.7064758485745855E-2</v>
      </c>
      <c r="J1019" t="str">
        <v>SU</v>
      </c>
      <c r="K1019" s="1">
        <v>42541</v>
      </c>
      <c r="L1019">
        <v>1.4851676989444895E-2</v>
      </c>
    </row>
    <row r="1020" spans="1:12" x14ac:dyDescent="0.2">
      <c r="A1020" s="1">
        <v>42390</v>
      </c>
      <c r="B1020">
        <v>2</v>
      </c>
      <c r="C1020" t="s">
        <v>11</v>
      </c>
      <c r="D1020">
        <v>2.8969999999999998E-3</v>
      </c>
      <c r="E1020">
        <f t="shared" si="30"/>
        <v>1.0028969999999999</v>
      </c>
      <c r="F1020" s="1">
        <f t="shared" si="31"/>
        <v>42387</v>
      </c>
      <c r="G1020" cm="1">
        <f t="array" ref="G1020">PRODUCT( _xlfn._xlws.FILTER($E:$E, ($C:$C=C1020)*($F:$F=F1020)) ) - 1</f>
        <v>-2.7064758485745855E-2</v>
      </c>
      <c r="J1020" t="str">
        <v>SU</v>
      </c>
      <c r="K1020" s="1">
        <v>42548</v>
      </c>
      <c r="L1020">
        <v>2.8407064897411738E-2</v>
      </c>
    </row>
    <row r="1021" spans="1:12" x14ac:dyDescent="0.2">
      <c r="A1021" s="1">
        <v>42391</v>
      </c>
      <c r="B1021">
        <v>2</v>
      </c>
      <c r="C1021" t="s">
        <v>11</v>
      </c>
      <c r="D1021">
        <v>1.762E-2</v>
      </c>
      <c r="E1021">
        <f t="shared" si="30"/>
        <v>1.01762</v>
      </c>
      <c r="F1021" s="1">
        <f t="shared" si="31"/>
        <v>42387</v>
      </c>
      <c r="G1021" cm="1">
        <f t="array" ref="G1021">PRODUCT( _xlfn._xlws.FILTER($E:$E, ($C:$C=C1021)*($F:$F=F1021)) ) - 1</f>
        <v>-2.7064758485745855E-2</v>
      </c>
      <c r="J1021" t="str">
        <v>SU</v>
      </c>
      <c r="K1021" s="1">
        <v>42555</v>
      </c>
      <c r="L1021">
        <v>1.2277037774720556E-2</v>
      </c>
    </row>
    <row r="1022" spans="1:12" x14ac:dyDescent="0.2">
      <c r="A1022" s="1">
        <v>42394</v>
      </c>
      <c r="B1022">
        <v>2</v>
      </c>
      <c r="C1022" t="s">
        <v>11</v>
      </c>
      <c r="D1022">
        <v>-4.4000000000000003E-3</v>
      </c>
      <c r="E1022">
        <f t="shared" si="30"/>
        <v>0.99560000000000004</v>
      </c>
      <c r="F1022" s="1">
        <f t="shared" si="31"/>
        <v>42394</v>
      </c>
      <c r="G1022" cm="1">
        <f t="array" ref="G1022">PRODUCT( _xlfn._xlws.FILTER($E:$E, ($C:$C=C1022)*($F:$F=F1022)) ) - 1</f>
        <v>6.3013373786327875E-2</v>
      </c>
      <c r="J1022" t="str">
        <v>SU</v>
      </c>
      <c r="K1022" s="1">
        <v>42562</v>
      </c>
      <c r="L1022">
        <v>-5.5128302689169129E-3</v>
      </c>
    </row>
    <row r="1023" spans="1:12" x14ac:dyDescent="0.2">
      <c r="A1023" s="1">
        <v>42395</v>
      </c>
      <c r="B1023">
        <v>2</v>
      </c>
      <c r="C1023" t="s">
        <v>11</v>
      </c>
      <c r="D1023">
        <v>1.6251000000000002E-2</v>
      </c>
      <c r="E1023">
        <f t="shared" si="30"/>
        <v>1.016251</v>
      </c>
      <c r="F1023" s="1">
        <f t="shared" si="31"/>
        <v>42394</v>
      </c>
      <c r="G1023" cm="1">
        <f t="array" ref="G1023">PRODUCT( _xlfn._xlws.FILTER($E:$E, ($C:$C=C1023)*($F:$F=F1023)) ) - 1</f>
        <v>6.3013373786327875E-2</v>
      </c>
      <c r="J1023" t="str">
        <v>SU</v>
      </c>
      <c r="K1023" s="1">
        <v>42569</v>
      </c>
      <c r="L1023">
        <v>-2.2169701275603915E-3</v>
      </c>
    </row>
    <row r="1024" spans="1:12" x14ac:dyDescent="0.2">
      <c r="A1024" s="1">
        <v>42396</v>
      </c>
      <c r="B1024">
        <v>2</v>
      </c>
      <c r="C1024" t="s">
        <v>11</v>
      </c>
      <c r="D1024">
        <v>6.3119999999999999E-3</v>
      </c>
      <c r="E1024">
        <f t="shared" si="30"/>
        <v>1.0063120000000001</v>
      </c>
      <c r="F1024" s="1">
        <f t="shared" si="31"/>
        <v>42394</v>
      </c>
      <c r="G1024" cm="1">
        <f t="array" ref="G1024">PRODUCT( _xlfn._xlws.FILTER($E:$E, ($C:$C=C1024)*($F:$F=F1024)) ) - 1</f>
        <v>6.3013373786327875E-2</v>
      </c>
      <c r="J1024" t="str">
        <v>SU</v>
      </c>
      <c r="K1024" s="1">
        <v>42576</v>
      </c>
      <c r="L1024">
        <v>-2.3889626678576525E-2</v>
      </c>
    </row>
    <row r="1025" spans="1:12" x14ac:dyDescent="0.2">
      <c r="A1025" s="1">
        <v>42397</v>
      </c>
      <c r="B1025">
        <v>2</v>
      </c>
      <c r="C1025" t="s">
        <v>11</v>
      </c>
      <c r="D1025">
        <v>3.3871999999999999E-2</v>
      </c>
      <c r="E1025">
        <f t="shared" si="30"/>
        <v>1.0338719999999999</v>
      </c>
      <c r="F1025" s="1">
        <f t="shared" si="31"/>
        <v>42394</v>
      </c>
      <c r="G1025" cm="1">
        <f t="array" ref="G1025">PRODUCT( _xlfn._xlws.FILTER($E:$E, ($C:$C=C1025)*($F:$F=F1025)) ) - 1</f>
        <v>6.3013373786327875E-2</v>
      </c>
      <c r="J1025" t="str">
        <v>SU</v>
      </c>
      <c r="K1025" s="1">
        <v>42583</v>
      </c>
      <c r="L1025">
        <v>-3.1293098643532247E-3</v>
      </c>
    </row>
    <row r="1026" spans="1:12" x14ac:dyDescent="0.2">
      <c r="A1026" s="1">
        <v>42398</v>
      </c>
      <c r="B1026">
        <v>2</v>
      </c>
      <c r="C1026" t="s">
        <v>11</v>
      </c>
      <c r="D1026">
        <v>9.8420000000000001E-3</v>
      </c>
      <c r="E1026">
        <f t="shared" si="30"/>
        <v>1.0098419999999999</v>
      </c>
      <c r="F1026" s="1">
        <f t="shared" si="31"/>
        <v>42394</v>
      </c>
      <c r="G1026" cm="1">
        <f t="array" ref="G1026">PRODUCT( _xlfn._xlws.FILTER($E:$E, ($C:$C=C1026)*($F:$F=F1026)) ) - 1</f>
        <v>6.3013373786327875E-2</v>
      </c>
      <c r="J1026" t="str">
        <v>SU</v>
      </c>
      <c r="K1026" s="1">
        <v>42590</v>
      </c>
      <c r="L1026">
        <v>4.0537813476942075E-2</v>
      </c>
    </row>
    <row r="1027" spans="1:12" x14ac:dyDescent="0.2">
      <c r="A1027" s="1">
        <v>42401</v>
      </c>
      <c r="B1027">
        <v>2</v>
      </c>
      <c r="C1027" t="s">
        <v>11</v>
      </c>
      <c r="D1027">
        <v>-6.0080000000000003E-3</v>
      </c>
      <c r="E1027">
        <f t="shared" si="30"/>
        <v>0.99399199999999999</v>
      </c>
      <c r="F1027" s="1">
        <f t="shared" si="31"/>
        <v>42401</v>
      </c>
      <c r="G1027" cm="1">
        <f t="array" ref="G1027">PRODUCT( _xlfn._xlws.FILTER($E:$E, ($C:$C=C1027)*($F:$F=F1027)) ) - 1</f>
        <v>-9.0784412872919606E-3</v>
      </c>
      <c r="J1027" t="str">
        <v>SU</v>
      </c>
      <c r="K1027" s="1">
        <v>42597</v>
      </c>
      <c r="L1027">
        <v>2.7433263210576708E-3</v>
      </c>
    </row>
    <row r="1028" spans="1:12" x14ac:dyDescent="0.2">
      <c r="A1028" s="1">
        <v>42402</v>
      </c>
      <c r="B1028">
        <v>2</v>
      </c>
      <c r="C1028" t="s">
        <v>11</v>
      </c>
      <c r="D1028">
        <v>-1.9609999999999999E-2</v>
      </c>
      <c r="E1028">
        <f t="shared" ref="E1028:E1091" si="32">D1028+1</f>
        <v>0.98038999999999998</v>
      </c>
      <c r="F1028" s="1">
        <f t="shared" ref="F1028:F1091" si="33">A1028 - (WEEKDAY(A1028, 2) - 1)</f>
        <v>42401</v>
      </c>
      <c r="G1028" cm="1">
        <f t="array" ref="G1028">PRODUCT( _xlfn._xlws.FILTER($E:$E, ($C:$C=C1028)*($F:$F=F1028)) ) - 1</f>
        <v>-9.0784412872919606E-3</v>
      </c>
      <c r="J1028" t="str">
        <v>SU</v>
      </c>
      <c r="K1028" s="1">
        <v>42604</v>
      </c>
      <c r="L1028">
        <v>-1.9161581478924772E-3</v>
      </c>
    </row>
    <row r="1029" spans="1:12" x14ac:dyDescent="0.2">
      <c r="A1029" s="1">
        <v>42403</v>
      </c>
      <c r="B1029">
        <v>2</v>
      </c>
      <c r="C1029" t="s">
        <v>11</v>
      </c>
      <c r="D1029">
        <v>6.1650000000000003E-3</v>
      </c>
      <c r="E1029">
        <f t="shared" si="32"/>
        <v>1.006165</v>
      </c>
      <c r="F1029" s="1">
        <f t="shared" si="33"/>
        <v>42401</v>
      </c>
      <c r="G1029" cm="1">
        <f t="array" ref="G1029">PRODUCT( _xlfn._xlws.FILTER($E:$E, ($C:$C=C1029)*($F:$F=F1029)) ) - 1</f>
        <v>-9.0784412872919606E-3</v>
      </c>
      <c r="J1029" t="str">
        <v>SU</v>
      </c>
      <c r="K1029" s="1">
        <v>42611</v>
      </c>
      <c r="L1029">
        <v>-1.5253246123098196E-2</v>
      </c>
    </row>
    <row r="1030" spans="1:12" x14ac:dyDescent="0.2">
      <c r="A1030" s="1">
        <v>42404</v>
      </c>
      <c r="B1030">
        <v>2</v>
      </c>
      <c r="C1030" t="s">
        <v>11</v>
      </c>
      <c r="D1030">
        <v>3.1046000000000001E-2</v>
      </c>
      <c r="E1030">
        <f t="shared" si="32"/>
        <v>1.0310459999999999</v>
      </c>
      <c r="F1030" s="1">
        <f t="shared" si="33"/>
        <v>42401</v>
      </c>
      <c r="G1030" cm="1">
        <f t="array" ref="G1030">PRODUCT( _xlfn._xlws.FILTER($E:$E, ($C:$C=C1030)*($F:$F=F1030)) ) - 1</f>
        <v>-9.0784412872919606E-3</v>
      </c>
      <c r="J1030" t="str">
        <v>SU</v>
      </c>
      <c r="K1030" s="1">
        <v>42618</v>
      </c>
      <c r="L1030">
        <v>-1.6279518444300978E-2</v>
      </c>
    </row>
    <row r="1031" spans="1:12" x14ac:dyDescent="0.2">
      <c r="A1031" s="1">
        <v>42405</v>
      </c>
      <c r="B1031">
        <v>2</v>
      </c>
      <c r="C1031" t="s">
        <v>11</v>
      </c>
      <c r="D1031">
        <v>-1.9810000000000001E-2</v>
      </c>
      <c r="E1031">
        <f t="shared" si="32"/>
        <v>0.98019000000000001</v>
      </c>
      <c r="F1031" s="1">
        <f t="shared" si="33"/>
        <v>42401</v>
      </c>
      <c r="G1031" cm="1">
        <f t="array" ref="G1031">PRODUCT( _xlfn._xlws.FILTER($E:$E, ($C:$C=C1031)*($F:$F=F1031)) ) - 1</f>
        <v>-9.0784412872919606E-3</v>
      </c>
      <c r="J1031" t="str">
        <v>SU</v>
      </c>
      <c r="K1031" s="1">
        <v>42625</v>
      </c>
      <c r="L1031">
        <v>-2.2824993431869167E-2</v>
      </c>
    </row>
    <row r="1032" spans="1:12" x14ac:dyDescent="0.2">
      <c r="A1032" s="1">
        <v>42408</v>
      </c>
      <c r="B1032">
        <v>2</v>
      </c>
      <c r="C1032" t="s">
        <v>11</v>
      </c>
      <c r="D1032">
        <v>1.2529999999999999E-2</v>
      </c>
      <c r="E1032">
        <f t="shared" si="32"/>
        <v>1.0125299999999999</v>
      </c>
      <c r="F1032" s="1">
        <f t="shared" si="33"/>
        <v>42408</v>
      </c>
      <c r="G1032" cm="1">
        <f t="array" ref="G1032">PRODUCT( _xlfn._xlws.FILTER($E:$E, ($C:$C=C1032)*($F:$F=F1032)) ) - 1</f>
        <v>3.1257529008089646E-2</v>
      </c>
      <c r="J1032" t="str">
        <v>SU</v>
      </c>
      <c r="K1032" s="1">
        <v>42632</v>
      </c>
      <c r="L1032">
        <v>1.7517603321081987E-2</v>
      </c>
    </row>
    <row r="1033" spans="1:12" x14ac:dyDescent="0.2">
      <c r="A1033" s="1">
        <v>42409</v>
      </c>
      <c r="B1033">
        <v>2</v>
      </c>
      <c r="C1033" t="s">
        <v>11</v>
      </c>
      <c r="D1033">
        <v>1.9428000000000001E-2</v>
      </c>
      <c r="E1033">
        <f t="shared" si="32"/>
        <v>1.019428</v>
      </c>
      <c r="F1033" s="1">
        <f t="shared" si="33"/>
        <v>42408</v>
      </c>
      <c r="G1033" cm="1">
        <f t="array" ref="G1033">PRODUCT( _xlfn._xlws.FILTER($E:$E, ($C:$C=C1033)*($F:$F=F1033)) ) - 1</f>
        <v>3.1257529008089646E-2</v>
      </c>
      <c r="J1033" t="str">
        <v>SU</v>
      </c>
      <c r="K1033" s="1">
        <v>42639</v>
      </c>
      <c r="L1033">
        <v>4.5050805624088808E-2</v>
      </c>
    </row>
    <row r="1034" spans="1:12" x14ac:dyDescent="0.2">
      <c r="A1034" s="1">
        <v>42410</v>
      </c>
      <c r="B1034">
        <v>2</v>
      </c>
      <c r="C1034" t="s">
        <v>11</v>
      </c>
      <c r="D1034">
        <v>-1.1487000000000001E-2</v>
      </c>
      <c r="E1034">
        <f t="shared" si="32"/>
        <v>0.98851299999999998</v>
      </c>
      <c r="F1034" s="1">
        <f t="shared" si="33"/>
        <v>42408</v>
      </c>
      <c r="G1034" cm="1">
        <f t="array" ref="G1034">PRODUCT( _xlfn._xlws.FILTER($E:$E, ($C:$C=C1034)*($F:$F=F1034)) ) - 1</f>
        <v>3.1257529008089646E-2</v>
      </c>
      <c r="J1034" t="str">
        <v>SU</v>
      </c>
      <c r="K1034" s="1">
        <v>42646</v>
      </c>
      <c r="L1034">
        <v>1.2630436334957418E-2</v>
      </c>
    </row>
    <row r="1035" spans="1:12" x14ac:dyDescent="0.2">
      <c r="A1035" s="1">
        <v>42411</v>
      </c>
      <c r="B1035">
        <v>2</v>
      </c>
      <c r="C1035" t="s">
        <v>11</v>
      </c>
      <c r="D1035">
        <v>5.5459999999999997E-3</v>
      </c>
      <c r="E1035">
        <f t="shared" si="32"/>
        <v>1.0055460000000001</v>
      </c>
      <c r="F1035" s="1">
        <f t="shared" si="33"/>
        <v>42408</v>
      </c>
      <c r="G1035" cm="1">
        <f t="array" ref="G1035">PRODUCT( _xlfn._xlws.FILTER($E:$E, ($C:$C=C1035)*($F:$F=F1035)) ) - 1</f>
        <v>3.1257529008089646E-2</v>
      </c>
      <c r="J1035" t="str">
        <v>SU</v>
      </c>
      <c r="K1035" s="1">
        <v>42653</v>
      </c>
      <c r="L1035">
        <v>1.35576793175749E-2</v>
      </c>
    </row>
    <row r="1036" spans="1:12" x14ac:dyDescent="0.2">
      <c r="A1036" s="1">
        <v>42412</v>
      </c>
      <c r="B1036">
        <v>2</v>
      </c>
      <c r="C1036" t="s">
        <v>11</v>
      </c>
      <c r="D1036">
        <v>5.1209999999999997E-3</v>
      </c>
      <c r="E1036">
        <f t="shared" si="32"/>
        <v>1.0051209999999999</v>
      </c>
      <c r="F1036" s="1">
        <f t="shared" si="33"/>
        <v>42408</v>
      </c>
      <c r="G1036" cm="1">
        <f t="array" ref="G1036">PRODUCT( _xlfn._xlws.FILTER($E:$E, ($C:$C=C1036)*($F:$F=F1036)) ) - 1</f>
        <v>3.1257529008089646E-2</v>
      </c>
      <c r="J1036" t="str">
        <v>SU</v>
      </c>
      <c r="K1036" s="1">
        <v>42660</v>
      </c>
      <c r="L1036">
        <v>4.8422141680770636E-2</v>
      </c>
    </row>
    <row r="1037" spans="1:12" x14ac:dyDescent="0.2">
      <c r="A1037" s="1">
        <v>42416</v>
      </c>
      <c r="B1037">
        <v>2</v>
      </c>
      <c r="C1037" t="s">
        <v>11</v>
      </c>
      <c r="D1037">
        <v>7.7079999999999996E-3</v>
      </c>
      <c r="E1037">
        <f t="shared" si="32"/>
        <v>1.007708</v>
      </c>
      <c r="F1037" s="1">
        <f t="shared" si="33"/>
        <v>42415</v>
      </c>
      <c r="G1037" cm="1">
        <f t="array" ref="G1037">PRODUCT( _xlfn._xlws.FILTER($E:$E, ($C:$C=C1037)*($F:$F=F1037)) ) - 1</f>
        <v>2.5345789214351599E-2</v>
      </c>
      <c r="J1037" t="str">
        <v>SU</v>
      </c>
      <c r="K1037" s="1">
        <v>42667</v>
      </c>
      <c r="L1037">
        <v>5.3585439186142114E-2</v>
      </c>
    </row>
    <row r="1038" spans="1:12" x14ac:dyDescent="0.2">
      <c r="A1038" s="1">
        <v>42417</v>
      </c>
      <c r="B1038">
        <v>2</v>
      </c>
      <c r="C1038" t="s">
        <v>11</v>
      </c>
      <c r="D1038">
        <v>1.4002000000000001E-2</v>
      </c>
      <c r="E1038">
        <f t="shared" si="32"/>
        <v>1.0140020000000001</v>
      </c>
      <c r="F1038" s="1">
        <f t="shared" si="33"/>
        <v>42415</v>
      </c>
      <c r="G1038" cm="1">
        <f t="array" ref="G1038">PRODUCT( _xlfn._xlws.FILTER($E:$E, ($C:$C=C1038)*($F:$F=F1038)) ) - 1</f>
        <v>2.5345789214351599E-2</v>
      </c>
      <c r="J1038" t="str">
        <v>SU</v>
      </c>
      <c r="K1038" s="1">
        <v>42674</v>
      </c>
      <c r="L1038">
        <v>-5.2312922488204627E-2</v>
      </c>
    </row>
    <row r="1039" spans="1:12" x14ac:dyDescent="0.2">
      <c r="A1039" s="1">
        <v>42418</v>
      </c>
      <c r="B1039">
        <v>2</v>
      </c>
      <c r="C1039" t="s">
        <v>11</v>
      </c>
      <c r="D1039">
        <v>3.836E-3</v>
      </c>
      <c r="E1039">
        <f t="shared" si="32"/>
        <v>1.003836</v>
      </c>
      <c r="F1039" s="1">
        <f t="shared" si="33"/>
        <v>42415</v>
      </c>
      <c r="G1039" cm="1">
        <f t="array" ref="G1039">PRODUCT( _xlfn._xlws.FILTER($E:$E, ($C:$C=C1039)*($F:$F=F1039)) ) - 1</f>
        <v>2.5345789214351599E-2</v>
      </c>
      <c r="J1039" t="str">
        <v>SU</v>
      </c>
      <c r="K1039" s="1">
        <v>42681</v>
      </c>
      <c r="L1039">
        <v>1.0221501672086131E-2</v>
      </c>
    </row>
    <row r="1040" spans="1:12" x14ac:dyDescent="0.2">
      <c r="A1040" s="1">
        <v>42419</v>
      </c>
      <c r="B1040">
        <v>2</v>
      </c>
      <c r="C1040" t="s">
        <v>11</v>
      </c>
      <c r="D1040">
        <v>-3.8200000000000002E-4</v>
      </c>
      <c r="E1040">
        <f t="shared" si="32"/>
        <v>0.99961800000000001</v>
      </c>
      <c r="F1040" s="1">
        <f t="shared" si="33"/>
        <v>42415</v>
      </c>
      <c r="G1040" cm="1">
        <f t="array" ref="G1040">PRODUCT( _xlfn._xlws.FILTER($E:$E, ($C:$C=C1040)*($F:$F=F1040)) ) - 1</f>
        <v>2.5345789214351599E-2</v>
      </c>
      <c r="J1040" t="str">
        <v>SU</v>
      </c>
      <c r="K1040" s="1">
        <v>42688</v>
      </c>
      <c r="L1040">
        <v>5.7677116217367042E-2</v>
      </c>
    </row>
    <row r="1041" spans="1:12" x14ac:dyDescent="0.2">
      <c r="A1041" s="1">
        <v>42422</v>
      </c>
      <c r="B1041">
        <v>2</v>
      </c>
      <c r="C1041" t="s">
        <v>11</v>
      </c>
      <c r="D1041">
        <v>4.2050000000000004E-3</v>
      </c>
      <c r="E1041">
        <f t="shared" si="32"/>
        <v>1.004205</v>
      </c>
      <c r="F1041" s="1">
        <f t="shared" si="33"/>
        <v>42422</v>
      </c>
      <c r="G1041" cm="1">
        <f t="array" ref="G1041">PRODUCT( _xlfn._xlws.FILTER($E:$E, ($C:$C=C1041)*($F:$F=F1041)) ) - 1</f>
        <v>5.9886490918745761E-3</v>
      </c>
      <c r="J1041" t="str">
        <v>SU</v>
      </c>
      <c r="K1041" s="1">
        <v>42695</v>
      </c>
      <c r="L1041">
        <v>3.5884296787829228E-3</v>
      </c>
    </row>
    <row r="1042" spans="1:12" x14ac:dyDescent="0.2">
      <c r="A1042" s="1">
        <v>42423</v>
      </c>
      <c r="B1042">
        <v>2</v>
      </c>
      <c r="C1042" t="s">
        <v>11</v>
      </c>
      <c r="D1042">
        <v>-3.6800000000000001E-3</v>
      </c>
      <c r="E1042">
        <f t="shared" si="32"/>
        <v>0.99631999999999998</v>
      </c>
      <c r="F1042" s="1">
        <f t="shared" si="33"/>
        <v>42422</v>
      </c>
      <c r="G1042" cm="1">
        <f t="array" ref="G1042">PRODUCT( _xlfn._xlws.FILTER($E:$E, ($C:$C=C1042)*($F:$F=F1042)) ) - 1</f>
        <v>5.9886490918745761E-3</v>
      </c>
      <c r="J1042" t="str">
        <v>SU</v>
      </c>
      <c r="K1042" s="1">
        <v>42702</v>
      </c>
      <c r="L1042">
        <v>2.7412635155487308E-2</v>
      </c>
    </row>
    <row r="1043" spans="1:12" x14ac:dyDescent="0.2">
      <c r="A1043" s="1">
        <v>42424</v>
      </c>
      <c r="B1043">
        <v>2</v>
      </c>
      <c r="C1043" t="s">
        <v>11</v>
      </c>
      <c r="D1043">
        <v>4.4580000000000002E-3</v>
      </c>
      <c r="E1043">
        <f t="shared" si="32"/>
        <v>1.0044580000000001</v>
      </c>
      <c r="F1043" s="1">
        <f t="shared" si="33"/>
        <v>42422</v>
      </c>
      <c r="G1043" cm="1">
        <f t="array" ref="G1043">PRODUCT( _xlfn._xlws.FILTER($E:$E, ($C:$C=C1043)*($F:$F=F1043)) ) - 1</f>
        <v>5.9886490918745761E-3</v>
      </c>
      <c r="J1043" t="str">
        <v>SU</v>
      </c>
      <c r="K1043" s="1">
        <v>42709</v>
      </c>
      <c r="L1043">
        <v>3.5020902061630999E-3</v>
      </c>
    </row>
    <row r="1044" spans="1:12" x14ac:dyDescent="0.2">
      <c r="A1044" s="1">
        <v>42425</v>
      </c>
      <c r="B1044">
        <v>2</v>
      </c>
      <c r="C1044" t="s">
        <v>11</v>
      </c>
      <c r="D1044">
        <v>-2.029E-3</v>
      </c>
      <c r="E1044">
        <f t="shared" si="32"/>
        <v>0.99797100000000005</v>
      </c>
      <c r="F1044" s="1">
        <f t="shared" si="33"/>
        <v>42422</v>
      </c>
      <c r="G1044" cm="1">
        <f t="array" ref="G1044">PRODUCT( _xlfn._xlws.FILTER($E:$E, ($C:$C=C1044)*($F:$F=F1044)) ) - 1</f>
        <v>5.9886490918745761E-3</v>
      </c>
      <c r="J1044" t="str">
        <v>SU</v>
      </c>
      <c r="K1044" s="1">
        <v>42716</v>
      </c>
      <c r="L1044">
        <v>1.9082983435677825E-2</v>
      </c>
    </row>
    <row r="1045" spans="1:12" x14ac:dyDescent="0.2">
      <c r="A1045" s="1">
        <v>42426</v>
      </c>
      <c r="B1045">
        <v>2</v>
      </c>
      <c r="C1045" t="s">
        <v>11</v>
      </c>
      <c r="D1045">
        <v>3.0490000000000001E-3</v>
      </c>
      <c r="E1045">
        <f t="shared" si="32"/>
        <v>1.0030490000000001</v>
      </c>
      <c r="F1045" s="1">
        <f t="shared" si="33"/>
        <v>42422</v>
      </c>
      <c r="G1045" cm="1">
        <f t="array" ref="G1045">PRODUCT( _xlfn._xlws.FILTER($E:$E, ($C:$C=C1045)*($F:$F=F1045)) ) - 1</f>
        <v>5.9886490918745761E-3</v>
      </c>
      <c r="J1045" t="str">
        <v>SU</v>
      </c>
      <c r="K1045" s="1">
        <v>42723</v>
      </c>
      <c r="L1045">
        <v>1.3016915656821171E-2</v>
      </c>
    </row>
    <row r="1046" spans="1:12" x14ac:dyDescent="0.2">
      <c r="A1046" s="1">
        <v>42429</v>
      </c>
      <c r="B1046">
        <v>2</v>
      </c>
      <c r="C1046" t="s">
        <v>11</v>
      </c>
      <c r="D1046">
        <v>-4.4330000000000003E-3</v>
      </c>
      <c r="E1046">
        <f t="shared" si="32"/>
        <v>0.99556699999999998</v>
      </c>
      <c r="F1046" s="1">
        <f t="shared" si="33"/>
        <v>42429</v>
      </c>
      <c r="G1046" cm="1">
        <f t="array" ref="G1046">PRODUCT( _xlfn._xlws.FILTER($E:$E, ($C:$C=C1046)*($F:$F=F1046)) ) - 1</f>
        <v>-1.6475774786527397E-3</v>
      </c>
      <c r="J1046" t="str">
        <v>SU</v>
      </c>
      <c r="K1046" s="1">
        <v>42730</v>
      </c>
      <c r="L1046">
        <v>-1.0370709386774424E-2</v>
      </c>
    </row>
    <row r="1047" spans="1:12" x14ac:dyDescent="0.2">
      <c r="A1047" s="1">
        <v>42430</v>
      </c>
      <c r="B1047">
        <v>2</v>
      </c>
      <c r="C1047" t="s">
        <v>11</v>
      </c>
      <c r="D1047">
        <v>7.5059999999999997E-3</v>
      </c>
      <c r="E1047">
        <f t="shared" si="32"/>
        <v>1.007506</v>
      </c>
      <c r="F1047" s="1">
        <f t="shared" si="33"/>
        <v>42429</v>
      </c>
      <c r="G1047" cm="1">
        <f t="array" ref="G1047">PRODUCT( _xlfn._xlws.FILTER($E:$E, ($C:$C=C1047)*($F:$F=F1047)) ) - 1</f>
        <v>-1.6475774786527397E-3</v>
      </c>
      <c r="J1047" t="str">
        <v>T</v>
      </c>
      <c r="K1047" s="1">
        <v>40910</v>
      </c>
      <c r="L1047">
        <v>-8.3282730998285315E-3</v>
      </c>
    </row>
    <row r="1048" spans="1:12" x14ac:dyDescent="0.2">
      <c r="A1048" s="1">
        <v>42431</v>
      </c>
      <c r="B1048">
        <v>2</v>
      </c>
      <c r="C1048" t="s">
        <v>11</v>
      </c>
      <c r="D1048">
        <v>-1.9446999999999999E-2</v>
      </c>
      <c r="E1048">
        <f t="shared" si="32"/>
        <v>0.98055300000000001</v>
      </c>
      <c r="F1048" s="1">
        <f t="shared" si="33"/>
        <v>42429</v>
      </c>
      <c r="G1048" cm="1">
        <f t="array" ref="G1048">PRODUCT( _xlfn._xlws.FILTER($E:$E, ($C:$C=C1048)*($F:$F=F1048)) ) - 1</f>
        <v>-1.6475774786527397E-3</v>
      </c>
      <c r="J1048" t="str">
        <v>T</v>
      </c>
      <c r="K1048" s="1">
        <v>40917</v>
      </c>
      <c r="L1048">
        <v>-2.3792992158116588E-2</v>
      </c>
    </row>
    <row r="1049" spans="1:12" x14ac:dyDescent="0.2">
      <c r="A1049" s="1">
        <v>42432</v>
      </c>
      <c r="B1049">
        <v>2</v>
      </c>
      <c r="C1049" t="s">
        <v>11</v>
      </c>
      <c r="D1049">
        <v>-1.2880000000000001E-3</v>
      </c>
      <c r="E1049">
        <f t="shared" si="32"/>
        <v>0.99871200000000004</v>
      </c>
      <c r="F1049" s="1">
        <f t="shared" si="33"/>
        <v>42429</v>
      </c>
      <c r="G1049" cm="1">
        <f t="array" ref="G1049">PRODUCT( _xlfn._xlws.FILTER($E:$E, ($C:$C=C1049)*($F:$F=F1049)) ) - 1</f>
        <v>-1.6475774786527397E-3</v>
      </c>
      <c r="J1049" t="str">
        <v>T</v>
      </c>
      <c r="K1049" s="1">
        <v>40924</v>
      </c>
      <c r="L1049">
        <v>3.4047737086744245E-3</v>
      </c>
    </row>
    <row r="1050" spans="1:12" x14ac:dyDescent="0.2">
      <c r="A1050" s="1">
        <v>42433</v>
      </c>
      <c r="B1050">
        <v>2</v>
      </c>
      <c r="C1050" t="s">
        <v>11</v>
      </c>
      <c r="D1050">
        <v>1.6376000000000002E-2</v>
      </c>
      <c r="E1050">
        <f t="shared" si="32"/>
        <v>1.0163759999999999</v>
      </c>
      <c r="F1050" s="1">
        <f t="shared" si="33"/>
        <v>42429</v>
      </c>
      <c r="G1050" cm="1">
        <f t="array" ref="G1050">PRODUCT( _xlfn._xlws.FILTER($E:$E, ($C:$C=C1050)*($F:$F=F1050)) ) - 1</f>
        <v>-1.6475774786527397E-3</v>
      </c>
      <c r="J1050" t="str">
        <v>T</v>
      </c>
      <c r="K1050" s="1">
        <v>40931</v>
      </c>
      <c r="L1050">
        <v>2.4998357738414967E-3</v>
      </c>
    </row>
    <row r="1051" spans="1:12" x14ac:dyDescent="0.2">
      <c r="A1051" s="1">
        <v>42436</v>
      </c>
      <c r="B1051">
        <v>2</v>
      </c>
      <c r="C1051" t="s">
        <v>11</v>
      </c>
      <c r="D1051">
        <v>1.1799E-2</v>
      </c>
      <c r="E1051">
        <f t="shared" si="32"/>
        <v>1.0117989999999999</v>
      </c>
      <c r="F1051" s="1">
        <f t="shared" si="33"/>
        <v>42436</v>
      </c>
      <c r="G1051" cm="1">
        <f t="array" ref="G1051">PRODUCT( _xlfn._xlws.FILTER($E:$E, ($C:$C=C1051)*($F:$F=F1051)) ) - 1</f>
        <v>1.8209012356307896E-2</v>
      </c>
      <c r="J1051" t="str">
        <v>T</v>
      </c>
      <c r="K1051" s="1">
        <v>40938</v>
      </c>
      <c r="L1051">
        <v>1.1580460026291206E-2</v>
      </c>
    </row>
    <row r="1052" spans="1:12" x14ac:dyDescent="0.2">
      <c r="A1052" s="1">
        <v>42437</v>
      </c>
      <c r="B1052">
        <v>2</v>
      </c>
      <c r="C1052" t="s">
        <v>11</v>
      </c>
      <c r="D1052">
        <v>5.705E-3</v>
      </c>
      <c r="E1052">
        <f t="shared" si="32"/>
        <v>1.0057050000000001</v>
      </c>
      <c r="F1052" s="1">
        <f t="shared" si="33"/>
        <v>42436</v>
      </c>
      <c r="G1052" cm="1">
        <f t="array" ref="G1052">PRODUCT( _xlfn._xlws.FILTER($E:$E, ($C:$C=C1052)*($F:$F=F1052)) ) - 1</f>
        <v>1.8209012356307896E-2</v>
      </c>
      <c r="J1052" t="str">
        <v>T</v>
      </c>
      <c r="K1052" s="1">
        <v>40945</v>
      </c>
      <c r="L1052">
        <v>-8.4528948189347419E-3</v>
      </c>
    </row>
    <row r="1053" spans="1:12" x14ac:dyDescent="0.2">
      <c r="A1053" s="1">
        <v>42438</v>
      </c>
      <c r="B1053">
        <v>2</v>
      </c>
      <c r="C1053" t="s">
        <v>11</v>
      </c>
      <c r="D1053">
        <v>1.879E-3</v>
      </c>
      <c r="E1053">
        <f t="shared" si="32"/>
        <v>1.001879</v>
      </c>
      <c r="F1053" s="1">
        <f t="shared" si="33"/>
        <v>42436</v>
      </c>
      <c r="G1053" cm="1">
        <f t="array" ref="G1053">PRODUCT( _xlfn._xlws.FILTER($E:$E, ($C:$C=C1053)*($F:$F=F1053)) ) - 1</f>
        <v>1.8209012356307896E-2</v>
      </c>
      <c r="J1053" t="str">
        <v>T</v>
      </c>
      <c r="K1053" s="1">
        <v>40952</v>
      </c>
      <c r="L1053">
        <v>-4.9722198426094266E-3</v>
      </c>
    </row>
    <row r="1054" spans="1:12" x14ac:dyDescent="0.2">
      <c r="A1054" s="1">
        <v>42439</v>
      </c>
      <c r="B1054">
        <v>2</v>
      </c>
      <c r="C1054" t="s">
        <v>11</v>
      </c>
      <c r="D1054">
        <v>-1.6004000000000001E-2</v>
      </c>
      <c r="E1054">
        <f t="shared" si="32"/>
        <v>0.98399599999999998</v>
      </c>
      <c r="F1054" s="1">
        <f t="shared" si="33"/>
        <v>42436</v>
      </c>
      <c r="G1054" cm="1">
        <f t="array" ref="G1054">PRODUCT( _xlfn._xlws.FILTER($E:$E, ($C:$C=C1054)*($F:$F=F1054)) ) - 1</f>
        <v>1.8209012356307896E-2</v>
      </c>
      <c r="J1054" t="str">
        <v>T</v>
      </c>
      <c r="K1054" s="1">
        <v>40959</v>
      </c>
      <c r="L1054">
        <v>2.1421164802535753E-2</v>
      </c>
    </row>
    <row r="1055" spans="1:12" x14ac:dyDescent="0.2">
      <c r="A1055" s="1">
        <v>42440</v>
      </c>
      <c r="B1055">
        <v>2</v>
      </c>
      <c r="C1055" t="s">
        <v>11</v>
      </c>
      <c r="D1055">
        <v>1.4994E-2</v>
      </c>
      <c r="E1055">
        <f t="shared" si="32"/>
        <v>1.014994</v>
      </c>
      <c r="F1055" s="1">
        <f t="shared" si="33"/>
        <v>42436</v>
      </c>
      <c r="G1055" cm="1">
        <f t="array" ref="G1055">PRODUCT( _xlfn._xlws.FILTER($E:$E, ($C:$C=C1055)*($F:$F=F1055)) ) - 1</f>
        <v>1.8209012356307896E-2</v>
      </c>
      <c r="J1055" t="str">
        <v>T</v>
      </c>
      <c r="K1055" s="1">
        <v>40966</v>
      </c>
      <c r="L1055">
        <v>1.3972342593981946E-3</v>
      </c>
    </row>
    <row r="1056" spans="1:12" x14ac:dyDescent="0.2">
      <c r="A1056" s="1">
        <v>42443</v>
      </c>
      <c r="B1056">
        <v>2</v>
      </c>
      <c r="C1056" t="s">
        <v>11</v>
      </c>
      <c r="D1056">
        <v>8.7600000000000004E-4</v>
      </c>
      <c r="E1056">
        <f t="shared" si="32"/>
        <v>1.0008760000000001</v>
      </c>
      <c r="F1056" s="1">
        <f t="shared" si="33"/>
        <v>42443</v>
      </c>
      <c r="G1056" cm="1">
        <f t="array" ref="G1056">PRODUCT( _xlfn._xlws.FILTER($E:$E, ($C:$C=C1056)*($F:$F=F1056)) ) - 1</f>
        <v>1.2769330236555021E-2</v>
      </c>
      <c r="J1056" t="str">
        <v>T</v>
      </c>
      <c r="K1056" s="1">
        <v>40973</v>
      </c>
      <c r="L1056">
        <v>6.5080262157291013E-3</v>
      </c>
    </row>
    <row r="1057" spans="1:12" x14ac:dyDescent="0.2">
      <c r="A1057" s="1">
        <v>42444</v>
      </c>
      <c r="B1057">
        <v>2</v>
      </c>
      <c r="C1057" t="s">
        <v>11</v>
      </c>
      <c r="D1057">
        <v>1.1006999999999999E-2</v>
      </c>
      <c r="E1057">
        <f t="shared" si="32"/>
        <v>1.011007</v>
      </c>
      <c r="F1057" s="1">
        <f t="shared" si="33"/>
        <v>42443</v>
      </c>
      <c r="G1057" cm="1">
        <f t="array" ref="G1057">PRODUCT( _xlfn._xlws.FILTER($E:$E, ($C:$C=C1057)*($F:$F=F1057)) ) - 1</f>
        <v>1.2769330236555021E-2</v>
      </c>
      <c r="J1057" t="str">
        <v>T</v>
      </c>
      <c r="K1057" s="1">
        <v>40980</v>
      </c>
      <c r="L1057">
        <v>1.9267749465836648E-3</v>
      </c>
    </row>
    <row r="1058" spans="1:12" x14ac:dyDescent="0.2">
      <c r="A1058" s="1">
        <v>42445</v>
      </c>
      <c r="B1058">
        <v>2</v>
      </c>
      <c r="C1058" t="s">
        <v>11</v>
      </c>
      <c r="D1058">
        <v>-1.0887000000000001E-2</v>
      </c>
      <c r="E1058">
        <f t="shared" si="32"/>
        <v>0.98911300000000002</v>
      </c>
      <c r="F1058" s="1">
        <f t="shared" si="33"/>
        <v>42443</v>
      </c>
      <c r="G1058" cm="1">
        <f t="array" ref="G1058">PRODUCT( _xlfn._xlws.FILTER($E:$E, ($C:$C=C1058)*($F:$F=F1058)) ) - 1</f>
        <v>1.2769330236555021E-2</v>
      </c>
      <c r="J1058" t="str">
        <v>T</v>
      </c>
      <c r="K1058" s="1">
        <v>40987</v>
      </c>
      <c r="L1058">
        <v>4.8956974536198405E-3</v>
      </c>
    </row>
    <row r="1059" spans="1:12" x14ac:dyDescent="0.2">
      <c r="A1059" s="1">
        <v>42446</v>
      </c>
      <c r="B1059">
        <v>2</v>
      </c>
      <c r="C1059" t="s">
        <v>11</v>
      </c>
      <c r="D1059">
        <v>2.3515000000000001E-2</v>
      </c>
      <c r="E1059">
        <f t="shared" si="32"/>
        <v>1.023515</v>
      </c>
      <c r="F1059" s="1">
        <f t="shared" si="33"/>
        <v>42443</v>
      </c>
      <c r="G1059" cm="1">
        <f t="array" ref="G1059">PRODUCT( _xlfn._xlws.FILTER($E:$E, ($C:$C=C1059)*($F:$F=F1059)) ) - 1</f>
        <v>1.2769330236555021E-2</v>
      </c>
      <c r="J1059" t="str">
        <v>T</v>
      </c>
      <c r="K1059" s="1">
        <v>40994</v>
      </c>
      <c r="L1059">
        <v>6.9589393925517662E-3</v>
      </c>
    </row>
    <row r="1060" spans="1:12" x14ac:dyDescent="0.2">
      <c r="A1060" s="1">
        <v>42447</v>
      </c>
      <c r="B1060">
        <v>2</v>
      </c>
      <c r="C1060" t="s">
        <v>11</v>
      </c>
      <c r="D1060">
        <v>-1.1365E-2</v>
      </c>
      <c r="E1060">
        <f t="shared" si="32"/>
        <v>0.98863500000000004</v>
      </c>
      <c r="F1060" s="1">
        <f t="shared" si="33"/>
        <v>42443</v>
      </c>
      <c r="G1060" cm="1">
        <f t="array" ref="G1060">PRODUCT( _xlfn._xlws.FILTER($E:$E, ($C:$C=C1060)*($F:$F=F1060)) ) - 1</f>
        <v>1.2769330236555021E-2</v>
      </c>
      <c r="J1060" t="str">
        <v>T</v>
      </c>
      <c r="K1060" s="1">
        <v>41001</v>
      </c>
      <c r="L1060">
        <v>7.4296507219193675E-3</v>
      </c>
    </row>
    <row r="1061" spans="1:12" x14ac:dyDescent="0.2">
      <c r="A1061" s="1">
        <v>42450</v>
      </c>
      <c r="B1061">
        <v>2</v>
      </c>
      <c r="C1061" t="s">
        <v>11</v>
      </c>
      <c r="D1061">
        <v>7.6639999999999998E-3</v>
      </c>
      <c r="E1061">
        <f t="shared" si="32"/>
        <v>1.0076639999999999</v>
      </c>
      <c r="F1061" s="1">
        <f t="shared" si="33"/>
        <v>42450</v>
      </c>
      <c r="G1061" cm="1">
        <f t="array" ref="G1061">PRODUCT( _xlfn._xlws.FILTER($E:$E, ($C:$C=C1061)*($F:$F=F1061)) ) - 1</f>
        <v>-5.4388634547531955E-3</v>
      </c>
      <c r="J1061" t="str">
        <v>T</v>
      </c>
      <c r="K1061" s="1">
        <v>41008</v>
      </c>
      <c r="L1061">
        <v>-6.3456511318316089E-3</v>
      </c>
    </row>
    <row r="1062" spans="1:12" x14ac:dyDescent="0.2">
      <c r="A1062" s="1">
        <v>42451</v>
      </c>
      <c r="B1062">
        <v>2</v>
      </c>
      <c r="C1062" t="s">
        <v>11</v>
      </c>
      <c r="D1062">
        <v>-2.4042999999999998E-2</v>
      </c>
      <c r="E1062">
        <f t="shared" si="32"/>
        <v>0.97595699999999996</v>
      </c>
      <c r="F1062" s="1">
        <f t="shared" si="33"/>
        <v>42450</v>
      </c>
      <c r="G1062" cm="1">
        <f t="array" ref="G1062">PRODUCT( _xlfn._xlws.FILTER($E:$E, ($C:$C=C1062)*($F:$F=F1062)) ) - 1</f>
        <v>-5.4388634547531955E-3</v>
      </c>
      <c r="J1062" t="str">
        <v>T</v>
      </c>
      <c r="K1062" s="1">
        <v>41015</v>
      </c>
      <c r="L1062">
        <v>2.5199493476133039E-2</v>
      </c>
    </row>
    <row r="1063" spans="1:12" x14ac:dyDescent="0.2">
      <c r="A1063" s="1">
        <v>42452</v>
      </c>
      <c r="B1063">
        <v>2</v>
      </c>
      <c r="C1063" t="s">
        <v>11</v>
      </c>
      <c r="D1063">
        <v>1.508E-3</v>
      </c>
      <c r="E1063">
        <f t="shared" si="32"/>
        <v>1.0015080000000001</v>
      </c>
      <c r="F1063" s="1">
        <f t="shared" si="33"/>
        <v>42450</v>
      </c>
      <c r="G1063" cm="1">
        <f t="array" ref="G1063">PRODUCT( _xlfn._xlws.FILTER($E:$E, ($C:$C=C1063)*($F:$F=F1063)) ) - 1</f>
        <v>-5.4388634547531955E-3</v>
      </c>
      <c r="J1063" t="str">
        <v>T</v>
      </c>
      <c r="K1063" s="1">
        <v>41022</v>
      </c>
      <c r="L1063">
        <v>-7.406795630949814E-3</v>
      </c>
    </row>
    <row r="1064" spans="1:12" x14ac:dyDescent="0.2">
      <c r="A1064" s="1">
        <v>42453</v>
      </c>
      <c r="B1064">
        <v>2</v>
      </c>
      <c r="C1064" t="s">
        <v>11</v>
      </c>
      <c r="D1064">
        <v>9.7890000000000008E-3</v>
      </c>
      <c r="E1064">
        <f t="shared" si="32"/>
        <v>1.009789</v>
      </c>
      <c r="F1064" s="1">
        <f t="shared" si="33"/>
        <v>42450</v>
      </c>
      <c r="G1064" cm="1">
        <f t="array" ref="G1064">PRODUCT( _xlfn._xlws.FILTER($E:$E, ($C:$C=C1064)*($F:$F=F1064)) ) - 1</f>
        <v>-5.4388634547531955E-3</v>
      </c>
      <c r="J1064" t="str">
        <v>T</v>
      </c>
      <c r="K1064" s="1">
        <v>41029</v>
      </c>
      <c r="L1064">
        <v>-1.7979137776906184E-2</v>
      </c>
    </row>
    <row r="1065" spans="1:12" x14ac:dyDescent="0.2">
      <c r="A1065" s="1">
        <v>42457</v>
      </c>
      <c r="B1065">
        <v>2</v>
      </c>
      <c r="C1065" t="s">
        <v>11</v>
      </c>
      <c r="D1065">
        <v>-1.74E-3</v>
      </c>
      <c r="E1065">
        <f t="shared" si="32"/>
        <v>0.99826000000000004</v>
      </c>
      <c r="F1065" s="1">
        <f t="shared" si="33"/>
        <v>42457</v>
      </c>
      <c r="G1065" cm="1">
        <f t="array" ref="G1065">PRODUCT( _xlfn._xlws.FILTER($E:$E, ($C:$C=C1065)*($F:$F=F1065)) ) - 1</f>
        <v>8.2040734056796349E-3</v>
      </c>
      <c r="J1065" t="str">
        <v>T</v>
      </c>
      <c r="K1065" s="1">
        <v>41036</v>
      </c>
      <c r="L1065">
        <v>3.3332262367678611E-2</v>
      </c>
    </row>
    <row r="1066" spans="1:12" x14ac:dyDescent="0.2">
      <c r="A1066" s="1">
        <v>42458</v>
      </c>
      <c r="B1066">
        <v>2</v>
      </c>
      <c r="C1066" t="s">
        <v>11</v>
      </c>
      <c r="D1066">
        <v>3.6110000000000001E-3</v>
      </c>
      <c r="E1066">
        <f t="shared" si="32"/>
        <v>1.003611</v>
      </c>
      <c r="F1066" s="1">
        <f t="shared" si="33"/>
        <v>42457</v>
      </c>
      <c r="G1066" cm="1">
        <f t="array" ref="G1066">PRODUCT( _xlfn._xlws.FILTER($E:$E, ($C:$C=C1066)*($F:$F=F1066)) ) - 1</f>
        <v>8.2040734056796349E-3</v>
      </c>
      <c r="J1066" t="str">
        <v>T</v>
      </c>
      <c r="K1066" s="1">
        <v>41043</v>
      </c>
      <c r="L1066">
        <v>-6.5179183415235986E-3</v>
      </c>
    </row>
    <row r="1067" spans="1:12" x14ac:dyDescent="0.2">
      <c r="A1067" s="1">
        <v>42459</v>
      </c>
      <c r="B1067">
        <v>2</v>
      </c>
      <c r="C1067" t="s">
        <v>11</v>
      </c>
      <c r="D1067">
        <v>8.1880000000000008E-3</v>
      </c>
      <c r="E1067">
        <f t="shared" si="32"/>
        <v>1.0081880000000001</v>
      </c>
      <c r="F1067" s="1">
        <f t="shared" si="33"/>
        <v>42457</v>
      </c>
      <c r="G1067" cm="1">
        <f t="array" ref="G1067">PRODUCT( _xlfn._xlws.FILTER($E:$E, ($C:$C=C1067)*($F:$F=F1067)) ) - 1</f>
        <v>8.2040734056796349E-3</v>
      </c>
      <c r="J1067" t="str">
        <v>T</v>
      </c>
      <c r="K1067" s="1">
        <v>41050</v>
      </c>
      <c r="L1067">
        <v>-1.3122813020183588E-2</v>
      </c>
    </row>
    <row r="1068" spans="1:12" x14ac:dyDescent="0.2">
      <c r="A1068" s="1">
        <v>42460</v>
      </c>
      <c r="B1068">
        <v>2</v>
      </c>
      <c r="C1068" t="s">
        <v>11</v>
      </c>
      <c r="D1068">
        <v>-1.353E-3</v>
      </c>
      <c r="E1068">
        <f t="shared" si="32"/>
        <v>0.99864699999999995</v>
      </c>
      <c r="F1068" s="1">
        <f t="shared" si="33"/>
        <v>42457</v>
      </c>
      <c r="G1068" cm="1">
        <f t="array" ref="G1068">PRODUCT( _xlfn._xlws.FILTER($E:$E, ($C:$C=C1068)*($F:$F=F1068)) ) - 1</f>
        <v>8.2040734056796349E-3</v>
      </c>
      <c r="J1068" t="str">
        <v>T</v>
      </c>
      <c r="K1068" s="1">
        <v>41057</v>
      </c>
      <c r="L1068">
        <v>1.38079483688478E-2</v>
      </c>
    </row>
    <row r="1069" spans="1:12" x14ac:dyDescent="0.2">
      <c r="A1069" s="1">
        <v>42461</v>
      </c>
      <c r="B1069">
        <v>2</v>
      </c>
      <c r="C1069" t="s">
        <v>11</v>
      </c>
      <c r="D1069">
        <v>-4.9299999999999995E-4</v>
      </c>
      <c r="E1069">
        <f t="shared" si="32"/>
        <v>0.99950700000000003</v>
      </c>
      <c r="F1069" s="1">
        <f t="shared" si="33"/>
        <v>42457</v>
      </c>
      <c r="G1069" cm="1">
        <f t="array" ref="G1069">PRODUCT( _xlfn._xlws.FILTER($E:$E, ($C:$C=C1069)*($F:$F=F1069)) ) - 1</f>
        <v>8.2040734056796349E-3</v>
      </c>
      <c r="J1069" t="str">
        <v>T</v>
      </c>
      <c r="K1069" s="1">
        <v>41064</v>
      </c>
      <c r="L1069">
        <v>-3.6822421454255627E-3</v>
      </c>
    </row>
    <row r="1070" spans="1:12" x14ac:dyDescent="0.2">
      <c r="A1070" s="1">
        <v>42464</v>
      </c>
      <c r="B1070">
        <v>2</v>
      </c>
      <c r="C1070" t="s">
        <v>11</v>
      </c>
      <c r="D1070">
        <v>-5.424E-3</v>
      </c>
      <c r="E1070">
        <f t="shared" si="32"/>
        <v>0.99457600000000002</v>
      </c>
      <c r="F1070" s="1">
        <f t="shared" si="33"/>
        <v>42464</v>
      </c>
      <c r="G1070" cm="1">
        <f t="array" ref="G1070">PRODUCT( _xlfn._xlws.FILTER($E:$E, ($C:$C=C1070)*($F:$F=F1070)) ) - 1</f>
        <v>-5.9171357508146505E-3</v>
      </c>
      <c r="J1070" t="str">
        <v>T</v>
      </c>
      <c r="K1070" s="1">
        <v>41071</v>
      </c>
      <c r="L1070">
        <v>-3.5796513208473657E-3</v>
      </c>
    </row>
    <row r="1071" spans="1:12" x14ac:dyDescent="0.2">
      <c r="A1071" s="1">
        <v>42465</v>
      </c>
      <c r="B1071">
        <v>2</v>
      </c>
      <c r="C1071" t="s">
        <v>11</v>
      </c>
      <c r="D1071">
        <v>-2.4800000000000001E-4</v>
      </c>
      <c r="E1071">
        <f t="shared" si="32"/>
        <v>0.99975199999999997</v>
      </c>
      <c r="F1071" s="1">
        <f t="shared" si="33"/>
        <v>42464</v>
      </c>
      <c r="G1071" cm="1">
        <f t="array" ref="G1071">PRODUCT( _xlfn._xlws.FILTER($E:$E, ($C:$C=C1071)*($F:$F=F1071)) ) - 1</f>
        <v>-5.9171357508146505E-3</v>
      </c>
      <c r="J1071" t="str">
        <v>T</v>
      </c>
      <c r="K1071" s="1">
        <v>41078</v>
      </c>
      <c r="L1071">
        <v>2.9945450503423121E-2</v>
      </c>
    </row>
    <row r="1072" spans="1:12" x14ac:dyDescent="0.2">
      <c r="A1072" s="1">
        <v>42466</v>
      </c>
      <c r="B1072">
        <v>2</v>
      </c>
      <c r="C1072" t="s">
        <v>11</v>
      </c>
      <c r="D1072">
        <v>-1.364E-3</v>
      </c>
      <c r="E1072">
        <f t="shared" si="32"/>
        <v>0.99863599999999997</v>
      </c>
      <c r="F1072" s="1">
        <f t="shared" si="33"/>
        <v>42464</v>
      </c>
      <c r="G1072" cm="1">
        <f t="array" ref="G1072">PRODUCT( _xlfn._xlws.FILTER($E:$E, ($C:$C=C1072)*($F:$F=F1072)) ) - 1</f>
        <v>-5.9171357508146505E-3</v>
      </c>
      <c r="J1072" t="str">
        <v>T</v>
      </c>
      <c r="K1072" s="1">
        <v>41085</v>
      </c>
      <c r="L1072">
        <v>1.5783101892582918E-2</v>
      </c>
    </row>
    <row r="1073" spans="1:12" x14ac:dyDescent="0.2">
      <c r="A1073" s="1">
        <v>42467</v>
      </c>
      <c r="B1073">
        <v>2</v>
      </c>
      <c r="C1073" t="s">
        <v>11</v>
      </c>
      <c r="D1073">
        <v>-4.9659999999999999E-3</v>
      </c>
      <c r="E1073">
        <f t="shared" si="32"/>
        <v>0.99503399999999997</v>
      </c>
      <c r="F1073" s="1">
        <f t="shared" si="33"/>
        <v>42464</v>
      </c>
      <c r="G1073" cm="1">
        <f t="array" ref="G1073">PRODUCT( _xlfn._xlws.FILTER($E:$E, ($C:$C=C1073)*($F:$F=F1073)) ) - 1</f>
        <v>-5.9171357508146505E-3</v>
      </c>
      <c r="J1073" t="str">
        <v>T</v>
      </c>
      <c r="K1073" s="1">
        <v>41092</v>
      </c>
      <c r="L1073">
        <v>2.4044455586688773E-2</v>
      </c>
    </row>
    <row r="1074" spans="1:12" x14ac:dyDescent="0.2">
      <c r="A1074" s="1">
        <v>42468</v>
      </c>
      <c r="B1074">
        <v>2</v>
      </c>
      <c r="C1074" t="s">
        <v>11</v>
      </c>
      <c r="D1074">
        <v>6.1139999999999996E-3</v>
      </c>
      <c r="E1074">
        <f t="shared" si="32"/>
        <v>1.006114</v>
      </c>
      <c r="F1074" s="1">
        <f t="shared" si="33"/>
        <v>42464</v>
      </c>
      <c r="G1074" cm="1">
        <f t="array" ref="G1074">PRODUCT( _xlfn._xlws.FILTER($E:$E, ($C:$C=C1074)*($F:$F=F1074)) ) - 1</f>
        <v>-5.9171357508146505E-3</v>
      </c>
      <c r="J1074" t="str">
        <v>T</v>
      </c>
      <c r="K1074" s="1">
        <v>41099</v>
      </c>
      <c r="L1074">
        <v>-4.4731162096824928E-3</v>
      </c>
    </row>
    <row r="1075" spans="1:12" x14ac:dyDescent="0.2">
      <c r="A1075" s="1">
        <v>42471</v>
      </c>
      <c r="B1075">
        <v>2</v>
      </c>
      <c r="C1075" t="s">
        <v>11</v>
      </c>
      <c r="D1075">
        <v>-1.0045E-2</v>
      </c>
      <c r="E1075">
        <f t="shared" si="32"/>
        <v>0.98995500000000003</v>
      </c>
      <c r="F1075" s="1">
        <f t="shared" si="33"/>
        <v>42471</v>
      </c>
      <c r="G1075" cm="1">
        <f t="array" ref="G1075">PRODUCT( _xlfn._xlws.FILTER($E:$E, ($C:$C=C1075)*($F:$F=F1075)) ) - 1</f>
        <v>6.6960512455958021E-3</v>
      </c>
      <c r="J1075" t="str">
        <v>T</v>
      </c>
      <c r="K1075" s="1">
        <v>41106</v>
      </c>
      <c r="L1075">
        <v>-1.5562586410384993E-2</v>
      </c>
    </row>
    <row r="1076" spans="1:12" x14ac:dyDescent="0.2">
      <c r="A1076" s="1">
        <v>42472</v>
      </c>
      <c r="B1076">
        <v>2</v>
      </c>
      <c r="C1076" t="s">
        <v>11</v>
      </c>
      <c r="D1076">
        <v>1.253E-3</v>
      </c>
      <c r="E1076">
        <f t="shared" si="32"/>
        <v>1.0012529999999999</v>
      </c>
      <c r="F1076" s="1">
        <f t="shared" si="33"/>
        <v>42471</v>
      </c>
      <c r="G1076" cm="1">
        <f t="array" ref="G1076">PRODUCT( _xlfn._xlws.FILTER($E:$E, ($C:$C=C1076)*($F:$F=F1076)) ) - 1</f>
        <v>6.6960512455958021E-3</v>
      </c>
      <c r="J1076" t="str">
        <v>T</v>
      </c>
      <c r="K1076" s="1">
        <v>41113</v>
      </c>
      <c r="L1076">
        <v>2.3956792555718032E-2</v>
      </c>
    </row>
    <row r="1077" spans="1:12" x14ac:dyDescent="0.2">
      <c r="A1077" s="1">
        <v>42473</v>
      </c>
      <c r="B1077">
        <v>2</v>
      </c>
      <c r="C1077" t="s">
        <v>11</v>
      </c>
      <c r="D1077">
        <v>1.8516000000000001E-2</v>
      </c>
      <c r="E1077">
        <f t="shared" si="32"/>
        <v>1.018516</v>
      </c>
      <c r="F1077" s="1">
        <f t="shared" si="33"/>
        <v>42471</v>
      </c>
      <c r="G1077" cm="1">
        <f t="array" ref="G1077">PRODUCT( _xlfn._xlws.FILTER($E:$E, ($C:$C=C1077)*($F:$F=F1077)) ) - 1</f>
        <v>6.6960512455958021E-3</v>
      </c>
      <c r="J1077" t="str">
        <v>T</v>
      </c>
      <c r="K1077" s="1">
        <v>41120</v>
      </c>
      <c r="L1077">
        <v>5.4110656274157787E-3</v>
      </c>
    </row>
    <row r="1078" spans="1:12" x14ac:dyDescent="0.2">
      <c r="A1078" s="1">
        <v>42474</v>
      </c>
      <c r="B1078">
        <v>2</v>
      </c>
      <c r="C1078" t="s">
        <v>11</v>
      </c>
      <c r="D1078">
        <v>1.1792E-2</v>
      </c>
      <c r="E1078">
        <f t="shared" si="32"/>
        <v>1.011792</v>
      </c>
      <c r="F1078" s="1">
        <f t="shared" si="33"/>
        <v>42471</v>
      </c>
      <c r="G1078" cm="1">
        <f t="array" ref="G1078">PRODUCT( _xlfn._xlws.FILTER($E:$E, ($C:$C=C1078)*($F:$F=F1078)) ) - 1</f>
        <v>6.6960512455958021E-3</v>
      </c>
      <c r="J1078" t="str">
        <v>T</v>
      </c>
      <c r="K1078" s="1">
        <v>41127</v>
      </c>
      <c r="L1078">
        <v>2.9602211055679728E-2</v>
      </c>
    </row>
    <row r="1079" spans="1:12" x14ac:dyDescent="0.2">
      <c r="A1079" s="1">
        <v>42475</v>
      </c>
      <c r="B1079">
        <v>2</v>
      </c>
      <c r="C1079" t="s">
        <v>11</v>
      </c>
      <c r="D1079">
        <v>-1.4447E-2</v>
      </c>
      <c r="E1079">
        <f t="shared" si="32"/>
        <v>0.98555300000000001</v>
      </c>
      <c r="F1079" s="1">
        <f t="shared" si="33"/>
        <v>42471</v>
      </c>
      <c r="G1079" cm="1">
        <f t="array" ref="G1079">PRODUCT( _xlfn._xlws.FILTER($E:$E, ($C:$C=C1079)*($F:$F=F1079)) ) - 1</f>
        <v>6.6960512455958021E-3</v>
      </c>
      <c r="J1079" t="str">
        <v>T</v>
      </c>
      <c r="K1079" s="1">
        <v>41134</v>
      </c>
      <c r="L1079">
        <v>-1.9066149707384517E-2</v>
      </c>
    </row>
    <row r="1080" spans="1:12" x14ac:dyDescent="0.2">
      <c r="A1080" s="1">
        <v>42478</v>
      </c>
      <c r="B1080">
        <v>2</v>
      </c>
      <c r="C1080" t="s">
        <v>11</v>
      </c>
      <c r="D1080">
        <v>9.859999999999999E-4</v>
      </c>
      <c r="E1080">
        <f t="shared" si="32"/>
        <v>1.0009859999999999</v>
      </c>
      <c r="F1080" s="1">
        <f t="shared" si="33"/>
        <v>42478</v>
      </c>
      <c r="G1080" cm="1">
        <f t="array" ref="G1080">PRODUCT( _xlfn._xlws.FILTER($E:$E, ($C:$C=C1080)*($F:$F=F1080)) ) - 1</f>
        <v>2.7963192267287829E-2</v>
      </c>
      <c r="J1080" t="str">
        <v>T</v>
      </c>
      <c r="K1080" s="1">
        <v>41141</v>
      </c>
      <c r="L1080">
        <v>3.1338068747535086E-3</v>
      </c>
    </row>
    <row r="1081" spans="1:12" x14ac:dyDescent="0.2">
      <c r="A1081" s="1">
        <v>42479</v>
      </c>
      <c r="B1081">
        <v>2</v>
      </c>
      <c r="C1081" t="s">
        <v>11</v>
      </c>
      <c r="D1081">
        <v>1.9689999999999998E-3</v>
      </c>
      <c r="E1081">
        <f t="shared" si="32"/>
        <v>1.0019690000000001</v>
      </c>
      <c r="F1081" s="1">
        <f t="shared" si="33"/>
        <v>42478</v>
      </c>
      <c r="G1081" cm="1">
        <f t="array" ref="G1081">PRODUCT( _xlfn._xlws.FILTER($E:$E, ($C:$C=C1081)*($F:$F=F1081)) ) - 1</f>
        <v>2.7963192267287829E-2</v>
      </c>
      <c r="J1081" t="str">
        <v>T</v>
      </c>
      <c r="K1081" s="1">
        <v>41148</v>
      </c>
      <c r="L1081">
        <v>-3.0155664463311305E-2</v>
      </c>
    </row>
    <row r="1082" spans="1:12" x14ac:dyDescent="0.2">
      <c r="A1082" s="1">
        <v>42480</v>
      </c>
      <c r="B1082">
        <v>2</v>
      </c>
      <c r="C1082" t="s">
        <v>11</v>
      </c>
      <c r="D1082">
        <v>4.176E-3</v>
      </c>
      <c r="E1082">
        <f t="shared" si="32"/>
        <v>1.004176</v>
      </c>
      <c r="F1082" s="1">
        <f t="shared" si="33"/>
        <v>42478</v>
      </c>
      <c r="G1082" cm="1">
        <f t="array" ref="G1082">PRODUCT( _xlfn._xlws.FILTER($E:$E, ($C:$C=C1082)*($F:$F=F1082)) ) - 1</f>
        <v>2.7963192267287829E-2</v>
      </c>
      <c r="J1082" t="str">
        <v>T</v>
      </c>
      <c r="K1082" s="1">
        <v>41155</v>
      </c>
      <c r="L1082">
        <v>4.6887471224070776E-3</v>
      </c>
    </row>
    <row r="1083" spans="1:12" x14ac:dyDescent="0.2">
      <c r="A1083" s="1">
        <v>42481</v>
      </c>
      <c r="B1083">
        <v>2</v>
      </c>
      <c r="C1083" t="s">
        <v>11</v>
      </c>
      <c r="D1083">
        <v>1.3698999999999999E-2</v>
      </c>
      <c r="E1083">
        <f t="shared" si="32"/>
        <v>1.0136989999999999</v>
      </c>
      <c r="F1083" s="1">
        <f t="shared" si="33"/>
        <v>42478</v>
      </c>
      <c r="G1083" cm="1">
        <f t="array" ref="G1083">PRODUCT( _xlfn._xlws.FILTER($E:$E, ($C:$C=C1083)*($F:$F=F1083)) ) - 1</f>
        <v>2.7963192267287829E-2</v>
      </c>
      <c r="J1083" t="str">
        <v>T</v>
      </c>
      <c r="K1083" s="1">
        <v>41162</v>
      </c>
      <c r="L1083">
        <v>-1.6677229520880132E-2</v>
      </c>
    </row>
    <row r="1084" spans="1:12" x14ac:dyDescent="0.2">
      <c r="A1084" s="1">
        <v>42482</v>
      </c>
      <c r="B1084">
        <v>2</v>
      </c>
      <c r="C1084" t="s">
        <v>11</v>
      </c>
      <c r="D1084">
        <v>6.8770000000000003E-3</v>
      </c>
      <c r="E1084">
        <f t="shared" si="32"/>
        <v>1.006877</v>
      </c>
      <c r="F1084" s="1">
        <f t="shared" si="33"/>
        <v>42478</v>
      </c>
      <c r="G1084" cm="1">
        <f t="array" ref="G1084">PRODUCT( _xlfn._xlws.FILTER($E:$E, ($C:$C=C1084)*($F:$F=F1084)) ) - 1</f>
        <v>2.7963192267287829E-2</v>
      </c>
      <c r="J1084" t="str">
        <v>T</v>
      </c>
      <c r="K1084" s="1">
        <v>41169</v>
      </c>
      <c r="L1084">
        <v>7.4091983872637268E-3</v>
      </c>
    </row>
    <row r="1085" spans="1:12" x14ac:dyDescent="0.2">
      <c r="A1085" s="1">
        <v>42485</v>
      </c>
      <c r="B1085">
        <v>2</v>
      </c>
      <c r="C1085" t="s">
        <v>11</v>
      </c>
      <c r="D1085">
        <v>-8.149E-3</v>
      </c>
      <c r="E1085">
        <f t="shared" si="32"/>
        <v>0.99185100000000004</v>
      </c>
      <c r="F1085" s="1">
        <f t="shared" si="33"/>
        <v>42485</v>
      </c>
      <c r="G1085" cm="1">
        <f t="array" ref="G1085">PRODUCT( _xlfn._xlws.FILTER($E:$E, ($C:$C=C1085)*($F:$F=F1085)) ) - 1</f>
        <v>-7.4176964207944396E-2</v>
      </c>
      <c r="J1085" t="str">
        <v>T</v>
      </c>
      <c r="K1085" s="1">
        <v>41176</v>
      </c>
      <c r="L1085">
        <v>1.3566577035130978E-2</v>
      </c>
    </row>
    <row r="1086" spans="1:12" x14ac:dyDescent="0.2">
      <c r="A1086" s="1">
        <v>42486</v>
      </c>
      <c r="B1086">
        <v>2</v>
      </c>
      <c r="C1086" t="s">
        <v>11</v>
      </c>
      <c r="D1086">
        <v>-5.0743000000000003E-2</v>
      </c>
      <c r="E1086">
        <f t="shared" si="32"/>
        <v>0.94925700000000002</v>
      </c>
      <c r="F1086" s="1">
        <f t="shared" si="33"/>
        <v>42485</v>
      </c>
      <c r="G1086" cm="1">
        <f t="array" ref="G1086">PRODUCT( _xlfn._xlws.FILTER($E:$E, ($C:$C=C1086)*($F:$F=F1086)) ) - 1</f>
        <v>-7.4176964207944396E-2</v>
      </c>
      <c r="J1086" t="str">
        <v>T</v>
      </c>
      <c r="K1086" s="1">
        <v>41183</v>
      </c>
      <c r="L1086">
        <v>2.2737375076834265E-2</v>
      </c>
    </row>
    <row r="1087" spans="1:12" x14ac:dyDescent="0.2">
      <c r="A1087" s="1">
        <v>42487</v>
      </c>
      <c r="B1087">
        <v>2</v>
      </c>
      <c r="C1087" t="s">
        <v>11</v>
      </c>
      <c r="D1087">
        <v>5.9820000000000003E-3</v>
      </c>
      <c r="E1087">
        <f t="shared" si="32"/>
        <v>1.0059819999999999</v>
      </c>
      <c r="F1087" s="1">
        <f t="shared" si="33"/>
        <v>42485</v>
      </c>
      <c r="G1087" cm="1">
        <f t="array" ref="G1087">PRODUCT( _xlfn._xlws.FILTER($E:$E, ($C:$C=C1087)*($F:$F=F1087)) ) - 1</f>
        <v>-7.4176964207944396E-2</v>
      </c>
      <c r="J1087" t="str">
        <v>T</v>
      </c>
      <c r="K1087" s="1">
        <v>41190</v>
      </c>
      <c r="L1087">
        <v>-1.1194921479051212E-2</v>
      </c>
    </row>
    <row r="1088" spans="1:12" x14ac:dyDescent="0.2">
      <c r="A1088" s="1">
        <v>42488</v>
      </c>
      <c r="B1088">
        <v>2</v>
      </c>
      <c r="C1088" t="s">
        <v>11</v>
      </c>
      <c r="D1088">
        <v>-4.555E-3</v>
      </c>
      <c r="E1088">
        <f t="shared" si="32"/>
        <v>0.99544500000000002</v>
      </c>
      <c r="F1088" s="1">
        <f t="shared" si="33"/>
        <v>42485</v>
      </c>
      <c r="G1088" cm="1">
        <f t="array" ref="G1088">PRODUCT( _xlfn._xlws.FILTER($E:$E, ($C:$C=C1088)*($F:$F=F1088)) ) - 1</f>
        <v>-7.4176964207944396E-2</v>
      </c>
      <c r="J1088" t="str">
        <v>T</v>
      </c>
      <c r="K1088" s="1">
        <v>41197</v>
      </c>
      <c r="L1088">
        <v>4.7826416237588543E-3</v>
      </c>
    </row>
    <row r="1089" spans="1:12" x14ac:dyDescent="0.2">
      <c r="A1089" s="1">
        <v>42489</v>
      </c>
      <c r="B1089">
        <v>2</v>
      </c>
      <c r="C1089" t="s">
        <v>11</v>
      </c>
      <c r="D1089">
        <v>-1.8048000000000002E-2</v>
      </c>
      <c r="E1089">
        <f t="shared" si="32"/>
        <v>0.98195200000000005</v>
      </c>
      <c r="F1089" s="1">
        <f t="shared" si="33"/>
        <v>42485</v>
      </c>
      <c r="G1089" cm="1">
        <f t="array" ref="G1089">PRODUCT( _xlfn._xlws.FILTER($E:$E, ($C:$C=C1089)*($F:$F=F1089)) ) - 1</f>
        <v>-7.4176964207944396E-2</v>
      </c>
      <c r="J1089" t="str">
        <v>T</v>
      </c>
      <c r="K1089" s="1">
        <v>41204</v>
      </c>
      <c r="L1089">
        <v>4.7615588019604971E-3</v>
      </c>
    </row>
    <row r="1090" spans="1:12" x14ac:dyDescent="0.2">
      <c r="A1090" s="1">
        <v>42492</v>
      </c>
      <c r="B1090">
        <v>2</v>
      </c>
      <c r="C1090" t="s">
        <v>11</v>
      </c>
      <c r="D1090">
        <v>-1.5529999999999999E-3</v>
      </c>
      <c r="E1090">
        <f t="shared" si="32"/>
        <v>0.99844699999999997</v>
      </c>
      <c r="F1090" s="1">
        <f t="shared" si="33"/>
        <v>42492</v>
      </c>
      <c r="G1090" cm="1">
        <f t="array" ref="G1090">PRODUCT( _xlfn._xlws.FILTER($E:$E, ($C:$C=C1090)*($F:$F=F1090)) ) - 1</f>
        <v>-7.8950357192825171E-3</v>
      </c>
      <c r="J1090" t="str">
        <v>T</v>
      </c>
      <c r="K1090" s="1">
        <v>41211</v>
      </c>
      <c r="L1090">
        <v>2.0218247068466422E-2</v>
      </c>
    </row>
    <row r="1091" spans="1:12" x14ac:dyDescent="0.2">
      <c r="A1091" s="1">
        <v>42493</v>
      </c>
      <c r="B1091">
        <v>2</v>
      </c>
      <c r="C1091" t="s">
        <v>11</v>
      </c>
      <c r="D1091">
        <v>4.9259999999999998E-3</v>
      </c>
      <c r="E1091">
        <f t="shared" si="32"/>
        <v>1.004926</v>
      </c>
      <c r="F1091" s="1">
        <f t="shared" si="33"/>
        <v>42492</v>
      </c>
      <c r="G1091" cm="1">
        <f t="array" ref="G1091">PRODUCT( _xlfn._xlws.FILTER($E:$E, ($C:$C=C1091)*($F:$F=F1091)) ) - 1</f>
        <v>-7.8950357192825171E-3</v>
      </c>
      <c r="J1091" t="str">
        <v>T</v>
      </c>
      <c r="K1091" s="1">
        <v>41218</v>
      </c>
      <c r="L1091">
        <v>-1.5490006787377553E-3</v>
      </c>
    </row>
    <row r="1092" spans="1:12" x14ac:dyDescent="0.2">
      <c r="A1092" s="1">
        <v>42494</v>
      </c>
      <c r="B1092">
        <v>2</v>
      </c>
      <c r="C1092" t="s">
        <v>11</v>
      </c>
      <c r="D1092">
        <v>-2.0511000000000001E-2</v>
      </c>
      <c r="E1092">
        <f t="shared" ref="E1092:E1155" si="34">D1092+1</f>
        <v>0.97948900000000005</v>
      </c>
      <c r="F1092" s="1">
        <f t="shared" ref="F1092:F1155" si="35">A1092 - (WEEKDAY(A1092, 2) - 1)</f>
        <v>42492</v>
      </c>
      <c r="G1092" cm="1">
        <f t="array" ref="G1092">PRODUCT( _xlfn._xlws.FILTER($E:$E, ($C:$C=C1092)*($F:$F=F1092)) ) - 1</f>
        <v>-7.8950357192825171E-3</v>
      </c>
      <c r="J1092" t="str">
        <v>T</v>
      </c>
      <c r="K1092" s="1">
        <v>41225</v>
      </c>
      <c r="L1092">
        <v>-2.6205395887820782E-2</v>
      </c>
    </row>
    <row r="1093" spans="1:12" x14ac:dyDescent="0.2">
      <c r="A1093" s="1">
        <v>42495</v>
      </c>
      <c r="B1093">
        <v>2</v>
      </c>
      <c r="C1093" t="s">
        <v>11</v>
      </c>
      <c r="D1093">
        <v>9.2199999999999997E-4</v>
      </c>
      <c r="E1093">
        <f t="shared" si="34"/>
        <v>1.0009220000000001</v>
      </c>
      <c r="F1093" s="1">
        <f t="shared" si="35"/>
        <v>42492</v>
      </c>
      <c r="G1093" cm="1">
        <f t="array" ref="G1093">PRODUCT( _xlfn._xlws.FILTER($E:$E, ($C:$C=C1093)*($F:$F=F1093)) ) - 1</f>
        <v>-7.8950357192825171E-3</v>
      </c>
      <c r="J1093" t="str">
        <v>T</v>
      </c>
      <c r="K1093" s="1">
        <v>41232</v>
      </c>
      <c r="L1093">
        <v>3.4712600445855779E-2</v>
      </c>
    </row>
    <row r="1094" spans="1:12" x14ac:dyDescent="0.2">
      <c r="A1094" s="1">
        <v>42496</v>
      </c>
      <c r="B1094">
        <v>2</v>
      </c>
      <c r="C1094" t="s">
        <v>11</v>
      </c>
      <c r="D1094">
        <v>8.5529999999999998E-3</v>
      </c>
      <c r="E1094">
        <f t="shared" si="34"/>
        <v>1.008553</v>
      </c>
      <c r="F1094" s="1">
        <f t="shared" si="35"/>
        <v>42492</v>
      </c>
      <c r="G1094" cm="1">
        <f t="array" ref="G1094">PRODUCT( _xlfn._xlws.FILTER($E:$E, ($C:$C=C1094)*($F:$F=F1094)) ) - 1</f>
        <v>-7.8950357192825171E-3</v>
      </c>
      <c r="J1094" t="str">
        <v>T</v>
      </c>
      <c r="K1094" s="1">
        <v>41239</v>
      </c>
      <c r="L1094">
        <v>-2.1544139599221079E-3</v>
      </c>
    </row>
    <row r="1095" spans="1:12" x14ac:dyDescent="0.2">
      <c r="A1095" s="1">
        <v>42499</v>
      </c>
      <c r="B1095">
        <v>2</v>
      </c>
      <c r="C1095" t="s">
        <v>11</v>
      </c>
      <c r="D1095">
        <v>-9.6539999999999994E-3</v>
      </c>
      <c r="E1095">
        <f t="shared" si="34"/>
        <v>0.99034599999999995</v>
      </c>
      <c r="F1095" s="1">
        <f t="shared" si="35"/>
        <v>42499</v>
      </c>
      <c r="G1095" cm="1">
        <f t="array" ref="G1095">PRODUCT( _xlfn._xlws.FILTER($E:$E, ($C:$C=C1095)*($F:$F=F1095)) ) - 1</f>
        <v>-8.0892889540733481E-3</v>
      </c>
      <c r="J1095" t="str">
        <v>T</v>
      </c>
      <c r="K1095" s="1">
        <v>41246</v>
      </c>
      <c r="L1095">
        <v>9.2545862687520852E-4</v>
      </c>
    </row>
    <row r="1096" spans="1:12" x14ac:dyDescent="0.2">
      <c r="A1096" s="1">
        <v>42500</v>
      </c>
      <c r="B1096">
        <v>2</v>
      </c>
      <c r="C1096" t="s">
        <v>11</v>
      </c>
      <c r="D1096">
        <v>1.9233E-2</v>
      </c>
      <c r="E1096">
        <f t="shared" si="34"/>
        <v>1.0192330000000001</v>
      </c>
      <c r="F1096" s="1">
        <f t="shared" si="35"/>
        <v>42499</v>
      </c>
      <c r="G1096" cm="1">
        <f t="array" ref="G1096">PRODUCT( _xlfn._xlws.FILTER($E:$E, ($C:$C=C1096)*($F:$F=F1096)) ) - 1</f>
        <v>-8.0892889540733481E-3</v>
      </c>
      <c r="J1096" t="str">
        <v>T</v>
      </c>
      <c r="K1096" s="1">
        <v>41253</v>
      </c>
      <c r="L1096">
        <v>1.6184919270554765E-2</v>
      </c>
    </row>
    <row r="1097" spans="1:12" x14ac:dyDescent="0.2">
      <c r="A1097" s="1">
        <v>42501</v>
      </c>
      <c r="B1097">
        <v>2</v>
      </c>
      <c r="C1097" t="s">
        <v>11</v>
      </c>
      <c r="D1097">
        <v>-1.1374E-2</v>
      </c>
      <c r="E1097">
        <f t="shared" si="34"/>
        <v>0.988626</v>
      </c>
      <c r="F1097" s="1">
        <f t="shared" si="35"/>
        <v>42499</v>
      </c>
      <c r="G1097" cm="1">
        <f t="array" ref="G1097">PRODUCT( _xlfn._xlws.FILTER($E:$E, ($C:$C=C1097)*($F:$F=F1097)) ) - 1</f>
        <v>-8.0892889540733481E-3</v>
      </c>
      <c r="J1097" t="str">
        <v>T</v>
      </c>
      <c r="K1097" s="1">
        <v>41260</v>
      </c>
      <c r="L1097">
        <v>3.3695743325026228E-3</v>
      </c>
    </row>
    <row r="1098" spans="1:12" x14ac:dyDescent="0.2">
      <c r="A1098" s="1">
        <v>42502</v>
      </c>
      <c r="B1098">
        <v>2</v>
      </c>
      <c r="C1098" t="s">
        <v>11</v>
      </c>
      <c r="D1098">
        <v>1.83E-3</v>
      </c>
      <c r="E1098">
        <f t="shared" si="34"/>
        <v>1.00183</v>
      </c>
      <c r="F1098" s="1">
        <f t="shared" si="35"/>
        <v>42499</v>
      </c>
      <c r="G1098" cm="1">
        <f t="array" ref="G1098">PRODUCT( _xlfn._xlws.FILTER($E:$E, ($C:$C=C1098)*($F:$F=F1098)) ) - 1</f>
        <v>-8.0892889540733481E-3</v>
      </c>
      <c r="J1098" t="str">
        <v>T</v>
      </c>
      <c r="K1098" s="1">
        <v>41267</v>
      </c>
      <c r="L1098">
        <v>-1.221442515999982E-3</v>
      </c>
    </row>
    <row r="1099" spans="1:12" x14ac:dyDescent="0.2">
      <c r="A1099" s="1">
        <v>42503</v>
      </c>
      <c r="B1099">
        <v>2</v>
      </c>
      <c r="C1099" t="s">
        <v>11</v>
      </c>
      <c r="D1099">
        <v>-7.8300000000000002E-3</v>
      </c>
      <c r="E1099">
        <f t="shared" si="34"/>
        <v>0.99217</v>
      </c>
      <c r="F1099" s="1">
        <f t="shared" si="35"/>
        <v>42499</v>
      </c>
      <c r="G1099" cm="1">
        <f t="array" ref="G1099">PRODUCT( _xlfn._xlws.FILTER($E:$E, ($C:$C=C1099)*($F:$F=F1099)) ) - 1</f>
        <v>-8.0892889540733481E-3</v>
      </c>
      <c r="J1099" t="str">
        <v>T</v>
      </c>
      <c r="K1099" s="1">
        <v>41274</v>
      </c>
      <c r="L1099">
        <v>-3.8205290528876557E-3</v>
      </c>
    </row>
    <row r="1100" spans="1:12" x14ac:dyDescent="0.2">
      <c r="A1100" s="1">
        <v>42506</v>
      </c>
      <c r="B1100">
        <v>2</v>
      </c>
      <c r="C1100" t="s">
        <v>11</v>
      </c>
      <c r="D1100">
        <v>5.2599999999999999E-4</v>
      </c>
      <c r="E1100">
        <f t="shared" si="34"/>
        <v>1.000526</v>
      </c>
      <c r="F1100" s="1">
        <f t="shared" si="35"/>
        <v>42506</v>
      </c>
      <c r="G1100" cm="1">
        <f t="array" ref="G1100">PRODUCT( _xlfn._xlws.FILTER($E:$E, ($C:$C=C1100)*($F:$F=F1100)) ) - 1</f>
        <v>5.6557198128606156E-3</v>
      </c>
      <c r="J1100" t="str">
        <v>T</v>
      </c>
      <c r="K1100" s="1">
        <v>41281</v>
      </c>
      <c r="L1100">
        <v>-3.0678138089020868E-3</v>
      </c>
    </row>
    <row r="1101" spans="1:12" x14ac:dyDescent="0.2">
      <c r="A1101" s="1">
        <v>42507</v>
      </c>
      <c r="B1101">
        <v>2</v>
      </c>
      <c r="C1101" t="s">
        <v>11</v>
      </c>
      <c r="D1101">
        <v>-1.052E-3</v>
      </c>
      <c r="E1101">
        <f t="shared" si="34"/>
        <v>0.99894799999999995</v>
      </c>
      <c r="F1101" s="1">
        <f t="shared" si="35"/>
        <v>42506</v>
      </c>
      <c r="G1101" cm="1">
        <f t="array" ref="G1101">PRODUCT( _xlfn._xlws.FILTER($E:$E, ($C:$C=C1101)*($F:$F=F1101)) ) - 1</f>
        <v>5.6557198128606156E-3</v>
      </c>
      <c r="J1101" t="str">
        <v>T</v>
      </c>
      <c r="K1101" s="1">
        <v>41288</v>
      </c>
      <c r="L1101">
        <v>9.2323917184535809E-3</v>
      </c>
    </row>
    <row r="1102" spans="1:12" x14ac:dyDescent="0.2">
      <c r="A1102" s="1">
        <v>42508</v>
      </c>
      <c r="B1102">
        <v>2</v>
      </c>
      <c r="C1102" t="s">
        <v>11</v>
      </c>
      <c r="D1102">
        <v>1.1580999999999999E-2</v>
      </c>
      <c r="E1102">
        <f t="shared" si="34"/>
        <v>1.0115810000000001</v>
      </c>
      <c r="F1102" s="1">
        <f t="shared" si="35"/>
        <v>42506</v>
      </c>
      <c r="G1102" cm="1">
        <f t="array" ref="G1102">PRODUCT( _xlfn._xlws.FILTER($E:$E, ($C:$C=C1102)*($F:$F=F1102)) ) - 1</f>
        <v>5.6557198128606156E-3</v>
      </c>
      <c r="J1102" t="str">
        <v>T</v>
      </c>
      <c r="K1102" s="1">
        <v>41295</v>
      </c>
      <c r="L1102">
        <v>-8.5382209723017244E-3</v>
      </c>
    </row>
    <row r="1103" spans="1:12" x14ac:dyDescent="0.2">
      <c r="A1103" s="1">
        <v>42509</v>
      </c>
      <c r="B1103">
        <v>2</v>
      </c>
      <c r="C1103" t="s">
        <v>11</v>
      </c>
      <c r="D1103">
        <v>-1.9383000000000001E-2</v>
      </c>
      <c r="E1103">
        <f t="shared" si="34"/>
        <v>0.98061699999999996</v>
      </c>
      <c r="F1103" s="1">
        <f t="shared" si="35"/>
        <v>42506</v>
      </c>
      <c r="G1103" cm="1">
        <f t="array" ref="G1103">PRODUCT( _xlfn._xlws.FILTER($E:$E, ($C:$C=C1103)*($F:$F=F1103)) ) - 1</f>
        <v>5.6557198128606156E-3</v>
      </c>
      <c r="J1103" t="str">
        <v>T</v>
      </c>
      <c r="K1103" s="1">
        <v>41302</v>
      </c>
      <c r="L1103">
        <v>3.8905620271875385E-2</v>
      </c>
    </row>
    <row r="1104" spans="1:12" x14ac:dyDescent="0.2">
      <c r="A1104" s="1">
        <v>42510</v>
      </c>
      <c r="B1104">
        <v>2</v>
      </c>
      <c r="C1104" t="s">
        <v>11</v>
      </c>
      <c r="D1104">
        <v>1.4326999999999999E-2</v>
      </c>
      <c r="E1104">
        <f t="shared" si="34"/>
        <v>1.014327</v>
      </c>
      <c r="F1104" s="1">
        <f t="shared" si="35"/>
        <v>42506</v>
      </c>
      <c r="G1104" cm="1">
        <f t="array" ref="G1104">PRODUCT( _xlfn._xlws.FILTER($E:$E, ($C:$C=C1104)*($F:$F=F1104)) ) - 1</f>
        <v>5.6557198128606156E-3</v>
      </c>
      <c r="J1104" t="str">
        <v>T</v>
      </c>
      <c r="K1104" s="1">
        <v>41309</v>
      </c>
      <c r="L1104">
        <v>-2.308994800257691E-2</v>
      </c>
    </row>
    <row r="1105" spans="1:12" x14ac:dyDescent="0.2">
      <c r="A1105" s="1">
        <v>42514</v>
      </c>
      <c r="B1105">
        <v>2</v>
      </c>
      <c r="C1105" t="s">
        <v>11</v>
      </c>
      <c r="D1105">
        <v>2.4849999999999998E-3</v>
      </c>
      <c r="E1105">
        <f t="shared" si="34"/>
        <v>1.0024850000000001</v>
      </c>
      <c r="F1105" s="1">
        <f t="shared" si="35"/>
        <v>42513</v>
      </c>
      <c r="G1105" cm="1">
        <f t="array" ref="G1105">PRODUCT( _xlfn._xlws.FILTER($E:$E, ($C:$C=C1105)*($F:$F=F1105)) ) - 1</f>
        <v>2.3018251254099287E-2</v>
      </c>
      <c r="J1105" t="str">
        <v>T</v>
      </c>
      <c r="K1105" s="1">
        <v>41316</v>
      </c>
      <c r="L1105">
        <v>2.742467376206581E-2</v>
      </c>
    </row>
    <row r="1106" spans="1:12" x14ac:dyDescent="0.2">
      <c r="A1106" s="1">
        <v>42515</v>
      </c>
      <c r="B1106">
        <v>2</v>
      </c>
      <c r="C1106" t="s">
        <v>11</v>
      </c>
      <c r="D1106">
        <v>4.3049999999999998E-3</v>
      </c>
      <c r="E1106">
        <f t="shared" si="34"/>
        <v>1.004305</v>
      </c>
      <c r="F1106" s="1">
        <f t="shared" si="35"/>
        <v>42513</v>
      </c>
      <c r="G1106" cm="1">
        <f t="array" ref="G1106">PRODUCT( _xlfn._xlws.FILTER($E:$E, ($C:$C=C1106)*($F:$F=F1106)) ) - 1</f>
        <v>2.3018251254099287E-2</v>
      </c>
      <c r="J1106" t="str">
        <v>T</v>
      </c>
      <c r="K1106" s="1">
        <v>41323</v>
      </c>
      <c r="L1106">
        <v>2.4775385762118907E-2</v>
      </c>
    </row>
    <row r="1107" spans="1:12" x14ac:dyDescent="0.2">
      <c r="A1107" s="1">
        <v>42516</v>
      </c>
      <c r="B1107">
        <v>2</v>
      </c>
      <c r="C1107" t="s">
        <v>11</v>
      </c>
      <c r="D1107">
        <v>1.4419E-2</v>
      </c>
      <c r="E1107">
        <f t="shared" si="34"/>
        <v>1.014419</v>
      </c>
      <c r="F1107" s="1">
        <f t="shared" si="35"/>
        <v>42513</v>
      </c>
      <c r="G1107" cm="1">
        <f t="array" ref="G1107">PRODUCT( _xlfn._xlws.FILTER($E:$E, ($C:$C=C1107)*($F:$F=F1107)) ) - 1</f>
        <v>2.3018251254099287E-2</v>
      </c>
      <c r="J1107" t="str">
        <v>T</v>
      </c>
      <c r="K1107" s="1">
        <v>41330</v>
      </c>
      <c r="L1107">
        <v>1.9859463511634701E-2</v>
      </c>
    </row>
    <row r="1108" spans="1:12" x14ac:dyDescent="0.2">
      <c r="A1108" s="1">
        <v>42517</v>
      </c>
      <c r="B1108">
        <v>2</v>
      </c>
      <c r="C1108" t="s">
        <v>11</v>
      </c>
      <c r="D1108">
        <v>1.665E-3</v>
      </c>
      <c r="E1108">
        <f t="shared" si="34"/>
        <v>1.001665</v>
      </c>
      <c r="F1108" s="1">
        <f t="shared" si="35"/>
        <v>42513</v>
      </c>
      <c r="G1108" cm="1">
        <f t="array" ref="G1108">PRODUCT( _xlfn._xlws.FILTER($E:$E, ($C:$C=C1108)*($F:$F=F1108)) ) - 1</f>
        <v>2.3018251254099287E-2</v>
      </c>
      <c r="J1108" t="str">
        <v>T</v>
      </c>
      <c r="K1108" s="1">
        <v>41337</v>
      </c>
      <c r="L1108">
        <v>-6.4817739702897059E-3</v>
      </c>
    </row>
    <row r="1109" spans="1:12" x14ac:dyDescent="0.2">
      <c r="A1109" s="1">
        <v>42520</v>
      </c>
      <c r="B1109">
        <v>2</v>
      </c>
      <c r="C1109" t="s">
        <v>11</v>
      </c>
      <c r="D1109">
        <v>1.023E-3</v>
      </c>
      <c r="E1109">
        <f t="shared" si="34"/>
        <v>1.001023</v>
      </c>
      <c r="F1109" s="1">
        <f t="shared" si="35"/>
        <v>42520</v>
      </c>
      <c r="G1109" cm="1">
        <f t="array" ref="G1109">PRODUCT( _xlfn._xlws.FILTER($E:$E, ($C:$C=C1109)*($F:$F=F1109)) ) - 1</f>
        <v>-8.054246603518167E-3</v>
      </c>
      <c r="J1109" t="str">
        <v>T</v>
      </c>
      <c r="K1109" s="1">
        <v>41344</v>
      </c>
      <c r="L1109">
        <v>-2.5801429224576733E-3</v>
      </c>
    </row>
    <row r="1110" spans="1:12" x14ac:dyDescent="0.2">
      <c r="A1110" s="1">
        <v>42521</v>
      </c>
      <c r="B1110">
        <v>2</v>
      </c>
      <c r="C1110" t="s">
        <v>11</v>
      </c>
      <c r="D1110">
        <v>-7.0239999999999999E-3</v>
      </c>
      <c r="E1110">
        <f t="shared" si="34"/>
        <v>0.99297599999999997</v>
      </c>
      <c r="F1110" s="1">
        <f t="shared" si="35"/>
        <v>42520</v>
      </c>
      <c r="G1110" cm="1">
        <f t="array" ref="G1110">PRODUCT( _xlfn._xlws.FILTER($E:$E, ($C:$C=C1110)*($F:$F=F1110)) ) - 1</f>
        <v>-8.054246603518167E-3</v>
      </c>
      <c r="J1110" t="str">
        <v>T</v>
      </c>
      <c r="K1110" s="1">
        <v>41351</v>
      </c>
      <c r="L1110">
        <v>1.1491468113729031E-3</v>
      </c>
    </row>
    <row r="1111" spans="1:12" x14ac:dyDescent="0.2">
      <c r="A1111" s="1">
        <v>42522</v>
      </c>
      <c r="B1111">
        <v>2</v>
      </c>
      <c r="C1111" t="s">
        <v>11</v>
      </c>
      <c r="D1111">
        <v>-7.0740000000000004E-3</v>
      </c>
      <c r="E1111">
        <f t="shared" si="34"/>
        <v>0.99292599999999998</v>
      </c>
      <c r="F1111" s="1">
        <f t="shared" si="35"/>
        <v>42520</v>
      </c>
      <c r="G1111" cm="1">
        <f t="array" ref="G1111">PRODUCT( _xlfn._xlws.FILTER($E:$E, ($C:$C=C1111)*($F:$F=F1111)) ) - 1</f>
        <v>-8.054246603518167E-3</v>
      </c>
      <c r="J1111" t="str">
        <v>T</v>
      </c>
      <c r="K1111" s="1">
        <v>41358</v>
      </c>
      <c r="L1111">
        <v>7.0336039539939943E-3</v>
      </c>
    </row>
    <row r="1112" spans="1:12" x14ac:dyDescent="0.2">
      <c r="A1112" s="1">
        <v>42523</v>
      </c>
      <c r="B1112">
        <v>2</v>
      </c>
      <c r="C1112" t="s">
        <v>11</v>
      </c>
      <c r="D1112">
        <v>-6.4800000000000003E-4</v>
      </c>
      <c r="E1112">
        <f t="shared" si="34"/>
        <v>0.99935200000000002</v>
      </c>
      <c r="F1112" s="1">
        <f t="shared" si="35"/>
        <v>42520</v>
      </c>
      <c r="G1112" cm="1">
        <f t="array" ref="G1112">PRODUCT( _xlfn._xlws.FILTER($E:$E, ($C:$C=C1112)*($F:$F=F1112)) ) - 1</f>
        <v>-8.054246603518167E-3</v>
      </c>
      <c r="J1112" t="str">
        <v>T</v>
      </c>
      <c r="K1112" s="1">
        <v>41365</v>
      </c>
      <c r="L1112">
        <v>-1.82440528404334E-2</v>
      </c>
    </row>
    <row r="1113" spans="1:12" x14ac:dyDescent="0.2">
      <c r="A1113" s="1">
        <v>42524</v>
      </c>
      <c r="B1113">
        <v>2</v>
      </c>
      <c r="C1113" t="s">
        <v>11</v>
      </c>
      <c r="D1113">
        <v>5.7029999999999997E-3</v>
      </c>
      <c r="E1113">
        <f t="shared" si="34"/>
        <v>1.005703</v>
      </c>
      <c r="F1113" s="1">
        <f t="shared" si="35"/>
        <v>42520</v>
      </c>
      <c r="G1113" cm="1">
        <f t="array" ref="G1113">PRODUCT( _xlfn._xlws.FILTER($E:$E, ($C:$C=C1113)*($F:$F=F1113)) ) - 1</f>
        <v>-8.054246603518167E-3</v>
      </c>
      <c r="J1113" t="str">
        <v>T</v>
      </c>
      <c r="K1113" s="1">
        <v>41372</v>
      </c>
      <c r="L1113">
        <v>1.9164320960840975E-2</v>
      </c>
    </row>
    <row r="1114" spans="1:12" x14ac:dyDescent="0.2">
      <c r="A1114" s="1">
        <v>42527</v>
      </c>
      <c r="B1114">
        <v>2</v>
      </c>
      <c r="C1114" t="s">
        <v>11</v>
      </c>
      <c r="D1114">
        <v>-2.062E-3</v>
      </c>
      <c r="E1114">
        <f t="shared" si="34"/>
        <v>0.99793799999999999</v>
      </c>
      <c r="F1114" s="1">
        <f t="shared" si="35"/>
        <v>42527</v>
      </c>
      <c r="G1114" cm="1">
        <f t="array" ref="G1114">PRODUCT( _xlfn._xlws.FILTER($E:$E, ($C:$C=C1114)*($F:$F=F1114)) ) - 1</f>
        <v>-2.2743547411007703E-2</v>
      </c>
      <c r="J1114" t="str">
        <v>T</v>
      </c>
      <c r="K1114" s="1">
        <v>41379</v>
      </c>
      <c r="L1114">
        <v>3.2763966321798454E-2</v>
      </c>
    </row>
    <row r="1115" spans="1:12" x14ac:dyDescent="0.2">
      <c r="A1115" s="1">
        <v>42528</v>
      </c>
      <c r="B1115">
        <v>2</v>
      </c>
      <c r="C1115" t="s">
        <v>11</v>
      </c>
      <c r="D1115">
        <v>4.9719999999999999E-3</v>
      </c>
      <c r="E1115">
        <f t="shared" si="34"/>
        <v>1.004972</v>
      </c>
      <c r="F1115" s="1">
        <f t="shared" si="35"/>
        <v>42527</v>
      </c>
      <c r="G1115" cm="1">
        <f t="array" ref="G1115">PRODUCT( _xlfn._xlws.FILTER($E:$E, ($C:$C=C1115)*($F:$F=F1115)) ) - 1</f>
        <v>-2.2743547411007703E-2</v>
      </c>
      <c r="J1115" t="str">
        <v>T</v>
      </c>
      <c r="K1115" s="1">
        <v>41386</v>
      </c>
      <c r="L1115">
        <v>-1.6828352255864321E-2</v>
      </c>
    </row>
    <row r="1116" spans="1:12" x14ac:dyDescent="0.2">
      <c r="A1116" s="1">
        <v>42529</v>
      </c>
      <c r="B1116">
        <v>2</v>
      </c>
      <c r="C1116" t="s">
        <v>11</v>
      </c>
      <c r="D1116">
        <v>-3.4870000000000001E-3</v>
      </c>
      <c r="E1116">
        <f t="shared" si="34"/>
        <v>0.99651299999999998</v>
      </c>
      <c r="F1116" s="1">
        <f t="shared" si="35"/>
        <v>42527</v>
      </c>
      <c r="G1116" cm="1">
        <f t="array" ref="G1116">PRODUCT( _xlfn._xlws.FILTER($E:$E, ($C:$C=C1116)*($F:$F=F1116)) ) - 1</f>
        <v>-2.2743547411007703E-2</v>
      </c>
      <c r="J1116" t="str">
        <v>T</v>
      </c>
      <c r="K1116" s="1">
        <v>41393</v>
      </c>
      <c r="L1116">
        <v>1.3186889530635071E-2</v>
      </c>
    </row>
    <row r="1117" spans="1:12" x14ac:dyDescent="0.2">
      <c r="A1117" s="1">
        <v>42530</v>
      </c>
      <c r="B1117">
        <v>2</v>
      </c>
      <c r="C1117" t="s">
        <v>11</v>
      </c>
      <c r="D1117">
        <v>-7.9050000000000006E-3</v>
      </c>
      <c r="E1117">
        <f t="shared" si="34"/>
        <v>0.99209499999999995</v>
      </c>
      <c r="F1117" s="1">
        <f t="shared" si="35"/>
        <v>42527</v>
      </c>
      <c r="G1117" cm="1">
        <f t="array" ref="G1117">PRODUCT( _xlfn._xlws.FILTER($E:$E, ($C:$C=C1117)*($F:$F=F1117)) ) - 1</f>
        <v>-2.2743547411007703E-2</v>
      </c>
      <c r="J1117" t="str">
        <v>T</v>
      </c>
      <c r="K1117" s="1">
        <v>41400</v>
      </c>
      <c r="L1117">
        <v>3.8768623776314959E-2</v>
      </c>
    </row>
    <row r="1118" spans="1:12" x14ac:dyDescent="0.2">
      <c r="A1118" s="1">
        <v>42531</v>
      </c>
      <c r="B1118">
        <v>2</v>
      </c>
      <c r="C1118" t="s">
        <v>11</v>
      </c>
      <c r="D1118">
        <v>-1.4368000000000001E-2</v>
      </c>
      <c r="E1118">
        <f t="shared" si="34"/>
        <v>0.98563199999999995</v>
      </c>
      <c r="F1118" s="1">
        <f t="shared" si="35"/>
        <v>42527</v>
      </c>
      <c r="G1118" cm="1">
        <f t="array" ref="G1118">PRODUCT( _xlfn._xlws.FILTER($E:$E, ($C:$C=C1118)*($F:$F=F1118)) ) - 1</f>
        <v>-2.2743547411007703E-2</v>
      </c>
      <c r="J1118" t="str">
        <v>T</v>
      </c>
      <c r="K1118" s="1">
        <v>41407</v>
      </c>
      <c r="L1118">
        <v>-3.1988773965585526E-3</v>
      </c>
    </row>
    <row r="1119" spans="1:12" x14ac:dyDescent="0.2">
      <c r="A1119" s="1">
        <v>42534</v>
      </c>
      <c r="B1119">
        <v>2</v>
      </c>
      <c r="C1119" t="s">
        <v>11</v>
      </c>
      <c r="D1119">
        <v>-6.2290000000000002E-3</v>
      </c>
      <c r="E1119">
        <f t="shared" si="34"/>
        <v>0.99377099999999996</v>
      </c>
      <c r="F1119" s="1">
        <f t="shared" si="35"/>
        <v>42534</v>
      </c>
      <c r="G1119" cm="1">
        <f t="array" ref="G1119">PRODUCT( _xlfn._xlws.FILTER($E:$E, ($C:$C=C1119)*($F:$F=F1119)) ) - 1</f>
        <v>-4.5063355196417465E-3</v>
      </c>
      <c r="J1119" t="str">
        <v>T</v>
      </c>
      <c r="K1119" s="1">
        <v>41414</v>
      </c>
      <c r="L1119">
        <v>-5.6160121850653555E-3</v>
      </c>
    </row>
    <row r="1120" spans="1:12" x14ac:dyDescent="0.2">
      <c r="A1120" s="1">
        <v>42535</v>
      </c>
      <c r="B1120">
        <v>2</v>
      </c>
      <c r="C1120" t="s">
        <v>11</v>
      </c>
      <c r="D1120">
        <v>0</v>
      </c>
      <c r="E1120">
        <f t="shared" si="34"/>
        <v>1</v>
      </c>
      <c r="F1120" s="1">
        <f t="shared" si="35"/>
        <v>42534</v>
      </c>
      <c r="G1120" cm="1">
        <f t="array" ref="G1120">PRODUCT( _xlfn._xlws.FILTER($E:$E, ($C:$C=C1120)*($F:$F=F1120)) ) - 1</f>
        <v>-4.5063355196417465E-3</v>
      </c>
      <c r="J1120" t="str">
        <v>T</v>
      </c>
      <c r="K1120" s="1">
        <v>41421</v>
      </c>
      <c r="L1120">
        <v>-2.8778508174634121E-2</v>
      </c>
    </row>
    <row r="1121" spans="1:12" x14ac:dyDescent="0.2">
      <c r="A1121" s="1">
        <v>42536</v>
      </c>
      <c r="B1121">
        <v>2</v>
      </c>
      <c r="C1121" t="s">
        <v>11</v>
      </c>
      <c r="D1121">
        <v>5.3300000000000005E-4</v>
      </c>
      <c r="E1121">
        <f t="shared" si="34"/>
        <v>1.0005329999999999</v>
      </c>
      <c r="F1121" s="1">
        <f t="shared" si="35"/>
        <v>42534</v>
      </c>
      <c r="G1121" cm="1">
        <f t="array" ref="G1121">PRODUCT( _xlfn._xlws.FILTER($E:$E, ($C:$C=C1121)*($F:$F=F1121)) ) - 1</f>
        <v>-4.5063355196417465E-3</v>
      </c>
      <c r="J1121" t="str">
        <v>T</v>
      </c>
      <c r="K1121" s="1">
        <v>41428</v>
      </c>
      <c r="L1121">
        <v>-3.0524234325119748E-2</v>
      </c>
    </row>
    <row r="1122" spans="1:12" x14ac:dyDescent="0.2">
      <c r="A1122" s="1">
        <v>42537</v>
      </c>
      <c r="B1122">
        <v>2</v>
      </c>
      <c r="C1122" t="s">
        <v>11</v>
      </c>
      <c r="D1122">
        <v>1.333E-3</v>
      </c>
      <c r="E1122">
        <f t="shared" si="34"/>
        <v>1.001333</v>
      </c>
      <c r="F1122" s="1">
        <f t="shared" si="35"/>
        <v>42534</v>
      </c>
      <c r="G1122" cm="1">
        <f t="array" ref="G1122">PRODUCT( _xlfn._xlws.FILTER($E:$E, ($C:$C=C1122)*($F:$F=F1122)) ) - 1</f>
        <v>-4.5063355196417465E-3</v>
      </c>
      <c r="J1122" t="str">
        <v>T</v>
      </c>
      <c r="K1122" s="1">
        <v>41435</v>
      </c>
      <c r="L1122">
        <v>1.442214754663107E-3</v>
      </c>
    </row>
    <row r="1123" spans="1:12" x14ac:dyDescent="0.2">
      <c r="A1123" s="1">
        <v>42538</v>
      </c>
      <c r="B1123">
        <v>2</v>
      </c>
      <c r="C1123" t="s">
        <v>11</v>
      </c>
      <c r="D1123">
        <v>-1.3300000000000001E-4</v>
      </c>
      <c r="E1123">
        <f t="shared" si="34"/>
        <v>0.99986699999999995</v>
      </c>
      <c r="F1123" s="1">
        <f t="shared" si="35"/>
        <v>42534</v>
      </c>
      <c r="G1123" cm="1">
        <f t="array" ref="G1123">PRODUCT( _xlfn._xlws.FILTER($E:$E, ($C:$C=C1123)*($F:$F=F1123)) ) - 1</f>
        <v>-4.5063355196417465E-3</v>
      </c>
      <c r="J1123" t="str">
        <v>T</v>
      </c>
      <c r="K1123" s="1">
        <v>41442</v>
      </c>
      <c r="L1123">
        <v>-3.3986150410545646E-2</v>
      </c>
    </row>
    <row r="1124" spans="1:12" x14ac:dyDescent="0.2">
      <c r="A1124" s="1">
        <v>42541</v>
      </c>
      <c r="B1124">
        <v>2</v>
      </c>
      <c r="C1124" t="s">
        <v>11</v>
      </c>
      <c r="D1124">
        <v>4.7920000000000003E-3</v>
      </c>
      <c r="E1124">
        <f t="shared" si="34"/>
        <v>1.0047919999999999</v>
      </c>
      <c r="F1124" s="1">
        <f t="shared" si="35"/>
        <v>42541</v>
      </c>
      <c r="G1124" cm="1">
        <f t="array" ref="G1124">PRODUCT( _xlfn._xlws.FILTER($E:$E, ($C:$C=C1124)*($F:$F=F1124)) ) - 1</f>
        <v>-1.3845155027584211E-2</v>
      </c>
      <c r="J1124" t="str">
        <v>T</v>
      </c>
      <c r="K1124" s="1">
        <v>41449</v>
      </c>
      <c r="L1124">
        <v>-8.4676155779668805E-2</v>
      </c>
    </row>
    <row r="1125" spans="1:12" x14ac:dyDescent="0.2">
      <c r="A1125" s="1">
        <v>42542</v>
      </c>
      <c r="B1125">
        <v>2</v>
      </c>
      <c r="C1125" t="s">
        <v>11</v>
      </c>
      <c r="D1125">
        <v>-9.0089999999999996E-3</v>
      </c>
      <c r="E1125">
        <f t="shared" si="34"/>
        <v>0.99099099999999996</v>
      </c>
      <c r="F1125" s="1">
        <f t="shared" si="35"/>
        <v>42541</v>
      </c>
      <c r="G1125" cm="1">
        <f t="array" ref="G1125">PRODUCT( _xlfn._xlws.FILTER($E:$E, ($C:$C=C1125)*($F:$F=F1125)) ) - 1</f>
        <v>-1.3845155027584211E-2</v>
      </c>
      <c r="J1125" t="str">
        <v>T</v>
      </c>
      <c r="K1125" s="1">
        <v>41456</v>
      </c>
      <c r="L1125">
        <v>2.4755289038034922E-2</v>
      </c>
    </row>
    <row r="1126" spans="1:12" x14ac:dyDescent="0.2">
      <c r="A1126" s="1">
        <v>42543</v>
      </c>
      <c r="B1126">
        <v>2</v>
      </c>
      <c r="C1126" t="s">
        <v>11</v>
      </c>
      <c r="D1126">
        <v>1.4171E-2</v>
      </c>
      <c r="E1126">
        <f t="shared" si="34"/>
        <v>1.0141709999999999</v>
      </c>
      <c r="F1126" s="1">
        <f t="shared" si="35"/>
        <v>42541</v>
      </c>
      <c r="G1126" cm="1">
        <f t="array" ref="G1126">PRODUCT( _xlfn._xlws.FILTER($E:$E, ($C:$C=C1126)*($F:$F=F1126)) ) - 1</f>
        <v>-1.3845155027584211E-2</v>
      </c>
      <c r="J1126" t="str">
        <v>T</v>
      </c>
      <c r="K1126" s="1">
        <v>41463</v>
      </c>
      <c r="L1126">
        <v>1.0808098519829112E-2</v>
      </c>
    </row>
    <row r="1127" spans="1:12" x14ac:dyDescent="0.2">
      <c r="A1127" s="1">
        <v>42544</v>
      </c>
      <c r="B1127">
        <v>2</v>
      </c>
      <c r="C1127" t="s">
        <v>11</v>
      </c>
      <c r="D1127">
        <v>2.2409999999999999E-3</v>
      </c>
      <c r="E1127">
        <f t="shared" si="34"/>
        <v>1.0022409999999999</v>
      </c>
      <c r="F1127" s="1">
        <f t="shared" si="35"/>
        <v>42541</v>
      </c>
      <c r="G1127" cm="1">
        <f t="array" ref="G1127">PRODUCT( _xlfn._xlws.FILTER($E:$E, ($C:$C=C1127)*($F:$F=F1127)) ) - 1</f>
        <v>-1.3845155027584211E-2</v>
      </c>
      <c r="J1127" t="str">
        <v>T</v>
      </c>
      <c r="K1127" s="1">
        <v>41470</v>
      </c>
      <c r="L1127">
        <v>-5.66018792168832E-3</v>
      </c>
    </row>
    <row r="1128" spans="1:12" x14ac:dyDescent="0.2">
      <c r="A1128" s="1">
        <v>42545</v>
      </c>
      <c r="B1128">
        <v>2</v>
      </c>
      <c r="C1128" t="s">
        <v>11</v>
      </c>
      <c r="D1128">
        <v>-2.5648000000000001E-2</v>
      </c>
      <c r="E1128">
        <f t="shared" si="34"/>
        <v>0.974352</v>
      </c>
      <c r="F1128" s="1">
        <f t="shared" si="35"/>
        <v>42541</v>
      </c>
      <c r="G1128" cm="1">
        <f t="array" ref="G1128">PRODUCT( _xlfn._xlws.FILTER($E:$E, ($C:$C=C1128)*($F:$F=F1128)) ) - 1</f>
        <v>-1.3845155027584211E-2</v>
      </c>
      <c r="J1128" t="str">
        <v>T</v>
      </c>
      <c r="K1128" s="1">
        <v>41477</v>
      </c>
      <c r="L1128">
        <v>-6.9572015875781767E-3</v>
      </c>
    </row>
    <row r="1129" spans="1:12" x14ac:dyDescent="0.2">
      <c r="A1129" s="1">
        <v>42548</v>
      </c>
      <c r="B1129">
        <v>2</v>
      </c>
      <c r="C1129" t="s">
        <v>11</v>
      </c>
      <c r="D1129">
        <v>-4.725E-3</v>
      </c>
      <c r="E1129">
        <f t="shared" si="34"/>
        <v>0.99527500000000002</v>
      </c>
      <c r="F1129" s="1">
        <f t="shared" si="35"/>
        <v>42548</v>
      </c>
      <c r="G1129" cm="1">
        <f t="array" ref="G1129">PRODUCT( _xlfn._xlws.FILTER($E:$E, ($C:$C=C1129)*($F:$F=F1129)) ) - 1</f>
        <v>2.9832163604377016E-2</v>
      </c>
      <c r="J1129" t="str">
        <v>T</v>
      </c>
      <c r="K1129" s="1">
        <v>41484</v>
      </c>
      <c r="L1129">
        <v>6.3787716421215279E-4</v>
      </c>
    </row>
    <row r="1130" spans="1:12" x14ac:dyDescent="0.2">
      <c r="A1130" s="1">
        <v>42549</v>
      </c>
      <c r="B1130">
        <v>2</v>
      </c>
      <c r="C1130" t="s">
        <v>11</v>
      </c>
      <c r="D1130">
        <v>1.6681999999999999E-2</v>
      </c>
      <c r="E1130">
        <f t="shared" si="34"/>
        <v>1.0166820000000001</v>
      </c>
      <c r="F1130" s="1">
        <f t="shared" si="35"/>
        <v>42548</v>
      </c>
      <c r="G1130" cm="1">
        <f t="array" ref="G1130">PRODUCT( _xlfn._xlws.FILTER($E:$E, ($C:$C=C1130)*($F:$F=F1130)) ) - 1</f>
        <v>2.9832163604377016E-2</v>
      </c>
      <c r="J1130" t="str">
        <v>T</v>
      </c>
      <c r="K1130" s="1">
        <v>41491</v>
      </c>
      <c r="L1130">
        <v>-1.5914386372540279E-2</v>
      </c>
    </row>
    <row r="1131" spans="1:12" x14ac:dyDescent="0.2">
      <c r="A1131" s="1">
        <v>42550</v>
      </c>
      <c r="B1131">
        <v>2</v>
      </c>
      <c r="C1131" t="s">
        <v>11</v>
      </c>
      <c r="D1131">
        <v>1.4141000000000001E-2</v>
      </c>
      <c r="E1131">
        <f t="shared" si="34"/>
        <v>1.014141</v>
      </c>
      <c r="F1131" s="1">
        <f t="shared" si="35"/>
        <v>42548</v>
      </c>
      <c r="G1131" cm="1">
        <f t="array" ref="G1131">PRODUCT( _xlfn._xlws.FILTER($E:$E, ($C:$C=C1131)*($F:$F=F1131)) ) - 1</f>
        <v>2.9832163604377016E-2</v>
      </c>
      <c r="J1131" t="str">
        <v>T</v>
      </c>
      <c r="K1131" s="1">
        <v>41498</v>
      </c>
      <c r="L1131">
        <v>3.3958952234660167E-2</v>
      </c>
    </row>
    <row r="1132" spans="1:12" x14ac:dyDescent="0.2">
      <c r="A1132" s="1">
        <v>42551</v>
      </c>
      <c r="B1132">
        <v>2</v>
      </c>
      <c r="C1132" t="s">
        <v>11</v>
      </c>
      <c r="D1132">
        <v>3.552E-3</v>
      </c>
      <c r="E1132">
        <f t="shared" si="34"/>
        <v>1.003552</v>
      </c>
      <c r="F1132" s="1">
        <f t="shared" si="35"/>
        <v>42548</v>
      </c>
      <c r="G1132" cm="1">
        <f t="array" ref="G1132">PRODUCT( _xlfn._xlws.FILTER($E:$E, ($C:$C=C1132)*($F:$F=F1132)) ) - 1</f>
        <v>2.9832163604377016E-2</v>
      </c>
      <c r="J1132" t="str">
        <v>T</v>
      </c>
      <c r="K1132" s="1">
        <v>41505</v>
      </c>
      <c r="L1132">
        <v>-5.0051793177684489E-3</v>
      </c>
    </row>
    <row r="1133" spans="1:12" x14ac:dyDescent="0.2">
      <c r="A1133" s="1">
        <v>42555</v>
      </c>
      <c r="B1133">
        <v>2</v>
      </c>
      <c r="C1133" t="s">
        <v>11</v>
      </c>
      <c r="D1133">
        <v>1.7957999999999998E-2</v>
      </c>
      <c r="E1133">
        <f t="shared" si="34"/>
        <v>1.0179579999999999</v>
      </c>
      <c r="F1133" s="1">
        <f t="shared" si="35"/>
        <v>42555</v>
      </c>
      <c r="G1133" cm="1">
        <f t="array" ref="G1133">PRODUCT( _xlfn._xlws.FILTER($E:$E, ($C:$C=C1133)*($F:$F=F1133)) ) - 1</f>
        <v>2.385641428235874E-2</v>
      </c>
      <c r="J1133" t="str">
        <v>T</v>
      </c>
      <c r="K1133" s="1">
        <v>41512</v>
      </c>
      <c r="L1133">
        <v>1.6033389500378359E-2</v>
      </c>
    </row>
    <row r="1134" spans="1:12" x14ac:dyDescent="0.2">
      <c r="A1134" s="1">
        <v>42556</v>
      </c>
      <c r="B1134">
        <v>2</v>
      </c>
      <c r="C1134" t="s">
        <v>11</v>
      </c>
      <c r="D1134">
        <v>-8.7559999999999999E-3</v>
      </c>
      <c r="E1134">
        <f t="shared" si="34"/>
        <v>0.99124400000000001</v>
      </c>
      <c r="F1134" s="1">
        <f t="shared" si="35"/>
        <v>42555</v>
      </c>
      <c r="G1134" cm="1">
        <f t="array" ref="G1134">PRODUCT( _xlfn._xlws.FILTER($E:$E, ($C:$C=C1134)*($F:$F=F1134)) ) - 1</f>
        <v>2.385641428235874E-2</v>
      </c>
      <c r="J1134" t="str">
        <v>T</v>
      </c>
      <c r="K1134" s="1">
        <v>41519</v>
      </c>
      <c r="L1134">
        <v>4.1152140785553959E-2</v>
      </c>
    </row>
    <row r="1135" spans="1:12" x14ac:dyDescent="0.2">
      <c r="A1135" s="1">
        <v>42557</v>
      </c>
      <c r="B1135">
        <v>2</v>
      </c>
      <c r="C1135" t="s">
        <v>11</v>
      </c>
      <c r="D1135">
        <v>-1.2999999999999999E-4</v>
      </c>
      <c r="E1135">
        <f t="shared" si="34"/>
        <v>0.99987000000000004</v>
      </c>
      <c r="F1135" s="1">
        <f t="shared" si="35"/>
        <v>42555</v>
      </c>
      <c r="G1135" cm="1">
        <f t="array" ref="G1135">PRODUCT( _xlfn._xlws.FILTER($E:$E, ($C:$C=C1135)*($F:$F=F1135)) ) - 1</f>
        <v>2.385641428235874E-2</v>
      </c>
      <c r="J1135" t="str">
        <v>T</v>
      </c>
      <c r="K1135" s="1">
        <v>41526</v>
      </c>
      <c r="L1135">
        <v>3.3027217946386411E-3</v>
      </c>
    </row>
    <row r="1136" spans="1:12" x14ac:dyDescent="0.2">
      <c r="A1136" s="1">
        <v>42558</v>
      </c>
      <c r="B1136">
        <v>2</v>
      </c>
      <c r="C1136" t="s">
        <v>11</v>
      </c>
      <c r="D1136">
        <v>-2.0790000000000001E-3</v>
      </c>
      <c r="E1136">
        <f t="shared" si="34"/>
        <v>0.99792099999999995</v>
      </c>
      <c r="F1136" s="1">
        <f t="shared" si="35"/>
        <v>42555</v>
      </c>
      <c r="G1136" cm="1">
        <f t="array" ref="G1136">PRODUCT( _xlfn._xlws.FILTER($E:$E, ($C:$C=C1136)*($F:$F=F1136)) ) - 1</f>
        <v>2.385641428235874E-2</v>
      </c>
      <c r="J1136" t="str">
        <v>T</v>
      </c>
      <c r="K1136" s="1">
        <v>41533</v>
      </c>
      <c r="L1136">
        <v>3.4710962236350174E-2</v>
      </c>
    </row>
    <row r="1137" spans="1:12" x14ac:dyDescent="0.2">
      <c r="A1137" s="1">
        <v>42559</v>
      </c>
      <c r="B1137">
        <v>2</v>
      </c>
      <c r="C1137" t="s">
        <v>11</v>
      </c>
      <c r="D1137">
        <v>1.6924999999999999E-2</v>
      </c>
      <c r="E1137">
        <f t="shared" si="34"/>
        <v>1.0169250000000001</v>
      </c>
      <c r="F1137" s="1">
        <f t="shared" si="35"/>
        <v>42555</v>
      </c>
      <c r="G1137" cm="1">
        <f t="array" ref="G1137">PRODUCT( _xlfn._xlws.FILTER($E:$E, ($C:$C=C1137)*($F:$F=F1137)) ) - 1</f>
        <v>2.385641428235874E-2</v>
      </c>
      <c r="J1137" t="str">
        <v>T</v>
      </c>
      <c r="K1137" s="1">
        <v>41540</v>
      </c>
      <c r="L1137">
        <v>-1.7359689470743955E-3</v>
      </c>
    </row>
    <row r="1138" spans="1:12" x14ac:dyDescent="0.2">
      <c r="A1138" s="1">
        <v>42562</v>
      </c>
      <c r="B1138">
        <v>2</v>
      </c>
      <c r="C1138" t="s">
        <v>11</v>
      </c>
      <c r="D1138">
        <v>-7.6800000000000002E-4</v>
      </c>
      <c r="E1138">
        <f t="shared" si="34"/>
        <v>0.99923200000000001</v>
      </c>
      <c r="F1138" s="1">
        <f t="shared" si="35"/>
        <v>42562</v>
      </c>
      <c r="G1138" cm="1">
        <f t="array" ref="G1138">PRODUCT( _xlfn._xlws.FILTER($E:$E, ($C:$C=C1138)*($F:$F=F1138)) ) - 1</f>
        <v>3.1622163259492186E-2</v>
      </c>
      <c r="J1138" t="str">
        <v>T</v>
      </c>
      <c r="K1138" s="1">
        <v>41547</v>
      </c>
      <c r="L1138">
        <v>-2.1147823555187184E-2</v>
      </c>
    </row>
    <row r="1139" spans="1:12" x14ac:dyDescent="0.2">
      <c r="A1139" s="1">
        <v>42563</v>
      </c>
      <c r="B1139">
        <v>2</v>
      </c>
      <c r="C1139" t="s">
        <v>11</v>
      </c>
      <c r="D1139">
        <v>2.2293E-2</v>
      </c>
      <c r="E1139">
        <f t="shared" si="34"/>
        <v>1.0222929999999999</v>
      </c>
      <c r="F1139" s="1">
        <f t="shared" si="35"/>
        <v>42562</v>
      </c>
      <c r="G1139" cm="1">
        <f t="array" ref="G1139">PRODUCT( _xlfn._xlws.FILTER($E:$E, ($C:$C=C1139)*($F:$F=F1139)) ) - 1</f>
        <v>3.1622163259492186E-2</v>
      </c>
      <c r="J1139" t="str">
        <v>T</v>
      </c>
      <c r="K1139" s="1">
        <v>41554</v>
      </c>
      <c r="L1139">
        <v>2.5156008938443941E-2</v>
      </c>
    </row>
    <row r="1140" spans="1:12" x14ac:dyDescent="0.2">
      <c r="A1140" s="1">
        <v>42564</v>
      </c>
      <c r="B1140">
        <v>2</v>
      </c>
      <c r="C1140" t="s">
        <v>11</v>
      </c>
      <c r="D1140">
        <v>5.2639999999999996E-3</v>
      </c>
      <c r="E1140">
        <f t="shared" si="34"/>
        <v>1.0052639999999999</v>
      </c>
      <c r="F1140" s="1">
        <f t="shared" si="35"/>
        <v>42562</v>
      </c>
      <c r="G1140" cm="1">
        <f t="array" ref="G1140">PRODUCT( _xlfn._xlws.FILTER($E:$E, ($C:$C=C1140)*($F:$F=F1140)) ) - 1</f>
        <v>3.1622163259492186E-2</v>
      </c>
      <c r="J1140" t="str">
        <v>T</v>
      </c>
      <c r="K1140" s="1">
        <v>41561</v>
      </c>
      <c r="L1140">
        <v>1.8765169615094557E-2</v>
      </c>
    </row>
    <row r="1141" spans="1:12" x14ac:dyDescent="0.2">
      <c r="A1141" s="1">
        <v>42565</v>
      </c>
      <c r="B1141">
        <v>2</v>
      </c>
      <c r="C1141" t="s">
        <v>11</v>
      </c>
      <c r="D1141">
        <v>4.1139999999999996E-3</v>
      </c>
      <c r="E1141">
        <f t="shared" si="34"/>
        <v>1.004114</v>
      </c>
      <c r="F1141" s="1">
        <f t="shared" si="35"/>
        <v>42562</v>
      </c>
      <c r="G1141" cm="1">
        <f t="array" ref="G1141">PRODUCT( _xlfn._xlws.FILTER($E:$E, ($C:$C=C1141)*($F:$F=F1141)) ) - 1</f>
        <v>3.1622163259492186E-2</v>
      </c>
      <c r="J1141" t="str">
        <v>T</v>
      </c>
      <c r="K1141" s="1">
        <v>41568</v>
      </c>
      <c r="L1141">
        <v>4.3921955493861686E-2</v>
      </c>
    </row>
    <row r="1142" spans="1:12" x14ac:dyDescent="0.2">
      <c r="A1142" s="1">
        <v>42566</v>
      </c>
      <c r="B1142">
        <v>2</v>
      </c>
      <c r="C1142" t="s">
        <v>11</v>
      </c>
      <c r="D1142">
        <v>4.9700000000000005E-4</v>
      </c>
      <c r="E1142">
        <f t="shared" si="34"/>
        <v>1.000497</v>
      </c>
      <c r="F1142" s="1">
        <f t="shared" si="35"/>
        <v>42562</v>
      </c>
      <c r="G1142" cm="1">
        <f t="array" ref="G1142">PRODUCT( _xlfn._xlws.FILTER($E:$E, ($C:$C=C1142)*($F:$F=F1142)) ) - 1</f>
        <v>3.1622163259492186E-2</v>
      </c>
      <c r="J1142" t="str">
        <v>T</v>
      </c>
      <c r="K1142" s="1">
        <v>41575</v>
      </c>
      <c r="L1142">
        <v>-9.5002543337355805E-3</v>
      </c>
    </row>
    <row r="1143" spans="1:12" x14ac:dyDescent="0.2">
      <c r="A1143" s="1">
        <v>42569</v>
      </c>
      <c r="B1143">
        <v>2</v>
      </c>
      <c r="C1143" t="s">
        <v>11</v>
      </c>
      <c r="D1143">
        <v>7.5700000000000003E-3</v>
      </c>
      <c r="E1143">
        <f t="shared" si="34"/>
        <v>1.0075700000000001</v>
      </c>
      <c r="F1143" s="1">
        <f t="shared" si="35"/>
        <v>42569</v>
      </c>
      <c r="G1143" cm="1">
        <f t="array" ref="G1143">PRODUCT( _xlfn._xlws.FILTER($E:$E, ($C:$C=C1143)*($F:$F=F1143)) ) - 1</f>
        <v>3.3010437877975862E-2</v>
      </c>
      <c r="J1143" t="str">
        <v>T</v>
      </c>
      <c r="K1143" s="1">
        <v>41582</v>
      </c>
      <c r="L1143">
        <v>1.123514328966535E-2</v>
      </c>
    </row>
    <row r="1144" spans="1:12" x14ac:dyDescent="0.2">
      <c r="A1144" s="1">
        <v>42570</v>
      </c>
      <c r="B1144">
        <v>2</v>
      </c>
      <c r="C1144" t="s">
        <v>11</v>
      </c>
      <c r="D1144">
        <v>4.4339999999999996E-3</v>
      </c>
      <c r="E1144">
        <f t="shared" si="34"/>
        <v>1.004434</v>
      </c>
      <c r="F1144" s="1">
        <f t="shared" si="35"/>
        <v>42569</v>
      </c>
      <c r="G1144" cm="1">
        <f t="array" ref="G1144">PRODUCT( _xlfn._xlws.FILTER($E:$E, ($C:$C=C1144)*($F:$F=F1144)) ) - 1</f>
        <v>3.3010437877975862E-2</v>
      </c>
      <c r="J1144" t="str">
        <v>T</v>
      </c>
      <c r="K1144" s="1">
        <v>41589</v>
      </c>
      <c r="L1144">
        <v>1.4906266157787895E-2</v>
      </c>
    </row>
    <row r="1145" spans="1:12" x14ac:dyDescent="0.2">
      <c r="A1145" s="1">
        <v>42571</v>
      </c>
      <c r="B1145">
        <v>2</v>
      </c>
      <c r="C1145" t="s">
        <v>11</v>
      </c>
      <c r="D1145">
        <v>1.9373999999999999E-2</v>
      </c>
      <c r="E1145">
        <f t="shared" si="34"/>
        <v>1.019374</v>
      </c>
      <c r="F1145" s="1">
        <f t="shared" si="35"/>
        <v>42569</v>
      </c>
      <c r="G1145" cm="1">
        <f t="array" ref="G1145">PRODUCT( _xlfn._xlws.FILTER($E:$E, ($C:$C=C1145)*($F:$F=F1145)) ) - 1</f>
        <v>3.3010437877975862E-2</v>
      </c>
      <c r="J1145" t="str">
        <v>T</v>
      </c>
      <c r="K1145" s="1">
        <v>41596</v>
      </c>
      <c r="L1145">
        <v>-1.2282062181335096E-2</v>
      </c>
    </row>
    <row r="1146" spans="1:12" x14ac:dyDescent="0.2">
      <c r="A1146" s="1">
        <v>42572</v>
      </c>
      <c r="B1146">
        <v>2</v>
      </c>
      <c r="C1146" t="s">
        <v>11</v>
      </c>
      <c r="D1146">
        <v>-8.6610000000000003E-3</v>
      </c>
      <c r="E1146">
        <f t="shared" si="34"/>
        <v>0.99133899999999997</v>
      </c>
      <c r="F1146" s="1">
        <f t="shared" si="35"/>
        <v>42569</v>
      </c>
      <c r="G1146" cm="1">
        <f t="array" ref="G1146">PRODUCT( _xlfn._xlws.FILTER($E:$E, ($C:$C=C1146)*($F:$F=F1146)) ) - 1</f>
        <v>3.3010437877975862E-2</v>
      </c>
      <c r="J1146" t="str">
        <v>T</v>
      </c>
      <c r="K1146" s="1">
        <v>41603</v>
      </c>
      <c r="L1146">
        <v>1.5410253046892919E-2</v>
      </c>
    </row>
    <row r="1147" spans="1:12" x14ac:dyDescent="0.2">
      <c r="A1147" s="1">
        <v>42573</v>
      </c>
      <c r="B1147">
        <v>2</v>
      </c>
      <c r="C1147" t="s">
        <v>11</v>
      </c>
      <c r="D1147">
        <v>1.0071999999999999E-2</v>
      </c>
      <c r="E1147">
        <f t="shared" si="34"/>
        <v>1.0100720000000001</v>
      </c>
      <c r="F1147" s="1">
        <f t="shared" si="35"/>
        <v>42569</v>
      </c>
      <c r="G1147" cm="1">
        <f t="array" ref="G1147">PRODUCT( _xlfn._xlws.FILTER($E:$E, ($C:$C=C1147)*($F:$F=F1147)) ) - 1</f>
        <v>3.3010437877975862E-2</v>
      </c>
      <c r="J1147" t="str">
        <v>T</v>
      </c>
      <c r="K1147" s="1">
        <v>41610</v>
      </c>
      <c r="L1147">
        <v>-2.3429340348934957E-2</v>
      </c>
    </row>
    <row r="1148" spans="1:12" x14ac:dyDescent="0.2">
      <c r="A1148" s="1">
        <v>42576</v>
      </c>
      <c r="B1148">
        <v>2</v>
      </c>
      <c r="C1148" t="s">
        <v>11</v>
      </c>
      <c r="D1148">
        <v>9.0100000000000006E-3</v>
      </c>
      <c r="E1148">
        <f t="shared" si="34"/>
        <v>1.00901</v>
      </c>
      <c r="F1148" s="1">
        <f t="shared" si="35"/>
        <v>42576</v>
      </c>
      <c r="G1148" cm="1">
        <f t="array" ref="G1148">PRODUCT( _xlfn._xlws.FILTER($E:$E, ($C:$C=C1148)*($F:$F=F1148)) ) - 1</f>
        <v>-5.6470940000494796E-3</v>
      </c>
      <c r="J1148" t="str">
        <v>T</v>
      </c>
      <c r="K1148" s="1">
        <v>41617</v>
      </c>
      <c r="L1148">
        <v>-6.1495713620642878E-3</v>
      </c>
    </row>
    <row r="1149" spans="1:12" x14ac:dyDescent="0.2">
      <c r="A1149" s="1">
        <v>42577</v>
      </c>
      <c r="B1149">
        <v>2</v>
      </c>
      <c r="C1149" t="s">
        <v>11</v>
      </c>
      <c r="D1149">
        <v>-5.3579999999999999E-3</v>
      </c>
      <c r="E1149">
        <f t="shared" si="34"/>
        <v>0.99464200000000003</v>
      </c>
      <c r="F1149" s="1">
        <f t="shared" si="35"/>
        <v>42576</v>
      </c>
      <c r="G1149" cm="1">
        <f t="array" ref="G1149">PRODUCT( _xlfn._xlws.FILTER($E:$E, ($C:$C=C1149)*($F:$F=F1149)) ) - 1</f>
        <v>-5.6470940000494796E-3</v>
      </c>
      <c r="J1149" t="str">
        <v>T</v>
      </c>
      <c r="K1149" s="1">
        <v>41624</v>
      </c>
      <c r="L1149">
        <v>-1.0803087861780969E-2</v>
      </c>
    </row>
    <row r="1150" spans="1:12" x14ac:dyDescent="0.2">
      <c r="A1150" s="1">
        <v>42578</v>
      </c>
      <c r="B1150">
        <v>2</v>
      </c>
      <c r="C1150" t="s">
        <v>11</v>
      </c>
      <c r="D1150">
        <v>4.3090000000000003E-3</v>
      </c>
      <c r="E1150">
        <f t="shared" si="34"/>
        <v>1.0043089999999999</v>
      </c>
      <c r="F1150" s="1">
        <f t="shared" si="35"/>
        <v>42576</v>
      </c>
      <c r="G1150" cm="1">
        <f t="array" ref="G1150">PRODUCT( _xlfn._xlws.FILTER($E:$E, ($C:$C=C1150)*($F:$F=F1150)) ) - 1</f>
        <v>-5.6470940000494796E-3</v>
      </c>
      <c r="J1150" t="str">
        <v>T</v>
      </c>
      <c r="K1150" s="1">
        <v>41631</v>
      </c>
      <c r="L1150">
        <v>2.7443100432459344E-2</v>
      </c>
    </row>
    <row r="1151" spans="1:12" x14ac:dyDescent="0.2">
      <c r="A1151" s="1">
        <v>42579</v>
      </c>
      <c r="B1151">
        <v>2</v>
      </c>
      <c r="C1151" t="s">
        <v>11</v>
      </c>
      <c r="D1151">
        <v>-2.8609999999999998E-3</v>
      </c>
      <c r="E1151">
        <f t="shared" si="34"/>
        <v>0.997139</v>
      </c>
      <c r="F1151" s="1">
        <f t="shared" si="35"/>
        <v>42576</v>
      </c>
      <c r="G1151" cm="1">
        <f t="array" ref="G1151">PRODUCT( _xlfn._xlws.FILTER($E:$E, ($C:$C=C1151)*($F:$F=F1151)) ) - 1</f>
        <v>-5.6470940000494796E-3</v>
      </c>
      <c r="J1151" t="str">
        <v>T</v>
      </c>
      <c r="K1151" s="1">
        <v>41638</v>
      </c>
      <c r="L1151">
        <v>2.453175301876831E-3</v>
      </c>
    </row>
    <row r="1152" spans="1:12" x14ac:dyDescent="0.2">
      <c r="A1152" s="1">
        <v>42580</v>
      </c>
      <c r="B1152">
        <v>2</v>
      </c>
      <c r="C1152" t="s">
        <v>11</v>
      </c>
      <c r="D1152">
        <v>-1.0638E-2</v>
      </c>
      <c r="E1152">
        <f t="shared" si="34"/>
        <v>0.98936199999999996</v>
      </c>
      <c r="F1152" s="1">
        <f t="shared" si="35"/>
        <v>42576</v>
      </c>
      <c r="G1152" cm="1">
        <f t="array" ref="G1152">PRODUCT( _xlfn._xlws.FILTER($E:$E, ($C:$C=C1152)*($F:$F=F1152)) ) - 1</f>
        <v>-5.6470940000494796E-3</v>
      </c>
      <c r="J1152" t="str">
        <v>T</v>
      </c>
      <c r="K1152" s="1">
        <v>41645</v>
      </c>
      <c r="L1152">
        <v>-5.4374928498353015E-3</v>
      </c>
    </row>
    <row r="1153" spans="1:12" x14ac:dyDescent="0.2">
      <c r="A1153" s="1">
        <v>42584</v>
      </c>
      <c r="B1153">
        <v>2</v>
      </c>
      <c r="C1153" t="s">
        <v>11</v>
      </c>
      <c r="D1153">
        <v>-2.1505E-2</v>
      </c>
      <c r="E1153">
        <f t="shared" si="34"/>
        <v>0.978495</v>
      </c>
      <c r="F1153" s="1">
        <f t="shared" si="35"/>
        <v>42583</v>
      </c>
      <c r="G1153" cm="1">
        <f t="array" ref="G1153">PRODUCT( _xlfn._xlws.FILTER($E:$E, ($C:$C=C1153)*($F:$F=F1153)) ) - 1</f>
        <v>-1.4860424730142596E-2</v>
      </c>
      <c r="J1153" t="str">
        <v>T</v>
      </c>
      <c r="K1153" s="1">
        <v>41652</v>
      </c>
      <c r="L1153">
        <v>2.1597424621160766E-2</v>
      </c>
    </row>
    <row r="1154" spans="1:12" x14ac:dyDescent="0.2">
      <c r="A1154" s="1">
        <v>42585</v>
      </c>
      <c r="B1154">
        <v>2</v>
      </c>
      <c r="C1154" t="s">
        <v>11</v>
      </c>
      <c r="D1154">
        <v>3.9509999999999997E-3</v>
      </c>
      <c r="E1154">
        <f t="shared" si="34"/>
        <v>1.003951</v>
      </c>
      <c r="F1154" s="1">
        <f t="shared" si="35"/>
        <v>42583</v>
      </c>
      <c r="G1154" cm="1">
        <f t="array" ref="G1154">PRODUCT( _xlfn._xlws.FILTER($E:$E, ($C:$C=C1154)*($F:$F=F1154)) ) - 1</f>
        <v>-1.4860424730142596E-2</v>
      </c>
      <c r="J1154" t="str">
        <v>T</v>
      </c>
      <c r="K1154" s="1">
        <v>41659</v>
      </c>
      <c r="L1154">
        <v>-1.7394612735722625E-2</v>
      </c>
    </row>
    <row r="1155" spans="1:12" x14ac:dyDescent="0.2">
      <c r="A1155" s="1">
        <v>42586</v>
      </c>
      <c r="B1155">
        <v>2</v>
      </c>
      <c r="C1155" t="s">
        <v>11</v>
      </c>
      <c r="D1155">
        <v>-1.1684E-2</v>
      </c>
      <c r="E1155">
        <f t="shared" si="34"/>
        <v>0.98831599999999997</v>
      </c>
      <c r="F1155" s="1">
        <f t="shared" si="35"/>
        <v>42583</v>
      </c>
      <c r="G1155" cm="1">
        <f t="array" ref="G1155">PRODUCT( _xlfn._xlws.FILTER($E:$E, ($C:$C=C1155)*($F:$F=F1155)) ) - 1</f>
        <v>-1.4860424730142596E-2</v>
      </c>
      <c r="J1155" t="str">
        <v>T</v>
      </c>
      <c r="K1155" s="1">
        <v>41666</v>
      </c>
      <c r="L1155">
        <v>6.0185619142224089E-2</v>
      </c>
    </row>
    <row r="1156" spans="1:12" x14ac:dyDescent="0.2">
      <c r="A1156" s="1">
        <v>42587</v>
      </c>
      <c r="B1156">
        <v>2</v>
      </c>
      <c r="C1156" t="s">
        <v>11</v>
      </c>
      <c r="D1156">
        <v>1.4683999999999999E-2</v>
      </c>
      <c r="E1156">
        <f t="shared" ref="E1156:E1219" si="36">D1156+1</f>
        <v>1.0146839999999999</v>
      </c>
      <c r="F1156" s="1">
        <f t="shared" ref="F1156:F1219" si="37">A1156 - (WEEKDAY(A1156, 2) - 1)</f>
        <v>42583</v>
      </c>
      <c r="G1156" cm="1">
        <f t="array" ref="G1156">PRODUCT( _xlfn._xlws.FILTER($E:$E, ($C:$C=C1156)*($F:$F=F1156)) ) - 1</f>
        <v>-1.4860424730142596E-2</v>
      </c>
      <c r="J1156" t="str">
        <v>T</v>
      </c>
      <c r="K1156" s="1">
        <v>41673</v>
      </c>
      <c r="L1156">
        <v>-3.6732705772079211E-2</v>
      </c>
    </row>
    <row r="1157" spans="1:12" x14ac:dyDescent="0.2">
      <c r="A1157" s="1">
        <v>42590</v>
      </c>
      <c r="B1157">
        <v>2</v>
      </c>
      <c r="C1157" t="s">
        <v>11</v>
      </c>
      <c r="D1157">
        <v>6.2550000000000001E-3</v>
      </c>
      <c r="E1157">
        <f t="shared" si="36"/>
        <v>1.0062549999999999</v>
      </c>
      <c r="F1157" s="1">
        <f t="shared" si="37"/>
        <v>42590</v>
      </c>
      <c r="G1157" cm="1">
        <f t="array" ref="G1157">PRODUCT( _xlfn._xlws.FILTER($E:$E, ($C:$C=C1157)*($F:$F=F1157)) ) - 1</f>
        <v>3.188991787962614E-3</v>
      </c>
      <c r="J1157" t="str">
        <v>T</v>
      </c>
      <c r="K1157" s="1">
        <v>41680</v>
      </c>
      <c r="L1157">
        <v>8.7996865938215763E-3</v>
      </c>
    </row>
    <row r="1158" spans="1:12" x14ac:dyDescent="0.2">
      <c r="A1158" s="1">
        <v>42591</v>
      </c>
      <c r="B1158">
        <v>2</v>
      </c>
      <c r="C1158" t="s">
        <v>11</v>
      </c>
      <c r="D1158">
        <v>3.7780000000000001E-3</v>
      </c>
      <c r="E1158">
        <f t="shared" si="36"/>
        <v>1.0037780000000001</v>
      </c>
      <c r="F1158" s="1">
        <f t="shared" si="37"/>
        <v>42590</v>
      </c>
      <c r="G1158" cm="1">
        <f t="array" ref="G1158">PRODUCT( _xlfn._xlws.FILTER($E:$E, ($C:$C=C1158)*($F:$F=F1158)) ) - 1</f>
        <v>3.188991787962614E-3</v>
      </c>
      <c r="J1158" t="str">
        <v>T</v>
      </c>
      <c r="K1158" s="1">
        <v>41687</v>
      </c>
      <c r="L1158">
        <v>2.5112447492415146E-2</v>
      </c>
    </row>
    <row r="1159" spans="1:12" x14ac:dyDescent="0.2">
      <c r="A1159" s="1">
        <v>42592</v>
      </c>
      <c r="B1159">
        <v>2</v>
      </c>
      <c r="C1159" t="s">
        <v>11</v>
      </c>
      <c r="D1159">
        <v>-5.2209999999999999E-3</v>
      </c>
      <c r="E1159">
        <f t="shared" si="36"/>
        <v>0.99477899999999997</v>
      </c>
      <c r="F1159" s="1">
        <f t="shared" si="37"/>
        <v>42590</v>
      </c>
      <c r="G1159" cm="1">
        <f t="array" ref="G1159">PRODUCT( _xlfn._xlws.FILTER($E:$E, ($C:$C=C1159)*($F:$F=F1159)) ) - 1</f>
        <v>3.188991787962614E-3</v>
      </c>
      <c r="J1159" t="str">
        <v>T</v>
      </c>
      <c r="K1159" s="1">
        <v>41694</v>
      </c>
      <c r="L1159">
        <v>1.1604170960629157E-2</v>
      </c>
    </row>
    <row r="1160" spans="1:12" x14ac:dyDescent="0.2">
      <c r="A1160" s="1">
        <v>42593</v>
      </c>
      <c r="B1160">
        <v>2</v>
      </c>
      <c r="C1160" t="s">
        <v>11</v>
      </c>
      <c r="D1160">
        <v>6.5909999999999996E-3</v>
      </c>
      <c r="E1160">
        <f t="shared" si="36"/>
        <v>1.006591</v>
      </c>
      <c r="F1160" s="1">
        <f t="shared" si="37"/>
        <v>42590</v>
      </c>
      <c r="G1160" cm="1">
        <f t="array" ref="G1160">PRODUCT( _xlfn._xlws.FILTER($E:$E, ($C:$C=C1160)*($F:$F=F1160)) ) - 1</f>
        <v>3.188991787962614E-3</v>
      </c>
      <c r="J1160" t="str">
        <v>T</v>
      </c>
      <c r="K1160" s="1">
        <v>41701</v>
      </c>
      <c r="L1160">
        <v>-7.9022055411657188E-3</v>
      </c>
    </row>
    <row r="1161" spans="1:12" x14ac:dyDescent="0.2">
      <c r="A1161" s="1">
        <v>42594</v>
      </c>
      <c r="B1161">
        <v>2</v>
      </c>
      <c r="C1161" t="s">
        <v>11</v>
      </c>
      <c r="D1161">
        <v>-8.1239999999999993E-3</v>
      </c>
      <c r="E1161">
        <f t="shared" si="36"/>
        <v>0.99187599999999998</v>
      </c>
      <c r="F1161" s="1">
        <f t="shared" si="37"/>
        <v>42590</v>
      </c>
      <c r="G1161" cm="1">
        <f t="array" ref="G1161">PRODUCT( _xlfn._xlws.FILTER($E:$E, ($C:$C=C1161)*($F:$F=F1161)) ) - 1</f>
        <v>3.188991787962614E-3</v>
      </c>
      <c r="J1161" t="str">
        <v>T</v>
      </c>
      <c r="K1161" s="1">
        <v>41708</v>
      </c>
      <c r="L1161">
        <v>2.3349516512016777E-3</v>
      </c>
    </row>
    <row r="1162" spans="1:12" x14ac:dyDescent="0.2">
      <c r="A1162" s="1">
        <v>42597</v>
      </c>
      <c r="B1162">
        <v>2</v>
      </c>
      <c r="C1162" t="s">
        <v>11</v>
      </c>
      <c r="D1162">
        <v>-1.22E-4</v>
      </c>
      <c r="E1162">
        <f t="shared" si="36"/>
        <v>0.99987800000000004</v>
      </c>
      <c r="F1162" s="1">
        <f t="shared" si="37"/>
        <v>42597</v>
      </c>
      <c r="G1162" cm="1">
        <f t="array" ref="G1162">PRODUCT( _xlfn._xlws.FILTER($E:$E, ($C:$C=C1162)*($F:$F=F1162)) ) - 1</f>
        <v>1.8826230912802444E-2</v>
      </c>
      <c r="J1162" t="str">
        <v>T</v>
      </c>
      <c r="K1162" s="1">
        <v>41715</v>
      </c>
      <c r="L1162">
        <v>1.112494229912353E-2</v>
      </c>
    </row>
    <row r="1163" spans="1:12" x14ac:dyDescent="0.2">
      <c r="A1163" s="1">
        <v>42598</v>
      </c>
      <c r="B1163">
        <v>2</v>
      </c>
      <c r="C1163" t="s">
        <v>11</v>
      </c>
      <c r="D1163">
        <v>-3.5460000000000001E-3</v>
      </c>
      <c r="E1163">
        <f t="shared" si="36"/>
        <v>0.99645399999999995</v>
      </c>
      <c r="F1163" s="1">
        <f t="shared" si="37"/>
        <v>42597</v>
      </c>
      <c r="G1163" cm="1">
        <f t="array" ref="G1163">PRODUCT( _xlfn._xlws.FILTER($E:$E, ($C:$C=C1163)*($F:$F=F1163)) ) - 1</f>
        <v>1.8826230912802444E-2</v>
      </c>
      <c r="J1163" t="str">
        <v>T</v>
      </c>
      <c r="K1163" s="1">
        <v>41722</v>
      </c>
      <c r="L1163">
        <v>3.2497129850300732E-2</v>
      </c>
    </row>
    <row r="1164" spans="1:12" x14ac:dyDescent="0.2">
      <c r="A1164" s="1">
        <v>42599</v>
      </c>
      <c r="B1164">
        <v>2</v>
      </c>
      <c r="C1164" t="s">
        <v>11</v>
      </c>
      <c r="D1164">
        <v>1.2638E-2</v>
      </c>
      <c r="E1164">
        <f t="shared" si="36"/>
        <v>1.0126379999999999</v>
      </c>
      <c r="F1164" s="1">
        <f t="shared" si="37"/>
        <v>42597</v>
      </c>
      <c r="G1164" cm="1">
        <f t="array" ref="G1164">PRODUCT( _xlfn._xlws.FILTER($E:$E, ($C:$C=C1164)*($F:$F=F1164)) ) - 1</f>
        <v>1.8826230912802444E-2</v>
      </c>
      <c r="J1164" t="str">
        <v>T</v>
      </c>
      <c r="K1164" s="1">
        <v>41729</v>
      </c>
      <c r="L1164">
        <v>-4.5600735091597677E-2</v>
      </c>
    </row>
    <row r="1165" spans="1:12" x14ac:dyDescent="0.2">
      <c r="A1165" s="1">
        <v>42600</v>
      </c>
      <c r="B1165">
        <v>2</v>
      </c>
      <c r="C1165" t="s">
        <v>11</v>
      </c>
      <c r="D1165">
        <v>9.6900000000000003E-4</v>
      </c>
      <c r="E1165">
        <f t="shared" si="36"/>
        <v>1.000969</v>
      </c>
      <c r="F1165" s="1">
        <f t="shared" si="37"/>
        <v>42597</v>
      </c>
      <c r="G1165" cm="1">
        <f t="array" ref="G1165">PRODUCT( _xlfn._xlws.FILTER($E:$E, ($C:$C=C1165)*($F:$F=F1165)) ) - 1</f>
        <v>1.8826230912802444E-2</v>
      </c>
      <c r="J1165" t="str">
        <v>T</v>
      </c>
      <c r="K1165" s="1">
        <v>41736</v>
      </c>
      <c r="L1165">
        <v>-1.1944883910902315E-2</v>
      </c>
    </row>
    <row r="1166" spans="1:12" x14ac:dyDescent="0.2">
      <c r="A1166" s="1">
        <v>42601</v>
      </c>
      <c r="B1166">
        <v>2</v>
      </c>
      <c r="C1166" t="s">
        <v>11</v>
      </c>
      <c r="D1166">
        <v>8.8369999999999994E-3</v>
      </c>
      <c r="E1166">
        <f t="shared" si="36"/>
        <v>1.008837</v>
      </c>
      <c r="F1166" s="1">
        <f t="shared" si="37"/>
        <v>42597</v>
      </c>
      <c r="G1166" cm="1">
        <f t="array" ref="G1166">PRODUCT( _xlfn._xlws.FILTER($E:$E, ($C:$C=C1166)*($F:$F=F1166)) ) - 1</f>
        <v>1.8826230912802444E-2</v>
      </c>
      <c r="J1166" t="str">
        <v>T</v>
      </c>
      <c r="K1166" s="1">
        <v>41743</v>
      </c>
      <c r="L1166">
        <v>9.7243498586294663E-3</v>
      </c>
    </row>
    <row r="1167" spans="1:12" x14ac:dyDescent="0.2">
      <c r="A1167" s="1">
        <v>42604</v>
      </c>
      <c r="B1167">
        <v>2</v>
      </c>
      <c r="C1167" t="s">
        <v>11</v>
      </c>
      <c r="D1167">
        <v>8.7589999999999994E-3</v>
      </c>
      <c r="E1167">
        <f t="shared" si="36"/>
        <v>1.008759</v>
      </c>
      <c r="F1167" s="1">
        <f t="shared" si="37"/>
        <v>42604</v>
      </c>
      <c r="G1167" cm="1">
        <f t="array" ref="G1167">PRODUCT( _xlfn._xlws.FILTER($E:$E, ($C:$C=C1167)*($F:$F=F1167)) ) - 1</f>
        <v>1.5597992188033372E-2</v>
      </c>
      <c r="J1167" t="str">
        <v>T</v>
      </c>
      <c r="K1167" s="1">
        <v>41750</v>
      </c>
      <c r="L1167">
        <v>-9.890187189116717E-3</v>
      </c>
    </row>
    <row r="1168" spans="1:12" x14ac:dyDescent="0.2">
      <c r="A1168" s="1">
        <v>42605</v>
      </c>
      <c r="B1168">
        <v>2</v>
      </c>
      <c r="C1168" t="s">
        <v>11</v>
      </c>
      <c r="D1168">
        <v>1.189E-3</v>
      </c>
      <c r="E1168">
        <f t="shared" si="36"/>
        <v>1.0011890000000001</v>
      </c>
      <c r="F1168" s="1">
        <f t="shared" si="37"/>
        <v>42604</v>
      </c>
      <c r="G1168" cm="1">
        <f t="array" ref="G1168">PRODUCT( _xlfn._xlws.FILTER($E:$E, ($C:$C=C1168)*($F:$F=F1168)) ) - 1</f>
        <v>1.5597992188033372E-2</v>
      </c>
      <c r="J1168" t="str">
        <v>T</v>
      </c>
      <c r="K1168" s="1">
        <v>41757</v>
      </c>
      <c r="L1168">
        <v>1.7349416850359622E-2</v>
      </c>
    </row>
    <row r="1169" spans="1:12" x14ac:dyDescent="0.2">
      <c r="A1169" s="1">
        <v>42606</v>
      </c>
      <c r="B1169">
        <v>2</v>
      </c>
      <c r="C1169" t="s">
        <v>11</v>
      </c>
      <c r="D1169">
        <v>-3.5639999999999999E-3</v>
      </c>
      <c r="E1169">
        <f t="shared" si="36"/>
        <v>0.99643599999999999</v>
      </c>
      <c r="F1169" s="1">
        <f t="shared" si="37"/>
        <v>42604</v>
      </c>
      <c r="G1169" cm="1">
        <f t="array" ref="G1169">PRODUCT( _xlfn._xlws.FILTER($E:$E, ($C:$C=C1169)*($F:$F=F1169)) ) - 1</f>
        <v>1.5597992188033372E-2</v>
      </c>
      <c r="J1169" t="str">
        <v>T</v>
      </c>
      <c r="K1169" s="1">
        <v>41764</v>
      </c>
      <c r="L1169">
        <v>2.5063594418428092E-2</v>
      </c>
    </row>
    <row r="1170" spans="1:12" x14ac:dyDescent="0.2">
      <c r="A1170" s="1">
        <v>42607</v>
      </c>
      <c r="B1170">
        <v>2</v>
      </c>
      <c r="C1170" t="s">
        <v>11</v>
      </c>
      <c r="D1170">
        <v>1.073E-3</v>
      </c>
      <c r="E1170">
        <f t="shared" si="36"/>
        <v>1.0010730000000001</v>
      </c>
      <c r="F1170" s="1">
        <f t="shared" si="37"/>
        <v>42604</v>
      </c>
      <c r="G1170" cm="1">
        <f t="array" ref="G1170">PRODUCT( _xlfn._xlws.FILTER($E:$E, ($C:$C=C1170)*($F:$F=F1170)) ) - 1</f>
        <v>1.5597992188033372E-2</v>
      </c>
      <c r="J1170" t="str">
        <v>T</v>
      </c>
      <c r="K1170" s="1">
        <v>41771</v>
      </c>
      <c r="L1170">
        <v>2.1427088944655948E-2</v>
      </c>
    </row>
    <row r="1171" spans="1:12" x14ac:dyDescent="0.2">
      <c r="A1171" s="1">
        <v>42608</v>
      </c>
      <c r="B1171">
        <v>2</v>
      </c>
      <c r="C1171" t="s">
        <v>11</v>
      </c>
      <c r="D1171">
        <v>8.0990000000000003E-3</v>
      </c>
      <c r="E1171">
        <f t="shared" si="36"/>
        <v>1.0080990000000001</v>
      </c>
      <c r="F1171" s="1">
        <f t="shared" si="37"/>
        <v>42604</v>
      </c>
      <c r="G1171" cm="1">
        <f t="array" ref="G1171">PRODUCT( _xlfn._xlws.FILTER($E:$E, ($C:$C=C1171)*($F:$F=F1171)) ) - 1</f>
        <v>1.5597992188033372E-2</v>
      </c>
      <c r="J1171" t="str">
        <v>T</v>
      </c>
      <c r="K1171" s="1">
        <v>41778</v>
      </c>
      <c r="L1171">
        <v>2.7640100261884459E-2</v>
      </c>
    </row>
    <row r="1172" spans="1:12" x14ac:dyDescent="0.2">
      <c r="A1172" s="1">
        <v>42611</v>
      </c>
      <c r="B1172">
        <v>2</v>
      </c>
      <c r="C1172" t="s">
        <v>11</v>
      </c>
      <c r="D1172">
        <v>5.6709999999999998E-3</v>
      </c>
      <c r="E1172">
        <f t="shared" si="36"/>
        <v>1.005671</v>
      </c>
      <c r="F1172" s="1">
        <f t="shared" si="37"/>
        <v>42611</v>
      </c>
      <c r="G1172" cm="1">
        <f t="array" ref="G1172">PRODUCT( _xlfn._xlws.FILTER($E:$E, ($C:$C=C1172)*($F:$F=F1172)) ) - 1</f>
        <v>5.3166396080250866E-3</v>
      </c>
      <c r="J1172" t="str">
        <v>T</v>
      </c>
      <c r="K1172" s="1">
        <v>41785</v>
      </c>
      <c r="L1172">
        <v>-1.6570204965024482E-2</v>
      </c>
    </row>
    <row r="1173" spans="1:12" x14ac:dyDescent="0.2">
      <c r="A1173" s="1">
        <v>42612</v>
      </c>
      <c r="B1173">
        <v>2</v>
      </c>
      <c r="C1173" t="s">
        <v>11</v>
      </c>
      <c r="D1173">
        <v>-1.175E-3</v>
      </c>
      <c r="E1173">
        <f t="shared" si="36"/>
        <v>0.99882499999999996</v>
      </c>
      <c r="F1173" s="1">
        <f t="shared" si="37"/>
        <v>42611</v>
      </c>
      <c r="G1173" cm="1">
        <f t="array" ref="G1173">PRODUCT( _xlfn._xlws.FILTER($E:$E, ($C:$C=C1173)*($F:$F=F1173)) ) - 1</f>
        <v>5.3166396080250866E-3</v>
      </c>
      <c r="J1173" t="str">
        <v>T</v>
      </c>
      <c r="K1173" s="1">
        <v>41792</v>
      </c>
      <c r="L1173">
        <v>1.1964941321722655E-2</v>
      </c>
    </row>
    <row r="1174" spans="1:12" x14ac:dyDescent="0.2">
      <c r="A1174" s="1">
        <v>42613</v>
      </c>
      <c r="B1174">
        <v>2</v>
      </c>
      <c r="C1174" t="s">
        <v>11</v>
      </c>
      <c r="D1174">
        <v>-8.8210000000000007E-3</v>
      </c>
      <c r="E1174">
        <f t="shared" si="36"/>
        <v>0.99117900000000003</v>
      </c>
      <c r="F1174" s="1">
        <f t="shared" si="37"/>
        <v>42611</v>
      </c>
      <c r="G1174" cm="1">
        <f t="array" ref="G1174">PRODUCT( _xlfn._xlws.FILTER($E:$E, ($C:$C=C1174)*($F:$F=F1174)) ) - 1</f>
        <v>5.3166396080250866E-3</v>
      </c>
      <c r="J1174" t="str">
        <v>T</v>
      </c>
      <c r="K1174" s="1">
        <v>41799</v>
      </c>
      <c r="L1174">
        <v>7.7928359432617444E-3</v>
      </c>
    </row>
    <row r="1175" spans="1:12" x14ac:dyDescent="0.2">
      <c r="A1175" s="1">
        <v>42614</v>
      </c>
      <c r="B1175">
        <v>2</v>
      </c>
      <c r="C1175" t="s">
        <v>11</v>
      </c>
      <c r="D1175">
        <v>4.509E-3</v>
      </c>
      <c r="E1175">
        <f t="shared" si="36"/>
        <v>1.0045090000000001</v>
      </c>
      <c r="F1175" s="1">
        <f t="shared" si="37"/>
        <v>42611</v>
      </c>
      <c r="G1175" cm="1">
        <f t="array" ref="G1175">PRODUCT( _xlfn._xlws.FILTER($E:$E, ($C:$C=C1175)*($F:$F=F1175)) ) - 1</f>
        <v>5.3166396080250866E-3</v>
      </c>
      <c r="J1175" t="str">
        <v>T</v>
      </c>
      <c r="K1175" s="1">
        <v>41806</v>
      </c>
      <c r="L1175">
        <v>-2.8758432332780859E-2</v>
      </c>
    </row>
    <row r="1176" spans="1:12" x14ac:dyDescent="0.2">
      <c r="A1176" s="1">
        <v>42615</v>
      </c>
      <c r="B1176">
        <v>2</v>
      </c>
      <c r="C1176" t="s">
        <v>11</v>
      </c>
      <c r="D1176">
        <v>5.1980000000000004E-3</v>
      </c>
      <c r="E1176">
        <f t="shared" si="36"/>
        <v>1.005198</v>
      </c>
      <c r="F1176" s="1">
        <f t="shared" si="37"/>
        <v>42611</v>
      </c>
      <c r="G1176" cm="1">
        <f t="array" ref="G1176">PRODUCT( _xlfn._xlws.FILTER($E:$E, ($C:$C=C1176)*($F:$F=F1176)) ) - 1</f>
        <v>5.3166396080250866E-3</v>
      </c>
      <c r="J1176" t="str">
        <v>T</v>
      </c>
      <c r="K1176" s="1">
        <v>41813</v>
      </c>
      <c r="L1176">
        <v>-5.4738499753047565E-3</v>
      </c>
    </row>
    <row r="1177" spans="1:12" x14ac:dyDescent="0.2">
      <c r="A1177" s="1">
        <v>42619</v>
      </c>
      <c r="B1177">
        <v>2</v>
      </c>
      <c r="C1177" t="s">
        <v>11</v>
      </c>
      <c r="D1177">
        <v>-1.3984999999999999E-2</v>
      </c>
      <c r="E1177">
        <f t="shared" si="36"/>
        <v>0.98601499999999997</v>
      </c>
      <c r="F1177" s="1">
        <f t="shared" si="37"/>
        <v>42618</v>
      </c>
      <c r="G1177" cm="1">
        <f t="array" ref="G1177">PRODUCT( _xlfn._xlws.FILTER($E:$E, ($C:$C=C1177)*($F:$F=F1177)) ) - 1</f>
        <v>-4.2162605302662803E-2</v>
      </c>
      <c r="J1177" t="str">
        <v>T</v>
      </c>
      <c r="K1177" s="1">
        <v>41820</v>
      </c>
      <c r="L1177">
        <v>-1.0008735958441095E-3</v>
      </c>
    </row>
    <row r="1178" spans="1:12" x14ac:dyDescent="0.2">
      <c r="A1178" s="1">
        <v>42620</v>
      </c>
      <c r="B1178">
        <v>2</v>
      </c>
      <c r="C1178" t="s">
        <v>11</v>
      </c>
      <c r="D1178">
        <v>5.0650000000000001E-3</v>
      </c>
      <c r="E1178">
        <f t="shared" si="36"/>
        <v>1.0050650000000001</v>
      </c>
      <c r="F1178" s="1">
        <f t="shared" si="37"/>
        <v>42618</v>
      </c>
      <c r="G1178" cm="1">
        <f t="array" ref="G1178">PRODUCT( _xlfn._xlws.FILTER($E:$E, ($C:$C=C1178)*($F:$F=F1178)) ) - 1</f>
        <v>-4.2162605302662803E-2</v>
      </c>
      <c r="J1178" t="str">
        <v>T</v>
      </c>
      <c r="K1178" s="1">
        <v>41827</v>
      </c>
      <c r="L1178">
        <v>-2.3541379678841068E-2</v>
      </c>
    </row>
    <row r="1179" spans="1:12" x14ac:dyDescent="0.2">
      <c r="A1179" s="1">
        <v>42621</v>
      </c>
      <c r="B1179">
        <v>2</v>
      </c>
      <c r="C1179" t="s">
        <v>11</v>
      </c>
      <c r="D1179">
        <v>-1.9059999999999999E-3</v>
      </c>
      <c r="E1179">
        <f t="shared" si="36"/>
        <v>0.99809400000000004</v>
      </c>
      <c r="F1179" s="1">
        <f t="shared" si="37"/>
        <v>42618</v>
      </c>
      <c r="G1179" cm="1">
        <f t="array" ref="G1179">PRODUCT( _xlfn._xlws.FILTER($E:$E, ($C:$C=C1179)*($F:$F=F1179)) ) - 1</f>
        <v>-4.2162605302662803E-2</v>
      </c>
      <c r="J1179" t="str">
        <v>T</v>
      </c>
      <c r="K1179" s="1">
        <v>41834</v>
      </c>
      <c r="L1179">
        <v>-4.6164309013259075E-3</v>
      </c>
    </row>
    <row r="1180" spans="1:12" x14ac:dyDescent="0.2">
      <c r="A1180" s="1">
        <v>42622</v>
      </c>
      <c r="B1180">
        <v>2</v>
      </c>
      <c r="C1180" t="s">
        <v>11</v>
      </c>
      <c r="D1180">
        <v>-3.1627000000000002E-2</v>
      </c>
      <c r="E1180">
        <f t="shared" si="36"/>
        <v>0.96837300000000004</v>
      </c>
      <c r="F1180" s="1">
        <f t="shared" si="37"/>
        <v>42618</v>
      </c>
      <c r="G1180" cm="1">
        <f t="array" ref="G1180">PRODUCT( _xlfn._xlws.FILTER($E:$E, ($C:$C=C1180)*($F:$F=F1180)) ) - 1</f>
        <v>-4.2162605302662803E-2</v>
      </c>
      <c r="J1180" t="str">
        <v>T</v>
      </c>
      <c r="K1180" s="1">
        <v>41841</v>
      </c>
      <c r="L1180">
        <v>-3.2724194320682631E-2</v>
      </c>
    </row>
    <row r="1181" spans="1:12" x14ac:dyDescent="0.2">
      <c r="A1181" s="1">
        <v>42625</v>
      </c>
      <c r="B1181">
        <v>2</v>
      </c>
      <c r="C1181" t="s">
        <v>11</v>
      </c>
      <c r="D1181">
        <v>1.0106E-2</v>
      </c>
      <c r="E1181">
        <f t="shared" si="36"/>
        <v>1.0101059999999999</v>
      </c>
      <c r="F1181" s="1">
        <f t="shared" si="37"/>
        <v>42625</v>
      </c>
      <c r="G1181" cm="1">
        <f t="array" ref="G1181">PRODUCT( _xlfn._xlws.FILTER($E:$E, ($C:$C=C1181)*($F:$F=F1181)) ) - 1</f>
        <v>2.501777781279424E-2</v>
      </c>
      <c r="J1181" t="str">
        <v>T</v>
      </c>
      <c r="K1181" s="1">
        <v>41848</v>
      </c>
      <c r="L1181">
        <v>1.1453459801398669E-2</v>
      </c>
    </row>
    <row r="1182" spans="1:12" x14ac:dyDescent="0.2">
      <c r="A1182" s="1">
        <v>42626</v>
      </c>
      <c r="B1182">
        <v>2</v>
      </c>
      <c r="C1182" t="s">
        <v>11</v>
      </c>
      <c r="D1182">
        <v>-1.2567E-2</v>
      </c>
      <c r="E1182">
        <f t="shared" si="36"/>
        <v>0.98743300000000001</v>
      </c>
      <c r="F1182" s="1">
        <f t="shared" si="37"/>
        <v>42625</v>
      </c>
      <c r="G1182" cm="1">
        <f t="array" ref="G1182">PRODUCT( _xlfn._xlws.FILTER($E:$E, ($C:$C=C1182)*($F:$F=F1182)) ) - 1</f>
        <v>2.501777781279424E-2</v>
      </c>
      <c r="J1182" t="str">
        <v>T</v>
      </c>
      <c r="K1182" s="1">
        <v>41855</v>
      </c>
      <c r="L1182">
        <v>1.317183121473775E-3</v>
      </c>
    </row>
    <row r="1183" spans="1:12" x14ac:dyDescent="0.2">
      <c r="A1183" s="1">
        <v>42627</v>
      </c>
      <c r="B1183">
        <v>2</v>
      </c>
      <c r="C1183" t="s">
        <v>11</v>
      </c>
      <c r="D1183">
        <v>-1.2400000000000001E-4</v>
      </c>
      <c r="E1183">
        <f t="shared" si="36"/>
        <v>0.99987599999999999</v>
      </c>
      <c r="F1183" s="1">
        <f t="shared" si="37"/>
        <v>42625</v>
      </c>
      <c r="G1183" cm="1">
        <f t="array" ref="G1183">PRODUCT( _xlfn._xlws.FILTER($E:$E, ($C:$C=C1183)*($F:$F=F1183)) ) - 1</f>
        <v>2.501777781279424E-2</v>
      </c>
      <c r="J1183" t="str">
        <v>T</v>
      </c>
      <c r="K1183" s="1">
        <v>41862</v>
      </c>
      <c r="L1183">
        <v>1.104804830387951E-2</v>
      </c>
    </row>
    <row r="1184" spans="1:12" x14ac:dyDescent="0.2">
      <c r="A1184" s="1">
        <v>42628</v>
      </c>
      <c r="B1184">
        <v>2</v>
      </c>
      <c r="C1184" t="s">
        <v>11</v>
      </c>
      <c r="D1184">
        <v>1.9030999999999999E-2</v>
      </c>
      <c r="E1184">
        <f t="shared" si="36"/>
        <v>1.019031</v>
      </c>
      <c r="F1184" s="1">
        <f t="shared" si="37"/>
        <v>42625</v>
      </c>
      <c r="G1184" cm="1">
        <f t="array" ref="G1184">PRODUCT( _xlfn._xlws.FILTER($E:$E, ($C:$C=C1184)*($F:$F=F1184)) ) - 1</f>
        <v>2.501777781279424E-2</v>
      </c>
      <c r="J1184" t="str">
        <v>T</v>
      </c>
      <c r="K1184" s="1">
        <v>41869</v>
      </c>
      <c r="L1184">
        <v>6.5029834374747963E-3</v>
      </c>
    </row>
    <row r="1185" spans="1:12" x14ac:dyDescent="0.2">
      <c r="A1185" s="1">
        <v>42629</v>
      </c>
      <c r="B1185">
        <v>2</v>
      </c>
      <c r="C1185" t="s">
        <v>11</v>
      </c>
      <c r="D1185">
        <v>8.6099999999999996E-3</v>
      </c>
      <c r="E1185">
        <f t="shared" si="36"/>
        <v>1.00861</v>
      </c>
      <c r="F1185" s="1">
        <f t="shared" si="37"/>
        <v>42625</v>
      </c>
      <c r="G1185" cm="1">
        <f t="array" ref="G1185">PRODUCT( _xlfn._xlws.FILTER($E:$E, ($C:$C=C1185)*($F:$F=F1185)) ) - 1</f>
        <v>2.501777781279424E-2</v>
      </c>
      <c r="J1185" t="str">
        <v>T</v>
      </c>
      <c r="K1185" s="1">
        <v>41876</v>
      </c>
      <c r="L1185">
        <v>2.5588325260970102E-2</v>
      </c>
    </row>
    <row r="1186" spans="1:12" x14ac:dyDescent="0.2">
      <c r="A1186" s="1">
        <v>42632</v>
      </c>
      <c r="B1186">
        <v>2</v>
      </c>
      <c r="C1186" t="s">
        <v>11</v>
      </c>
      <c r="D1186">
        <v>-8.4199999999999998E-4</v>
      </c>
      <c r="E1186">
        <f t="shared" si="36"/>
        <v>0.99915799999999999</v>
      </c>
      <c r="F1186" s="1">
        <f t="shared" si="37"/>
        <v>42632</v>
      </c>
      <c r="G1186" cm="1">
        <f t="array" ref="G1186">PRODUCT( _xlfn._xlws.FILTER($E:$E, ($C:$C=C1186)*($F:$F=F1186)) ) - 1</f>
        <v>1.5510095913319866E-2</v>
      </c>
      <c r="J1186" t="str">
        <v>T</v>
      </c>
      <c r="K1186" s="1">
        <v>41883</v>
      </c>
      <c r="L1186">
        <v>4.2842297395699891E-3</v>
      </c>
    </row>
    <row r="1187" spans="1:12" x14ac:dyDescent="0.2">
      <c r="A1187" s="1">
        <v>42633</v>
      </c>
      <c r="B1187">
        <v>2</v>
      </c>
      <c r="C1187" t="s">
        <v>11</v>
      </c>
      <c r="D1187">
        <v>-1.3240000000000001E-3</v>
      </c>
      <c r="E1187">
        <f t="shared" si="36"/>
        <v>0.99867600000000001</v>
      </c>
      <c r="F1187" s="1">
        <f t="shared" si="37"/>
        <v>42632</v>
      </c>
      <c r="G1187" cm="1">
        <f t="array" ref="G1187">PRODUCT( _xlfn._xlws.FILTER($E:$E, ($C:$C=C1187)*($F:$F=F1187)) ) - 1</f>
        <v>1.5510095913319866E-2</v>
      </c>
      <c r="J1187" t="str">
        <v>T</v>
      </c>
      <c r="K1187" s="1">
        <v>41890</v>
      </c>
      <c r="L1187">
        <v>5.6132622125755205E-3</v>
      </c>
    </row>
    <row r="1188" spans="1:12" x14ac:dyDescent="0.2">
      <c r="A1188" s="1">
        <v>42634</v>
      </c>
      <c r="B1188">
        <v>2</v>
      </c>
      <c r="C1188" t="s">
        <v>11</v>
      </c>
      <c r="D1188">
        <v>1.5424E-2</v>
      </c>
      <c r="E1188">
        <f t="shared" si="36"/>
        <v>1.0154240000000001</v>
      </c>
      <c r="F1188" s="1">
        <f t="shared" si="37"/>
        <v>42632</v>
      </c>
      <c r="G1188" cm="1">
        <f t="array" ref="G1188">PRODUCT( _xlfn._xlws.FILTER($E:$E, ($C:$C=C1188)*($F:$F=F1188)) ) - 1</f>
        <v>1.5510095913319866E-2</v>
      </c>
      <c r="J1188" t="str">
        <v>T</v>
      </c>
      <c r="K1188" s="1">
        <v>41897</v>
      </c>
      <c r="L1188">
        <v>-1.5368737370453189E-2</v>
      </c>
    </row>
    <row r="1189" spans="1:12" x14ac:dyDescent="0.2">
      <c r="A1189" s="1">
        <v>42635</v>
      </c>
      <c r="B1189">
        <v>2</v>
      </c>
      <c r="C1189" t="s">
        <v>11</v>
      </c>
      <c r="D1189">
        <v>6.4079999999999996E-3</v>
      </c>
      <c r="E1189">
        <f t="shared" si="36"/>
        <v>1.006408</v>
      </c>
      <c r="F1189" s="1">
        <f t="shared" si="37"/>
        <v>42632</v>
      </c>
      <c r="G1189" cm="1">
        <f t="array" ref="G1189">PRODUCT( _xlfn._xlws.FILTER($E:$E, ($C:$C=C1189)*($F:$F=F1189)) ) - 1</f>
        <v>1.5510095913319866E-2</v>
      </c>
      <c r="J1189" t="str">
        <v>T</v>
      </c>
      <c r="K1189" s="1">
        <v>41904</v>
      </c>
      <c r="L1189">
        <v>-1.305110099283302E-2</v>
      </c>
    </row>
    <row r="1190" spans="1:12" x14ac:dyDescent="0.2">
      <c r="A1190" s="1">
        <v>42636</v>
      </c>
      <c r="B1190">
        <v>2</v>
      </c>
      <c r="C1190" t="s">
        <v>11</v>
      </c>
      <c r="D1190">
        <v>-4.1269999999999996E-3</v>
      </c>
      <c r="E1190">
        <f t="shared" si="36"/>
        <v>0.99587300000000001</v>
      </c>
      <c r="F1190" s="1">
        <f t="shared" si="37"/>
        <v>42632</v>
      </c>
      <c r="G1190" cm="1">
        <f t="array" ref="G1190">PRODUCT( _xlfn._xlws.FILTER($E:$E, ($C:$C=C1190)*($F:$F=F1190)) ) - 1</f>
        <v>1.5510095913319866E-2</v>
      </c>
      <c r="J1190" t="str">
        <v>T</v>
      </c>
      <c r="K1190" s="1">
        <v>41911</v>
      </c>
      <c r="L1190">
        <v>1.0372946412513517E-2</v>
      </c>
    </row>
    <row r="1191" spans="1:12" x14ac:dyDescent="0.2">
      <c r="A1191" s="1">
        <v>42639</v>
      </c>
      <c r="B1191">
        <v>2</v>
      </c>
      <c r="C1191" t="s">
        <v>11</v>
      </c>
      <c r="D1191">
        <v>-2.7230000000000002E-3</v>
      </c>
      <c r="E1191">
        <f t="shared" si="36"/>
        <v>0.99727699999999997</v>
      </c>
      <c r="F1191" s="1">
        <f t="shared" si="37"/>
        <v>42639</v>
      </c>
      <c r="G1191" cm="1">
        <f t="array" ref="G1191">PRODUCT( _xlfn._xlws.FILTER($E:$E, ($C:$C=C1191)*($F:$F=F1191)) ) - 1</f>
        <v>1.5392135917374317E-2</v>
      </c>
      <c r="J1191" t="str">
        <v>T</v>
      </c>
      <c r="K1191" s="1">
        <v>41918</v>
      </c>
      <c r="L1191">
        <v>-1.3600224151895546E-2</v>
      </c>
    </row>
    <row r="1192" spans="1:12" x14ac:dyDescent="0.2">
      <c r="A1192" s="1">
        <v>42640</v>
      </c>
      <c r="B1192">
        <v>2</v>
      </c>
      <c r="C1192" t="s">
        <v>11</v>
      </c>
      <c r="D1192">
        <v>2.849E-3</v>
      </c>
      <c r="E1192">
        <f t="shared" si="36"/>
        <v>1.0028490000000001</v>
      </c>
      <c r="F1192" s="1">
        <f t="shared" si="37"/>
        <v>42639</v>
      </c>
      <c r="G1192" cm="1">
        <f t="array" ref="G1192">PRODUCT( _xlfn._xlws.FILTER($E:$E, ($C:$C=C1192)*($F:$F=F1192)) ) - 1</f>
        <v>1.5392135917374317E-2</v>
      </c>
      <c r="J1192" t="str">
        <v>T</v>
      </c>
      <c r="K1192" s="1">
        <v>41925</v>
      </c>
      <c r="L1192">
        <v>-1.0404868188240601E-2</v>
      </c>
    </row>
    <row r="1193" spans="1:12" x14ac:dyDescent="0.2">
      <c r="A1193" s="1">
        <v>42641</v>
      </c>
      <c r="B1193">
        <v>2</v>
      </c>
      <c r="C1193" t="s">
        <v>11</v>
      </c>
      <c r="D1193">
        <v>-9.4700000000000003E-4</v>
      </c>
      <c r="E1193">
        <f t="shared" si="36"/>
        <v>0.99905299999999997</v>
      </c>
      <c r="F1193" s="1">
        <f t="shared" si="37"/>
        <v>42639</v>
      </c>
      <c r="G1193" cm="1">
        <f t="array" ref="G1193">PRODUCT( _xlfn._xlws.FILTER($E:$E, ($C:$C=C1193)*($F:$F=F1193)) ) - 1</f>
        <v>1.5392135917374317E-2</v>
      </c>
      <c r="J1193" t="str">
        <v>T</v>
      </c>
      <c r="K1193" s="1">
        <v>41932</v>
      </c>
      <c r="L1193">
        <v>3.9958861934037859E-2</v>
      </c>
    </row>
    <row r="1194" spans="1:12" x14ac:dyDescent="0.2">
      <c r="A1194" s="1">
        <v>42642</v>
      </c>
      <c r="B1194">
        <v>2</v>
      </c>
      <c r="C1194" t="s">
        <v>11</v>
      </c>
      <c r="D1194">
        <v>5.4510000000000001E-3</v>
      </c>
      <c r="E1194">
        <f t="shared" si="36"/>
        <v>1.0054510000000001</v>
      </c>
      <c r="F1194" s="1">
        <f t="shared" si="37"/>
        <v>42639</v>
      </c>
      <c r="G1194" cm="1">
        <f t="array" ref="G1194">PRODUCT( _xlfn._xlws.FILTER($E:$E, ($C:$C=C1194)*($F:$F=F1194)) ) - 1</f>
        <v>1.5392135917374317E-2</v>
      </c>
      <c r="J1194" t="str">
        <v>T</v>
      </c>
      <c r="K1194" s="1">
        <v>41939</v>
      </c>
      <c r="L1194">
        <v>2.0980791162087398E-2</v>
      </c>
    </row>
    <row r="1195" spans="1:12" x14ac:dyDescent="0.2">
      <c r="A1195" s="1">
        <v>42643</v>
      </c>
      <c r="B1195">
        <v>2</v>
      </c>
      <c r="C1195" t="s">
        <v>11</v>
      </c>
      <c r="D1195">
        <v>1.0725E-2</v>
      </c>
      <c r="E1195">
        <f t="shared" si="36"/>
        <v>1.0107250000000001</v>
      </c>
      <c r="F1195" s="1">
        <f t="shared" si="37"/>
        <v>42639</v>
      </c>
      <c r="G1195" cm="1">
        <f t="array" ref="G1195">PRODUCT( _xlfn._xlws.FILTER($E:$E, ($C:$C=C1195)*($F:$F=F1195)) ) - 1</f>
        <v>1.5392135917374317E-2</v>
      </c>
      <c r="J1195" t="str">
        <v>T</v>
      </c>
      <c r="K1195" s="1">
        <v>41946</v>
      </c>
      <c r="L1195">
        <v>1.5349737933210816E-2</v>
      </c>
    </row>
    <row r="1196" spans="1:12" x14ac:dyDescent="0.2">
      <c r="A1196" s="1">
        <v>42646</v>
      </c>
      <c r="B1196">
        <v>2</v>
      </c>
      <c r="C1196" t="s">
        <v>11</v>
      </c>
      <c r="D1196">
        <v>7.6959999999999997E-3</v>
      </c>
      <c r="E1196">
        <f t="shared" si="36"/>
        <v>1.0076959999999999</v>
      </c>
      <c r="F1196" s="1">
        <f t="shared" si="37"/>
        <v>42646</v>
      </c>
      <c r="G1196" cm="1">
        <f t="array" ref="G1196">PRODUCT( _xlfn._xlws.FILTER($E:$E, ($C:$C=C1196)*($F:$F=F1196)) ) - 1</f>
        <v>2.9267832528649507E-2</v>
      </c>
      <c r="J1196" t="str">
        <v>T</v>
      </c>
      <c r="K1196" s="1">
        <v>41953</v>
      </c>
      <c r="L1196">
        <v>4.2429756319947165E-2</v>
      </c>
    </row>
    <row r="1197" spans="1:12" x14ac:dyDescent="0.2">
      <c r="A1197" s="1">
        <v>42647</v>
      </c>
      <c r="B1197">
        <v>2</v>
      </c>
      <c r="C1197" t="s">
        <v>11</v>
      </c>
      <c r="D1197">
        <v>6.4799999999999996E-3</v>
      </c>
      <c r="E1197">
        <f t="shared" si="36"/>
        <v>1.00648</v>
      </c>
      <c r="F1197" s="1">
        <f t="shared" si="37"/>
        <v>42646</v>
      </c>
      <c r="G1197" cm="1">
        <f t="array" ref="G1197">PRODUCT( _xlfn._xlws.FILTER($E:$E, ($C:$C=C1197)*($F:$F=F1197)) ) - 1</f>
        <v>2.9267832528649507E-2</v>
      </c>
      <c r="J1197" t="str">
        <v>T</v>
      </c>
      <c r="K1197" s="1">
        <v>41960</v>
      </c>
      <c r="L1197">
        <v>-7.4859448549792207E-3</v>
      </c>
    </row>
    <row r="1198" spans="1:12" x14ac:dyDescent="0.2">
      <c r="A1198" s="1">
        <v>42648</v>
      </c>
      <c r="B1198">
        <v>2</v>
      </c>
      <c r="C1198" t="s">
        <v>11</v>
      </c>
      <c r="D1198">
        <v>1.5406E-2</v>
      </c>
      <c r="E1198">
        <f t="shared" si="36"/>
        <v>1.015406</v>
      </c>
      <c r="F1198" s="1">
        <f t="shared" si="37"/>
        <v>42646</v>
      </c>
      <c r="G1198" cm="1">
        <f t="array" ref="G1198">PRODUCT( _xlfn._xlws.FILTER($E:$E, ($C:$C=C1198)*($F:$F=F1198)) ) - 1</f>
        <v>2.9267832528649507E-2</v>
      </c>
      <c r="J1198" t="str">
        <v>T</v>
      </c>
      <c r="K1198" s="1">
        <v>41967</v>
      </c>
      <c r="L1198">
        <v>2.0034418752047811E-2</v>
      </c>
    </row>
    <row r="1199" spans="1:12" x14ac:dyDescent="0.2">
      <c r="A1199" s="1">
        <v>42649</v>
      </c>
      <c r="B1199">
        <v>2</v>
      </c>
      <c r="C1199" t="s">
        <v>11</v>
      </c>
      <c r="D1199">
        <v>2.0379999999999999E-3</v>
      </c>
      <c r="E1199">
        <f t="shared" si="36"/>
        <v>1.002038</v>
      </c>
      <c r="F1199" s="1">
        <f t="shared" si="37"/>
        <v>42646</v>
      </c>
      <c r="G1199" cm="1">
        <f t="array" ref="G1199">PRODUCT( _xlfn._xlws.FILTER($E:$E, ($C:$C=C1199)*($F:$F=F1199)) ) - 1</f>
        <v>2.9267832528649507E-2</v>
      </c>
      <c r="J1199" t="str">
        <v>T</v>
      </c>
      <c r="K1199" s="1">
        <v>41974</v>
      </c>
      <c r="L1199">
        <v>-4.2744812833690693E-2</v>
      </c>
    </row>
    <row r="1200" spans="1:12" x14ac:dyDescent="0.2">
      <c r="A1200" s="1">
        <v>42650</v>
      </c>
      <c r="B1200">
        <v>2</v>
      </c>
      <c r="C1200" t="s">
        <v>11</v>
      </c>
      <c r="D1200">
        <v>-2.5990000000000002E-3</v>
      </c>
      <c r="E1200">
        <f t="shared" si="36"/>
        <v>0.99740099999999998</v>
      </c>
      <c r="F1200" s="1">
        <f t="shared" si="37"/>
        <v>42646</v>
      </c>
      <c r="G1200" cm="1">
        <f t="array" ref="G1200">PRODUCT( _xlfn._xlws.FILTER($E:$E, ($C:$C=C1200)*($F:$F=F1200)) ) - 1</f>
        <v>2.9267832528649507E-2</v>
      </c>
      <c r="J1200" t="str">
        <v>T</v>
      </c>
      <c r="K1200" s="1">
        <v>41981</v>
      </c>
      <c r="L1200">
        <v>2.4317907105824155E-3</v>
      </c>
    </row>
    <row r="1201" spans="1:12" x14ac:dyDescent="0.2">
      <c r="A1201" s="1">
        <v>42654</v>
      </c>
      <c r="B1201">
        <v>2</v>
      </c>
      <c r="C1201" t="s">
        <v>11</v>
      </c>
      <c r="D1201">
        <v>-1.8129999999999999E-3</v>
      </c>
      <c r="E1201">
        <f t="shared" si="36"/>
        <v>0.99818700000000005</v>
      </c>
      <c r="F1201" s="1">
        <f t="shared" si="37"/>
        <v>42653</v>
      </c>
      <c r="G1201" cm="1">
        <f t="array" ref="G1201">PRODUCT( _xlfn._xlws.FILTER($E:$E, ($C:$C=C1201)*($F:$F=F1201)) ) - 1</f>
        <v>-1.2688296607810234E-2</v>
      </c>
      <c r="J1201" t="str">
        <v>T</v>
      </c>
      <c r="K1201" s="1">
        <v>41988</v>
      </c>
      <c r="L1201">
        <v>1.0698072178730644E-2</v>
      </c>
    </row>
    <row r="1202" spans="1:12" x14ac:dyDescent="0.2">
      <c r="A1202" s="1">
        <v>42655</v>
      </c>
      <c r="B1202">
        <v>2</v>
      </c>
      <c r="C1202" t="s">
        <v>11</v>
      </c>
      <c r="D1202">
        <v>-3.0639999999999999E-3</v>
      </c>
      <c r="E1202">
        <f t="shared" si="36"/>
        <v>0.99693600000000004</v>
      </c>
      <c r="F1202" s="1">
        <f t="shared" si="37"/>
        <v>42653</v>
      </c>
      <c r="G1202" cm="1">
        <f t="array" ref="G1202">PRODUCT( _xlfn._xlws.FILTER($E:$E, ($C:$C=C1202)*($F:$F=F1202)) ) - 1</f>
        <v>-1.2688296607810234E-2</v>
      </c>
      <c r="J1202" t="str">
        <v>T</v>
      </c>
      <c r="K1202" s="1">
        <v>41995</v>
      </c>
      <c r="L1202">
        <v>1.7319551852415405E-2</v>
      </c>
    </row>
    <row r="1203" spans="1:12" x14ac:dyDescent="0.2">
      <c r="A1203" s="1">
        <v>42656</v>
      </c>
      <c r="B1203">
        <v>2</v>
      </c>
      <c r="C1203" t="s">
        <v>11</v>
      </c>
      <c r="D1203">
        <v>-1.1400000000000001E-4</v>
      </c>
      <c r="E1203">
        <f t="shared" si="36"/>
        <v>0.99988600000000005</v>
      </c>
      <c r="F1203" s="1">
        <f t="shared" si="37"/>
        <v>42653</v>
      </c>
      <c r="G1203" cm="1">
        <f t="array" ref="G1203">PRODUCT( _xlfn._xlws.FILTER($E:$E, ($C:$C=C1203)*($F:$F=F1203)) ) - 1</f>
        <v>-1.2688296607810234E-2</v>
      </c>
      <c r="J1203" t="str">
        <v>T</v>
      </c>
      <c r="K1203" s="1">
        <v>42002</v>
      </c>
      <c r="L1203">
        <v>-6.3845294771553984E-3</v>
      </c>
    </row>
    <row r="1204" spans="1:12" x14ac:dyDescent="0.2">
      <c r="A1204" s="1">
        <v>42657</v>
      </c>
      <c r="B1204">
        <v>2</v>
      </c>
      <c r="C1204" t="s">
        <v>11</v>
      </c>
      <c r="D1204">
        <v>-7.7419999999999998E-3</v>
      </c>
      <c r="E1204">
        <f t="shared" si="36"/>
        <v>0.99225799999999997</v>
      </c>
      <c r="F1204" s="1">
        <f t="shared" si="37"/>
        <v>42653</v>
      </c>
      <c r="G1204" cm="1">
        <f t="array" ref="G1204">PRODUCT( _xlfn._xlws.FILTER($E:$E, ($C:$C=C1204)*($F:$F=F1204)) ) - 1</f>
        <v>-1.2688296607810234E-2</v>
      </c>
      <c r="J1204" t="str">
        <v>T</v>
      </c>
      <c r="K1204" s="1">
        <v>42009</v>
      </c>
      <c r="L1204">
        <v>-1.2137999501074082E-2</v>
      </c>
    </row>
    <row r="1205" spans="1:12" x14ac:dyDescent="0.2">
      <c r="A1205" s="1">
        <v>42660</v>
      </c>
      <c r="B1205">
        <v>2</v>
      </c>
      <c r="C1205" t="s">
        <v>11</v>
      </c>
      <c r="D1205">
        <v>-1.0330000000000001E-3</v>
      </c>
      <c r="E1205">
        <f t="shared" si="36"/>
        <v>0.99896700000000005</v>
      </c>
      <c r="F1205" s="1">
        <f t="shared" si="37"/>
        <v>42660</v>
      </c>
      <c r="G1205" cm="1">
        <f t="array" ref="G1205">PRODUCT( _xlfn._xlws.FILTER($E:$E, ($C:$C=C1205)*($F:$F=F1205)) ) - 1</f>
        <v>2.9835634723898163E-3</v>
      </c>
      <c r="J1205" t="str">
        <v>T</v>
      </c>
      <c r="K1205" s="1">
        <v>42016</v>
      </c>
      <c r="L1205">
        <v>2.8427560599063151E-2</v>
      </c>
    </row>
    <row r="1206" spans="1:12" x14ac:dyDescent="0.2">
      <c r="A1206" s="1">
        <v>42661</v>
      </c>
      <c r="B1206">
        <v>2</v>
      </c>
      <c r="C1206" t="s">
        <v>11</v>
      </c>
      <c r="D1206">
        <v>8.6149999999999994E-3</v>
      </c>
      <c r="E1206">
        <f t="shared" si="36"/>
        <v>1.008615</v>
      </c>
      <c r="F1206" s="1">
        <f t="shared" si="37"/>
        <v>42660</v>
      </c>
      <c r="G1206" cm="1">
        <f t="array" ref="G1206">PRODUCT( _xlfn._xlws.FILTER($E:$E, ($C:$C=C1206)*($F:$F=F1206)) ) - 1</f>
        <v>2.9835634723898163E-3</v>
      </c>
      <c r="J1206" t="str">
        <v>T</v>
      </c>
      <c r="K1206" s="1">
        <v>42023</v>
      </c>
      <c r="L1206">
        <v>3.4667770086931338E-2</v>
      </c>
    </row>
    <row r="1207" spans="1:12" x14ac:dyDescent="0.2">
      <c r="A1207" s="1">
        <v>42662</v>
      </c>
      <c r="B1207">
        <v>2</v>
      </c>
      <c r="C1207" t="s">
        <v>11</v>
      </c>
      <c r="D1207">
        <v>-2.1640000000000001E-3</v>
      </c>
      <c r="E1207">
        <f t="shared" si="36"/>
        <v>0.99783599999999995</v>
      </c>
      <c r="F1207" s="1">
        <f t="shared" si="37"/>
        <v>42660</v>
      </c>
      <c r="G1207" cm="1">
        <f t="array" ref="G1207">PRODUCT( _xlfn._xlws.FILTER($E:$E, ($C:$C=C1207)*($F:$F=F1207)) ) - 1</f>
        <v>2.9835634723898163E-3</v>
      </c>
      <c r="J1207" t="str">
        <v>T</v>
      </c>
      <c r="K1207" s="1">
        <v>42030</v>
      </c>
      <c r="L1207">
        <v>-1.3131416795194584E-2</v>
      </c>
    </row>
    <row r="1208" spans="1:12" x14ac:dyDescent="0.2">
      <c r="A1208" s="1">
        <v>42663</v>
      </c>
      <c r="B1208">
        <v>2</v>
      </c>
      <c r="C1208" t="s">
        <v>11</v>
      </c>
      <c r="D1208">
        <v>-9.0159999999999997E-3</v>
      </c>
      <c r="E1208">
        <f t="shared" si="36"/>
        <v>0.99098399999999998</v>
      </c>
      <c r="F1208" s="1">
        <f t="shared" si="37"/>
        <v>42660</v>
      </c>
      <c r="G1208" cm="1">
        <f t="array" ref="G1208">PRODUCT( _xlfn._xlws.FILTER($E:$E, ($C:$C=C1208)*($F:$F=F1208)) ) - 1</f>
        <v>2.9835634723898163E-3</v>
      </c>
      <c r="J1208" t="str">
        <v>T</v>
      </c>
      <c r="K1208" s="1">
        <v>42037</v>
      </c>
      <c r="L1208">
        <v>-9.8642846145301499E-3</v>
      </c>
    </row>
    <row r="1209" spans="1:12" x14ac:dyDescent="0.2">
      <c r="A1209" s="1">
        <v>42664</v>
      </c>
      <c r="B1209">
        <v>2</v>
      </c>
      <c r="C1209" t="s">
        <v>11</v>
      </c>
      <c r="D1209">
        <v>6.6800000000000002E-3</v>
      </c>
      <c r="E1209">
        <f t="shared" si="36"/>
        <v>1.00668</v>
      </c>
      <c r="F1209" s="1">
        <f t="shared" si="37"/>
        <v>42660</v>
      </c>
      <c r="G1209" cm="1">
        <f t="array" ref="G1209">PRODUCT( _xlfn._xlws.FILTER($E:$E, ($C:$C=C1209)*($F:$F=F1209)) ) - 1</f>
        <v>2.9835634723898163E-3</v>
      </c>
      <c r="J1209" t="str">
        <v>T</v>
      </c>
      <c r="K1209" s="1">
        <v>42044</v>
      </c>
      <c r="L1209">
        <v>6.7190202117759501E-3</v>
      </c>
    </row>
    <row r="1210" spans="1:12" x14ac:dyDescent="0.2">
      <c r="A1210" s="1">
        <v>42667</v>
      </c>
      <c r="B1210">
        <v>2</v>
      </c>
      <c r="C1210" t="s">
        <v>11</v>
      </c>
      <c r="D1210">
        <v>4.5760000000000002E-3</v>
      </c>
      <c r="E1210">
        <f t="shared" si="36"/>
        <v>1.0045759999999999</v>
      </c>
      <c r="F1210" s="1">
        <f t="shared" si="37"/>
        <v>42667</v>
      </c>
      <c r="G1210" cm="1">
        <f t="array" ref="G1210">PRODUCT( _xlfn._xlws.FILTER($E:$E, ($C:$C=C1210)*($F:$F=F1210)) ) - 1</f>
        <v>-3.3862931405219565E-2</v>
      </c>
      <c r="J1210" t="str">
        <v>T</v>
      </c>
      <c r="K1210" s="1">
        <v>42051</v>
      </c>
      <c r="L1210">
        <v>2.2784542186482737E-2</v>
      </c>
    </row>
    <row r="1211" spans="1:12" x14ac:dyDescent="0.2">
      <c r="A1211" s="1">
        <v>42668</v>
      </c>
      <c r="B1211">
        <v>2</v>
      </c>
      <c r="C1211" t="s">
        <v>11</v>
      </c>
      <c r="D1211">
        <v>-1.5939999999999999E-3</v>
      </c>
      <c r="E1211">
        <f t="shared" si="36"/>
        <v>0.99840600000000002</v>
      </c>
      <c r="F1211" s="1">
        <f t="shared" si="37"/>
        <v>42667</v>
      </c>
      <c r="G1211" cm="1">
        <f t="array" ref="G1211">PRODUCT( _xlfn._xlws.FILTER($E:$E, ($C:$C=C1211)*($F:$F=F1211)) ) - 1</f>
        <v>-3.3862931405219565E-2</v>
      </c>
      <c r="J1211" t="str">
        <v>T</v>
      </c>
      <c r="K1211" s="1">
        <v>42058</v>
      </c>
      <c r="L1211">
        <v>-4.2055347848624081E-7</v>
      </c>
    </row>
    <row r="1212" spans="1:12" x14ac:dyDescent="0.2">
      <c r="A1212" s="1">
        <v>42669</v>
      </c>
      <c r="B1212">
        <v>2</v>
      </c>
      <c r="C1212" t="s">
        <v>11</v>
      </c>
      <c r="D1212">
        <v>-3.8440000000000002E-2</v>
      </c>
      <c r="E1212">
        <f t="shared" si="36"/>
        <v>0.96155999999999997</v>
      </c>
      <c r="F1212" s="1">
        <f t="shared" si="37"/>
        <v>42667</v>
      </c>
      <c r="G1212" cm="1">
        <f t="array" ref="G1212">PRODUCT( _xlfn._xlws.FILTER($E:$E, ($C:$C=C1212)*($F:$F=F1212)) ) - 1</f>
        <v>-3.3862931405219565E-2</v>
      </c>
      <c r="J1212" t="str">
        <v>T</v>
      </c>
      <c r="K1212" s="1">
        <v>42065</v>
      </c>
      <c r="L1212">
        <v>-2.2726581246711897E-2</v>
      </c>
    </row>
    <row r="1213" spans="1:12" x14ac:dyDescent="0.2">
      <c r="A1213" s="1">
        <v>42670</v>
      </c>
      <c r="B1213">
        <v>2</v>
      </c>
      <c r="C1213" t="s">
        <v>11</v>
      </c>
      <c r="D1213">
        <v>5.457E-3</v>
      </c>
      <c r="E1213">
        <f t="shared" si="36"/>
        <v>1.005457</v>
      </c>
      <c r="F1213" s="1">
        <f t="shared" si="37"/>
        <v>42667</v>
      </c>
      <c r="G1213" cm="1">
        <f t="array" ref="G1213">PRODUCT( _xlfn._xlws.FILTER($E:$E, ($C:$C=C1213)*($F:$F=F1213)) ) - 1</f>
        <v>-3.3862931405219565E-2</v>
      </c>
      <c r="J1213" t="str">
        <v>T</v>
      </c>
      <c r="K1213" s="1">
        <v>42072</v>
      </c>
      <c r="L1213">
        <v>-1.7923189339512202E-2</v>
      </c>
    </row>
    <row r="1214" spans="1:12" x14ac:dyDescent="0.2">
      <c r="A1214" s="1">
        <v>42671</v>
      </c>
      <c r="B1214">
        <v>2</v>
      </c>
      <c r="C1214" t="s">
        <v>11</v>
      </c>
      <c r="D1214">
        <v>-3.6570000000000001E-3</v>
      </c>
      <c r="E1214">
        <f t="shared" si="36"/>
        <v>0.99634299999999998</v>
      </c>
      <c r="F1214" s="1">
        <f t="shared" si="37"/>
        <v>42667</v>
      </c>
      <c r="G1214" cm="1">
        <f t="array" ref="G1214">PRODUCT( _xlfn._xlws.FILTER($E:$E, ($C:$C=C1214)*($F:$F=F1214)) ) - 1</f>
        <v>-3.3862931405219565E-2</v>
      </c>
      <c r="J1214" t="str">
        <v>T</v>
      </c>
      <c r="K1214" s="1">
        <v>42079</v>
      </c>
      <c r="L1214">
        <v>-4.0237544341359399E-3</v>
      </c>
    </row>
    <row r="1215" spans="1:12" x14ac:dyDescent="0.2">
      <c r="A1215" s="1">
        <v>42674</v>
      </c>
      <c r="B1215">
        <v>2</v>
      </c>
      <c r="C1215" t="s">
        <v>11</v>
      </c>
      <c r="D1215">
        <v>-1.539E-3</v>
      </c>
      <c r="E1215">
        <f t="shared" si="36"/>
        <v>0.99846100000000004</v>
      </c>
      <c r="F1215" s="1">
        <f t="shared" si="37"/>
        <v>42674</v>
      </c>
      <c r="G1215" cm="1">
        <f t="array" ref="G1215">PRODUCT( _xlfn._xlws.FILTER($E:$E, ($C:$C=C1215)*($F:$F=F1215)) ) - 1</f>
        <v>-1.6577498400169866E-2</v>
      </c>
      <c r="J1215" t="str">
        <v>T</v>
      </c>
      <c r="K1215" s="1">
        <v>42086</v>
      </c>
      <c r="L1215">
        <v>-2.6146888860761885E-3</v>
      </c>
    </row>
    <row r="1216" spans="1:12" x14ac:dyDescent="0.2">
      <c r="A1216" s="1">
        <v>42675</v>
      </c>
      <c r="B1216">
        <v>2</v>
      </c>
      <c r="C1216" t="s">
        <v>11</v>
      </c>
      <c r="D1216">
        <v>-1.3164E-2</v>
      </c>
      <c r="E1216">
        <f t="shared" si="36"/>
        <v>0.98683600000000005</v>
      </c>
      <c r="F1216" s="1">
        <f t="shared" si="37"/>
        <v>42674</v>
      </c>
      <c r="G1216" cm="1">
        <f t="array" ref="G1216">PRODUCT( _xlfn._xlws.FILTER($E:$E, ($C:$C=C1216)*($F:$F=F1216)) ) - 1</f>
        <v>-1.6577498400169866E-2</v>
      </c>
      <c r="J1216" t="str">
        <v>T</v>
      </c>
      <c r="K1216" s="1">
        <v>42093</v>
      </c>
      <c r="L1216">
        <v>1.0245098078679238E-2</v>
      </c>
    </row>
    <row r="1217" spans="1:12" x14ac:dyDescent="0.2">
      <c r="A1217" s="1">
        <v>42676</v>
      </c>
      <c r="B1217">
        <v>2</v>
      </c>
      <c r="C1217" t="s">
        <v>11</v>
      </c>
      <c r="D1217">
        <v>3.0040000000000002E-3</v>
      </c>
      <c r="E1217">
        <f t="shared" si="36"/>
        <v>1.003004</v>
      </c>
      <c r="F1217" s="1">
        <f t="shared" si="37"/>
        <v>42674</v>
      </c>
      <c r="G1217" cm="1">
        <f t="array" ref="G1217">PRODUCT( _xlfn._xlws.FILTER($E:$E, ($C:$C=C1217)*($F:$F=F1217)) ) - 1</f>
        <v>-1.6577498400169866E-2</v>
      </c>
      <c r="J1217" t="str">
        <v>T</v>
      </c>
      <c r="K1217" s="1">
        <v>42100</v>
      </c>
      <c r="L1217">
        <v>2.5234949423864173E-2</v>
      </c>
    </row>
    <row r="1218" spans="1:12" x14ac:dyDescent="0.2">
      <c r="A1218" s="1">
        <v>42677</v>
      </c>
      <c r="B1218">
        <v>2</v>
      </c>
      <c r="C1218" t="s">
        <v>11</v>
      </c>
      <c r="D1218">
        <v>2.4000000000000001E-4</v>
      </c>
      <c r="E1218">
        <f t="shared" si="36"/>
        <v>1.00024</v>
      </c>
      <c r="F1218" s="1">
        <f t="shared" si="37"/>
        <v>42674</v>
      </c>
      <c r="G1218" cm="1">
        <f t="array" ref="G1218">PRODUCT( _xlfn._xlws.FILTER($E:$E, ($C:$C=C1218)*($F:$F=F1218)) ) - 1</f>
        <v>-1.6577498400169866E-2</v>
      </c>
      <c r="J1218" t="str">
        <v>T</v>
      </c>
      <c r="K1218" s="1">
        <v>42107</v>
      </c>
      <c r="L1218">
        <v>-3.2206116776621108E-2</v>
      </c>
    </row>
    <row r="1219" spans="1:12" x14ac:dyDescent="0.2">
      <c r="A1219" s="1">
        <v>42678</v>
      </c>
      <c r="B1219">
        <v>2</v>
      </c>
      <c r="C1219" t="s">
        <v>11</v>
      </c>
      <c r="D1219">
        <v>-5.1510000000000002E-3</v>
      </c>
      <c r="E1219">
        <f t="shared" si="36"/>
        <v>0.99484899999999998</v>
      </c>
      <c r="F1219" s="1">
        <f t="shared" si="37"/>
        <v>42674</v>
      </c>
      <c r="G1219" cm="1">
        <f t="array" ref="G1219">PRODUCT( _xlfn._xlws.FILTER($E:$E, ($C:$C=C1219)*($F:$F=F1219)) ) - 1</f>
        <v>-1.6577498400169866E-2</v>
      </c>
      <c r="J1219" t="str">
        <v>T</v>
      </c>
      <c r="K1219" s="1">
        <v>42114</v>
      </c>
      <c r="L1219">
        <v>1.6875482803119901E-2</v>
      </c>
    </row>
    <row r="1220" spans="1:12" x14ac:dyDescent="0.2">
      <c r="A1220" s="1">
        <v>42681</v>
      </c>
      <c r="B1220">
        <v>2</v>
      </c>
      <c r="C1220" t="s">
        <v>11</v>
      </c>
      <c r="D1220">
        <v>2.2756999999999999E-2</v>
      </c>
      <c r="E1220">
        <f t="shared" ref="E1220:E1283" si="38">D1220+1</f>
        <v>1.0227569999999999</v>
      </c>
      <c r="F1220" s="1">
        <f t="shared" ref="F1220:F1283" si="39">A1220 - (WEEKDAY(A1220, 2) - 1)</f>
        <v>42681</v>
      </c>
      <c r="G1220" cm="1">
        <f t="array" ref="G1220">PRODUCT( _xlfn._xlws.FILTER($E:$E, ($C:$C=C1220)*($F:$F=F1220)) ) - 1</f>
        <v>3.1547366637378227E-2</v>
      </c>
      <c r="J1220" t="str">
        <v>T</v>
      </c>
      <c r="K1220" s="1">
        <v>42121</v>
      </c>
      <c r="L1220">
        <v>-1.8934644028183234E-2</v>
      </c>
    </row>
    <row r="1221" spans="1:12" x14ac:dyDescent="0.2">
      <c r="A1221" s="1">
        <v>42682</v>
      </c>
      <c r="B1221">
        <v>2</v>
      </c>
      <c r="C1221" t="s">
        <v>11</v>
      </c>
      <c r="D1221">
        <v>1.06E-3</v>
      </c>
      <c r="E1221">
        <f t="shared" si="38"/>
        <v>1.0010600000000001</v>
      </c>
      <c r="F1221" s="1">
        <f t="shared" si="39"/>
        <v>42681</v>
      </c>
      <c r="G1221" cm="1">
        <f t="array" ref="G1221">PRODUCT( _xlfn._xlws.FILTER($E:$E, ($C:$C=C1221)*($F:$F=F1221)) ) - 1</f>
        <v>3.1547366637378227E-2</v>
      </c>
      <c r="J1221" t="str">
        <v>T</v>
      </c>
      <c r="K1221" s="1">
        <v>42128</v>
      </c>
      <c r="L1221">
        <v>1.607346413079469E-6</v>
      </c>
    </row>
    <row r="1222" spans="1:12" x14ac:dyDescent="0.2">
      <c r="A1222" s="1">
        <v>42683</v>
      </c>
      <c r="B1222">
        <v>2</v>
      </c>
      <c r="C1222" t="s">
        <v>11</v>
      </c>
      <c r="D1222">
        <v>-3.1749999999999999E-3</v>
      </c>
      <c r="E1222">
        <f t="shared" si="38"/>
        <v>0.99682499999999996</v>
      </c>
      <c r="F1222" s="1">
        <f t="shared" si="39"/>
        <v>42681</v>
      </c>
      <c r="G1222" cm="1">
        <f t="array" ref="G1222">PRODUCT( _xlfn._xlws.FILTER($E:$E, ($C:$C=C1222)*($F:$F=F1222)) ) - 1</f>
        <v>3.1547366637378227E-2</v>
      </c>
      <c r="J1222" t="str">
        <v>T</v>
      </c>
      <c r="K1222" s="1">
        <v>42135</v>
      </c>
      <c r="L1222">
        <v>-9.7689934944018564E-3</v>
      </c>
    </row>
    <row r="1223" spans="1:12" x14ac:dyDescent="0.2">
      <c r="A1223" s="1">
        <v>42684</v>
      </c>
      <c r="B1223">
        <v>2</v>
      </c>
      <c r="C1223" t="s">
        <v>11</v>
      </c>
      <c r="D1223">
        <v>3.0085000000000001E-2</v>
      </c>
      <c r="E1223">
        <f t="shared" si="38"/>
        <v>1.0300849999999999</v>
      </c>
      <c r="F1223" s="1">
        <f t="shared" si="39"/>
        <v>42681</v>
      </c>
      <c r="G1223" cm="1">
        <f t="array" ref="G1223">PRODUCT( _xlfn._xlws.FILTER($E:$E, ($C:$C=C1223)*($F:$F=F1223)) ) - 1</f>
        <v>3.1547366637378227E-2</v>
      </c>
      <c r="J1223" t="str">
        <v>T</v>
      </c>
      <c r="K1223" s="1">
        <v>42142</v>
      </c>
      <c r="L1223">
        <v>1.2752121767332758E-2</v>
      </c>
    </row>
    <row r="1224" spans="1:12" x14ac:dyDescent="0.2">
      <c r="A1224" s="1">
        <v>42685</v>
      </c>
      <c r="B1224">
        <v>2</v>
      </c>
      <c r="C1224" t="s">
        <v>11</v>
      </c>
      <c r="D1224">
        <v>-1.8783999999999999E-2</v>
      </c>
      <c r="E1224">
        <f t="shared" si="38"/>
        <v>0.98121599999999998</v>
      </c>
      <c r="F1224" s="1">
        <f t="shared" si="39"/>
        <v>42681</v>
      </c>
      <c r="G1224" cm="1">
        <f t="array" ref="G1224">PRODUCT( _xlfn._xlws.FILTER($E:$E, ($C:$C=C1224)*($F:$F=F1224)) ) - 1</f>
        <v>3.1547366637378227E-2</v>
      </c>
      <c r="J1224" t="str">
        <v>T</v>
      </c>
      <c r="K1224" s="1">
        <v>42149</v>
      </c>
      <c r="L1224">
        <v>5.9392426093254347E-3</v>
      </c>
    </row>
    <row r="1225" spans="1:12" x14ac:dyDescent="0.2">
      <c r="A1225" s="1">
        <v>42688</v>
      </c>
      <c r="B1225">
        <v>2</v>
      </c>
      <c r="C1225" t="s">
        <v>11</v>
      </c>
      <c r="D1225">
        <v>8.8710000000000004E-3</v>
      </c>
      <c r="E1225">
        <f t="shared" si="38"/>
        <v>1.0088710000000001</v>
      </c>
      <c r="F1225" s="1">
        <f t="shared" si="39"/>
        <v>42688</v>
      </c>
      <c r="G1225" cm="1">
        <f t="array" ref="G1225">PRODUCT( _xlfn._xlws.FILTER($E:$E, ($C:$C=C1225)*($F:$F=F1225)) ) - 1</f>
        <v>1.5525451522113487E-2</v>
      </c>
      <c r="J1225" t="str">
        <v>T</v>
      </c>
      <c r="K1225" s="1">
        <v>42156</v>
      </c>
      <c r="L1225">
        <v>-1.4175009887750223E-3</v>
      </c>
    </row>
    <row r="1226" spans="1:12" x14ac:dyDescent="0.2">
      <c r="A1226" s="1">
        <v>42689</v>
      </c>
      <c r="B1226">
        <v>2</v>
      </c>
      <c r="C1226" t="s">
        <v>11</v>
      </c>
      <c r="D1226">
        <v>9.2599999999999996E-4</v>
      </c>
      <c r="E1226">
        <f t="shared" si="38"/>
        <v>1.000926</v>
      </c>
      <c r="F1226" s="1">
        <f t="shared" si="39"/>
        <v>42688</v>
      </c>
      <c r="G1226" cm="1">
        <f t="array" ref="G1226">PRODUCT( _xlfn._xlws.FILTER($E:$E, ($C:$C=C1226)*($F:$F=F1226)) ) - 1</f>
        <v>1.5525451522113487E-2</v>
      </c>
      <c r="J1226" t="str">
        <v>T</v>
      </c>
      <c r="K1226" s="1">
        <v>42163</v>
      </c>
      <c r="L1226">
        <v>-2.3584257400372288E-2</v>
      </c>
    </row>
    <row r="1227" spans="1:12" x14ac:dyDescent="0.2">
      <c r="A1227" s="1">
        <v>42690</v>
      </c>
      <c r="B1227">
        <v>2</v>
      </c>
      <c r="C1227" t="s">
        <v>11</v>
      </c>
      <c r="D1227">
        <v>-1.3292999999999999E-2</v>
      </c>
      <c r="E1227">
        <f t="shared" si="38"/>
        <v>0.986707</v>
      </c>
      <c r="F1227" s="1">
        <f t="shared" si="39"/>
        <v>42688</v>
      </c>
      <c r="G1227" cm="1">
        <f t="array" ref="G1227">PRODUCT( _xlfn._xlws.FILTER($E:$E, ($C:$C=C1227)*($F:$F=F1227)) ) - 1</f>
        <v>1.5525451522113487E-2</v>
      </c>
      <c r="J1227" t="str">
        <v>T</v>
      </c>
      <c r="K1227" s="1">
        <v>42170</v>
      </c>
      <c r="L1227">
        <v>3.2051601984993683E-2</v>
      </c>
    </row>
    <row r="1228" spans="1:12" x14ac:dyDescent="0.2">
      <c r="A1228" s="1">
        <v>42691</v>
      </c>
      <c r="B1228">
        <v>2</v>
      </c>
      <c r="C1228" t="s">
        <v>11</v>
      </c>
      <c r="D1228">
        <v>1.5464E-2</v>
      </c>
      <c r="E1228">
        <f t="shared" si="38"/>
        <v>1.0154639999999999</v>
      </c>
      <c r="F1228" s="1">
        <f t="shared" si="39"/>
        <v>42688</v>
      </c>
      <c r="G1228" cm="1">
        <f t="array" ref="G1228">PRODUCT( _xlfn._xlws.FILTER($E:$E, ($C:$C=C1228)*($F:$F=F1228)) ) - 1</f>
        <v>1.5525451522113487E-2</v>
      </c>
      <c r="J1228" t="str">
        <v>T</v>
      </c>
      <c r="K1228" s="1">
        <v>42177</v>
      </c>
      <c r="L1228">
        <v>2.0624823047576957E-2</v>
      </c>
    </row>
    <row r="1229" spans="1:12" x14ac:dyDescent="0.2">
      <c r="A1229" s="1">
        <v>42692</v>
      </c>
      <c r="B1229">
        <v>2</v>
      </c>
      <c r="C1229" t="s">
        <v>11</v>
      </c>
      <c r="D1229">
        <v>3.692E-3</v>
      </c>
      <c r="E1229">
        <f t="shared" si="38"/>
        <v>1.003692</v>
      </c>
      <c r="F1229" s="1">
        <f t="shared" si="39"/>
        <v>42688</v>
      </c>
      <c r="G1229" cm="1">
        <f t="array" ref="G1229">PRODUCT( _xlfn._xlws.FILTER($E:$E, ($C:$C=C1229)*($F:$F=F1229)) ) - 1</f>
        <v>1.5525451522113487E-2</v>
      </c>
      <c r="J1229" t="str">
        <v>T</v>
      </c>
      <c r="K1229" s="1">
        <v>42184</v>
      </c>
      <c r="L1229">
        <v>1.835099471423729E-2</v>
      </c>
    </row>
    <row r="1230" spans="1:12" x14ac:dyDescent="0.2">
      <c r="A1230" s="1">
        <v>42695</v>
      </c>
      <c r="B1230">
        <v>2</v>
      </c>
      <c r="C1230" t="s">
        <v>11</v>
      </c>
      <c r="D1230">
        <v>1.7125999999999999E-2</v>
      </c>
      <c r="E1230">
        <f t="shared" si="38"/>
        <v>1.017126</v>
      </c>
      <c r="F1230" s="1">
        <f t="shared" si="39"/>
        <v>42695</v>
      </c>
      <c r="G1230" cm="1">
        <f t="array" ref="G1230">PRODUCT( _xlfn._xlws.FILTER($E:$E, ($C:$C=C1230)*($F:$F=F1230)) ) - 1</f>
        <v>3.6780434063999889E-2</v>
      </c>
      <c r="J1230" t="str">
        <v>T</v>
      </c>
      <c r="K1230" s="1">
        <v>42191</v>
      </c>
      <c r="L1230">
        <v>3.1924915144625476E-3</v>
      </c>
    </row>
    <row r="1231" spans="1:12" x14ac:dyDescent="0.2">
      <c r="A1231" s="1">
        <v>42696</v>
      </c>
      <c r="B1231">
        <v>2</v>
      </c>
      <c r="C1231" t="s">
        <v>11</v>
      </c>
      <c r="D1231">
        <v>5.424E-3</v>
      </c>
      <c r="E1231">
        <f t="shared" si="38"/>
        <v>1.0054240000000001</v>
      </c>
      <c r="F1231" s="1">
        <f t="shared" si="39"/>
        <v>42695</v>
      </c>
      <c r="G1231" cm="1">
        <f t="array" ref="G1231">PRODUCT( _xlfn._xlws.FILTER($E:$E, ($C:$C=C1231)*($F:$F=F1231)) ) - 1</f>
        <v>3.6780434063999889E-2</v>
      </c>
      <c r="J1231" t="str">
        <v>T</v>
      </c>
      <c r="K1231" s="1">
        <v>42198</v>
      </c>
      <c r="L1231">
        <v>2.3191522668431608E-2</v>
      </c>
    </row>
    <row r="1232" spans="1:12" x14ac:dyDescent="0.2">
      <c r="A1232" s="1">
        <v>42697</v>
      </c>
      <c r="B1232">
        <v>2</v>
      </c>
      <c r="C1232" t="s">
        <v>11</v>
      </c>
      <c r="D1232">
        <v>1.7979999999999999E-3</v>
      </c>
      <c r="E1232">
        <f t="shared" si="38"/>
        <v>1.001798</v>
      </c>
      <c r="F1232" s="1">
        <f t="shared" si="39"/>
        <v>42695</v>
      </c>
      <c r="G1232" cm="1">
        <f t="array" ref="G1232">PRODUCT( _xlfn._xlws.FILTER($E:$E, ($C:$C=C1232)*($F:$F=F1232)) ) - 1</f>
        <v>3.6780434063999889E-2</v>
      </c>
      <c r="J1232" t="str">
        <v>T</v>
      </c>
      <c r="K1232" s="1">
        <v>42205</v>
      </c>
      <c r="L1232">
        <v>-1.8445476683690676E-2</v>
      </c>
    </row>
    <row r="1233" spans="1:12" x14ac:dyDescent="0.2">
      <c r="A1233" s="1">
        <v>42698</v>
      </c>
      <c r="B1233">
        <v>2</v>
      </c>
      <c r="C1233" t="s">
        <v>11</v>
      </c>
      <c r="D1233">
        <v>3.3700000000000001E-4</v>
      </c>
      <c r="E1233">
        <f t="shared" si="38"/>
        <v>1.000337</v>
      </c>
      <c r="F1233" s="1">
        <f t="shared" si="39"/>
        <v>42695</v>
      </c>
      <c r="G1233" cm="1">
        <f t="array" ref="G1233">PRODUCT( _xlfn._xlws.FILTER($E:$E, ($C:$C=C1233)*($F:$F=F1233)) ) - 1</f>
        <v>3.6780434063999889E-2</v>
      </c>
      <c r="J1233" t="str">
        <v>T</v>
      </c>
      <c r="K1233" s="1">
        <v>42212</v>
      </c>
      <c r="L1233">
        <v>1.0868201830093627E-2</v>
      </c>
    </row>
    <row r="1234" spans="1:12" x14ac:dyDescent="0.2">
      <c r="A1234" s="1">
        <v>42699</v>
      </c>
      <c r="B1234">
        <v>2</v>
      </c>
      <c r="C1234" t="s">
        <v>11</v>
      </c>
      <c r="D1234">
        <v>1.1664000000000001E-2</v>
      </c>
      <c r="E1234">
        <f t="shared" si="38"/>
        <v>1.0116639999999999</v>
      </c>
      <c r="F1234" s="1">
        <f t="shared" si="39"/>
        <v>42695</v>
      </c>
      <c r="G1234" cm="1">
        <f t="array" ref="G1234">PRODUCT( _xlfn._xlws.FILTER($E:$E, ($C:$C=C1234)*($F:$F=F1234)) ) - 1</f>
        <v>3.6780434063999889E-2</v>
      </c>
      <c r="J1234" t="str">
        <v>T</v>
      </c>
      <c r="K1234" s="1">
        <v>42219</v>
      </c>
      <c r="L1234">
        <v>-1.7910086301929917E-3</v>
      </c>
    </row>
    <row r="1235" spans="1:12" x14ac:dyDescent="0.2">
      <c r="A1235" s="1">
        <v>42702</v>
      </c>
      <c r="B1235">
        <v>2</v>
      </c>
      <c r="C1235" t="s">
        <v>11</v>
      </c>
      <c r="D1235">
        <v>-7.9819999999999995E-3</v>
      </c>
      <c r="E1235">
        <f t="shared" si="38"/>
        <v>0.99201799999999996</v>
      </c>
      <c r="F1235" s="1">
        <f t="shared" si="39"/>
        <v>42702</v>
      </c>
      <c r="G1235" cm="1">
        <f t="array" ref="G1235">PRODUCT( _xlfn._xlws.FILTER($E:$E, ($C:$C=C1235)*($F:$F=F1235)) ) - 1</f>
        <v>-6.6508452060233259E-3</v>
      </c>
      <c r="J1235" t="str">
        <v>T</v>
      </c>
      <c r="K1235" s="1">
        <v>42226</v>
      </c>
      <c r="L1235">
        <v>-1.7947451411004511E-3</v>
      </c>
    </row>
    <row r="1236" spans="1:12" x14ac:dyDescent="0.2">
      <c r="A1236" s="1">
        <v>42703</v>
      </c>
      <c r="B1236">
        <v>2</v>
      </c>
      <c r="C1236" t="s">
        <v>11</v>
      </c>
      <c r="D1236">
        <v>3.241E-3</v>
      </c>
      <c r="E1236">
        <f t="shared" si="38"/>
        <v>1.003241</v>
      </c>
      <c r="F1236" s="1">
        <f t="shared" si="39"/>
        <v>42702</v>
      </c>
      <c r="G1236" cm="1">
        <f t="array" ref="G1236">PRODUCT( _xlfn._xlws.FILTER($E:$E, ($C:$C=C1236)*($F:$F=F1236)) ) - 1</f>
        <v>-6.6508452060233259E-3</v>
      </c>
      <c r="J1236" t="str">
        <v>T</v>
      </c>
      <c r="K1236" s="1">
        <v>42233</v>
      </c>
      <c r="L1236">
        <v>-1.0563638894931948E-2</v>
      </c>
    </row>
    <row r="1237" spans="1:12" x14ac:dyDescent="0.2">
      <c r="A1237" s="1">
        <v>42704</v>
      </c>
      <c r="B1237">
        <v>2</v>
      </c>
      <c r="C1237" t="s">
        <v>11</v>
      </c>
      <c r="D1237">
        <v>4.46E-4</v>
      </c>
      <c r="E1237">
        <f t="shared" si="38"/>
        <v>1.0004459999999999</v>
      </c>
      <c r="F1237" s="1">
        <f t="shared" si="39"/>
        <v>42702</v>
      </c>
      <c r="G1237" cm="1">
        <f t="array" ref="G1237">PRODUCT( _xlfn._xlws.FILTER($E:$E, ($C:$C=C1237)*($F:$F=F1237)) ) - 1</f>
        <v>-6.6508452060233259E-3</v>
      </c>
      <c r="J1237" t="str">
        <v>T</v>
      </c>
      <c r="K1237" s="1">
        <v>42240</v>
      </c>
      <c r="L1237">
        <v>-1.8627929659954079E-2</v>
      </c>
    </row>
    <row r="1238" spans="1:12" x14ac:dyDescent="0.2">
      <c r="A1238" s="1">
        <v>42705</v>
      </c>
      <c r="B1238">
        <v>2</v>
      </c>
      <c r="C1238" t="s">
        <v>11</v>
      </c>
      <c r="D1238">
        <v>4.7879999999999997E-3</v>
      </c>
      <c r="E1238">
        <f t="shared" si="38"/>
        <v>1.004788</v>
      </c>
      <c r="F1238" s="1">
        <f t="shared" si="39"/>
        <v>42702</v>
      </c>
      <c r="G1238" cm="1">
        <f t="array" ref="G1238">PRODUCT( _xlfn._xlws.FILTER($E:$E, ($C:$C=C1238)*($F:$F=F1238)) ) - 1</f>
        <v>-6.6508452060233259E-3</v>
      </c>
      <c r="J1238" t="str">
        <v>T</v>
      </c>
      <c r="K1238" s="1">
        <v>42247</v>
      </c>
      <c r="L1238">
        <v>-6.2511604539576826E-3</v>
      </c>
    </row>
    <row r="1239" spans="1:12" x14ac:dyDescent="0.2">
      <c r="A1239" s="1">
        <v>42706</v>
      </c>
      <c r="B1239">
        <v>2</v>
      </c>
      <c r="C1239" t="s">
        <v>11</v>
      </c>
      <c r="D1239">
        <v>-7.0920000000000002E-3</v>
      </c>
      <c r="E1239">
        <f t="shared" si="38"/>
        <v>0.99290800000000001</v>
      </c>
      <c r="F1239" s="1">
        <f t="shared" si="39"/>
        <v>42702</v>
      </c>
      <c r="G1239" cm="1">
        <f t="array" ref="G1239">PRODUCT( _xlfn._xlws.FILTER($E:$E, ($C:$C=C1239)*($F:$F=F1239)) ) - 1</f>
        <v>-6.6508452060233259E-3</v>
      </c>
      <c r="J1239" t="str">
        <v>T</v>
      </c>
      <c r="K1239" s="1">
        <v>42254</v>
      </c>
      <c r="L1239">
        <v>-1.4347275766849465E-2</v>
      </c>
    </row>
    <row r="1240" spans="1:12" x14ac:dyDescent="0.2">
      <c r="A1240" s="1">
        <v>42709</v>
      </c>
      <c r="B1240">
        <v>2</v>
      </c>
      <c r="C1240" t="s">
        <v>11</v>
      </c>
      <c r="D1240">
        <v>3.571E-3</v>
      </c>
      <c r="E1240">
        <f t="shared" si="38"/>
        <v>1.003571</v>
      </c>
      <c r="F1240" s="1">
        <f t="shared" si="39"/>
        <v>42709</v>
      </c>
      <c r="G1240" cm="1">
        <f t="array" ref="G1240">PRODUCT( _xlfn._xlws.FILTER($E:$E, ($C:$C=C1240)*($F:$F=F1240)) ) - 1</f>
        <v>2.6959787008868474E-2</v>
      </c>
      <c r="J1240" t="str">
        <v>T</v>
      </c>
      <c r="K1240" s="1">
        <v>42261</v>
      </c>
      <c r="L1240">
        <v>1.7184739001654847E-2</v>
      </c>
    </row>
    <row r="1241" spans="1:12" x14ac:dyDescent="0.2">
      <c r="A1241" s="1">
        <v>42710</v>
      </c>
      <c r="B1241">
        <v>2</v>
      </c>
      <c r="C1241" t="s">
        <v>11</v>
      </c>
      <c r="D1241">
        <v>3.3399999999999999E-4</v>
      </c>
      <c r="E1241">
        <f t="shared" si="38"/>
        <v>1.0003340000000001</v>
      </c>
      <c r="F1241" s="1">
        <f t="shared" si="39"/>
        <v>42709</v>
      </c>
      <c r="G1241" cm="1">
        <f t="array" ref="G1241">PRODUCT( _xlfn._xlws.FILTER($E:$E, ($C:$C=C1241)*($F:$F=F1241)) ) - 1</f>
        <v>2.6959787008868474E-2</v>
      </c>
      <c r="J1241" t="str">
        <v>T</v>
      </c>
      <c r="K1241" s="1">
        <v>42268</v>
      </c>
      <c r="L1241">
        <v>1.642980801335181E-3</v>
      </c>
    </row>
    <row r="1242" spans="1:12" x14ac:dyDescent="0.2">
      <c r="A1242" s="1">
        <v>42711</v>
      </c>
      <c r="B1242">
        <v>2</v>
      </c>
      <c r="C1242" t="s">
        <v>11</v>
      </c>
      <c r="D1242">
        <v>2.1177999999999999E-2</v>
      </c>
      <c r="E1242">
        <f t="shared" si="38"/>
        <v>1.0211779999999999</v>
      </c>
      <c r="F1242" s="1">
        <f t="shared" si="39"/>
        <v>42709</v>
      </c>
      <c r="G1242" cm="1">
        <f t="array" ref="G1242">PRODUCT( _xlfn._xlws.FILTER($E:$E, ($C:$C=C1242)*($F:$F=F1242)) ) - 1</f>
        <v>2.6959787008868474E-2</v>
      </c>
      <c r="J1242" t="str">
        <v>T</v>
      </c>
      <c r="K1242" s="1">
        <v>42275</v>
      </c>
      <c r="L1242">
        <v>-5.1534716243373246E-3</v>
      </c>
    </row>
    <row r="1243" spans="1:12" x14ac:dyDescent="0.2">
      <c r="A1243" s="1">
        <v>42712</v>
      </c>
      <c r="B1243">
        <v>2</v>
      </c>
      <c r="C1243" t="s">
        <v>11</v>
      </c>
      <c r="D1243">
        <v>6.8869999999999999E-3</v>
      </c>
      <c r="E1243">
        <f t="shared" si="38"/>
        <v>1.0068870000000001</v>
      </c>
      <c r="F1243" s="1">
        <f t="shared" si="39"/>
        <v>42709</v>
      </c>
      <c r="G1243" cm="1">
        <f t="array" ref="G1243">PRODUCT( _xlfn._xlws.FILTER($E:$E, ($C:$C=C1243)*($F:$F=F1243)) ) - 1</f>
        <v>2.6959787008868474E-2</v>
      </c>
      <c r="J1243" t="str">
        <v>T</v>
      </c>
      <c r="K1243" s="1">
        <v>42282</v>
      </c>
      <c r="L1243">
        <v>2.1202339344859045E-3</v>
      </c>
    </row>
    <row r="1244" spans="1:12" x14ac:dyDescent="0.2">
      <c r="A1244" s="1">
        <v>42713</v>
      </c>
      <c r="B1244">
        <v>2</v>
      </c>
      <c r="C1244" t="s">
        <v>11</v>
      </c>
      <c r="D1244">
        <v>-5.1029999999999999E-3</v>
      </c>
      <c r="E1244">
        <f t="shared" si="38"/>
        <v>0.99489700000000003</v>
      </c>
      <c r="F1244" s="1">
        <f t="shared" si="39"/>
        <v>42709</v>
      </c>
      <c r="G1244" cm="1">
        <f t="array" ref="G1244">PRODUCT( _xlfn._xlws.FILTER($E:$E, ($C:$C=C1244)*($F:$F=F1244)) ) - 1</f>
        <v>2.6959787008868474E-2</v>
      </c>
      <c r="J1244" t="str">
        <v>T</v>
      </c>
      <c r="K1244" s="1">
        <v>42289</v>
      </c>
      <c r="L1244">
        <v>-8.4582360251933553E-3</v>
      </c>
    </row>
    <row r="1245" spans="1:12" x14ac:dyDescent="0.2">
      <c r="A1245" s="1">
        <v>42716</v>
      </c>
      <c r="B1245">
        <v>2</v>
      </c>
      <c r="C1245" t="s">
        <v>11</v>
      </c>
      <c r="D1245">
        <v>-2.3133999999999998E-2</v>
      </c>
      <c r="E1245">
        <f t="shared" si="38"/>
        <v>0.97686600000000001</v>
      </c>
      <c r="F1245" s="1">
        <f t="shared" si="39"/>
        <v>42716</v>
      </c>
      <c r="G1245" cm="1">
        <f t="array" ref="G1245">PRODUCT( _xlfn._xlws.FILTER($E:$E, ($C:$C=C1245)*($F:$F=F1245)) ) - 1</f>
        <v>-2.3242501847850705E-2</v>
      </c>
      <c r="J1245" t="str">
        <v>T</v>
      </c>
      <c r="K1245" s="1">
        <v>42296</v>
      </c>
      <c r="L1245">
        <v>4.7630145354109921E-2</v>
      </c>
    </row>
    <row r="1246" spans="1:12" x14ac:dyDescent="0.2">
      <c r="A1246" s="1">
        <v>42717</v>
      </c>
      <c r="B1246">
        <v>2</v>
      </c>
      <c r="C1246" t="s">
        <v>11</v>
      </c>
      <c r="D1246">
        <v>3.7980000000000002E-3</v>
      </c>
      <c r="E1246">
        <f t="shared" si="38"/>
        <v>1.003798</v>
      </c>
      <c r="F1246" s="1">
        <f t="shared" si="39"/>
        <v>42716</v>
      </c>
      <c r="G1246" cm="1">
        <f t="array" ref="G1246">PRODUCT( _xlfn._xlws.FILTER($E:$E, ($C:$C=C1246)*($F:$F=F1246)) ) - 1</f>
        <v>-2.3242501847850705E-2</v>
      </c>
      <c r="J1246" t="str">
        <v>T</v>
      </c>
      <c r="K1246" s="1">
        <v>42303</v>
      </c>
      <c r="L1246">
        <v>-1.2893004945906061E-2</v>
      </c>
    </row>
    <row r="1247" spans="1:12" x14ac:dyDescent="0.2">
      <c r="A1247" s="1">
        <v>42718</v>
      </c>
      <c r="B1247">
        <v>2</v>
      </c>
      <c r="C1247" t="s">
        <v>11</v>
      </c>
      <c r="D1247">
        <v>-1.0683E-2</v>
      </c>
      <c r="E1247">
        <f t="shared" si="38"/>
        <v>0.989317</v>
      </c>
      <c r="F1247" s="1">
        <f t="shared" si="39"/>
        <v>42716</v>
      </c>
      <c r="G1247" cm="1">
        <f t="array" ref="G1247">PRODUCT( _xlfn._xlws.FILTER($E:$E, ($C:$C=C1247)*($F:$F=F1247)) ) - 1</f>
        <v>-2.3242501847850705E-2</v>
      </c>
      <c r="J1247" t="str">
        <v>T</v>
      </c>
      <c r="K1247" s="1">
        <v>42310</v>
      </c>
      <c r="L1247">
        <v>-4.8808155290580246E-2</v>
      </c>
    </row>
    <row r="1248" spans="1:12" x14ac:dyDescent="0.2">
      <c r="A1248" s="1">
        <v>42719</v>
      </c>
      <c r="B1248">
        <v>2</v>
      </c>
      <c r="C1248" t="s">
        <v>11</v>
      </c>
      <c r="D1248">
        <v>7.6490000000000004E-3</v>
      </c>
      <c r="E1248">
        <f t="shared" si="38"/>
        <v>1.007649</v>
      </c>
      <c r="F1248" s="1">
        <f t="shared" si="39"/>
        <v>42716</v>
      </c>
      <c r="G1248" cm="1">
        <f t="array" ref="G1248">PRODUCT( _xlfn._xlws.FILTER($E:$E, ($C:$C=C1248)*($F:$F=F1248)) ) - 1</f>
        <v>-2.3242501847850705E-2</v>
      </c>
      <c r="J1248" t="str">
        <v>T</v>
      </c>
      <c r="K1248" s="1">
        <v>42317</v>
      </c>
      <c r="L1248">
        <v>-3.2763283008569566E-2</v>
      </c>
    </row>
    <row r="1249" spans="1:12" x14ac:dyDescent="0.2">
      <c r="A1249" s="1">
        <v>42720</v>
      </c>
      <c r="B1249">
        <v>2</v>
      </c>
      <c r="C1249" t="s">
        <v>11</v>
      </c>
      <c r="D1249">
        <v>-7.8100000000000001E-4</v>
      </c>
      <c r="E1249">
        <f t="shared" si="38"/>
        <v>0.99921899999999997</v>
      </c>
      <c r="F1249" s="1">
        <f t="shared" si="39"/>
        <v>42716</v>
      </c>
      <c r="G1249" cm="1">
        <f t="array" ref="G1249">PRODUCT( _xlfn._xlws.FILTER($E:$E, ($C:$C=C1249)*($F:$F=F1249)) ) - 1</f>
        <v>-2.3242501847850705E-2</v>
      </c>
      <c r="J1249" t="str">
        <v>T</v>
      </c>
      <c r="K1249" s="1">
        <v>42324</v>
      </c>
      <c r="L1249">
        <v>4.0347738883084627E-2</v>
      </c>
    </row>
    <row r="1250" spans="1:12" x14ac:dyDescent="0.2">
      <c r="A1250" s="1">
        <v>42723</v>
      </c>
      <c r="B1250">
        <v>2</v>
      </c>
      <c r="C1250" t="s">
        <v>11</v>
      </c>
      <c r="D1250">
        <v>5.4739999999999997E-3</v>
      </c>
      <c r="E1250">
        <f t="shared" si="38"/>
        <v>1.005474</v>
      </c>
      <c r="F1250" s="1">
        <f t="shared" si="39"/>
        <v>42723</v>
      </c>
      <c r="G1250" cm="1">
        <f t="array" ref="G1250">PRODUCT( _xlfn._xlws.FILTER($E:$E, ($C:$C=C1250)*($F:$F=F1250)) ) - 1</f>
        <v>2.2455825593959533E-2</v>
      </c>
      <c r="J1250" t="str">
        <v>T</v>
      </c>
      <c r="K1250" s="1">
        <v>42331</v>
      </c>
      <c r="L1250">
        <v>4.7870493191894958E-3</v>
      </c>
    </row>
    <row r="1251" spans="1:12" x14ac:dyDescent="0.2">
      <c r="A1251" s="1">
        <v>42724</v>
      </c>
      <c r="B1251">
        <v>2</v>
      </c>
      <c r="C1251" t="s">
        <v>11</v>
      </c>
      <c r="D1251">
        <v>8.3330000000000001E-3</v>
      </c>
      <c r="E1251">
        <f t="shared" si="38"/>
        <v>1.0083329999999999</v>
      </c>
      <c r="F1251" s="1">
        <f t="shared" si="39"/>
        <v>42723</v>
      </c>
      <c r="G1251" cm="1">
        <f t="array" ref="G1251">PRODUCT( _xlfn._xlws.FILTER($E:$E, ($C:$C=C1251)*($F:$F=F1251)) ) - 1</f>
        <v>2.2455825593959533E-2</v>
      </c>
      <c r="J1251" t="str">
        <v>T</v>
      </c>
      <c r="K1251" s="1">
        <v>42338</v>
      </c>
      <c r="L1251">
        <v>-1.6680740135273098E-3</v>
      </c>
    </row>
    <row r="1252" spans="1:12" x14ac:dyDescent="0.2">
      <c r="A1252" s="1">
        <v>42725</v>
      </c>
      <c r="B1252">
        <v>2</v>
      </c>
      <c r="C1252" t="s">
        <v>11</v>
      </c>
      <c r="D1252">
        <v>4.5180000000000003E-3</v>
      </c>
      <c r="E1252">
        <f t="shared" si="38"/>
        <v>1.004518</v>
      </c>
      <c r="F1252" s="1">
        <f t="shared" si="39"/>
        <v>42723</v>
      </c>
      <c r="G1252" cm="1">
        <f t="array" ref="G1252">PRODUCT( _xlfn._xlws.FILTER($E:$E, ($C:$C=C1252)*($F:$F=F1252)) ) - 1</f>
        <v>2.2455825593959533E-2</v>
      </c>
      <c r="J1252" t="str">
        <v>T</v>
      </c>
      <c r="K1252" s="1">
        <v>42345</v>
      </c>
      <c r="L1252">
        <v>-5.6716153006387771E-2</v>
      </c>
    </row>
    <row r="1253" spans="1:12" x14ac:dyDescent="0.2">
      <c r="A1253" s="1">
        <v>42726</v>
      </c>
      <c r="B1253">
        <v>2</v>
      </c>
      <c r="C1253" t="s">
        <v>11</v>
      </c>
      <c r="D1253">
        <v>3.7299999999999998E-3</v>
      </c>
      <c r="E1253">
        <f t="shared" si="38"/>
        <v>1.00373</v>
      </c>
      <c r="F1253" s="1">
        <f t="shared" si="39"/>
        <v>42723</v>
      </c>
      <c r="G1253" cm="1">
        <f t="array" ref="G1253">PRODUCT( _xlfn._xlws.FILTER($E:$E, ($C:$C=C1253)*($F:$F=F1253)) ) - 1</f>
        <v>2.2455825593959533E-2</v>
      </c>
      <c r="J1253" t="str">
        <v>T</v>
      </c>
      <c r="K1253" s="1">
        <v>42352</v>
      </c>
      <c r="L1253">
        <v>-1.6883895160946349E-2</v>
      </c>
    </row>
    <row r="1254" spans="1:12" x14ac:dyDescent="0.2">
      <c r="A1254" s="1">
        <v>42727</v>
      </c>
      <c r="B1254">
        <v>2</v>
      </c>
      <c r="C1254" t="s">
        <v>11</v>
      </c>
      <c r="D1254">
        <v>2.1900000000000001E-4</v>
      </c>
      <c r="E1254">
        <f t="shared" si="38"/>
        <v>1.000219</v>
      </c>
      <c r="F1254" s="1">
        <f t="shared" si="39"/>
        <v>42723</v>
      </c>
      <c r="G1254" cm="1">
        <f t="array" ref="G1254">PRODUCT( _xlfn._xlws.FILTER($E:$E, ($C:$C=C1254)*($F:$F=F1254)) ) - 1</f>
        <v>2.2455825593959533E-2</v>
      </c>
      <c r="J1254" t="str">
        <v>T</v>
      </c>
      <c r="K1254" s="1">
        <v>42359</v>
      </c>
      <c r="L1254">
        <v>1.6653884919902273E-2</v>
      </c>
    </row>
    <row r="1255" spans="1:12" x14ac:dyDescent="0.2">
      <c r="A1255" s="1">
        <v>42732</v>
      </c>
      <c r="B1255">
        <v>2</v>
      </c>
      <c r="C1255" t="s">
        <v>11</v>
      </c>
      <c r="D1255">
        <v>2.4039999999999999E-3</v>
      </c>
      <c r="E1255">
        <f t="shared" si="38"/>
        <v>1.0024040000000001</v>
      </c>
      <c r="F1255" s="1">
        <f t="shared" si="39"/>
        <v>42730</v>
      </c>
      <c r="G1255" cm="1">
        <f t="array" ref="G1255">PRODUCT( _xlfn._xlws.FILTER($E:$E, ($C:$C=C1255)*($F:$F=F1255)) ) - 1</f>
        <v>-1.2674727677101205E-2</v>
      </c>
      <c r="J1255" t="str">
        <v>T</v>
      </c>
      <c r="K1255" s="1">
        <v>42366</v>
      </c>
      <c r="L1255">
        <v>-2.0731984538653547E-2</v>
      </c>
    </row>
    <row r="1256" spans="1:12" x14ac:dyDescent="0.2">
      <c r="A1256" s="1">
        <v>42733</v>
      </c>
      <c r="B1256">
        <v>2</v>
      </c>
      <c r="C1256" t="s">
        <v>11</v>
      </c>
      <c r="D1256">
        <v>1.09E-3</v>
      </c>
      <c r="E1256">
        <f t="shared" si="38"/>
        <v>1.00109</v>
      </c>
      <c r="F1256" s="1">
        <f t="shared" si="39"/>
        <v>42730</v>
      </c>
      <c r="G1256" cm="1">
        <f t="array" ref="G1256">PRODUCT( _xlfn._xlws.FILTER($E:$E, ($C:$C=C1256)*($F:$F=F1256)) ) - 1</f>
        <v>-1.2674727677101205E-2</v>
      </c>
      <c r="J1256" t="str">
        <v>T</v>
      </c>
      <c r="K1256" s="1">
        <v>42373</v>
      </c>
      <c r="L1256">
        <v>-2.1955348849454714E-2</v>
      </c>
    </row>
    <row r="1257" spans="1:12" x14ac:dyDescent="0.2">
      <c r="A1257" s="1">
        <v>42734</v>
      </c>
      <c r="B1257">
        <v>2</v>
      </c>
      <c r="C1257" t="s">
        <v>11</v>
      </c>
      <c r="D1257">
        <v>-1.6115000000000001E-2</v>
      </c>
      <c r="E1257">
        <f t="shared" si="38"/>
        <v>0.98388500000000001</v>
      </c>
      <c r="F1257" s="1">
        <f t="shared" si="39"/>
        <v>42730</v>
      </c>
      <c r="G1257" cm="1">
        <f t="array" ref="G1257">PRODUCT( _xlfn._xlws.FILTER($E:$E, ($C:$C=C1257)*($F:$F=F1257)) ) - 1</f>
        <v>-1.2674727677101205E-2</v>
      </c>
      <c r="J1257" t="str">
        <v>T</v>
      </c>
      <c r="K1257" s="1">
        <v>42380</v>
      </c>
      <c r="L1257">
        <v>-2.8594719754978515E-2</v>
      </c>
    </row>
    <row r="1258" spans="1:12" x14ac:dyDescent="0.2">
      <c r="A1258" s="1">
        <v>40911</v>
      </c>
      <c r="B1258">
        <v>0</v>
      </c>
      <c r="C1258" t="s">
        <v>12</v>
      </c>
      <c r="D1258">
        <v>-5.9930000000000001E-3</v>
      </c>
      <c r="E1258">
        <f t="shared" si="38"/>
        <v>0.99400699999999997</v>
      </c>
      <c r="F1258" s="1">
        <f t="shared" si="39"/>
        <v>40910</v>
      </c>
      <c r="G1258" cm="1">
        <f t="array" ref="G1258">PRODUCT( _xlfn._xlws.FILTER($E:$E, ($C:$C=C1258)*($F:$F=F1258)) ) - 1</f>
        <v>-1.1986274411430409E-2</v>
      </c>
      <c r="J1258" t="str">
        <v>T</v>
      </c>
      <c r="K1258" s="1">
        <v>42387</v>
      </c>
      <c r="L1258">
        <v>3.246201911879365E-2</v>
      </c>
    </row>
    <row r="1259" spans="1:12" x14ac:dyDescent="0.2">
      <c r="A1259" s="1">
        <v>40912</v>
      </c>
      <c r="B1259">
        <v>0</v>
      </c>
      <c r="C1259" t="s">
        <v>12</v>
      </c>
      <c r="D1259">
        <v>1.508E-3</v>
      </c>
      <c r="E1259">
        <f t="shared" si="38"/>
        <v>1.0015080000000001</v>
      </c>
      <c r="F1259" s="1">
        <f t="shared" si="39"/>
        <v>40910</v>
      </c>
      <c r="G1259" cm="1">
        <f t="array" ref="G1259">PRODUCT( _xlfn._xlws.FILTER($E:$E, ($C:$C=C1259)*($F:$F=F1259)) ) - 1</f>
        <v>-1.1986274411430409E-2</v>
      </c>
      <c r="J1259" t="str">
        <v>T</v>
      </c>
      <c r="K1259" s="1">
        <v>42394</v>
      </c>
      <c r="L1259">
        <v>3.8369204773833543E-2</v>
      </c>
    </row>
    <row r="1260" spans="1:12" x14ac:dyDescent="0.2">
      <c r="A1260" s="1">
        <v>40913</v>
      </c>
      <c r="B1260">
        <v>0</v>
      </c>
      <c r="C1260" t="s">
        <v>12</v>
      </c>
      <c r="D1260">
        <v>-1.174E-2</v>
      </c>
      <c r="E1260">
        <f t="shared" si="38"/>
        <v>0.98826000000000003</v>
      </c>
      <c r="F1260" s="1">
        <f t="shared" si="39"/>
        <v>40910</v>
      </c>
      <c r="G1260" cm="1">
        <f t="array" ref="G1260">PRODUCT( _xlfn._xlws.FILTER($E:$E, ($C:$C=C1260)*($F:$F=F1260)) ) - 1</f>
        <v>-1.1986274411430409E-2</v>
      </c>
      <c r="J1260" t="str">
        <v>T</v>
      </c>
      <c r="K1260" s="1">
        <v>42401</v>
      </c>
      <c r="L1260">
        <v>3.7979208558808875E-2</v>
      </c>
    </row>
    <row r="1261" spans="1:12" x14ac:dyDescent="0.2">
      <c r="A1261" s="1">
        <v>40914</v>
      </c>
      <c r="B1261">
        <v>0</v>
      </c>
      <c r="C1261" t="s">
        <v>12</v>
      </c>
      <c r="D1261">
        <v>4.2640000000000004E-3</v>
      </c>
      <c r="E1261">
        <f t="shared" si="38"/>
        <v>1.004264</v>
      </c>
      <c r="F1261" s="1">
        <f t="shared" si="39"/>
        <v>40910</v>
      </c>
      <c r="G1261" cm="1">
        <f t="array" ref="G1261">PRODUCT( _xlfn._xlws.FILTER($E:$E, ($C:$C=C1261)*($F:$F=F1261)) ) - 1</f>
        <v>-1.1986274411430409E-2</v>
      </c>
      <c r="J1261" t="str">
        <v>T</v>
      </c>
      <c r="K1261" s="1">
        <v>42408</v>
      </c>
      <c r="L1261">
        <v>-2.4721766553406632E-2</v>
      </c>
    </row>
    <row r="1262" spans="1:12" x14ac:dyDescent="0.2">
      <c r="A1262" s="1">
        <v>40917</v>
      </c>
      <c r="B1262">
        <v>0</v>
      </c>
      <c r="C1262" t="s">
        <v>12</v>
      </c>
      <c r="D1262">
        <v>8.1890000000000001E-3</v>
      </c>
      <c r="E1262">
        <f t="shared" si="38"/>
        <v>1.008189</v>
      </c>
      <c r="F1262" s="1">
        <f t="shared" si="39"/>
        <v>40917</v>
      </c>
      <c r="G1262" cm="1">
        <f t="array" ref="G1262">PRODUCT( _xlfn._xlws.FILTER($E:$E, ($C:$C=C1262)*($F:$F=F1262)) ) - 1</f>
        <v>-5.4596118617219469E-3</v>
      </c>
      <c r="J1262" t="str">
        <v>T</v>
      </c>
      <c r="K1262" s="1">
        <v>42415</v>
      </c>
      <c r="L1262">
        <v>-1.5218890440160671E-3</v>
      </c>
    </row>
    <row r="1263" spans="1:12" x14ac:dyDescent="0.2">
      <c r="A1263" s="1">
        <v>40918</v>
      </c>
      <c r="B1263">
        <v>0</v>
      </c>
      <c r="C1263" t="s">
        <v>12</v>
      </c>
      <c r="D1263">
        <v>-6.0169999999999998E-3</v>
      </c>
      <c r="E1263">
        <f t="shared" si="38"/>
        <v>0.99398299999999995</v>
      </c>
      <c r="F1263" s="1">
        <f t="shared" si="39"/>
        <v>40917</v>
      </c>
      <c r="G1263" cm="1">
        <f t="array" ref="G1263">PRODUCT( _xlfn._xlws.FILTER($E:$E, ($C:$C=C1263)*($F:$F=F1263)) ) - 1</f>
        <v>-5.4596118617219469E-3</v>
      </c>
      <c r="J1263" t="str">
        <v>T</v>
      </c>
      <c r="K1263" s="1">
        <v>42422</v>
      </c>
      <c r="L1263">
        <v>-5.8382065352040602E-3</v>
      </c>
    </row>
    <row r="1264" spans="1:12" x14ac:dyDescent="0.2">
      <c r="A1264" s="1">
        <v>40919</v>
      </c>
      <c r="B1264">
        <v>0</v>
      </c>
      <c r="C1264" t="s">
        <v>12</v>
      </c>
      <c r="D1264">
        <v>-7.5669999999999999E-3</v>
      </c>
      <c r="E1264">
        <f t="shared" si="38"/>
        <v>0.99243300000000001</v>
      </c>
      <c r="F1264" s="1">
        <f t="shared" si="39"/>
        <v>40917</v>
      </c>
      <c r="G1264" cm="1">
        <f t="array" ref="G1264">PRODUCT( _xlfn._xlws.FILTER($E:$E, ($C:$C=C1264)*($F:$F=F1264)) ) - 1</f>
        <v>-5.4596118617219469E-3</v>
      </c>
      <c r="J1264" t="str">
        <v>T</v>
      </c>
      <c r="K1264" s="1">
        <v>42429</v>
      </c>
      <c r="L1264">
        <v>7.6623075931947504E-4</v>
      </c>
    </row>
    <row r="1265" spans="1:12" x14ac:dyDescent="0.2">
      <c r="A1265" s="1">
        <v>40920</v>
      </c>
      <c r="B1265">
        <v>0</v>
      </c>
      <c r="C1265" t="s">
        <v>12</v>
      </c>
      <c r="D1265">
        <v>3.0500000000000002E-3</v>
      </c>
      <c r="E1265">
        <f t="shared" si="38"/>
        <v>1.00305</v>
      </c>
      <c r="F1265" s="1">
        <f t="shared" si="39"/>
        <v>40917</v>
      </c>
      <c r="G1265" cm="1">
        <f t="array" ref="G1265">PRODUCT( _xlfn._xlws.FILTER($E:$E, ($C:$C=C1265)*($F:$F=F1265)) ) - 1</f>
        <v>-5.4596118617219469E-3</v>
      </c>
      <c r="J1265" t="str">
        <v>T</v>
      </c>
      <c r="K1265" s="1">
        <v>42436</v>
      </c>
      <c r="L1265">
        <v>5.3464110838026269E-2</v>
      </c>
    </row>
    <row r="1266" spans="1:12" x14ac:dyDescent="0.2">
      <c r="A1266" s="1">
        <v>40921</v>
      </c>
      <c r="B1266">
        <v>0</v>
      </c>
      <c r="C1266" t="s">
        <v>12</v>
      </c>
      <c r="D1266">
        <v>-3.0400000000000002E-3</v>
      </c>
      <c r="E1266">
        <f t="shared" si="38"/>
        <v>0.99695999999999996</v>
      </c>
      <c r="F1266" s="1">
        <f t="shared" si="39"/>
        <v>40917</v>
      </c>
      <c r="G1266" cm="1">
        <f t="array" ref="G1266">PRODUCT( _xlfn._xlws.FILTER($E:$E, ($C:$C=C1266)*($F:$F=F1266)) ) - 1</f>
        <v>-5.4596118617219469E-3</v>
      </c>
      <c r="J1266" t="str">
        <v>T</v>
      </c>
      <c r="K1266" s="1">
        <v>42443</v>
      </c>
      <c r="L1266">
        <v>4.895934088331666E-3</v>
      </c>
    </row>
    <row r="1267" spans="1:12" x14ac:dyDescent="0.2">
      <c r="A1267" s="1">
        <v>40924</v>
      </c>
      <c r="B1267">
        <v>0</v>
      </c>
      <c r="C1267" t="s">
        <v>12</v>
      </c>
      <c r="D1267">
        <v>7.9290000000000003E-3</v>
      </c>
      <c r="E1267">
        <f t="shared" si="38"/>
        <v>1.0079290000000001</v>
      </c>
      <c r="F1267" s="1">
        <f t="shared" si="39"/>
        <v>40924</v>
      </c>
      <c r="G1267" cm="1">
        <f t="array" ref="G1267">PRODUCT( _xlfn._xlws.FILTER($E:$E, ($C:$C=C1267)*($F:$F=F1267)) ) - 1</f>
        <v>1.4943313492695731E-2</v>
      </c>
      <c r="J1267" t="str">
        <v>T</v>
      </c>
      <c r="K1267" s="1">
        <v>42450</v>
      </c>
      <c r="L1267">
        <v>1.4863624354912952E-2</v>
      </c>
    </row>
    <row r="1268" spans="1:12" x14ac:dyDescent="0.2">
      <c r="A1268" s="1">
        <v>40925</v>
      </c>
      <c r="B1268">
        <v>0</v>
      </c>
      <c r="C1268" t="s">
        <v>12</v>
      </c>
      <c r="D1268">
        <v>3.6310000000000001E-3</v>
      </c>
      <c r="E1268">
        <f t="shared" si="38"/>
        <v>1.0036309999999999</v>
      </c>
      <c r="F1268" s="1">
        <f t="shared" si="39"/>
        <v>40924</v>
      </c>
      <c r="G1268" cm="1">
        <f t="array" ref="G1268">PRODUCT( _xlfn._xlws.FILTER($E:$E, ($C:$C=C1268)*($F:$F=F1268)) ) - 1</f>
        <v>1.4943313492695731E-2</v>
      </c>
      <c r="J1268" t="str">
        <v>T</v>
      </c>
      <c r="K1268" s="1">
        <v>42457</v>
      </c>
      <c r="L1268">
        <v>1.1524797737911152E-2</v>
      </c>
    </row>
    <row r="1269" spans="1:12" x14ac:dyDescent="0.2">
      <c r="A1269" s="1">
        <v>40926</v>
      </c>
      <c r="B1269">
        <v>0</v>
      </c>
      <c r="C1269" t="s">
        <v>12</v>
      </c>
      <c r="D1269">
        <v>6.9340000000000001E-3</v>
      </c>
      <c r="E1269">
        <f t="shared" si="38"/>
        <v>1.006934</v>
      </c>
      <c r="F1269" s="1">
        <f t="shared" si="39"/>
        <v>40924</v>
      </c>
      <c r="G1269" cm="1">
        <f t="array" ref="G1269">PRODUCT( _xlfn._xlws.FILTER($E:$E, ($C:$C=C1269)*($F:$F=F1269)) ) - 1</f>
        <v>1.4943313492695731E-2</v>
      </c>
      <c r="J1269" t="str">
        <v>T</v>
      </c>
      <c r="K1269" s="1">
        <v>42464</v>
      </c>
      <c r="L1269">
        <v>-1.827581079283469E-2</v>
      </c>
    </row>
    <row r="1270" spans="1:12" x14ac:dyDescent="0.2">
      <c r="A1270" s="1">
        <v>40927</v>
      </c>
      <c r="B1270">
        <v>0</v>
      </c>
      <c r="C1270" t="s">
        <v>12</v>
      </c>
      <c r="D1270">
        <v>-5.6889999999999996E-3</v>
      </c>
      <c r="E1270">
        <f t="shared" si="38"/>
        <v>0.99431099999999994</v>
      </c>
      <c r="F1270" s="1">
        <f t="shared" si="39"/>
        <v>40924</v>
      </c>
      <c r="G1270" cm="1">
        <f t="array" ref="G1270">PRODUCT( _xlfn._xlws.FILTER($E:$E, ($C:$C=C1270)*($F:$F=F1270)) ) - 1</f>
        <v>1.4943313492695731E-2</v>
      </c>
      <c r="J1270" t="str">
        <v>T</v>
      </c>
      <c r="K1270" s="1">
        <v>42471</v>
      </c>
      <c r="L1270">
        <v>-2.3936490852118575E-2</v>
      </c>
    </row>
    <row r="1271" spans="1:12" x14ac:dyDescent="0.2">
      <c r="A1271" s="1">
        <v>40928</v>
      </c>
      <c r="B1271">
        <v>0</v>
      </c>
      <c r="C1271" t="s">
        <v>12</v>
      </c>
      <c r="D1271">
        <v>2.1080000000000001E-3</v>
      </c>
      <c r="E1271">
        <f t="shared" si="38"/>
        <v>1.002108</v>
      </c>
      <c r="F1271" s="1">
        <f t="shared" si="39"/>
        <v>40924</v>
      </c>
      <c r="G1271" cm="1">
        <f t="array" ref="G1271">PRODUCT( _xlfn._xlws.FILTER($E:$E, ($C:$C=C1271)*($F:$F=F1271)) ) - 1</f>
        <v>1.4943313492695731E-2</v>
      </c>
      <c r="J1271" t="str">
        <v>T</v>
      </c>
      <c r="K1271" s="1">
        <v>42478</v>
      </c>
      <c r="L1271">
        <v>-2.4027301435177506E-2</v>
      </c>
    </row>
    <row r="1272" spans="1:12" x14ac:dyDescent="0.2">
      <c r="A1272" s="1">
        <v>40931</v>
      </c>
      <c r="B1272">
        <v>0</v>
      </c>
      <c r="C1272" t="s">
        <v>12</v>
      </c>
      <c r="D1272">
        <v>-3.0049999999999999E-3</v>
      </c>
      <c r="E1272">
        <f t="shared" si="38"/>
        <v>0.99699499999999996</v>
      </c>
      <c r="F1272" s="1">
        <f t="shared" si="39"/>
        <v>40931</v>
      </c>
      <c r="G1272" cm="1">
        <f t="array" ref="G1272">PRODUCT( _xlfn._xlws.FILTER($E:$E, ($C:$C=C1272)*($F:$F=F1272)) ) - 1</f>
        <v>1.8021941944219577E-3</v>
      </c>
      <c r="J1272" t="str">
        <v>T</v>
      </c>
      <c r="K1272" s="1">
        <v>42485</v>
      </c>
      <c r="L1272">
        <v>9.6453076146316707E-3</v>
      </c>
    </row>
    <row r="1273" spans="1:12" x14ac:dyDescent="0.2">
      <c r="A1273" s="1">
        <v>40932</v>
      </c>
      <c r="B1273">
        <v>0</v>
      </c>
      <c r="C1273" t="s">
        <v>12</v>
      </c>
      <c r="D1273">
        <v>8.1370000000000001E-3</v>
      </c>
      <c r="E1273">
        <f t="shared" si="38"/>
        <v>1.0081370000000001</v>
      </c>
      <c r="F1273" s="1">
        <f t="shared" si="39"/>
        <v>40931</v>
      </c>
      <c r="G1273" cm="1">
        <f t="array" ref="G1273">PRODUCT( _xlfn._xlws.FILTER($E:$E, ($C:$C=C1273)*($F:$F=F1273)) ) - 1</f>
        <v>1.8021941944219577E-3</v>
      </c>
      <c r="J1273" t="str">
        <v>T</v>
      </c>
      <c r="K1273" s="1">
        <v>42492</v>
      </c>
      <c r="L1273">
        <v>3.7715021804534121E-3</v>
      </c>
    </row>
    <row r="1274" spans="1:12" x14ac:dyDescent="0.2">
      <c r="A1274" s="1">
        <v>40933</v>
      </c>
      <c r="B1274">
        <v>0</v>
      </c>
      <c r="C1274" t="s">
        <v>12</v>
      </c>
      <c r="D1274">
        <v>-2.6909999999999998E-3</v>
      </c>
      <c r="E1274">
        <f t="shared" si="38"/>
        <v>0.997309</v>
      </c>
      <c r="F1274" s="1">
        <f t="shared" si="39"/>
        <v>40931</v>
      </c>
      <c r="G1274" cm="1">
        <f t="array" ref="G1274">PRODUCT( _xlfn._xlws.FILTER($E:$E, ($C:$C=C1274)*($F:$F=F1274)) ) - 1</f>
        <v>1.8021941944219577E-3</v>
      </c>
      <c r="J1274" t="str">
        <v>T</v>
      </c>
      <c r="K1274" s="1">
        <v>42499</v>
      </c>
      <c r="L1274">
        <v>1.5026193065536431E-2</v>
      </c>
    </row>
    <row r="1275" spans="1:12" x14ac:dyDescent="0.2">
      <c r="A1275" s="1">
        <v>40934</v>
      </c>
      <c r="B1275">
        <v>0</v>
      </c>
      <c r="C1275" t="s">
        <v>12</v>
      </c>
      <c r="D1275">
        <v>2.398E-3</v>
      </c>
      <c r="E1275">
        <f t="shared" si="38"/>
        <v>1.0023979999999999</v>
      </c>
      <c r="F1275" s="1">
        <f t="shared" si="39"/>
        <v>40931</v>
      </c>
      <c r="G1275" cm="1">
        <f t="array" ref="G1275">PRODUCT( _xlfn._xlws.FILTER($E:$E, ($C:$C=C1275)*($F:$F=F1275)) ) - 1</f>
        <v>1.8021941944219577E-3</v>
      </c>
      <c r="J1275" t="str">
        <v>T</v>
      </c>
      <c r="K1275" s="1">
        <v>42506</v>
      </c>
      <c r="L1275">
        <v>1.72695767305453E-3</v>
      </c>
    </row>
    <row r="1276" spans="1:12" x14ac:dyDescent="0.2">
      <c r="A1276" s="1">
        <v>40935</v>
      </c>
      <c r="B1276">
        <v>0</v>
      </c>
      <c r="C1276" t="s">
        <v>12</v>
      </c>
      <c r="D1276">
        <v>-2.99E-3</v>
      </c>
      <c r="E1276">
        <f t="shared" si="38"/>
        <v>0.99700999999999995</v>
      </c>
      <c r="F1276" s="1">
        <f t="shared" si="39"/>
        <v>40931</v>
      </c>
      <c r="G1276" cm="1">
        <f t="array" ref="G1276">PRODUCT( _xlfn._xlws.FILTER($E:$E, ($C:$C=C1276)*($F:$F=F1276)) ) - 1</f>
        <v>1.8021941944219577E-3</v>
      </c>
      <c r="J1276" t="str">
        <v>T</v>
      </c>
      <c r="K1276" s="1">
        <v>42513</v>
      </c>
      <c r="L1276">
        <v>2.3891833400686568E-2</v>
      </c>
    </row>
    <row r="1277" spans="1:12" x14ac:dyDescent="0.2">
      <c r="A1277" s="1">
        <v>40938</v>
      </c>
      <c r="B1277">
        <v>0</v>
      </c>
      <c r="C1277" t="s">
        <v>12</v>
      </c>
      <c r="D1277">
        <v>6.5989999999999998E-3</v>
      </c>
      <c r="E1277">
        <f t="shared" si="38"/>
        <v>1.006599</v>
      </c>
      <c r="F1277" s="1">
        <f t="shared" si="39"/>
        <v>40938</v>
      </c>
      <c r="G1277" cm="1">
        <f t="array" ref="G1277">PRODUCT( _xlfn._xlws.FILTER($E:$E, ($C:$C=C1277)*($F:$F=F1277)) ) - 1</f>
        <v>1.8295615278672628E-2</v>
      </c>
      <c r="J1277" t="str">
        <v>T</v>
      </c>
      <c r="K1277" s="1">
        <v>42520</v>
      </c>
      <c r="L1277">
        <v>1.2026178841586521E-3</v>
      </c>
    </row>
    <row r="1278" spans="1:12" x14ac:dyDescent="0.2">
      <c r="A1278" s="1">
        <v>40939</v>
      </c>
      <c r="B1278">
        <v>0</v>
      </c>
      <c r="C1278" t="s">
        <v>12</v>
      </c>
      <c r="D1278">
        <v>-5.0660000000000002E-3</v>
      </c>
      <c r="E1278">
        <f t="shared" si="38"/>
        <v>0.99493399999999999</v>
      </c>
      <c r="F1278" s="1">
        <f t="shared" si="39"/>
        <v>40938</v>
      </c>
      <c r="G1278" cm="1">
        <f t="array" ref="G1278">PRODUCT( _xlfn._xlws.FILTER($E:$E, ($C:$C=C1278)*($F:$F=F1278)) ) - 1</f>
        <v>1.8295615278672628E-2</v>
      </c>
      <c r="J1278" t="str">
        <v>T</v>
      </c>
      <c r="K1278" s="1">
        <v>42527</v>
      </c>
      <c r="L1278">
        <v>-1.404894597272266E-2</v>
      </c>
    </row>
    <row r="1279" spans="1:12" x14ac:dyDescent="0.2">
      <c r="A1279" s="1">
        <v>40940</v>
      </c>
      <c r="B1279">
        <v>0</v>
      </c>
      <c r="C1279" t="s">
        <v>12</v>
      </c>
      <c r="D1279">
        <v>2.3960000000000001E-3</v>
      </c>
      <c r="E1279">
        <f t="shared" si="38"/>
        <v>1.0023960000000001</v>
      </c>
      <c r="F1279" s="1">
        <f t="shared" si="39"/>
        <v>40938</v>
      </c>
      <c r="G1279" cm="1">
        <f t="array" ref="G1279">PRODUCT( _xlfn._xlws.FILTER($E:$E, ($C:$C=C1279)*($F:$F=F1279)) ) - 1</f>
        <v>1.8295615278672628E-2</v>
      </c>
      <c r="J1279" t="str">
        <v>T</v>
      </c>
      <c r="K1279" s="1">
        <v>42534</v>
      </c>
      <c r="L1279">
        <v>1.9713504638884993E-2</v>
      </c>
    </row>
    <row r="1280" spans="1:12" x14ac:dyDescent="0.2">
      <c r="A1280" s="1">
        <v>40941</v>
      </c>
      <c r="B1280">
        <v>0</v>
      </c>
      <c r="C1280" t="s">
        <v>12</v>
      </c>
      <c r="D1280">
        <v>1.1353E-2</v>
      </c>
      <c r="E1280">
        <f t="shared" si="38"/>
        <v>1.0113529999999999</v>
      </c>
      <c r="F1280" s="1">
        <f t="shared" si="39"/>
        <v>40938</v>
      </c>
      <c r="G1280" cm="1">
        <f t="array" ref="G1280">PRODUCT( _xlfn._xlws.FILTER($E:$E, ($C:$C=C1280)*($F:$F=F1280)) ) - 1</f>
        <v>1.8295615278672628E-2</v>
      </c>
      <c r="J1280" t="str">
        <v>T</v>
      </c>
      <c r="K1280" s="1">
        <v>42541</v>
      </c>
      <c r="L1280">
        <v>-1.0633283300020113E-2</v>
      </c>
    </row>
    <row r="1281" spans="1:12" x14ac:dyDescent="0.2">
      <c r="A1281" s="1">
        <v>40942</v>
      </c>
      <c r="B1281">
        <v>0</v>
      </c>
      <c r="C1281" t="s">
        <v>12</v>
      </c>
      <c r="D1281">
        <v>2.954E-3</v>
      </c>
      <c r="E1281">
        <f t="shared" si="38"/>
        <v>1.0029539999999999</v>
      </c>
      <c r="F1281" s="1">
        <f t="shared" si="39"/>
        <v>40938</v>
      </c>
      <c r="G1281" cm="1">
        <f t="array" ref="G1281">PRODUCT( _xlfn._xlws.FILTER($E:$E, ($C:$C=C1281)*($F:$F=F1281)) ) - 1</f>
        <v>1.8295615278672628E-2</v>
      </c>
      <c r="J1281" t="str">
        <v>T</v>
      </c>
      <c r="K1281" s="1">
        <v>42548</v>
      </c>
      <c r="L1281">
        <v>1.6121356763388217E-2</v>
      </c>
    </row>
    <row r="1282" spans="1:12" x14ac:dyDescent="0.2">
      <c r="A1282" s="1">
        <v>40945</v>
      </c>
      <c r="B1282">
        <v>0</v>
      </c>
      <c r="C1282" t="s">
        <v>12</v>
      </c>
      <c r="D1282">
        <v>0</v>
      </c>
      <c r="E1282">
        <f t="shared" si="38"/>
        <v>1</v>
      </c>
      <c r="F1282" s="1">
        <f t="shared" si="39"/>
        <v>40945</v>
      </c>
      <c r="G1282" cm="1">
        <f t="array" ref="G1282">PRODUCT( _xlfn._xlws.FILTER($E:$E, ($C:$C=C1282)*($F:$F=F1282)) ) - 1</f>
        <v>-1.0014912342683258E-2</v>
      </c>
      <c r="J1282" t="str">
        <v>T</v>
      </c>
      <c r="K1282" s="1">
        <v>42555</v>
      </c>
      <c r="L1282">
        <v>2.932747559711113E-2</v>
      </c>
    </row>
    <row r="1283" spans="1:12" x14ac:dyDescent="0.2">
      <c r="A1283" s="1">
        <v>40946</v>
      </c>
      <c r="B1283">
        <v>0</v>
      </c>
      <c r="C1283" t="s">
        <v>12</v>
      </c>
      <c r="D1283">
        <v>-8.8400000000000002E-4</v>
      </c>
      <c r="E1283">
        <f t="shared" si="38"/>
        <v>0.999116</v>
      </c>
      <c r="F1283" s="1">
        <f t="shared" si="39"/>
        <v>40945</v>
      </c>
      <c r="G1283" cm="1">
        <f t="array" ref="G1283">PRODUCT( _xlfn._xlws.FILTER($E:$E, ($C:$C=C1283)*($F:$F=F1283)) ) - 1</f>
        <v>-1.0014912342683258E-2</v>
      </c>
      <c r="J1283" t="str">
        <v>T</v>
      </c>
      <c r="K1283" s="1">
        <v>42562</v>
      </c>
      <c r="L1283">
        <v>3.503683092844101E-3</v>
      </c>
    </row>
    <row r="1284" spans="1:12" x14ac:dyDescent="0.2">
      <c r="A1284" s="1">
        <v>40947</v>
      </c>
      <c r="B1284">
        <v>0</v>
      </c>
      <c r="C1284" t="s">
        <v>12</v>
      </c>
      <c r="D1284">
        <v>4.7169999999999998E-3</v>
      </c>
      <c r="E1284">
        <f t="shared" ref="E1284:E1347" si="40">D1284+1</f>
        <v>1.0047170000000001</v>
      </c>
      <c r="F1284" s="1">
        <f t="shared" ref="F1284:F1347" si="41">A1284 - (WEEKDAY(A1284, 2) - 1)</f>
        <v>40945</v>
      </c>
      <c r="G1284" cm="1">
        <f t="array" ref="G1284">PRODUCT( _xlfn._xlws.FILTER($E:$E, ($C:$C=C1284)*($F:$F=F1284)) ) - 1</f>
        <v>-1.0014912342683258E-2</v>
      </c>
      <c r="J1284" t="str">
        <v>T</v>
      </c>
      <c r="K1284" s="1">
        <v>42569</v>
      </c>
      <c r="L1284">
        <v>2.3038743422758579E-2</v>
      </c>
    </row>
    <row r="1285" spans="1:12" x14ac:dyDescent="0.2">
      <c r="A1285" s="1">
        <v>40948</v>
      </c>
      <c r="B1285">
        <v>0</v>
      </c>
      <c r="C1285" t="s">
        <v>12</v>
      </c>
      <c r="D1285">
        <v>-5.5750000000000001E-3</v>
      </c>
      <c r="E1285">
        <f t="shared" si="40"/>
        <v>0.994425</v>
      </c>
      <c r="F1285" s="1">
        <f t="shared" si="41"/>
        <v>40945</v>
      </c>
      <c r="G1285" cm="1">
        <f t="array" ref="G1285">PRODUCT( _xlfn._xlws.FILTER($E:$E, ($C:$C=C1285)*($F:$F=F1285)) ) - 1</f>
        <v>-1.0014912342683258E-2</v>
      </c>
      <c r="J1285" t="str">
        <v>T</v>
      </c>
      <c r="K1285" s="1">
        <v>42576</v>
      </c>
      <c r="L1285">
        <v>-6.1421069670650752E-3</v>
      </c>
    </row>
    <row r="1286" spans="1:12" x14ac:dyDescent="0.2">
      <c r="A1286" s="1">
        <v>40949</v>
      </c>
      <c r="B1286">
        <v>0</v>
      </c>
      <c r="C1286" t="s">
        <v>12</v>
      </c>
      <c r="D1286">
        <v>-8.2620000000000002E-3</v>
      </c>
      <c r="E1286">
        <f t="shared" si="40"/>
        <v>0.99173800000000001</v>
      </c>
      <c r="F1286" s="1">
        <f t="shared" si="41"/>
        <v>40945</v>
      </c>
      <c r="G1286" cm="1">
        <f t="array" ref="G1286">PRODUCT( _xlfn._xlws.FILTER($E:$E, ($C:$C=C1286)*($F:$F=F1286)) ) - 1</f>
        <v>-1.0014912342683258E-2</v>
      </c>
      <c r="J1286" t="str">
        <v>T</v>
      </c>
      <c r="K1286" s="1">
        <v>42583</v>
      </c>
      <c r="L1286">
        <v>-5.4929607697997707E-3</v>
      </c>
    </row>
    <row r="1287" spans="1:12" x14ac:dyDescent="0.2">
      <c r="A1287" s="1">
        <v>40952</v>
      </c>
      <c r="B1287">
        <v>0</v>
      </c>
      <c r="C1287" t="s">
        <v>12</v>
      </c>
      <c r="D1287">
        <v>-2.0830000000000002E-3</v>
      </c>
      <c r="E1287">
        <f t="shared" si="40"/>
        <v>0.99791700000000005</v>
      </c>
      <c r="F1287" s="1">
        <f t="shared" si="41"/>
        <v>40952</v>
      </c>
      <c r="G1287" cm="1">
        <f t="array" ref="G1287">PRODUCT( _xlfn._xlws.FILTER($E:$E, ($C:$C=C1287)*($F:$F=F1287)) ) - 1</f>
        <v>-1.3791177889500239E-2</v>
      </c>
      <c r="J1287" t="str">
        <v>T</v>
      </c>
      <c r="K1287" s="1">
        <v>42590</v>
      </c>
      <c r="L1287">
        <v>5.293101262440647E-3</v>
      </c>
    </row>
    <row r="1288" spans="1:12" x14ac:dyDescent="0.2">
      <c r="A1288" s="1">
        <v>40953</v>
      </c>
      <c r="B1288">
        <v>0</v>
      </c>
      <c r="C1288" t="s">
        <v>12</v>
      </c>
      <c r="D1288">
        <v>-7.5209999999999999E-3</v>
      </c>
      <c r="E1288">
        <f t="shared" si="40"/>
        <v>0.992479</v>
      </c>
      <c r="F1288" s="1">
        <f t="shared" si="41"/>
        <v>40952</v>
      </c>
      <c r="G1288" cm="1">
        <f t="array" ref="G1288">PRODUCT( _xlfn._xlws.FILTER($E:$E, ($C:$C=C1288)*($F:$F=F1288)) ) - 1</f>
        <v>-1.3791177889500239E-2</v>
      </c>
      <c r="J1288" t="str">
        <v>T</v>
      </c>
      <c r="K1288" s="1">
        <v>42597</v>
      </c>
      <c r="L1288">
        <v>-1.2133420638558379E-2</v>
      </c>
    </row>
    <row r="1289" spans="1:12" x14ac:dyDescent="0.2">
      <c r="A1289" s="1">
        <v>40954</v>
      </c>
      <c r="B1289">
        <v>0</v>
      </c>
      <c r="C1289" t="s">
        <v>12</v>
      </c>
      <c r="D1289">
        <v>6.6689999999999996E-3</v>
      </c>
      <c r="E1289">
        <f t="shared" si="40"/>
        <v>1.006669</v>
      </c>
      <c r="F1289" s="1">
        <f t="shared" si="41"/>
        <v>40952</v>
      </c>
      <c r="G1289" cm="1">
        <f t="array" ref="G1289">PRODUCT( _xlfn._xlws.FILTER($E:$E, ($C:$C=C1289)*($F:$F=F1289)) ) - 1</f>
        <v>-1.3791177889500239E-2</v>
      </c>
      <c r="J1289" t="str">
        <v>T</v>
      </c>
      <c r="K1289" s="1">
        <v>42604</v>
      </c>
      <c r="L1289">
        <v>-1.1590280542372877E-3</v>
      </c>
    </row>
    <row r="1290" spans="1:12" x14ac:dyDescent="0.2">
      <c r="A1290" s="1">
        <v>40955</v>
      </c>
      <c r="B1290">
        <v>0</v>
      </c>
      <c r="C1290" t="s">
        <v>12</v>
      </c>
      <c r="D1290">
        <v>-7.8289999999999992E-3</v>
      </c>
      <c r="E1290">
        <f t="shared" si="40"/>
        <v>0.99217100000000003</v>
      </c>
      <c r="F1290" s="1">
        <f t="shared" si="41"/>
        <v>40952</v>
      </c>
      <c r="G1290" cm="1">
        <f t="array" ref="G1290">PRODUCT( _xlfn._xlws.FILTER($E:$E, ($C:$C=C1290)*($F:$F=F1290)) ) - 1</f>
        <v>-1.3791177889500239E-2</v>
      </c>
      <c r="J1290" t="str">
        <v>T</v>
      </c>
      <c r="K1290" s="1">
        <v>42611</v>
      </c>
      <c r="L1290">
        <v>1.9025232298690131E-2</v>
      </c>
    </row>
    <row r="1291" spans="1:12" x14ac:dyDescent="0.2">
      <c r="A1291" s="1">
        <v>40956</v>
      </c>
      <c r="B1291">
        <v>0</v>
      </c>
      <c r="C1291" t="s">
        <v>12</v>
      </c>
      <c r="D1291">
        <v>-3.0349999999999999E-3</v>
      </c>
      <c r="E1291">
        <f t="shared" si="40"/>
        <v>0.99696499999999999</v>
      </c>
      <c r="F1291" s="1">
        <f t="shared" si="41"/>
        <v>40952</v>
      </c>
      <c r="G1291" cm="1">
        <f t="array" ref="G1291">PRODUCT( _xlfn._xlws.FILTER($E:$E, ($C:$C=C1291)*($F:$F=F1291)) ) - 1</f>
        <v>-1.3791177889500239E-2</v>
      </c>
      <c r="J1291" t="str">
        <v>T</v>
      </c>
      <c r="K1291" s="1">
        <v>42618</v>
      </c>
      <c r="L1291">
        <v>-3.2769513395765171E-2</v>
      </c>
    </row>
    <row r="1292" spans="1:12" x14ac:dyDescent="0.2">
      <c r="A1292" s="1">
        <v>40960</v>
      </c>
      <c r="B1292">
        <v>0</v>
      </c>
      <c r="C1292" t="s">
        <v>12</v>
      </c>
      <c r="D1292">
        <v>-1.4307E-2</v>
      </c>
      <c r="E1292">
        <f t="shared" si="40"/>
        <v>0.98569300000000004</v>
      </c>
      <c r="F1292" s="1">
        <f t="shared" si="41"/>
        <v>40959</v>
      </c>
      <c r="G1292" cm="1">
        <f t="array" ref="G1292">PRODUCT( _xlfn._xlws.FILTER($E:$E, ($C:$C=C1292)*($F:$F=F1292)) ) - 1</f>
        <v>-2.4656822385980437E-2</v>
      </c>
      <c r="J1292" t="str">
        <v>T</v>
      </c>
      <c r="K1292" s="1">
        <v>42625</v>
      </c>
      <c r="L1292">
        <v>-4.3537559635264955E-7</v>
      </c>
    </row>
    <row r="1293" spans="1:12" x14ac:dyDescent="0.2">
      <c r="A1293" s="1">
        <v>40961</v>
      </c>
      <c r="B1293">
        <v>0</v>
      </c>
      <c r="C1293" t="s">
        <v>12</v>
      </c>
      <c r="D1293">
        <v>0</v>
      </c>
      <c r="E1293">
        <f t="shared" si="40"/>
        <v>1</v>
      </c>
      <c r="F1293" s="1">
        <f t="shared" si="41"/>
        <v>40959</v>
      </c>
      <c r="G1293" cm="1">
        <f t="array" ref="G1293">PRODUCT( _xlfn._xlws.FILTER($E:$E, ($C:$C=C1293)*($F:$F=F1293)) ) - 1</f>
        <v>-2.4656822385980437E-2</v>
      </c>
      <c r="J1293" t="str">
        <v>T</v>
      </c>
      <c r="K1293" s="1">
        <v>42632</v>
      </c>
      <c r="L1293">
        <v>2.1176389114542227E-2</v>
      </c>
    </row>
    <row r="1294" spans="1:12" x14ac:dyDescent="0.2">
      <c r="A1294" s="1">
        <v>40962</v>
      </c>
      <c r="B1294">
        <v>0</v>
      </c>
      <c r="C1294" t="s">
        <v>12</v>
      </c>
      <c r="D1294">
        <v>-8.9560000000000004E-3</v>
      </c>
      <c r="E1294">
        <f t="shared" si="40"/>
        <v>0.99104400000000004</v>
      </c>
      <c r="F1294" s="1">
        <f t="shared" si="41"/>
        <v>40959</v>
      </c>
      <c r="G1294" cm="1">
        <f t="array" ref="G1294">PRODUCT( _xlfn._xlws.FILTER($E:$E, ($C:$C=C1294)*($F:$F=F1294)) ) - 1</f>
        <v>-2.4656822385980437E-2</v>
      </c>
      <c r="J1294" t="str">
        <v>T</v>
      </c>
      <c r="K1294" s="1">
        <v>42639</v>
      </c>
      <c r="L1294">
        <v>8.6208553647402208E-3</v>
      </c>
    </row>
    <row r="1295" spans="1:12" x14ac:dyDescent="0.2">
      <c r="A1295" s="1">
        <v>40963</v>
      </c>
      <c r="B1295">
        <v>0</v>
      </c>
      <c r="C1295" t="s">
        <v>12</v>
      </c>
      <c r="D1295">
        <v>-1.5579999999999999E-3</v>
      </c>
      <c r="E1295">
        <f t="shared" si="40"/>
        <v>0.99844200000000005</v>
      </c>
      <c r="F1295" s="1">
        <f t="shared" si="41"/>
        <v>40959</v>
      </c>
      <c r="G1295" cm="1">
        <f t="array" ref="G1295">PRODUCT( _xlfn._xlws.FILTER($E:$E, ($C:$C=C1295)*($F:$F=F1295)) ) - 1</f>
        <v>-2.4656822385980437E-2</v>
      </c>
      <c r="J1295" t="str">
        <v>T</v>
      </c>
      <c r="K1295" s="1">
        <v>42646</v>
      </c>
      <c r="L1295">
        <v>-2.2869765082562776E-2</v>
      </c>
    </row>
    <row r="1296" spans="1:12" x14ac:dyDescent="0.2">
      <c r="A1296" s="1">
        <v>40966</v>
      </c>
      <c r="B1296">
        <v>0</v>
      </c>
      <c r="C1296" t="s">
        <v>12</v>
      </c>
      <c r="D1296">
        <v>-1.248E-3</v>
      </c>
      <c r="E1296">
        <f t="shared" si="40"/>
        <v>0.99875199999999997</v>
      </c>
      <c r="F1296" s="1">
        <f t="shared" si="41"/>
        <v>40966</v>
      </c>
      <c r="G1296" cm="1">
        <f t="array" ref="G1296">PRODUCT( _xlfn._xlws.FILTER($E:$E, ($C:$C=C1296)*($F:$F=F1296)) ) - 1</f>
        <v>2.3409732097621649E-2</v>
      </c>
      <c r="J1296" t="str">
        <v>T</v>
      </c>
      <c r="K1296" s="1">
        <v>42653</v>
      </c>
      <c r="L1296">
        <v>9.6938607824752498E-3</v>
      </c>
    </row>
    <row r="1297" spans="1:12" x14ac:dyDescent="0.2">
      <c r="A1297" s="1">
        <v>40967</v>
      </c>
      <c r="B1297">
        <v>0</v>
      </c>
      <c r="C1297" t="s">
        <v>12</v>
      </c>
      <c r="D1297">
        <v>3.4380000000000001E-3</v>
      </c>
      <c r="E1297">
        <f t="shared" si="40"/>
        <v>1.0034380000000001</v>
      </c>
      <c r="F1297" s="1">
        <f t="shared" si="41"/>
        <v>40966</v>
      </c>
      <c r="G1297" cm="1">
        <f t="array" ref="G1297">PRODUCT( _xlfn._xlws.FILTER($E:$E, ($C:$C=C1297)*($F:$F=F1297)) ) - 1</f>
        <v>2.3409732097621649E-2</v>
      </c>
      <c r="J1297" t="str">
        <v>T</v>
      </c>
      <c r="K1297" s="1">
        <v>42660</v>
      </c>
      <c r="L1297">
        <v>4.9164168693911492E-3</v>
      </c>
    </row>
    <row r="1298" spans="1:12" x14ac:dyDescent="0.2">
      <c r="A1298" s="1">
        <v>40968</v>
      </c>
      <c r="B1298">
        <v>0</v>
      </c>
      <c r="C1298" t="s">
        <v>12</v>
      </c>
      <c r="D1298">
        <v>1.6506E-2</v>
      </c>
      <c r="E1298">
        <f t="shared" si="40"/>
        <v>1.0165059999999999</v>
      </c>
      <c r="F1298" s="1">
        <f t="shared" si="41"/>
        <v>40966</v>
      </c>
      <c r="G1298" cm="1">
        <f t="array" ref="G1298">PRODUCT( _xlfn._xlws.FILTER($E:$E, ($C:$C=C1298)*($F:$F=F1298)) ) - 1</f>
        <v>2.3409732097621649E-2</v>
      </c>
      <c r="J1298" t="str">
        <v>T</v>
      </c>
      <c r="K1298" s="1">
        <v>42667</v>
      </c>
      <c r="L1298">
        <v>8.154592563452745E-3</v>
      </c>
    </row>
    <row r="1299" spans="1:12" x14ac:dyDescent="0.2">
      <c r="A1299" s="1">
        <v>40969</v>
      </c>
      <c r="B1299">
        <v>0</v>
      </c>
      <c r="C1299" t="s">
        <v>12</v>
      </c>
      <c r="D1299">
        <v>7.3530000000000002E-3</v>
      </c>
      <c r="E1299">
        <f t="shared" si="40"/>
        <v>1.0073529999999999</v>
      </c>
      <c r="F1299" s="1">
        <f t="shared" si="41"/>
        <v>40966</v>
      </c>
      <c r="G1299" cm="1">
        <f t="array" ref="G1299">PRODUCT( _xlfn._xlws.FILTER($E:$E, ($C:$C=C1299)*($F:$F=F1299)) ) - 1</f>
        <v>2.3409732097621649E-2</v>
      </c>
      <c r="J1299" t="str">
        <v>T</v>
      </c>
      <c r="K1299" s="1">
        <v>42674</v>
      </c>
      <c r="L1299">
        <v>-2.0104963442076684E-2</v>
      </c>
    </row>
    <row r="1300" spans="1:12" x14ac:dyDescent="0.2">
      <c r="A1300" s="1">
        <v>40970</v>
      </c>
      <c r="B1300">
        <v>0</v>
      </c>
      <c r="C1300" t="s">
        <v>12</v>
      </c>
      <c r="D1300">
        <v>-2.7369999999999998E-3</v>
      </c>
      <c r="E1300">
        <f t="shared" si="40"/>
        <v>0.99726300000000001</v>
      </c>
      <c r="F1300" s="1">
        <f t="shared" si="41"/>
        <v>40966</v>
      </c>
      <c r="G1300" cm="1">
        <f t="array" ref="G1300">PRODUCT( _xlfn._xlws.FILTER($E:$E, ($C:$C=C1300)*($F:$F=F1300)) ) - 1</f>
        <v>2.3409732097621649E-2</v>
      </c>
      <c r="J1300" t="str">
        <v>T</v>
      </c>
      <c r="K1300" s="1">
        <v>42681</v>
      </c>
      <c r="L1300">
        <v>-1.6509795483198086E-2</v>
      </c>
    </row>
    <row r="1301" spans="1:12" x14ac:dyDescent="0.2">
      <c r="A1301" s="1">
        <v>40973</v>
      </c>
      <c r="B1301">
        <v>0</v>
      </c>
      <c r="C1301" t="s">
        <v>12</v>
      </c>
      <c r="D1301">
        <v>-8.8439999999999994E-3</v>
      </c>
      <c r="E1301">
        <f t="shared" si="40"/>
        <v>0.99115600000000004</v>
      </c>
      <c r="F1301" s="1">
        <f t="shared" si="41"/>
        <v>40973</v>
      </c>
      <c r="G1301" cm="1">
        <f t="array" ref="G1301">PRODUCT( _xlfn._xlws.FILTER($E:$E, ($C:$C=C1301)*($F:$F=F1301)) ) - 1</f>
        <v>-1.0674714551777931E-2</v>
      </c>
      <c r="J1301" t="str">
        <v>T</v>
      </c>
      <c r="K1301" s="1">
        <v>42688</v>
      </c>
      <c r="L1301">
        <v>3.1178151814241772E-3</v>
      </c>
    </row>
    <row r="1302" spans="1:12" x14ac:dyDescent="0.2">
      <c r="A1302" s="1">
        <v>40974</v>
      </c>
      <c r="B1302">
        <v>0</v>
      </c>
      <c r="C1302" t="s">
        <v>12</v>
      </c>
      <c r="D1302">
        <v>-5.2310000000000004E-3</v>
      </c>
      <c r="E1302">
        <f t="shared" si="40"/>
        <v>0.99476900000000001</v>
      </c>
      <c r="F1302" s="1">
        <f t="shared" si="41"/>
        <v>40973</v>
      </c>
      <c r="G1302" cm="1">
        <f t="array" ref="G1302">PRODUCT( _xlfn._xlws.FILTER($E:$E, ($C:$C=C1302)*($F:$F=F1302)) ) - 1</f>
        <v>-1.0674714551777931E-2</v>
      </c>
      <c r="J1302" t="str">
        <v>T</v>
      </c>
      <c r="K1302" s="1">
        <v>42695</v>
      </c>
      <c r="L1302">
        <v>1.4582890822705696E-2</v>
      </c>
    </row>
    <row r="1303" spans="1:12" x14ac:dyDescent="0.2">
      <c r="A1303" s="1">
        <v>40975</v>
      </c>
      <c r="B1303">
        <v>0</v>
      </c>
      <c r="C1303" t="s">
        <v>12</v>
      </c>
      <c r="D1303">
        <v>6.4949999999999999E-3</v>
      </c>
      <c r="E1303">
        <f t="shared" si="40"/>
        <v>1.0064949999999999</v>
      </c>
      <c r="F1303" s="1">
        <f t="shared" si="41"/>
        <v>40973</v>
      </c>
      <c r="G1303" cm="1">
        <f t="array" ref="G1303">PRODUCT( _xlfn._xlws.FILTER($E:$E, ($C:$C=C1303)*($F:$F=F1303)) ) - 1</f>
        <v>-1.0674714551777931E-2</v>
      </c>
      <c r="J1303" t="str">
        <v>T</v>
      </c>
      <c r="K1303" s="1">
        <v>42702</v>
      </c>
      <c r="L1303">
        <v>-8.247196867121942E-3</v>
      </c>
    </row>
    <row r="1304" spans="1:12" x14ac:dyDescent="0.2">
      <c r="A1304" s="1">
        <v>40976</v>
      </c>
      <c r="B1304">
        <v>0</v>
      </c>
      <c r="C1304" t="s">
        <v>12</v>
      </c>
      <c r="D1304">
        <v>-5.2240000000000003E-3</v>
      </c>
      <c r="E1304">
        <f t="shared" si="40"/>
        <v>0.99477599999999999</v>
      </c>
      <c r="F1304" s="1">
        <f t="shared" si="41"/>
        <v>40973</v>
      </c>
      <c r="G1304" cm="1">
        <f t="array" ref="G1304">PRODUCT( _xlfn._xlws.FILTER($E:$E, ($C:$C=C1304)*($F:$F=F1304)) ) - 1</f>
        <v>-1.0674714551777931E-2</v>
      </c>
      <c r="J1304" t="str">
        <v>T</v>
      </c>
      <c r="K1304" s="1">
        <v>42709</v>
      </c>
      <c r="L1304">
        <v>2.1254127897932351E-2</v>
      </c>
    </row>
    <row r="1305" spans="1:12" x14ac:dyDescent="0.2">
      <c r="A1305" s="1">
        <v>40977</v>
      </c>
      <c r="B1305">
        <v>0</v>
      </c>
      <c r="C1305" t="s">
        <v>12</v>
      </c>
      <c r="D1305">
        <v>2.1619999999999999E-3</v>
      </c>
      <c r="E1305">
        <f t="shared" si="40"/>
        <v>1.002162</v>
      </c>
      <c r="F1305" s="1">
        <f t="shared" si="41"/>
        <v>40973</v>
      </c>
      <c r="G1305" cm="1">
        <f t="array" ref="G1305">PRODUCT( _xlfn._xlws.FILTER($E:$E, ($C:$C=C1305)*($F:$F=F1305)) ) - 1</f>
        <v>-1.0674714551777931E-2</v>
      </c>
      <c r="J1305" t="str">
        <v>T</v>
      </c>
      <c r="K1305" s="1">
        <v>42716</v>
      </c>
      <c r="L1305">
        <v>3.5299314062238185E-3</v>
      </c>
    </row>
    <row r="1306" spans="1:12" x14ac:dyDescent="0.2">
      <c r="A1306" s="1">
        <v>40980</v>
      </c>
      <c r="B1306">
        <v>0</v>
      </c>
      <c r="C1306" t="s">
        <v>12</v>
      </c>
      <c r="D1306">
        <v>1.2329999999999999E-3</v>
      </c>
      <c r="E1306">
        <f t="shared" si="40"/>
        <v>1.001233</v>
      </c>
      <c r="F1306" s="1">
        <f t="shared" si="41"/>
        <v>40980</v>
      </c>
      <c r="G1306" cm="1">
        <f t="array" ref="G1306">PRODUCT( _xlfn._xlws.FILTER($E:$E, ($C:$C=C1306)*($F:$F=F1306)) ) - 1</f>
        <v>6.782130603751213E-3</v>
      </c>
      <c r="J1306" t="str">
        <v>T</v>
      </c>
      <c r="K1306" s="1">
        <v>42723</v>
      </c>
      <c r="L1306">
        <v>2.8136637186984004E-3</v>
      </c>
    </row>
    <row r="1307" spans="1:12" x14ac:dyDescent="0.2">
      <c r="A1307" s="1">
        <v>40981</v>
      </c>
      <c r="B1307">
        <v>0</v>
      </c>
      <c r="C1307" t="s">
        <v>12</v>
      </c>
      <c r="D1307">
        <v>1.2007E-2</v>
      </c>
      <c r="E1307">
        <f t="shared" si="40"/>
        <v>1.0120070000000001</v>
      </c>
      <c r="F1307" s="1">
        <f t="shared" si="41"/>
        <v>40980</v>
      </c>
      <c r="G1307" cm="1">
        <f t="array" ref="G1307">PRODUCT( _xlfn._xlws.FILTER($E:$E, ($C:$C=C1307)*($F:$F=F1307)) ) - 1</f>
        <v>6.782130603751213E-3</v>
      </c>
      <c r="J1307" t="str">
        <v>T</v>
      </c>
      <c r="K1307" s="1">
        <v>42730</v>
      </c>
      <c r="L1307">
        <v>-4.6763938484695178E-4</v>
      </c>
    </row>
    <row r="1308" spans="1:12" x14ac:dyDescent="0.2">
      <c r="A1308" s="1">
        <v>40982</v>
      </c>
      <c r="B1308">
        <v>0</v>
      </c>
      <c r="C1308" t="s">
        <v>12</v>
      </c>
      <c r="D1308">
        <v>-1.5820000000000001E-2</v>
      </c>
      <c r="E1308">
        <f t="shared" si="40"/>
        <v>0.98418000000000005</v>
      </c>
      <c r="F1308" s="1">
        <f t="shared" si="41"/>
        <v>40980</v>
      </c>
      <c r="G1308" cm="1">
        <f t="array" ref="G1308">PRODUCT( _xlfn._xlws.FILTER($E:$E, ($C:$C=C1308)*($F:$F=F1308)) ) - 1</f>
        <v>6.782130603751213E-3</v>
      </c>
      <c r="J1308" t="str">
        <v>TRI</v>
      </c>
      <c r="K1308" s="1">
        <v>40910</v>
      </c>
      <c r="L1308">
        <v>1.7259274422254611E-2</v>
      </c>
    </row>
    <row r="1309" spans="1:12" x14ac:dyDescent="0.2">
      <c r="A1309" s="1">
        <v>40983</v>
      </c>
      <c r="B1309">
        <v>0</v>
      </c>
      <c r="C1309" t="s">
        <v>12</v>
      </c>
      <c r="D1309">
        <v>-1.2359999999999999E-3</v>
      </c>
      <c r="E1309">
        <f t="shared" si="40"/>
        <v>0.99876399999999999</v>
      </c>
      <c r="F1309" s="1">
        <f t="shared" si="41"/>
        <v>40980</v>
      </c>
      <c r="G1309" cm="1">
        <f t="array" ref="G1309">PRODUCT( _xlfn._xlws.FILTER($E:$E, ($C:$C=C1309)*($F:$F=F1309)) ) - 1</f>
        <v>6.782130603751213E-3</v>
      </c>
      <c r="J1309" t="str">
        <v>TRI</v>
      </c>
      <c r="K1309" s="1">
        <v>40917</v>
      </c>
      <c r="L1309">
        <v>3.1046465263358414E-2</v>
      </c>
    </row>
    <row r="1310" spans="1:12" x14ac:dyDescent="0.2">
      <c r="A1310" s="1">
        <v>40984</v>
      </c>
      <c r="B1310">
        <v>0</v>
      </c>
      <c r="C1310" t="s">
        <v>12</v>
      </c>
      <c r="D1310">
        <v>1.0833000000000001E-2</v>
      </c>
      <c r="E1310">
        <f t="shared" si="40"/>
        <v>1.0108330000000001</v>
      </c>
      <c r="F1310" s="1">
        <f t="shared" si="41"/>
        <v>40980</v>
      </c>
      <c r="G1310" cm="1">
        <f t="array" ref="G1310">PRODUCT( _xlfn._xlws.FILTER($E:$E, ($C:$C=C1310)*($F:$F=F1310)) ) - 1</f>
        <v>6.782130603751213E-3</v>
      </c>
      <c r="J1310" t="str">
        <v>TRI</v>
      </c>
      <c r="K1310" s="1">
        <v>40924</v>
      </c>
      <c r="L1310">
        <v>2.346039486238638E-2</v>
      </c>
    </row>
    <row r="1311" spans="1:12" x14ac:dyDescent="0.2">
      <c r="A1311" s="1">
        <v>40987</v>
      </c>
      <c r="B1311">
        <v>0</v>
      </c>
      <c r="C1311" t="s">
        <v>12</v>
      </c>
      <c r="D1311">
        <v>-5.2050000000000004E-3</v>
      </c>
      <c r="E1311">
        <f t="shared" si="40"/>
        <v>0.99479499999999998</v>
      </c>
      <c r="F1311" s="1">
        <f t="shared" si="41"/>
        <v>40987</v>
      </c>
      <c r="G1311" cm="1">
        <f t="array" ref="G1311">PRODUCT( _xlfn._xlws.FILTER($E:$E, ($C:$C=C1311)*($F:$F=F1311)) ) - 1</f>
        <v>-6.7365956477845046E-3</v>
      </c>
      <c r="J1311" t="str">
        <v>TRI</v>
      </c>
      <c r="K1311" s="1">
        <v>40931</v>
      </c>
      <c r="L1311">
        <v>-4.8921983845872985E-2</v>
      </c>
    </row>
    <row r="1312" spans="1:12" x14ac:dyDescent="0.2">
      <c r="A1312" s="1">
        <v>40988</v>
      </c>
      <c r="B1312">
        <v>0</v>
      </c>
      <c r="C1312" t="s">
        <v>12</v>
      </c>
      <c r="D1312">
        <v>-4.9249999999999997E-3</v>
      </c>
      <c r="E1312">
        <f t="shared" si="40"/>
        <v>0.99507500000000004</v>
      </c>
      <c r="F1312" s="1">
        <f t="shared" si="41"/>
        <v>40987</v>
      </c>
      <c r="G1312" cm="1">
        <f t="array" ref="G1312">PRODUCT( _xlfn._xlws.FILTER($E:$E, ($C:$C=C1312)*($F:$F=F1312)) ) - 1</f>
        <v>-6.7365956477845046E-3</v>
      </c>
      <c r="J1312" t="str">
        <v>TRI</v>
      </c>
      <c r="K1312" s="1">
        <v>40938</v>
      </c>
      <c r="L1312">
        <v>-2.1942279398883824E-2</v>
      </c>
    </row>
    <row r="1313" spans="1:12" x14ac:dyDescent="0.2">
      <c r="A1313" s="1">
        <v>40989</v>
      </c>
      <c r="B1313">
        <v>0</v>
      </c>
      <c r="C1313" t="s">
        <v>12</v>
      </c>
      <c r="D1313">
        <v>-4.64E-3</v>
      </c>
      <c r="E1313">
        <f t="shared" si="40"/>
        <v>0.99536000000000002</v>
      </c>
      <c r="F1313" s="1">
        <f t="shared" si="41"/>
        <v>40987</v>
      </c>
      <c r="G1313" cm="1">
        <f t="array" ref="G1313">PRODUCT( _xlfn._xlws.FILTER($E:$E, ($C:$C=C1313)*($F:$F=F1313)) ) - 1</f>
        <v>-6.7365956477845046E-3</v>
      </c>
      <c r="J1313" t="str">
        <v>TRI</v>
      </c>
      <c r="K1313" s="1">
        <v>40945</v>
      </c>
      <c r="L1313">
        <v>-1.9492541792621831E-2</v>
      </c>
    </row>
    <row r="1314" spans="1:12" x14ac:dyDescent="0.2">
      <c r="A1314" s="1">
        <v>40990</v>
      </c>
      <c r="B1314">
        <v>0</v>
      </c>
      <c r="C1314" t="s">
        <v>12</v>
      </c>
      <c r="D1314">
        <v>6.2200000000000005E-4</v>
      </c>
      <c r="E1314">
        <f t="shared" si="40"/>
        <v>1.0006219999999999</v>
      </c>
      <c r="F1314" s="1">
        <f t="shared" si="41"/>
        <v>40987</v>
      </c>
      <c r="G1314" cm="1">
        <f t="array" ref="G1314">PRODUCT( _xlfn._xlws.FILTER($E:$E, ($C:$C=C1314)*($F:$F=F1314)) ) - 1</f>
        <v>-6.7365956477845046E-3</v>
      </c>
      <c r="J1314" t="str">
        <v>TRI</v>
      </c>
      <c r="K1314" s="1">
        <v>40952</v>
      </c>
      <c r="L1314">
        <v>2.432949209682822E-2</v>
      </c>
    </row>
    <row r="1315" spans="1:12" x14ac:dyDescent="0.2">
      <c r="A1315" s="1">
        <v>40991</v>
      </c>
      <c r="B1315">
        <v>0</v>
      </c>
      <c r="C1315" t="s">
        <v>12</v>
      </c>
      <c r="D1315">
        <v>7.4530000000000004E-3</v>
      </c>
      <c r="E1315">
        <f t="shared" si="40"/>
        <v>1.0074529999999999</v>
      </c>
      <c r="F1315" s="1">
        <f t="shared" si="41"/>
        <v>40987</v>
      </c>
      <c r="G1315" cm="1">
        <f t="array" ref="G1315">PRODUCT( _xlfn._xlws.FILTER($E:$E, ($C:$C=C1315)*($F:$F=F1315)) ) - 1</f>
        <v>-6.7365956477845046E-3</v>
      </c>
      <c r="J1315" t="str">
        <v>TRI</v>
      </c>
      <c r="K1315" s="1">
        <v>40959</v>
      </c>
      <c r="L1315">
        <v>5.7060089900017763E-2</v>
      </c>
    </row>
    <row r="1316" spans="1:12" x14ac:dyDescent="0.2">
      <c r="A1316" s="1">
        <v>40994</v>
      </c>
      <c r="B1316">
        <v>0</v>
      </c>
      <c r="C1316" t="s">
        <v>12</v>
      </c>
      <c r="D1316">
        <v>-2.774E-3</v>
      </c>
      <c r="E1316">
        <f t="shared" si="40"/>
        <v>0.99722599999999995</v>
      </c>
      <c r="F1316" s="1">
        <f t="shared" si="41"/>
        <v>40994</v>
      </c>
      <c r="G1316" cm="1">
        <f t="array" ref="G1316">PRODUCT( _xlfn._xlws.FILTER($E:$E, ($C:$C=C1316)*($F:$F=F1316)) ) - 1</f>
        <v>-5.240416526911762E-3</v>
      </c>
      <c r="J1316" t="str">
        <v>TRI</v>
      </c>
      <c r="K1316" s="1">
        <v>40966</v>
      </c>
      <c r="L1316">
        <v>6.6587699210878259E-3</v>
      </c>
    </row>
    <row r="1317" spans="1:12" x14ac:dyDescent="0.2">
      <c r="A1317" s="1">
        <v>40995</v>
      </c>
      <c r="B1317">
        <v>0</v>
      </c>
      <c r="C1317" t="s">
        <v>12</v>
      </c>
      <c r="D1317">
        <v>-1.5460000000000001E-3</v>
      </c>
      <c r="E1317">
        <f t="shared" si="40"/>
        <v>0.99845399999999995</v>
      </c>
      <c r="F1317" s="1">
        <f t="shared" si="41"/>
        <v>40994</v>
      </c>
      <c r="G1317" cm="1">
        <f t="array" ref="G1317">PRODUCT( _xlfn._xlws.FILTER($E:$E, ($C:$C=C1317)*($F:$F=F1317)) ) - 1</f>
        <v>-5.240416526911762E-3</v>
      </c>
      <c r="J1317" t="str">
        <v>TRI</v>
      </c>
      <c r="K1317" s="1">
        <v>40973</v>
      </c>
      <c r="L1317">
        <v>-8.7039969788693661E-3</v>
      </c>
    </row>
    <row r="1318" spans="1:12" x14ac:dyDescent="0.2">
      <c r="A1318" s="1">
        <v>40996</v>
      </c>
      <c r="B1318">
        <v>0</v>
      </c>
      <c r="C1318" t="s">
        <v>12</v>
      </c>
      <c r="D1318">
        <v>-2.1670000000000001E-3</v>
      </c>
      <c r="E1318">
        <f t="shared" si="40"/>
        <v>0.99783299999999997</v>
      </c>
      <c r="F1318" s="1">
        <f t="shared" si="41"/>
        <v>40994</v>
      </c>
      <c r="G1318" cm="1">
        <f t="array" ref="G1318">PRODUCT( _xlfn._xlws.FILTER($E:$E, ($C:$C=C1318)*($F:$F=F1318)) ) - 1</f>
        <v>-5.240416526911762E-3</v>
      </c>
      <c r="J1318" t="str">
        <v>TRI</v>
      </c>
      <c r="K1318" s="1">
        <v>40980</v>
      </c>
      <c r="L1318">
        <v>2.4938184212271119E-2</v>
      </c>
    </row>
    <row r="1319" spans="1:12" x14ac:dyDescent="0.2">
      <c r="A1319" s="1">
        <v>40997</v>
      </c>
      <c r="B1319">
        <v>0</v>
      </c>
      <c r="C1319" t="s">
        <v>12</v>
      </c>
      <c r="D1319">
        <v>-9.3099999999999997E-4</v>
      </c>
      <c r="E1319">
        <f t="shared" si="40"/>
        <v>0.99906899999999998</v>
      </c>
      <c r="F1319" s="1">
        <f t="shared" si="41"/>
        <v>40994</v>
      </c>
      <c r="G1319" cm="1">
        <f t="array" ref="G1319">PRODUCT( _xlfn._xlws.FILTER($E:$E, ($C:$C=C1319)*($F:$F=F1319)) ) - 1</f>
        <v>-5.240416526911762E-3</v>
      </c>
      <c r="J1319" t="str">
        <v>TRI</v>
      </c>
      <c r="K1319" s="1">
        <v>40987</v>
      </c>
      <c r="L1319">
        <v>1.3363539097630994E-2</v>
      </c>
    </row>
    <row r="1320" spans="1:12" x14ac:dyDescent="0.2">
      <c r="A1320" s="1">
        <v>40998</v>
      </c>
      <c r="B1320">
        <v>0</v>
      </c>
      <c r="C1320" t="s">
        <v>12</v>
      </c>
      <c r="D1320">
        <v>2.1740000000000002E-3</v>
      </c>
      <c r="E1320">
        <f t="shared" si="40"/>
        <v>1.0021739999999999</v>
      </c>
      <c r="F1320" s="1">
        <f t="shared" si="41"/>
        <v>40994</v>
      </c>
      <c r="G1320" cm="1">
        <f t="array" ref="G1320">PRODUCT( _xlfn._xlws.FILTER($E:$E, ($C:$C=C1320)*($F:$F=F1320)) ) - 1</f>
        <v>-5.240416526911762E-3</v>
      </c>
      <c r="J1320" t="str">
        <v>TRI</v>
      </c>
      <c r="K1320" s="1">
        <v>40994</v>
      </c>
      <c r="L1320">
        <v>-2.4685853300122185E-2</v>
      </c>
    </row>
    <row r="1321" spans="1:12" x14ac:dyDescent="0.2">
      <c r="A1321" s="1">
        <v>41001</v>
      </c>
      <c r="B1321">
        <v>0</v>
      </c>
      <c r="C1321" t="s">
        <v>12</v>
      </c>
      <c r="D1321">
        <v>6.5079999999999999E-3</v>
      </c>
      <c r="E1321">
        <f t="shared" si="40"/>
        <v>1.006508</v>
      </c>
      <c r="F1321" s="1">
        <f t="shared" si="41"/>
        <v>41001</v>
      </c>
      <c r="G1321" cm="1">
        <f t="array" ref="G1321">PRODUCT( _xlfn._xlws.FILTER($E:$E, ($C:$C=C1321)*($F:$F=F1321)) ) - 1</f>
        <v>-4.9570636637450427E-3</v>
      </c>
      <c r="J1321" t="str">
        <v>TRI</v>
      </c>
      <c r="K1321" s="1">
        <v>41001</v>
      </c>
      <c r="L1321">
        <v>-2.8432513644344404E-2</v>
      </c>
    </row>
    <row r="1322" spans="1:12" x14ac:dyDescent="0.2">
      <c r="A1322" s="1">
        <v>41002</v>
      </c>
      <c r="B1322">
        <v>0</v>
      </c>
      <c r="C1322" t="s">
        <v>12</v>
      </c>
      <c r="D1322">
        <v>-7.0809999999999996E-3</v>
      </c>
      <c r="E1322">
        <f t="shared" si="40"/>
        <v>0.992919</v>
      </c>
      <c r="F1322" s="1">
        <f t="shared" si="41"/>
        <v>41001</v>
      </c>
      <c r="G1322" cm="1">
        <f t="array" ref="G1322">PRODUCT( _xlfn._xlws.FILTER($E:$E, ($C:$C=C1322)*($F:$F=F1322)) ) - 1</f>
        <v>-4.9570636637450427E-3</v>
      </c>
      <c r="J1322" t="str">
        <v>TRI</v>
      </c>
      <c r="K1322" s="1">
        <v>41008</v>
      </c>
      <c r="L1322">
        <v>8.2081618431202319E-3</v>
      </c>
    </row>
    <row r="1323" spans="1:12" x14ac:dyDescent="0.2">
      <c r="A1323" s="1">
        <v>41003</v>
      </c>
      <c r="B1323">
        <v>0</v>
      </c>
      <c r="C1323" t="s">
        <v>12</v>
      </c>
      <c r="D1323">
        <v>-1.5499999999999999E-3</v>
      </c>
      <c r="E1323">
        <f t="shared" si="40"/>
        <v>0.99844999999999995</v>
      </c>
      <c r="F1323" s="1">
        <f t="shared" si="41"/>
        <v>41001</v>
      </c>
      <c r="G1323" cm="1">
        <f t="array" ref="G1323">PRODUCT( _xlfn._xlws.FILTER($E:$E, ($C:$C=C1323)*($F:$F=F1323)) ) - 1</f>
        <v>-4.9570636637450427E-3</v>
      </c>
      <c r="J1323" t="str">
        <v>TRI</v>
      </c>
      <c r="K1323" s="1">
        <v>41015</v>
      </c>
      <c r="L1323">
        <v>1.4160532104165346E-2</v>
      </c>
    </row>
    <row r="1324" spans="1:12" x14ac:dyDescent="0.2">
      <c r="A1324" s="1">
        <v>41004</v>
      </c>
      <c r="B1324">
        <v>0</v>
      </c>
      <c r="C1324" t="s">
        <v>12</v>
      </c>
      <c r="D1324">
        <v>-2.7950000000000002E-3</v>
      </c>
      <c r="E1324">
        <f t="shared" si="40"/>
        <v>0.99720500000000001</v>
      </c>
      <c r="F1324" s="1">
        <f t="shared" si="41"/>
        <v>41001</v>
      </c>
      <c r="G1324" cm="1">
        <f t="array" ref="G1324">PRODUCT( _xlfn._xlws.FILTER($E:$E, ($C:$C=C1324)*($F:$F=F1324)) ) - 1</f>
        <v>-4.9570636637450427E-3</v>
      </c>
      <c r="J1324" t="str">
        <v>TRI</v>
      </c>
      <c r="K1324" s="1">
        <v>41022</v>
      </c>
      <c r="L1324">
        <v>2.1639579454105773E-2</v>
      </c>
    </row>
    <row r="1325" spans="1:12" x14ac:dyDescent="0.2">
      <c r="A1325" s="1">
        <v>41008</v>
      </c>
      <c r="B1325">
        <v>0</v>
      </c>
      <c r="C1325" t="s">
        <v>12</v>
      </c>
      <c r="D1325">
        <v>6.2299999999999996E-4</v>
      </c>
      <c r="E1325">
        <f t="shared" si="40"/>
        <v>1.000623</v>
      </c>
      <c r="F1325" s="1">
        <f t="shared" si="41"/>
        <v>41008</v>
      </c>
      <c r="G1325" cm="1">
        <f t="array" ref="G1325">PRODUCT( _xlfn._xlws.FILTER($E:$E, ($C:$C=C1325)*($F:$F=F1325)) ) - 1</f>
        <v>1.1522894206036138E-2</v>
      </c>
      <c r="J1325" t="str">
        <v>TRI</v>
      </c>
      <c r="K1325" s="1">
        <v>41029</v>
      </c>
      <c r="L1325">
        <v>4.7833097814162784E-3</v>
      </c>
    </row>
    <row r="1326" spans="1:12" x14ac:dyDescent="0.2">
      <c r="A1326" s="1">
        <v>41009</v>
      </c>
      <c r="B1326">
        <v>0</v>
      </c>
      <c r="C1326" t="s">
        <v>12</v>
      </c>
      <c r="D1326">
        <v>-2.8010000000000001E-3</v>
      </c>
      <c r="E1326">
        <f t="shared" si="40"/>
        <v>0.99719899999999995</v>
      </c>
      <c r="F1326" s="1">
        <f t="shared" si="41"/>
        <v>41008</v>
      </c>
      <c r="G1326" cm="1">
        <f t="array" ref="G1326">PRODUCT( _xlfn._xlws.FILTER($E:$E, ($C:$C=C1326)*($F:$F=F1326)) ) - 1</f>
        <v>1.1522894206036138E-2</v>
      </c>
      <c r="J1326" t="str">
        <v>TRI</v>
      </c>
      <c r="K1326" s="1">
        <v>41036</v>
      </c>
      <c r="L1326">
        <v>3.7398953193765738E-3</v>
      </c>
    </row>
    <row r="1327" spans="1:12" x14ac:dyDescent="0.2">
      <c r="A1327" s="1">
        <v>41010</v>
      </c>
      <c r="B1327">
        <v>0</v>
      </c>
      <c r="C1327" t="s">
        <v>12</v>
      </c>
      <c r="D1327">
        <v>1.2172000000000001E-2</v>
      </c>
      <c r="E1327">
        <f t="shared" si="40"/>
        <v>1.0121720000000001</v>
      </c>
      <c r="F1327" s="1">
        <f t="shared" si="41"/>
        <v>41008</v>
      </c>
      <c r="G1327" cm="1">
        <f t="array" ref="G1327">PRODUCT( _xlfn._xlws.FILTER($E:$E, ($C:$C=C1327)*($F:$F=F1327)) ) - 1</f>
        <v>1.1522894206036138E-2</v>
      </c>
      <c r="J1327" t="str">
        <v>TRI</v>
      </c>
      <c r="K1327" s="1">
        <v>41043</v>
      </c>
      <c r="L1327">
        <v>-3.8617233600681811E-2</v>
      </c>
    </row>
    <row r="1328" spans="1:12" x14ac:dyDescent="0.2">
      <c r="A1328" s="1">
        <v>41011</v>
      </c>
      <c r="B1328">
        <v>0</v>
      </c>
      <c r="C1328" t="s">
        <v>12</v>
      </c>
      <c r="D1328">
        <v>4.6249999999999998E-3</v>
      </c>
      <c r="E1328">
        <f t="shared" si="40"/>
        <v>1.0046250000000001</v>
      </c>
      <c r="F1328" s="1">
        <f t="shared" si="41"/>
        <v>41008</v>
      </c>
      <c r="G1328" cm="1">
        <f t="array" ref="G1328">PRODUCT( _xlfn._xlws.FILTER($E:$E, ($C:$C=C1328)*($F:$F=F1328)) ) - 1</f>
        <v>1.1522894206036138E-2</v>
      </c>
      <c r="J1328" t="str">
        <v>TRI</v>
      </c>
      <c r="K1328" s="1">
        <v>41050</v>
      </c>
      <c r="L1328">
        <v>2.3558518553123964E-2</v>
      </c>
    </row>
    <row r="1329" spans="1:12" x14ac:dyDescent="0.2">
      <c r="A1329" s="1">
        <v>41012</v>
      </c>
      <c r="B1329">
        <v>0</v>
      </c>
      <c r="C1329" t="s">
        <v>12</v>
      </c>
      <c r="D1329">
        <v>-3.0690000000000001E-3</v>
      </c>
      <c r="E1329">
        <f t="shared" si="40"/>
        <v>0.99693100000000001</v>
      </c>
      <c r="F1329" s="1">
        <f t="shared" si="41"/>
        <v>41008</v>
      </c>
      <c r="G1329" cm="1">
        <f t="array" ref="G1329">PRODUCT( _xlfn._xlws.FILTER($E:$E, ($C:$C=C1329)*($F:$F=F1329)) ) - 1</f>
        <v>1.1522894206036138E-2</v>
      </c>
      <c r="J1329" t="str">
        <v>TRI</v>
      </c>
      <c r="K1329" s="1">
        <v>41057</v>
      </c>
      <c r="L1329">
        <v>-2.4023613017694068E-2</v>
      </c>
    </row>
    <row r="1330" spans="1:12" x14ac:dyDescent="0.2">
      <c r="A1330" s="1">
        <v>41015</v>
      </c>
      <c r="B1330">
        <v>0</v>
      </c>
      <c r="C1330" t="s">
        <v>12</v>
      </c>
      <c r="D1330">
        <v>3.0800000000000001E-4</v>
      </c>
      <c r="E1330">
        <f t="shared" si="40"/>
        <v>1.000308</v>
      </c>
      <c r="F1330" s="1">
        <f t="shared" si="41"/>
        <v>41015</v>
      </c>
      <c r="G1330" cm="1">
        <f t="array" ref="G1330">PRODUCT( _xlfn._xlws.FILTER($E:$E, ($C:$C=C1330)*($F:$F=F1330)) ) - 1</f>
        <v>2.8017341331814327E-2</v>
      </c>
      <c r="J1330" t="str">
        <v>TRI</v>
      </c>
      <c r="K1330" s="1">
        <v>41064</v>
      </c>
      <c r="L1330">
        <v>3.424892563553783E-2</v>
      </c>
    </row>
    <row r="1331" spans="1:12" x14ac:dyDescent="0.2">
      <c r="A1331" s="1">
        <v>41016</v>
      </c>
      <c r="B1331">
        <v>0</v>
      </c>
      <c r="C1331" t="s">
        <v>12</v>
      </c>
      <c r="D1331">
        <v>1.5389E-2</v>
      </c>
      <c r="E1331">
        <f t="shared" si="40"/>
        <v>1.0153890000000001</v>
      </c>
      <c r="F1331" s="1">
        <f t="shared" si="41"/>
        <v>41015</v>
      </c>
      <c r="G1331" cm="1">
        <f t="array" ref="G1331">PRODUCT( _xlfn._xlws.FILTER($E:$E, ($C:$C=C1331)*($F:$F=F1331)) ) - 1</f>
        <v>2.8017341331814327E-2</v>
      </c>
      <c r="J1331" t="str">
        <v>TRI</v>
      </c>
      <c r="K1331" s="1">
        <v>41071</v>
      </c>
      <c r="L1331">
        <v>-3.0699732726972018E-2</v>
      </c>
    </row>
    <row r="1332" spans="1:12" x14ac:dyDescent="0.2">
      <c r="A1332" s="1">
        <v>41017</v>
      </c>
      <c r="B1332">
        <v>0</v>
      </c>
      <c r="C1332" t="s">
        <v>12</v>
      </c>
      <c r="D1332">
        <v>4.2440000000000004E-3</v>
      </c>
      <c r="E1332">
        <f t="shared" si="40"/>
        <v>1.0042439999999999</v>
      </c>
      <c r="F1332" s="1">
        <f t="shared" si="41"/>
        <v>41015</v>
      </c>
      <c r="G1332" cm="1">
        <f t="array" ref="G1332">PRODUCT( _xlfn._xlws.FILTER($E:$E, ($C:$C=C1332)*($F:$F=F1332)) ) - 1</f>
        <v>2.8017341331814327E-2</v>
      </c>
      <c r="J1332" t="str">
        <v>TRI</v>
      </c>
      <c r="K1332" s="1">
        <v>41078</v>
      </c>
      <c r="L1332">
        <v>1.5302042182374187E-2</v>
      </c>
    </row>
    <row r="1333" spans="1:12" x14ac:dyDescent="0.2">
      <c r="A1333" s="1">
        <v>41018</v>
      </c>
      <c r="B1333">
        <v>0</v>
      </c>
      <c r="C1333" t="s">
        <v>12</v>
      </c>
      <c r="D1333">
        <v>-2.1129999999999999E-3</v>
      </c>
      <c r="E1333">
        <f t="shared" si="40"/>
        <v>0.99788699999999997</v>
      </c>
      <c r="F1333" s="1">
        <f t="shared" si="41"/>
        <v>41015</v>
      </c>
      <c r="G1333" cm="1">
        <f t="array" ref="G1333">PRODUCT( _xlfn._xlws.FILTER($E:$E, ($C:$C=C1333)*($F:$F=F1333)) ) - 1</f>
        <v>2.8017341331814327E-2</v>
      </c>
      <c r="J1333" t="str">
        <v>TRI</v>
      </c>
      <c r="K1333" s="1">
        <v>41085</v>
      </c>
      <c r="L1333">
        <v>1.5422311350710149E-2</v>
      </c>
    </row>
    <row r="1334" spans="1:12" x14ac:dyDescent="0.2">
      <c r="A1334" s="1">
        <v>41019</v>
      </c>
      <c r="B1334">
        <v>0</v>
      </c>
      <c r="C1334" t="s">
        <v>12</v>
      </c>
      <c r="D1334">
        <v>9.9819999999999996E-3</v>
      </c>
      <c r="E1334">
        <f t="shared" si="40"/>
        <v>1.0099819999999999</v>
      </c>
      <c r="F1334" s="1">
        <f t="shared" si="41"/>
        <v>41015</v>
      </c>
      <c r="G1334" cm="1">
        <f t="array" ref="G1334">PRODUCT( _xlfn._xlws.FILTER($E:$E, ($C:$C=C1334)*($F:$F=F1334)) ) - 1</f>
        <v>2.8017341331814327E-2</v>
      </c>
      <c r="J1334" t="str">
        <v>TRI</v>
      </c>
      <c r="K1334" s="1">
        <v>41092</v>
      </c>
      <c r="L1334">
        <v>2.0712433017557874E-3</v>
      </c>
    </row>
    <row r="1335" spans="1:12" x14ac:dyDescent="0.2">
      <c r="A1335" s="1">
        <v>41022</v>
      </c>
      <c r="B1335">
        <v>0</v>
      </c>
      <c r="C1335" t="s">
        <v>12</v>
      </c>
      <c r="D1335">
        <v>-7.4869999999999997E-3</v>
      </c>
      <c r="E1335">
        <f t="shared" si="40"/>
        <v>0.99251299999999998</v>
      </c>
      <c r="F1335" s="1">
        <f t="shared" si="41"/>
        <v>41022</v>
      </c>
      <c r="G1335" cm="1">
        <f t="array" ref="G1335">PRODUCT( _xlfn._xlws.FILTER($E:$E, ($C:$C=C1335)*($F:$F=F1335)) ) - 1</f>
        <v>2.4259324444478203E-2</v>
      </c>
      <c r="J1335" t="str">
        <v>TRI</v>
      </c>
      <c r="K1335" s="1">
        <v>41099</v>
      </c>
      <c r="L1335">
        <v>8.955706725387591E-3</v>
      </c>
    </row>
    <row r="1336" spans="1:12" x14ac:dyDescent="0.2">
      <c r="A1336" s="1">
        <v>41023</v>
      </c>
      <c r="B1336">
        <v>0</v>
      </c>
      <c r="C1336" t="s">
        <v>12</v>
      </c>
      <c r="D1336">
        <v>3.9230000000000003E-3</v>
      </c>
      <c r="E1336">
        <f t="shared" si="40"/>
        <v>1.0039229999999999</v>
      </c>
      <c r="F1336" s="1">
        <f t="shared" si="41"/>
        <v>41022</v>
      </c>
      <c r="G1336" cm="1">
        <f t="array" ref="G1336">PRODUCT( _xlfn._xlws.FILTER($E:$E, ($C:$C=C1336)*($F:$F=F1336)) ) - 1</f>
        <v>2.4259324444478203E-2</v>
      </c>
      <c r="J1336" t="str">
        <v>TRI</v>
      </c>
      <c r="K1336" s="1">
        <v>41106</v>
      </c>
      <c r="L1336">
        <v>-9.2190917318726306E-3</v>
      </c>
    </row>
    <row r="1337" spans="1:12" x14ac:dyDescent="0.2">
      <c r="A1337" s="1">
        <v>41024</v>
      </c>
      <c r="B1337">
        <v>0</v>
      </c>
      <c r="C1337" t="s">
        <v>12</v>
      </c>
      <c r="D1337">
        <v>5.7109999999999999E-3</v>
      </c>
      <c r="E1337">
        <f t="shared" si="40"/>
        <v>1.005711</v>
      </c>
      <c r="F1337" s="1">
        <f t="shared" si="41"/>
        <v>41022</v>
      </c>
      <c r="G1337" cm="1">
        <f t="array" ref="G1337">PRODUCT( _xlfn._xlws.FILTER($E:$E, ($C:$C=C1337)*($F:$F=F1337)) ) - 1</f>
        <v>2.4259324444478203E-2</v>
      </c>
      <c r="J1337" t="str">
        <v>TRI</v>
      </c>
      <c r="K1337" s="1">
        <v>41113</v>
      </c>
      <c r="L1337">
        <v>8.9590207346175177E-3</v>
      </c>
    </row>
    <row r="1338" spans="1:12" x14ac:dyDescent="0.2">
      <c r="A1338" s="1">
        <v>41025</v>
      </c>
      <c r="B1338">
        <v>0</v>
      </c>
      <c r="C1338" t="s">
        <v>12</v>
      </c>
      <c r="D1338">
        <v>1.4644000000000001E-2</v>
      </c>
      <c r="E1338">
        <f t="shared" si="40"/>
        <v>1.0146440000000001</v>
      </c>
      <c r="F1338" s="1">
        <f t="shared" si="41"/>
        <v>41022</v>
      </c>
      <c r="G1338" cm="1">
        <f t="array" ref="G1338">PRODUCT( _xlfn._xlws.FILTER($E:$E, ($C:$C=C1338)*($F:$F=F1338)) ) - 1</f>
        <v>2.4259324444478203E-2</v>
      </c>
      <c r="J1338" t="str">
        <v>TRI</v>
      </c>
      <c r="K1338" s="1">
        <v>41120</v>
      </c>
      <c r="L1338">
        <v>-3.1420546555083195E-2</v>
      </c>
    </row>
    <row r="1339" spans="1:12" x14ac:dyDescent="0.2">
      <c r="A1339" s="1">
        <v>41026</v>
      </c>
      <c r="B1339">
        <v>0</v>
      </c>
      <c r="C1339" t="s">
        <v>12</v>
      </c>
      <c r="D1339">
        <v>7.3639999999999999E-3</v>
      </c>
      <c r="E1339">
        <f t="shared" si="40"/>
        <v>1.0073639999999999</v>
      </c>
      <c r="F1339" s="1">
        <f t="shared" si="41"/>
        <v>41022</v>
      </c>
      <c r="G1339" cm="1">
        <f t="array" ref="G1339">PRODUCT( _xlfn._xlws.FILTER($E:$E, ($C:$C=C1339)*($F:$F=F1339)) ) - 1</f>
        <v>2.4259324444478203E-2</v>
      </c>
      <c r="J1339" t="str">
        <v>TRI</v>
      </c>
      <c r="K1339" s="1">
        <v>41127</v>
      </c>
      <c r="L1339">
        <v>2.0098699244450735E-2</v>
      </c>
    </row>
    <row r="1340" spans="1:12" x14ac:dyDescent="0.2">
      <c r="A1340" s="1">
        <v>41029</v>
      </c>
      <c r="B1340">
        <v>0</v>
      </c>
      <c r="C1340" t="s">
        <v>12</v>
      </c>
      <c r="D1340">
        <v>1.7539999999999999E-3</v>
      </c>
      <c r="E1340">
        <f t="shared" si="40"/>
        <v>1.001754</v>
      </c>
      <c r="F1340" s="1">
        <f t="shared" si="41"/>
        <v>41029</v>
      </c>
      <c r="G1340" cm="1">
        <f t="array" ref="G1340">PRODUCT( _xlfn._xlws.FILTER($E:$E, ($C:$C=C1340)*($F:$F=F1340)) ) - 1</f>
        <v>-1.6374746740848933E-2</v>
      </c>
      <c r="J1340" t="str">
        <v>TRI</v>
      </c>
      <c r="K1340" s="1">
        <v>41134</v>
      </c>
      <c r="L1340">
        <v>2.4888412724529685E-2</v>
      </c>
    </row>
    <row r="1341" spans="1:12" x14ac:dyDescent="0.2">
      <c r="A1341" s="1">
        <v>41030</v>
      </c>
      <c r="B1341">
        <v>0</v>
      </c>
      <c r="C1341" t="s">
        <v>12</v>
      </c>
      <c r="D1341">
        <v>-2.0430000000000001E-3</v>
      </c>
      <c r="E1341">
        <f t="shared" si="40"/>
        <v>0.99795699999999998</v>
      </c>
      <c r="F1341" s="1">
        <f t="shared" si="41"/>
        <v>41029</v>
      </c>
      <c r="G1341" cm="1">
        <f t="array" ref="G1341">PRODUCT( _xlfn._xlws.FILTER($E:$E, ($C:$C=C1341)*($F:$F=F1341)) ) - 1</f>
        <v>-1.6374746740848933E-2</v>
      </c>
      <c r="J1341" t="str">
        <v>TRI</v>
      </c>
      <c r="K1341" s="1">
        <v>41141</v>
      </c>
      <c r="L1341">
        <v>-2.2107591342331756E-2</v>
      </c>
    </row>
    <row r="1342" spans="1:12" x14ac:dyDescent="0.2">
      <c r="A1342" s="1">
        <v>41031</v>
      </c>
      <c r="B1342">
        <v>0</v>
      </c>
      <c r="C1342" t="s">
        <v>12</v>
      </c>
      <c r="D1342">
        <v>1.0529E-2</v>
      </c>
      <c r="E1342">
        <f t="shared" si="40"/>
        <v>1.010529</v>
      </c>
      <c r="F1342" s="1">
        <f t="shared" si="41"/>
        <v>41029</v>
      </c>
      <c r="G1342" cm="1">
        <f t="array" ref="G1342">PRODUCT( _xlfn._xlws.FILTER($E:$E, ($C:$C=C1342)*($F:$F=F1342)) ) - 1</f>
        <v>-1.6374746740848933E-2</v>
      </c>
      <c r="J1342" t="str">
        <v>TRI</v>
      </c>
      <c r="K1342" s="1">
        <v>41148</v>
      </c>
      <c r="L1342">
        <v>-2.4407464301576587E-2</v>
      </c>
    </row>
    <row r="1343" spans="1:12" x14ac:dyDescent="0.2">
      <c r="A1343" s="1">
        <v>41032</v>
      </c>
      <c r="B1343">
        <v>0</v>
      </c>
      <c r="C1343" t="s">
        <v>12</v>
      </c>
      <c r="D1343">
        <v>-2.1128999999999998E-2</v>
      </c>
      <c r="E1343">
        <f t="shared" si="40"/>
        <v>0.97887100000000005</v>
      </c>
      <c r="F1343" s="1">
        <f t="shared" si="41"/>
        <v>41029</v>
      </c>
      <c r="G1343" cm="1">
        <f t="array" ref="G1343">PRODUCT( _xlfn._xlws.FILTER($E:$E, ($C:$C=C1343)*($F:$F=F1343)) ) - 1</f>
        <v>-1.6374746740848933E-2</v>
      </c>
      <c r="J1343" t="str">
        <v>TRI</v>
      </c>
      <c r="K1343" s="1">
        <v>41155</v>
      </c>
      <c r="L1343">
        <v>-6.0750566040295162E-3</v>
      </c>
    </row>
    <row r="1344" spans="1:12" x14ac:dyDescent="0.2">
      <c r="A1344" s="1">
        <v>41033</v>
      </c>
      <c r="B1344">
        <v>0</v>
      </c>
      <c r="C1344" t="s">
        <v>12</v>
      </c>
      <c r="D1344">
        <v>-5.3220000000000003E-3</v>
      </c>
      <c r="E1344">
        <f t="shared" si="40"/>
        <v>0.99467799999999995</v>
      </c>
      <c r="F1344" s="1">
        <f t="shared" si="41"/>
        <v>41029</v>
      </c>
      <c r="G1344" cm="1">
        <f t="array" ref="G1344">PRODUCT( _xlfn._xlws.FILTER($E:$E, ($C:$C=C1344)*($F:$F=F1344)) ) - 1</f>
        <v>-1.6374746740848933E-2</v>
      </c>
      <c r="J1344" t="str">
        <v>TRI</v>
      </c>
      <c r="K1344" s="1">
        <v>41162</v>
      </c>
      <c r="L1344">
        <v>2.6249211904144643E-2</v>
      </c>
    </row>
    <row r="1345" spans="1:12" x14ac:dyDescent="0.2">
      <c r="A1345" s="1">
        <v>41036</v>
      </c>
      <c r="B1345">
        <v>0</v>
      </c>
      <c r="C1345" t="s">
        <v>12</v>
      </c>
      <c r="D1345">
        <v>9.2149999999999992E-3</v>
      </c>
      <c r="E1345">
        <f t="shared" si="40"/>
        <v>1.009215</v>
      </c>
      <c r="F1345" s="1">
        <f t="shared" si="41"/>
        <v>41036</v>
      </c>
      <c r="G1345" cm="1">
        <f t="array" ref="G1345">PRODUCT( _xlfn._xlws.FILTER($E:$E, ($C:$C=C1345)*($F:$F=F1345)) ) - 1</f>
        <v>1.0403531119319798E-2</v>
      </c>
      <c r="J1345" t="str">
        <v>TRI</v>
      </c>
      <c r="K1345" s="1">
        <v>41169</v>
      </c>
      <c r="L1345">
        <v>9.108674347064305E-3</v>
      </c>
    </row>
    <row r="1346" spans="1:12" x14ac:dyDescent="0.2">
      <c r="A1346" s="1">
        <v>41037</v>
      </c>
      <c r="B1346">
        <v>0</v>
      </c>
      <c r="C1346" t="s">
        <v>12</v>
      </c>
      <c r="D1346">
        <v>-4.1240000000000001E-3</v>
      </c>
      <c r="E1346">
        <f t="shared" si="40"/>
        <v>0.99587599999999998</v>
      </c>
      <c r="F1346" s="1">
        <f t="shared" si="41"/>
        <v>41036</v>
      </c>
      <c r="G1346" cm="1">
        <f t="array" ref="G1346">PRODUCT( _xlfn._xlws.FILTER($E:$E, ($C:$C=C1346)*($F:$F=F1346)) ) - 1</f>
        <v>1.0403531119319798E-2</v>
      </c>
      <c r="J1346" t="str">
        <v>TRI</v>
      </c>
      <c r="K1346" s="1">
        <v>41176</v>
      </c>
      <c r="L1346">
        <v>-1.3194845632045538E-2</v>
      </c>
    </row>
    <row r="1347" spans="1:12" x14ac:dyDescent="0.2">
      <c r="A1347" s="1">
        <v>41038</v>
      </c>
      <c r="B1347">
        <v>0</v>
      </c>
      <c r="C1347" t="s">
        <v>12</v>
      </c>
      <c r="D1347">
        <v>-5.9199999999999997E-4</v>
      </c>
      <c r="E1347">
        <f t="shared" si="40"/>
        <v>0.99940799999999996</v>
      </c>
      <c r="F1347" s="1">
        <f t="shared" si="41"/>
        <v>41036</v>
      </c>
      <c r="G1347" cm="1">
        <f t="array" ref="G1347">PRODUCT( _xlfn._xlws.FILTER($E:$E, ($C:$C=C1347)*($F:$F=F1347)) ) - 1</f>
        <v>1.0403531119319798E-2</v>
      </c>
      <c r="J1347" t="str">
        <v>TRI</v>
      </c>
      <c r="K1347" s="1">
        <v>41183</v>
      </c>
      <c r="L1347">
        <v>-5.9822104975506551E-3</v>
      </c>
    </row>
    <row r="1348" spans="1:12" x14ac:dyDescent="0.2">
      <c r="A1348" s="1">
        <v>41039</v>
      </c>
      <c r="B1348">
        <v>0</v>
      </c>
      <c r="C1348" t="s">
        <v>12</v>
      </c>
      <c r="D1348">
        <v>5.3270000000000001E-3</v>
      </c>
      <c r="E1348">
        <f t="shared" ref="E1348:E1411" si="42">D1348+1</f>
        <v>1.0053270000000001</v>
      </c>
      <c r="F1348" s="1">
        <f t="shared" ref="F1348:F1411" si="43">A1348 - (WEEKDAY(A1348, 2) - 1)</f>
        <v>41036</v>
      </c>
      <c r="G1348" cm="1">
        <f t="array" ref="G1348">PRODUCT( _xlfn._xlws.FILTER($E:$E, ($C:$C=C1348)*($F:$F=F1348)) ) - 1</f>
        <v>1.0403531119319798E-2</v>
      </c>
      <c r="J1348" t="str">
        <v>TRI</v>
      </c>
      <c r="K1348" s="1">
        <v>41190</v>
      </c>
      <c r="L1348">
        <v>-2.4778855956690937E-2</v>
      </c>
    </row>
    <row r="1349" spans="1:12" x14ac:dyDescent="0.2">
      <c r="A1349" s="1">
        <v>41040</v>
      </c>
      <c r="B1349">
        <v>0</v>
      </c>
      <c r="C1349" t="s">
        <v>12</v>
      </c>
      <c r="D1349">
        <v>5.8900000000000001E-4</v>
      </c>
      <c r="E1349">
        <f t="shared" si="42"/>
        <v>1.000589</v>
      </c>
      <c r="F1349" s="1">
        <f t="shared" si="43"/>
        <v>41036</v>
      </c>
      <c r="G1349" cm="1">
        <f t="array" ref="G1349">PRODUCT( _xlfn._xlws.FILTER($E:$E, ($C:$C=C1349)*($F:$F=F1349)) ) - 1</f>
        <v>1.0403531119319798E-2</v>
      </c>
      <c r="J1349" t="str">
        <v>TRI</v>
      </c>
      <c r="K1349" s="1">
        <v>41197</v>
      </c>
      <c r="L1349">
        <v>2.7222600138936848E-2</v>
      </c>
    </row>
    <row r="1350" spans="1:12" x14ac:dyDescent="0.2">
      <c r="A1350" s="1">
        <v>41043</v>
      </c>
      <c r="B1350">
        <v>0</v>
      </c>
      <c r="C1350" t="s">
        <v>12</v>
      </c>
      <c r="D1350">
        <v>-7.9439999999999997E-3</v>
      </c>
      <c r="E1350">
        <f t="shared" si="42"/>
        <v>0.99205600000000005</v>
      </c>
      <c r="F1350" s="1">
        <f t="shared" si="43"/>
        <v>41043</v>
      </c>
      <c r="G1350" cm="1">
        <f t="array" ref="G1350">PRODUCT( _xlfn._xlws.FILTER($E:$E, ($C:$C=C1350)*($F:$F=F1350)) ) - 1</f>
        <v>-1.7431974426083352E-2</v>
      </c>
      <c r="J1350" t="str">
        <v>TRI</v>
      </c>
      <c r="K1350" s="1">
        <v>41204</v>
      </c>
      <c r="L1350">
        <v>-3.5440251571983161E-4</v>
      </c>
    </row>
    <row r="1351" spans="1:12" x14ac:dyDescent="0.2">
      <c r="A1351" s="1">
        <v>41044</v>
      </c>
      <c r="B1351">
        <v>0</v>
      </c>
      <c r="C1351" t="s">
        <v>12</v>
      </c>
      <c r="D1351">
        <v>-1.186E-3</v>
      </c>
      <c r="E1351">
        <f t="shared" si="42"/>
        <v>0.99881399999999998</v>
      </c>
      <c r="F1351" s="1">
        <f t="shared" si="43"/>
        <v>41043</v>
      </c>
      <c r="G1351" cm="1">
        <f t="array" ref="G1351">PRODUCT( _xlfn._xlws.FILTER($E:$E, ($C:$C=C1351)*($F:$F=F1351)) ) - 1</f>
        <v>-1.7431974426083352E-2</v>
      </c>
      <c r="J1351" t="str">
        <v>TRI</v>
      </c>
      <c r="K1351" s="1">
        <v>41211</v>
      </c>
      <c r="L1351">
        <v>-8.129389196381509E-3</v>
      </c>
    </row>
    <row r="1352" spans="1:12" x14ac:dyDescent="0.2">
      <c r="A1352" s="1">
        <v>41045</v>
      </c>
      <c r="B1352">
        <v>0</v>
      </c>
      <c r="C1352" t="s">
        <v>12</v>
      </c>
      <c r="D1352">
        <v>2.3969999999999998E-3</v>
      </c>
      <c r="E1352">
        <f t="shared" si="42"/>
        <v>1.002397</v>
      </c>
      <c r="F1352" s="1">
        <f t="shared" si="43"/>
        <v>41043</v>
      </c>
      <c r="G1352" cm="1">
        <f t="array" ref="G1352">PRODUCT( _xlfn._xlws.FILTER($E:$E, ($C:$C=C1352)*($F:$F=F1352)) ) - 1</f>
        <v>-1.7431974426083352E-2</v>
      </c>
      <c r="J1352" t="str">
        <v>TRI</v>
      </c>
      <c r="K1352" s="1">
        <v>41218</v>
      </c>
      <c r="L1352">
        <v>-6.0577937891912459E-3</v>
      </c>
    </row>
    <row r="1353" spans="1:12" x14ac:dyDescent="0.2">
      <c r="A1353" s="1">
        <v>41046</v>
      </c>
      <c r="B1353">
        <v>0</v>
      </c>
      <c r="C1353" t="s">
        <v>12</v>
      </c>
      <c r="D1353">
        <v>-6.8739999999999999E-3</v>
      </c>
      <c r="E1353">
        <f t="shared" si="42"/>
        <v>0.99312599999999995</v>
      </c>
      <c r="F1353" s="1">
        <f t="shared" si="43"/>
        <v>41043</v>
      </c>
      <c r="G1353" cm="1">
        <f t="array" ref="G1353">PRODUCT( _xlfn._xlws.FILTER($E:$E, ($C:$C=C1353)*($F:$F=F1353)) ) - 1</f>
        <v>-1.7431974426083352E-2</v>
      </c>
      <c r="J1353" t="str">
        <v>TRI</v>
      </c>
      <c r="K1353" s="1">
        <v>41225</v>
      </c>
      <c r="L1353">
        <v>-1.6493213056157141E-2</v>
      </c>
    </row>
    <row r="1354" spans="1:12" x14ac:dyDescent="0.2">
      <c r="A1354" s="1">
        <v>41047</v>
      </c>
      <c r="B1354">
        <v>0</v>
      </c>
      <c r="C1354" t="s">
        <v>12</v>
      </c>
      <c r="D1354">
        <v>-3.9119999999999997E-3</v>
      </c>
      <c r="E1354">
        <f t="shared" si="42"/>
        <v>0.99608799999999997</v>
      </c>
      <c r="F1354" s="1">
        <f t="shared" si="43"/>
        <v>41043</v>
      </c>
      <c r="G1354" cm="1">
        <f t="array" ref="G1354">PRODUCT( _xlfn._xlws.FILTER($E:$E, ($C:$C=C1354)*($F:$F=F1354)) ) - 1</f>
        <v>-1.7431974426083352E-2</v>
      </c>
      <c r="J1354" t="str">
        <v>TRI</v>
      </c>
      <c r="K1354" s="1">
        <v>41232</v>
      </c>
      <c r="L1354">
        <v>7.321725131471446E-3</v>
      </c>
    </row>
    <row r="1355" spans="1:12" x14ac:dyDescent="0.2">
      <c r="A1355" s="1">
        <v>41051</v>
      </c>
      <c r="B1355">
        <v>0</v>
      </c>
      <c r="C1355" t="s">
        <v>12</v>
      </c>
      <c r="D1355">
        <v>2.0846E-2</v>
      </c>
      <c r="E1355">
        <f t="shared" si="42"/>
        <v>1.0208459999999999</v>
      </c>
      <c r="F1355" s="1">
        <f t="shared" si="43"/>
        <v>41050</v>
      </c>
      <c r="G1355" cm="1">
        <f t="array" ref="G1355">PRODUCT( _xlfn._xlws.FILTER($E:$E, ($C:$C=C1355)*($F:$F=F1355)) ) - 1</f>
        <v>1.8117797437138261E-3</v>
      </c>
      <c r="J1355" t="str">
        <v>TRI</v>
      </c>
      <c r="K1355" s="1">
        <v>41239</v>
      </c>
      <c r="L1355">
        <v>1.4650405617946394E-3</v>
      </c>
    </row>
    <row r="1356" spans="1:12" x14ac:dyDescent="0.2">
      <c r="A1356" s="1">
        <v>41052</v>
      </c>
      <c r="B1356">
        <v>0</v>
      </c>
      <c r="C1356" t="s">
        <v>12</v>
      </c>
      <c r="D1356">
        <v>-7.1029999999999999E-3</v>
      </c>
      <c r="E1356">
        <f t="shared" si="42"/>
        <v>0.99289700000000003</v>
      </c>
      <c r="F1356" s="1">
        <f t="shared" si="43"/>
        <v>41050</v>
      </c>
      <c r="G1356" cm="1">
        <f t="array" ref="G1356">PRODUCT( _xlfn._xlws.FILTER($E:$E, ($C:$C=C1356)*($F:$F=F1356)) ) - 1</f>
        <v>1.8117797437138261E-3</v>
      </c>
      <c r="J1356" t="str">
        <v>TRI</v>
      </c>
      <c r="K1356" s="1">
        <v>41246</v>
      </c>
      <c r="L1356">
        <v>1.4259156316485333E-2</v>
      </c>
    </row>
    <row r="1357" spans="1:12" x14ac:dyDescent="0.2">
      <c r="A1357" s="1">
        <v>41053</v>
      </c>
      <c r="B1357">
        <v>0</v>
      </c>
      <c r="C1357" t="s">
        <v>12</v>
      </c>
      <c r="D1357">
        <v>-3.5769999999999999E-3</v>
      </c>
      <c r="E1357">
        <f t="shared" si="42"/>
        <v>0.99642299999999995</v>
      </c>
      <c r="F1357" s="1">
        <f t="shared" si="43"/>
        <v>41050</v>
      </c>
      <c r="G1357" cm="1">
        <f t="array" ref="G1357">PRODUCT( _xlfn._xlws.FILTER($E:$E, ($C:$C=C1357)*($F:$F=F1357)) ) - 1</f>
        <v>1.8117797437138261E-3</v>
      </c>
      <c r="J1357" t="str">
        <v>TRI</v>
      </c>
      <c r="K1357" s="1">
        <v>41253</v>
      </c>
      <c r="L1357">
        <v>2.3070418308875462E-2</v>
      </c>
    </row>
    <row r="1358" spans="1:12" x14ac:dyDescent="0.2">
      <c r="A1358" s="1">
        <v>41054</v>
      </c>
      <c r="B1358">
        <v>0</v>
      </c>
      <c r="C1358" t="s">
        <v>12</v>
      </c>
      <c r="D1358">
        <v>-8.0770000000000008E-3</v>
      </c>
      <c r="E1358">
        <f t="shared" si="42"/>
        <v>0.991923</v>
      </c>
      <c r="F1358" s="1">
        <f t="shared" si="43"/>
        <v>41050</v>
      </c>
      <c r="G1358" cm="1">
        <f t="array" ref="G1358">PRODUCT( _xlfn._xlws.FILTER($E:$E, ($C:$C=C1358)*($F:$F=F1358)) ) - 1</f>
        <v>1.8117797437138261E-3</v>
      </c>
      <c r="J1358" t="str">
        <v>TRI</v>
      </c>
      <c r="K1358" s="1">
        <v>41260</v>
      </c>
      <c r="L1358">
        <v>1.3389768197169305E-2</v>
      </c>
    </row>
    <row r="1359" spans="1:12" x14ac:dyDescent="0.2">
      <c r="A1359" s="1">
        <v>41057</v>
      </c>
      <c r="B1359">
        <v>0</v>
      </c>
      <c r="C1359" t="s">
        <v>12</v>
      </c>
      <c r="D1359">
        <v>-1.5077999999999999E-2</v>
      </c>
      <c r="E1359">
        <f t="shared" si="42"/>
        <v>0.98492199999999996</v>
      </c>
      <c r="F1359" s="1">
        <f t="shared" si="43"/>
        <v>41057</v>
      </c>
      <c r="G1359" cm="1">
        <f t="array" ref="G1359">PRODUCT( _xlfn._xlws.FILTER($E:$E, ($C:$C=C1359)*($F:$F=F1359)) ) - 1</f>
        <v>-2.2920047408837352E-2</v>
      </c>
      <c r="J1359" t="str">
        <v>TRI</v>
      </c>
      <c r="K1359" s="1">
        <v>41267</v>
      </c>
      <c r="L1359">
        <v>-7.3025479641719571E-3</v>
      </c>
    </row>
    <row r="1360" spans="1:12" x14ac:dyDescent="0.2">
      <c r="A1360" s="1">
        <v>41058</v>
      </c>
      <c r="B1360">
        <v>0</v>
      </c>
      <c r="C1360" t="s">
        <v>12</v>
      </c>
      <c r="D1360">
        <v>7.0419999999999996E-3</v>
      </c>
      <c r="E1360">
        <f t="shared" si="42"/>
        <v>1.007042</v>
      </c>
      <c r="F1360" s="1">
        <f t="shared" si="43"/>
        <v>41057</v>
      </c>
      <c r="G1360" cm="1">
        <f t="array" ref="G1360">PRODUCT( _xlfn._xlws.FILTER($E:$E, ($C:$C=C1360)*($F:$F=F1360)) ) - 1</f>
        <v>-2.2920047408837352E-2</v>
      </c>
      <c r="J1360" t="str">
        <v>TRI</v>
      </c>
      <c r="K1360" s="1">
        <v>41274</v>
      </c>
      <c r="L1360">
        <v>1.681211785478709E-2</v>
      </c>
    </row>
    <row r="1361" spans="1:12" x14ac:dyDescent="0.2">
      <c r="A1361" s="1">
        <v>41059</v>
      </c>
      <c r="B1361">
        <v>0</v>
      </c>
      <c r="C1361" t="s">
        <v>12</v>
      </c>
      <c r="D1361">
        <v>-1.9762999999999999E-2</v>
      </c>
      <c r="E1361">
        <f t="shared" si="42"/>
        <v>0.98023700000000002</v>
      </c>
      <c r="F1361" s="1">
        <f t="shared" si="43"/>
        <v>41057</v>
      </c>
      <c r="G1361" cm="1">
        <f t="array" ref="G1361">PRODUCT( _xlfn._xlws.FILTER($E:$E, ($C:$C=C1361)*($F:$F=F1361)) ) - 1</f>
        <v>-2.2920047408837352E-2</v>
      </c>
      <c r="J1361" t="str">
        <v>TRI</v>
      </c>
      <c r="K1361" s="1">
        <v>41281</v>
      </c>
      <c r="L1361">
        <v>8.2676382224755596E-3</v>
      </c>
    </row>
    <row r="1362" spans="1:12" x14ac:dyDescent="0.2">
      <c r="A1362" s="1">
        <v>41060</v>
      </c>
      <c r="B1362">
        <v>0</v>
      </c>
      <c r="C1362" t="s">
        <v>12</v>
      </c>
      <c r="D1362">
        <v>2.0471E-2</v>
      </c>
      <c r="E1362">
        <f t="shared" si="42"/>
        <v>1.0204709999999999</v>
      </c>
      <c r="F1362" s="1">
        <f t="shared" si="43"/>
        <v>41057</v>
      </c>
      <c r="G1362" cm="1">
        <f t="array" ref="G1362">PRODUCT( _xlfn._xlws.FILTER($E:$E, ($C:$C=C1362)*($F:$F=F1362)) ) - 1</f>
        <v>-2.2920047408837352E-2</v>
      </c>
      <c r="J1362" t="str">
        <v>TRI</v>
      </c>
      <c r="K1362" s="1">
        <v>41288</v>
      </c>
      <c r="L1362">
        <v>2.0499652668842128E-2</v>
      </c>
    </row>
    <row r="1363" spans="1:12" x14ac:dyDescent="0.2">
      <c r="A1363" s="1">
        <v>41061</v>
      </c>
      <c r="B1363">
        <v>0</v>
      </c>
      <c r="C1363" t="s">
        <v>12</v>
      </c>
      <c r="D1363">
        <v>-1.5198E-2</v>
      </c>
      <c r="E1363">
        <f t="shared" si="42"/>
        <v>0.98480199999999996</v>
      </c>
      <c r="F1363" s="1">
        <f t="shared" si="43"/>
        <v>41057</v>
      </c>
      <c r="G1363" cm="1">
        <f t="array" ref="G1363">PRODUCT( _xlfn._xlws.FILTER($E:$E, ($C:$C=C1363)*($F:$F=F1363)) ) - 1</f>
        <v>-2.2920047408837352E-2</v>
      </c>
      <c r="J1363" t="str">
        <v>TRI</v>
      </c>
      <c r="K1363" s="1">
        <v>41295</v>
      </c>
      <c r="L1363">
        <v>3.6492374948591477E-2</v>
      </c>
    </row>
    <row r="1364" spans="1:12" x14ac:dyDescent="0.2">
      <c r="A1364" s="1">
        <v>41064</v>
      </c>
      <c r="B1364">
        <v>0</v>
      </c>
      <c r="C1364" t="s">
        <v>12</v>
      </c>
      <c r="D1364">
        <v>1.0494E-2</v>
      </c>
      <c r="E1364">
        <f t="shared" si="42"/>
        <v>1.010494</v>
      </c>
      <c r="F1364" s="1">
        <f t="shared" si="43"/>
        <v>41064</v>
      </c>
      <c r="G1364" cm="1">
        <f t="array" ref="G1364">PRODUCT( _xlfn._xlws.FILTER($E:$E, ($C:$C=C1364)*($F:$F=F1364)) ) - 1</f>
        <v>4.166718877859843E-2</v>
      </c>
      <c r="J1364" t="str">
        <v>TRI</v>
      </c>
      <c r="K1364" s="1">
        <v>41302</v>
      </c>
      <c r="L1364">
        <v>-3.5532080578288827E-3</v>
      </c>
    </row>
    <row r="1365" spans="1:12" x14ac:dyDescent="0.2">
      <c r="A1365" s="1">
        <v>41065</v>
      </c>
      <c r="B1365">
        <v>0</v>
      </c>
      <c r="C1365" t="s">
        <v>12</v>
      </c>
      <c r="D1365">
        <v>1.3745E-2</v>
      </c>
      <c r="E1365">
        <f t="shared" si="42"/>
        <v>1.0137449999999999</v>
      </c>
      <c r="F1365" s="1">
        <f t="shared" si="43"/>
        <v>41064</v>
      </c>
      <c r="G1365" cm="1">
        <f t="array" ref="G1365">PRODUCT( _xlfn._xlws.FILTER($E:$E, ($C:$C=C1365)*($F:$F=F1365)) ) - 1</f>
        <v>4.166718877859843E-2</v>
      </c>
      <c r="J1365" t="str">
        <v>TRI</v>
      </c>
      <c r="K1365" s="1">
        <v>41309</v>
      </c>
      <c r="L1365">
        <v>-2.9160460290412749E-3</v>
      </c>
    </row>
    <row r="1366" spans="1:12" x14ac:dyDescent="0.2">
      <c r="A1366" s="1">
        <v>41066</v>
      </c>
      <c r="B1366">
        <v>0</v>
      </c>
      <c r="C1366" t="s">
        <v>12</v>
      </c>
      <c r="D1366">
        <v>1.8078E-2</v>
      </c>
      <c r="E1366">
        <f t="shared" si="42"/>
        <v>1.018078</v>
      </c>
      <c r="F1366" s="1">
        <f t="shared" si="43"/>
        <v>41064</v>
      </c>
      <c r="G1366" cm="1">
        <f t="array" ref="G1366">PRODUCT( _xlfn._xlws.FILTER($E:$E, ($C:$C=C1366)*($F:$F=F1366)) ) - 1</f>
        <v>4.166718877859843E-2</v>
      </c>
      <c r="J1366" t="str">
        <v>TRI</v>
      </c>
      <c r="K1366" s="1">
        <v>41316</v>
      </c>
      <c r="L1366">
        <v>1.3004823353683914E-3</v>
      </c>
    </row>
    <row r="1367" spans="1:12" x14ac:dyDescent="0.2">
      <c r="A1367" s="1">
        <v>41067</v>
      </c>
      <c r="B1367">
        <v>0</v>
      </c>
      <c r="C1367" t="s">
        <v>12</v>
      </c>
      <c r="D1367">
        <v>-1.776E-3</v>
      </c>
      <c r="E1367">
        <f t="shared" si="42"/>
        <v>0.998224</v>
      </c>
      <c r="F1367" s="1">
        <f t="shared" si="43"/>
        <v>41064</v>
      </c>
      <c r="G1367" cm="1">
        <f t="array" ref="G1367">PRODUCT( _xlfn._xlws.FILTER($E:$E, ($C:$C=C1367)*($F:$F=F1367)) ) - 1</f>
        <v>4.166718877859843E-2</v>
      </c>
      <c r="J1367" t="str">
        <v>TRI</v>
      </c>
      <c r="K1367" s="1">
        <v>41323</v>
      </c>
      <c r="L1367">
        <v>1.3827475341403606E-3</v>
      </c>
    </row>
    <row r="1368" spans="1:12" x14ac:dyDescent="0.2">
      <c r="A1368" s="1">
        <v>41068</v>
      </c>
      <c r="B1368">
        <v>0</v>
      </c>
      <c r="C1368" t="s">
        <v>12</v>
      </c>
      <c r="D1368">
        <v>5.9299999999999999E-4</v>
      </c>
      <c r="E1368">
        <f t="shared" si="42"/>
        <v>1.0005930000000001</v>
      </c>
      <c r="F1368" s="1">
        <f t="shared" si="43"/>
        <v>41064</v>
      </c>
      <c r="G1368" cm="1">
        <f t="array" ref="G1368">PRODUCT( _xlfn._xlws.FILTER($E:$E, ($C:$C=C1368)*($F:$F=F1368)) ) - 1</f>
        <v>4.166718877859843E-2</v>
      </c>
      <c r="J1368" t="str">
        <v>TRI</v>
      </c>
      <c r="K1368" s="1">
        <v>41330</v>
      </c>
      <c r="L1368">
        <v>2.6549844248945575E-2</v>
      </c>
    </row>
    <row r="1369" spans="1:12" x14ac:dyDescent="0.2">
      <c r="A1369" s="1">
        <v>41071</v>
      </c>
      <c r="B1369">
        <v>0</v>
      </c>
      <c r="C1369" t="s">
        <v>12</v>
      </c>
      <c r="D1369">
        <v>-4.444E-3</v>
      </c>
      <c r="E1369">
        <f t="shared" si="42"/>
        <v>0.995556</v>
      </c>
      <c r="F1369" s="1">
        <f t="shared" si="43"/>
        <v>41071</v>
      </c>
      <c r="G1369" cm="1">
        <f t="array" ref="G1369">PRODUCT( _xlfn._xlws.FILTER($E:$E, ($C:$C=C1369)*($F:$F=F1369)) ) - 1</f>
        <v>-3.7036436025503106E-2</v>
      </c>
      <c r="J1369" t="str">
        <v>TRI</v>
      </c>
      <c r="K1369" s="1">
        <v>41337</v>
      </c>
      <c r="L1369">
        <v>9.2595288560117783E-3</v>
      </c>
    </row>
    <row r="1370" spans="1:12" x14ac:dyDescent="0.2">
      <c r="A1370" s="1">
        <v>41072</v>
      </c>
      <c r="B1370">
        <v>0</v>
      </c>
      <c r="C1370" t="s">
        <v>12</v>
      </c>
      <c r="D1370">
        <v>2.9799999999999998E-4</v>
      </c>
      <c r="E1370">
        <f t="shared" si="42"/>
        <v>1.0002979999999999</v>
      </c>
      <c r="F1370" s="1">
        <f t="shared" si="43"/>
        <v>41071</v>
      </c>
      <c r="G1370" cm="1">
        <f t="array" ref="G1370">PRODUCT( _xlfn._xlws.FILTER($E:$E, ($C:$C=C1370)*($F:$F=F1370)) ) - 1</f>
        <v>-3.7036436025503106E-2</v>
      </c>
      <c r="J1370" t="str">
        <v>TRI</v>
      </c>
      <c r="K1370" s="1">
        <v>41344</v>
      </c>
      <c r="L1370">
        <v>4.0177302091719103E-2</v>
      </c>
    </row>
    <row r="1371" spans="1:12" x14ac:dyDescent="0.2">
      <c r="A1371" s="1">
        <v>41073</v>
      </c>
      <c r="B1371">
        <v>0</v>
      </c>
      <c r="C1371" t="s">
        <v>12</v>
      </c>
      <c r="D1371">
        <v>-7.7359999999999998E-3</v>
      </c>
      <c r="E1371">
        <f t="shared" si="42"/>
        <v>0.99226400000000003</v>
      </c>
      <c r="F1371" s="1">
        <f t="shared" si="43"/>
        <v>41071</v>
      </c>
      <c r="G1371" cm="1">
        <f t="array" ref="G1371">PRODUCT( _xlfn._xlws.FILTER($E:$E, ($C:$C=C1371)*($F:$F=F1371)) ) - 1</f>
        <v>-3.7036436025503106E-2</v>
      </c>
      <c r="J1371" t="str">
        <v>TRI</v>
      </c>
      <c r="K1371" s="1">
        <v>41351</v>
      </c>
      <c r="L1371">
        <v>3.3466505236152688E-3</v>
      </c>
    </row>
    <row r="1372" spans="1:12" x14ac:dyDescent="0.2">
      <c r="A1372" s="1">
        <v>41074</v>
      </c>
      <c r="B1372">
        <v>0</v>
      </c>
      <c r="C1372" t="s">
        <v>12</v>
      </c>
      <c r="D1372">
        <v>-4.1980000000000003E-3</v>
      </c>
      <c r="E1372">
        <f t="shared" si="42"/>
        <v>0.99580199999999996</v>
      </c>
      <c r="F1372" s="1">
        <f t="shared" si="43"/>
        <v>41071</v>
      </c>
      <c r="G1372" cm="1">
        <f t="array" ref="G1372">PRODUCT( _xlfn._xlws.FILTER($E:$E, ($C:$C=C1372)*($F:$F=F1372)) ) - 1</f>
        <v>-3.7036436025503106E-2</v>
      </c>
      <c r="J1372" t="str">
        <v>TRI</v>
      </c>
      <c r="K1372" s="1">
        <v>41358</v>
      </c>
      <c r="L1372">
        <v>-9.0904308064376771E-4</v>
      </c>
    </row>
    <row r="1373" spans="1:12" x14ac:dyDescent="0.2">
      <c r="A1373" s="1">
        <v>41075</v>
      </c>
      <c r="B1373">
        <v>0</v>
      </c>
      <c r="C1373" t="s">
        <v>12</v>
      </c>
      <c r="D1373">
        <v>-2.1378999999999999E-2</v>
      </c>
      <c r="E1373">
        <f t="shared" si="42"/>
        <v>0.97862099999999996</v>
      </c>
      <c r="F1373" s="1">
        <f t="shared" si="43"/>
        <v>41071</v>
      </c>
      <c r="G1373" cm="1">
        <f t="array" ref="G1373">PRODUCT( _xlfn._xlws.FILTER($E:$E, ($C:$C=C1373)*($F:$F=F1373)) ) - 1</f>
        <v>-3.7036436025503106E-2</v>
      </c>
      <c r="J1373" t="str">
        <v>TRI</v>
      </c>
      <c r="K1373" s="1">
        <v>41365</v>
      </c>
      <c r="L1373">
        <v>-1.9113741059552991E-2</v>
      </c>
    </row>
    <row r="1374" spans="1:12" x14ac:dyDescent="0.2">
      <c r="A1374" s="1">
        <v>41078</v>
      </c>
      <c r="B1374">
        <v>0</v>
      </c>
      <c r="C1374" t="s">
        <v>12</v>
      </c>
      <c r="D1374">
        <v>2.4620000000000002E-3</v>
      </c>
      <c r="E1374">
        <f t="shared" si="42"/>
        <v>1.002462</v>
      </c>
      <c r="F1374" s="1">
        <f t="shared" si="43"/>
        <v>41078</v>
      </c>
      <c r="G1374" cm="1">
        <f t="array" ref="G1374">PRODUCT( _xlfn._xlws.FILTER($E:$E, ($C:$C=C1374)*($F:$F=F1374)) ) - 1</f>
        <v>-1.5373717251766505E-3</v>
      </c>
      <c r="J1374" t="str">
        <v>TRI</v>
      </c>
      <c r="K1374" s="1">
        <v>41372</v>
      </c>
      <c r="L1374">
        <v>2.2889206815152496E-2</v>
      </c>
    </row>
    <row r="1375" spans="1:12" x14ac:dyDescent="0.2">
      <c r="A1375" s="1">
        <v>41079</v>
      </c>
      <c r="B1375">
        <v>0</v>
      </c>
      <c r="C1375" t="s">
        <v>12</v>
      </c>
      <c r="D1375">
        <v>1.504E-2</v>
      </c>
      <c r="E1375">
        <f t="shared" si="42"/>
        <v>1.0150399999999999</v>
      </c>
      <c r="F1375" s="1">
        <f t="shared" si="43"/>
        <v>41078</v>
      </c>
      <c r="G1375" cm="1">
        <f t="array" ref="G1375">PRODUCT( _xlfn._xlws.FILTER($E:$E, ($C:$C=C1375)*($F:$F=F1375)) ) - 1</f>
        <v>-1.5373717251766505E-3</v>
      </c>
      <c r="J1375" t="str">
        <v>TRI</v>
      </c>
      <c r="K1375" s="1">
        <v>41379</v>
      </c>
      <c r="L1375">
        <v>4.8389628604599277E-3</v>
      </c>
    </row>
    <row r="1376" spans="1:12" x14ac:dyDescent="0.2">
      <c r="A1376" s="1">
        <v>41080</v>
      </c>
      <c r="B1376">
        <v>0</v>
      </c>
      <c r="C1376" t="s">
        <v>12</v>
      </c>
      <c r="D1376">
        <v>-1.8446000000000001E-2</v>
      </c>
      <c r="E1376">
        <f t="shared" si="42"/>
        <v>0.98155400000000004</v>
      </c>
      <c r="F1376" s="1">
        <f t="shared" si="43"/>
        <v>41078</v>
      </c>
      <c r="G1376" cm="1">
        <f t="array" ref="G1376">PRODUCT( _xlfn._xlws.FILTER($E:$E, ($C:$C=C1376)*($F:$F=F1376)) ) - 1</f>
        <v>-1.5373717251766505E-3</v>
      </c>
      <c r="J1376" t="str">
        <v>TRI</v>
      </c>
      <c r="K1376" s="1">
        <v>41386</v>
      </c>
      <c r="L1376">
        <v>1.6550686191246555E-2</v>
      </c>
    </row>
    <row r="1377" spans="1:12" x14ac:dyDescent="0.2">
      <c r="A1377" s="1">
        <v>41081</v>
      </c>
      <c r="B1377">
        <v>0</v>
      </c>
      <c r="C1377" t="s">
        <v>12</v>
      </c>
      <c r="D1377">
        <v>-1.0166E-2</v>
      </c>
      <c r="E1377">
        <f t="shared" si="42"/>
        <v>0.98983399999999999</v>
      </c>
      <c r="F1377" s="1">
        <f t="shared" si="43"/>
        <v>41078</v>
      </c>
      <c r="G1377" cm="1">
        <f t="array" ref="G1377">PRODUCT( _xlfn._xlws.FILTER($E:$E, ($C:$C=C1377)*($F:$F=F1377)) ) - 1</f>
        <v>-1.5373717251766505E-3</v>
      </c>
      <c r="J1377" t="str">
        <v>TRI</v>
      </c>
      <c r="K1377" s="1">
        <v>41393</v>
      </c>
      <c r="L1377">
        <v>1.5097122986293954E-2</v>
      </c>
    </row>
    <row r="1378" spans="1:12" x14ac:dyDescent="0.2">
      <c r="A1378" s="1">
        <v>41082</v>
      </c>
      <c r="B1378">
        <v>0</v>
      </c>
      <c r="C1378" t="s">
        <v>12</v>
      </c>
      <c r="D1378">
        <v>9.9600000000000001E-3</v>
      </c>
      <c r="E1378">
        <f t="shared" si="42"/>
        <v>1.00996</v>
      </c>
      <c r="F1378" s="1">
        <f t="shared" si="43"/>
        <v>41078</v>
      </c>
      <c r="G1378" cm="1">
        <f t="array" ref="G1378">PRODUCT( _xlfn._xlws.FILTER($E:$E, ($C:$C=C1378)*($F:$F=F1378)) ) - 1</f>
        <v>-1.5373717251766505E-3</v>
      </c>
      <c r="J1378" t="str">
        <v>TRI</v>
      </c>
      <c r="K1378" s="1">
        <v>41400</v>
      </c>
      <c r="L1378">
        <v>1.3706019388610047E-2</v>
      </c>
    </row>
    <row r="1379" spans="1:12" x14ac:dyDescent="0.2">
      <c r="A1379" s="1">
        <v>41085</v>
      </c>
      <c r="B1379">
        <v>0</v>
      </c>
      <c r="C1379" t="s">
        <v>12</v>
      </c>
      <c r="D1379">
        <v>-6.1600000000000001E-4</v>
      </c>
      <c r="E1379">
        <f t="shared" si="42"/>
        <v>0.99938400000000005</v>
      </c>
      <c r="F1379" s="1">
        <f t="shared" si="43"/>
        <v>41085</v>
      </c>
      <c r="G1379" cm="1">
        <f t="array" ref="G1379">PRODUCT( _xlfn._xlws.FILTER($E:$E, ($C:$C=C1379)*($F:$F=F1379)) ) - 1</f>
        <v>-4.929171499311269E-3</v>
      </c>
      <c r="J1379" t="str">
        <v>TRI</v>
      </c>
      <c r="K1379" s="1">
        <v>41407</v>
      </c>
      <c r="L1379">
        <v>2.1577581087137254E-2</v>
      </c>
    </row>
    <row r="1380" spans="1:12" x14ac:dyDescent="0.2">
      <c r="A1380" s="1">
        <v>41086</v>
      </c>
      <c r="B1380">
        <v>0</v>
      </c>
      <c r="C1380" t="s">
        <v>12</v>
      </c>
      <c r="D1380">
        <v>-1.2329999999999999E-3</v>
      </c>
      <c r="E1380">
        <f t="shared" si="42"/>
        <v>0.99876699999999996</v>
      </c>
      <c r="F1380" s="1">
        <f t="shared" si="43"/>
        <v>41085</v>
      </c>
      <c r="G1380" cm="1">
        <f t="array" ref="G1380">PRODUCT( _xlfn._xlws.FILTER($E:$E, ($C:$C=C1380)*($F:$F=F1380)) ) - 1</f>
        <v>-4.929171499311269E-3</v>
      </c>
      <c r="J1380" t="str">
        <v>TRI</v>
      </c>
      <c r="K1380" s="1">
        <v>41414</v>
      </c>
      <c r="L1380">
        <v>3.3747475085897261E-2</v>
      </c>
    </row>
    <row r="1381" spans="1:12" x14ac:dyDescent="0.2">
      <c r="A1381" s="1">
        <v>41087</v>
      </c>
      <c r="B1381">
        <v>0</v>
      </c>
      <c r="C1381" t="s">
        <v>12</v>
      </c>
      <c r="D1381">
        <v>2.47E-3</v>
      </c>
      <c r="E1381">
        <f t="shared" si="42"/>
        <v>1.00247</v>
      </c>
      <c r="F1381" s="1">
        <f t="shared" si="43"/>
        <v>41085</v>
      </c>
      <c r="G1381" cm="1">
        <f t="array" ref="G1381">PRODUCT( _xlfn._xlws.FILTER($E:$E, ($C:$C=C1381)*($F:$F=F1381)) ) - 1</f>
        <v>-4.929171499311269E-3</v>
      </c>
      <c r="J1381" t="str">
        <v>TRI</v>
      </c>
      <c r="K1381" s="1">
        <v>41421</v>
      </c>
      <c r="L1381">
        <v>-5.1416637501739082E-2</v>
      </c>
    </row>
    <row r="1382" spans="1:12" x14ac:dyDescent="0.2">
      <c r="A1382" s="1">
        <v>41088</v>
      </c>
      <c r="B1382">
        <v>0</v>
      </c>
      <c r="C1382" t="s">
        <v>12</v>
      </c>
      <c r="D1382">
        <v>-1.1703E-2</v>
      </c>
      <c r="E1382">
        <f t="shared" si="42"/>
        <v>0.98829699999999998</v>
      </c>
      <c r="F1382" s="1">
        <f t="shared" si="43"/>
        <v>41085</v>
      </c>
      <c r="G1382" cm="1">
        <f t="array" ref="G1382">PRODUCT( _xlfn._xlws.FILTER($E:$E, ($C:$C=C1382)*($F:$F=F1382)) ) - 1</f>
        <v>-4.929171499311269E-3</v>
      </c>
      <c r="J1382" t="str">
        <v>TRI</v>
      </c>
      <c r="K1382" s="1">
        <v>41428</v>
      </c>
      <c r="L1382">
        <v>-1.4492564158762322E-3</v>
      </c>
    </row>
    <row r="1383" spans="1:12" x14ac:dyDescent="0.2">
      <c r="A1383" s="1">
        <v>41089</v>
      </c>
      <c r="B1383">
        <v>0</v>
      </c>
      <c r="C1383" t="s">
        <v>12</v>
      </c>
      <c r="D1383">
        <v>6.2329999999999998E-3</v>
      </c>
      <c r="E1383">
        <f t="shared" si="42"/>
        <v>1.0062329999999999</v>
      </c>
      <c r="F1383" s="1">
        <f t="shared" si="43"/>
        <v>41085</v>
      </c>
      <c r="G1383" cm="1">
        <f t="array" ref="G1383">PRODUCT( _xlfn._xlws.FILTER($E:$E, ($C:$C=C1383)*($F:$F=F1383)) ) - 1</f>
        <v>-4.929171499311269E-3</v>
      </c>
      <c r="J1383" t="str">
        <v>TRI</v>
      </c>
      <c r="K1383" s="1">
        <v>41435</v>
      </c>
      <c r="L1383">
        <v>-2.2641642506005422E-2</v>
      </c>
    </row>
    <row r="1384" spans="1:12" x14ac:dyDescent="0.2">
      <c r="A1384" s="1">
        <v>41093</v>
      </c>
      <c r="B1384">
        <v>0</v>
      </c>
      <c r="C1384" t="s">
        <v>12</v>
      </c>
      <c r="D1384">
        <v>1.1148999999999999E-2</v>
      </c>
      <c r="E1384">
        <f t="shared" si="42"/>
        <v>1.0111490000000001</v>
      </c>
      <c r="F1384" s="1">
        <f t="shared" si="43"/>
        <v>41092</v>
      </c>
      <c r="G1384" cm="1">
        <f t="array" ref="G1384">PRODUCT( _xlfn._xlws.FILTER($E:$E, ($C:$C=C1384)*($F:$F=F1384)) ) - 1</f>
        <v>7.4329116342832791E-3</v>
      </c>
      <c r="J1384" t="str">
        <v>TRI</v>
      </c>
      <c r="K1384" s="1">
        <v>41442</v>
      </c>
      <c r="L1384">
        <v>-5.9388634385515449E-4</v>
      </c>
    </row>
    <row r="1385" spans="1:12" x14ac:dyDescent="0.2">
      <c r="A1385" s="1">
        <v>41094</v>
      </c>
      <c r="B1385">
        <v>0</v>
      </c>
      <c r="C1385" t="s">
        <v>12</v>
      </c>
      <c r="D1385">
        <v>0</v>
      </c>
      <c r="E1385">
        <f t="shared" si="42"/>
        <v>1</v>
      </c>
      <c r="F1385" s="1">
        <f t="shared" si="43"/>
        <v>41092</v>
      </c>
      <c r="G1385" cm="1">
        <f t="array" ref="G1385">PRODUCT( _xlfn._xlws.FILTER($E:$E, ($C:$C=C1385)*($F:$F=F1385)) ) - 1</f>
        <v>7.4329116342832791E-3</v>
      </c>
      <c r="J1385" t="str">
        <v>TRI</v>
      </c>
      <c r="K1385" s="1">
        <v>41449</v>
      </c>
      <c r="L1385">
        <v>1.9911676726490635E-2</v>
      </c>
    </row>
    <row r="1386" spans="1:12" x14ac:dyDescent="0.2">
      <c r="A1386" s="1">
        <v>41095</v>
      </c>
      <c r="B1386">
        <v>0</v>
      </c>
      <c r="C1386" t="s">
        <v>12</v>
      </c>
      <c r="D1386">
        <v>1.838E-3</v>
      </c>
      <c r="E1386">
        <f t="shared" si="42"/>
        <v>1.001838</v>
      </c>
      <c r="F1386" s="1">
        <f t="shared" si="43"/>
        <v>41092</v>
      </c>
      <c r="G1386" cm="1">
        <f t="array" ref="G1386">PRODUCT( _xlfn._xlws.FILTER($E:$E, ($C:$C=C1386)*($F:$F=F1386)) ) - 1</f>
        <v>7.4329116342832791E-3</v>
      </c>
      <c r="J1386" t="str">
        <v>TRI</v>
      </c>
      <c r="K1386" s="1">
        <v>41456</v>
      </c>
      <c r="L1386">
        <v>2.3315317356091825E-3</v>
      </c>
    </row>
    <row r="1387" spans="1:12" x14ac:dyDescent="0.2">
      <c r="A1387" s="1">
        <v>41096</v>
      </c>
      <c r="B1387">
        <v>0</v>
      </c>
      <c r="C1387" t="s">
        <v>12</v>
      </c>
      <c r="D1387">
        <v>-5.5030000000000001E-3</v>
      </c>
      <c r="E1387">
        <f t="shared" si="42"/>
        <v>0.99449699999999996</v>
      </c>
      <c r="F1387" s="1">
        <f t="shared" si="43"/>
        <v>41092</v>
      </c>
      <c r="G1387" cm="1">
        <f t="array" ref="G1387">PRODUCT( _xlfn._xlws.FILTER($E:$E, ($C:$C=C1387)*($F:$F=F1387)) ) - 1</f>
        <v>7.4329116342832791E-3</v>
      </c>
      <c r="J1387" t="str">
        <v>TRI</v>
      </c>
      <c r="K1387" s="1">
        <v>41463</v>
      </c>
      <c r="L1387">
        <v>2.5872066914886416E-2</v>
      </c>
    </row>
    <row r="1388" spans="1:12" x14ac:dyDescent="0.2">
      <c r="A1388" s="1">
        <v>41099</v>
      </c>
      <c r="B1388">
        <v>0</v>
      </c>
      <c r="C1388" t="s">
        <v>12</v>
      </c>
      <c r="D1388">
        <v>4.6109999999999996E-3</v>
      </c>
      <c r="E1388">
        <f t="shared" si="42"/>
        <v>1.0046109999999999</v>
      </c>
      <c r="F1388" s="1">
        <f t="shared" si="43"/>
        <v>41099</v>
      </c>
      <c r="G1388" cm="1">
        <f t="array" ref="G1388">PRODUCT( _xlfn._xlws.FILTER($E:$E, ($C:$C=C1388)*($F:$F=F1388)) ) - 1</f>
        <v>1.321896021937552E-2</v>
      </c>
      <c r="J1388" t="str">
        <v>TRI</v>
      </c>
      <c r="K1388" s="1">
        <v>41470</v>
      </c>
      <c r="L1388">
        <v>1.4168218982319347E-2</v>
      </c>
    </row>
    <row r="1389" spans="1:12" x14ac:dyDescent="0.2">
      <c r="A1389" s="1">
        <v>41100</v>
      </c>
      <c r="B1389">
        <v>0</v>
      </c>
      <c r="C1389" t="s">
        <v>12</v>
      </c>
      <c r="D1389">
        <v>6.7320000000000001E-3</v>
      </c>
      <c r="E1389">
        <f t="shared" si="42"/>
        <v>1.006732</v>
      </c>
      <c r="F1389" s="1">
        <f t="shared" si="43"/>
        <v>41099</v>
      </c>
      <c r="G1389" cm="1">
        <f t="array" ref="G1389">PRODUCT( _xlfn._xlws.FILTER($E:$E, ($C:$C=C1389)*($F:$F=F1389)) ) - 1</f>
        <v>1.321896021937552E-2</v>
      </c>
      <c r="J1389" t="str">
        <v>TRI</v>
      </c>
      <c r="K1389" s="1">
        <v>41477</v>
      </c>
      <c r="L1389">
        <v>1.3131401536678133E-2</v>
      </c>
    </row>
    <row r="1390" spans="1:12" x14ac:dyDescent="0.2">
      <c r="A1390" s="1">
        <v>41101</v>
      </c>
      <c r="B1390">
        <v>0</v>
      </c>
      <c r="C1390" t="s">
        <v>12</v>
      </c>
      <c r="D1390">
        <v>9.1200000000000005E-4</v>
      </c>
      <c r="E1390">
        <f t="shared" si="42"/>
        <v>1.000912</v>
      </c>
      <c r="F1390" s="1">
        <f t="shared" si="43"/>
        <v>41099</v>
      </c>
      <c r="G1390" cm="1">
        <f t="array" ref="G1390">PRODUCT( _xlfn._xlws.FILTER($E:$E, ($C:$C=C1390)*($F:$F=F1390)) ) - 1</f>
        <v>1.321896021937552E-2</v>
      </c>
      <c r="J1390" t="str">
        <v>TRI</v>
      </c>
      <c r="K1390" s="1">
        <v>41484</v>
      </c>
      <c r="L1390">
        <v>-1.4064812608088006E-2</v>
      </c>
    </row>
    <row r="1391" spans="1:12" x14ac:dyDescent="0.2">
      <c r="A1391" s="1">
        <v>41102</v>
      </c>
      <c r="B1391">
        <v>0</v>
      </c>
      <c r="C1391" t="s">
        <v>12</v>
      </c>
      <c r="D1391">
        <v>-3.6440000000000001E-3</v>
      </c>
      <c r="E1391">
        <f t="shared" si="42"/>
        <v>0.99635600000000002</v>
      </c>
      <c r="F1391" s="1">
        <f t="shared" si="43"/>
        <v>41099</v>
      </c>
      <c r="G1391" cm="1">
        <f t="array" ref="G1391">PRODUCT( _xlfn._xlws.FILTER($E:$E, ($C:$C=C1391)*($F:$F=F1391)) ) - 1</f>
        <v>1.321896021937552E-2</v>
      </c>
      <c r="J1391" t="str">
        <v>TRI</v>
      </c>
      <c r="K1391" s="1">
        <v>41491</v>
      </c>
      <c r="L1391">
        <v>-3.3559856570574143E-3</v>
      </c>
    </row>
    <row r="1392" spans="1:12" x14ac:dyDescent="0.2">
      <c r="A1392" s="1">
        <v>41103</v>
      </c>
      <c r="B1392">
        <v>0</v>
      </c>
      <c r="C1392" t="s">
        <v>12</v>
      </c>
      <c r="D1392">
        <v>4.5719999999999997E-3</v>
      </c>
      <c r="E1392">
        <f t="shared" si="42"/>
        <v>1.004572</v>
      </c>
      <c r="F1392" s="1">
        <f t="shared" si="43"/>
        <v>41099</v>
      </c>
      <c r="G1392" cm="1">
        <f t="array" ref="G1392">PRODUCT( _xlfn._xlws.FILTER($E:$E, ($C:$C=C1392)*($F:$F=F1392)) ) - 1</f>
        <v>1.321896021937552E-2</v>
      </c>
      <c r="J1392" t="str">
        <v>TRI</v>
      </c>
      <c r="K1392" s="1">
        <v>41498</v>
      </c>
      <c r="L1392">
        <v>1.0103008903047384E-2</v>
      </c>
    </row>
    <row r="1393" spans="1:12" x14ac:dyDescent="0.2">
      <c r="A1393" s="1">
        <v>41106</v>
      </c>
      <c r="B1393">
        <v>0</v>
      </c>
      <c r="C1393" t="s">
        <v>12</v>
      </c>
      <c r="D1393">
        <v>-1.82E-3</v>
      </c>
      <c r="E1393">
        <f t="shared" si="42"/>
        <v>0.99817999999999996</v>
      </c>
      <c r="F1393" s="1">
        <f t="shared" si="43"/>
        <v>41106</v>
      </c>
      <c r="G1393" cm="1">
        <f t="array" ref="G1393">PRODUCT( _xlfn._xlws.FILTER($E:$E, ($C:$C=C1393)*($F:$F=F1393)) ) - 1</f>
        <v>5.4616055206295755E-3</v>
      </c>
      <c r="J1393" t="str">
        <v>TRI</v>
      </c>
      <c r="K1393" s="1">
        <v>41505</v>
      </c>
      <c r="L1393">
        <v>-7.2844651847386865E-3</v>
      </c>
    </row>
    <row r="1394" spans="1:12" x14ac:dyDescent="0.2">
      <c r="A1394" s="1">
        <v>41107</v>
      </c>
      <c r="B1394">
        <v>0</v>
      </c>
      <c r="C1394" t="s">
        <v>12</v>
      </c>
      <c r="D1394">
        <v>1.5200000000000001E-3</v>
      </c>
      <c r="E1394">
        <f t="shared" si="42"/>
        <v>1.00152</v>
      </c>
      <c r="F1394" s="1">
        <f t="shared" si="43"/>
        <v>41106</v>
      </c>
      <c r="G1394" cm="1">
        <f t="array" ref="G1394">PRODUCT( _xlfn._xlws.FILTER($E:$E, ($C:$C=C1394)*($F:$F=F1394)) ) - 1</f>
        <v>5.4616055206295755E-3</v>
      </c>
      <c r="J1394" t="str">
        <v>TRI</v>
      </c>
      <c r="K1394" s="1">
        <v>41512</v>
      </c>
      <c r="L1394">
        <v>-2.4583511598141761E-2</v>
      </c>
    </row>
    <row r="1395" spans="1:12" x14ac:dyDescent="0.2">
      <c r="A1395" s="1">
        <v>41108</v>
      </c>
      <c r="B1395">
        <v>0</v>
      </c>
      <c r="C1395" t="s">
        <v>12</v>
      </c>
      <c r="D1395">
        <v>-1.214E-3</v>
      </c>
      <c r="E1395">
        <f t="shared" si="42"/>
        <v>0.99878599999999995</v>
      </c>
      <c r="F1395" s="1">
        <f t="shared" si="43"/>
        <v>41106</v>
      </c>
      <c r="G1395" cm="1">
        <f t="array" ref="G1395">PRODUCT( _xlfn._xlws.FILTER($E:$E, ($C:$C=C1395)*($F:$F=F1395)) ) - 1</f>
        <v>5.4616055206295755E-3</v>
      </c>
      <c r="J1395" t="str">
        <v>TRI</v>
      </c>
      <c r="K1395" s="1">
        <v>41519</v>
      </c>
      <c r="L1395">
        <v>2.4045545277298519E-2</v>
      </c>
    </row>
    <row r="1396" spans="1:12" x14ac:dyDescent="0.2">
      <c r="A1396" s="1">
        <v>41109</v>
      </c>
      <c r="B1396">
        <v>0</v>
      </c>
      <c r="C1396" t="s">
        <v>12</v>
      </c>
      <c r="D1396">
        <v>2.735E-3</v>
      </c>
      <c r="E1396">
        <f t="shared" si="42"/>
        <v>1.0027349999999999</v>
      </c>
      <c r="F1396" s="1">
        <f t="shared" si="43"/>
        <v>41106</v>
      </c>
      <c r="G1396" cm="1">
        <f t="array" ref="G1396">PRODUCT( _xlfn._xlws.FILTER($E:$E, ($C:$C=C1396)*($F:$F=F1396)) ) - 1</f>
        <v>5.4616055206295755E-3</v>
      </c>
      <c r="J1396" t="str">
        <v>TRI</v>
      </c>
      <c r="K1396" s="1">
        <v>41526</v>
      </c>
      <c r="L1396">
        <v>1.3861981062917028E-2</v>
      </c>
    </row>
    <row r="1397" spans="1:12" x14ac:dyDescent="0.2">
      <c r="A1397" s="1">
        <v>41110</v>
      </c>
      <c r="B1397">
        <v>0</v>
      </c>
      <c r="C1397" t="s">
        <v>12</v>
      </c>
      <c r="D1397">
        <v>4.2420000000000001E-3</v>
      </c>
      <c r="E1397">
        <f t="shared" si="42"/>
        <v>1.0042420000000001</v>
      </c>
      <c r="F1397" s="1">
        <f t="shared" si="43"/>
        <v>41106</v>
      </c>
      <c r="G1397" cm="1">
        <f t="array" ref="G1397">PRODUCT( _xlfn._xlws.FILTER($E:$E, ($C:$C=C1397)*($F:$F=F1397)) ) - 1</f>
        <v>5.4616055206295755E-3</v>
      </c>
      <c r="J1397" t="str">
        <v>TRI</v>
      </c>
      <c r="K1397" s="1">
        <v>41533</v>
      </c>
      <c r="L1397">
        <v>2.2330924394686757E-3</v>
      </c>
    </row>
    <row r="1398" spans="1:12" x14ac:dyDescent="0.2">
      <c r="A1398" s="1">
        <v>41113</v>
      </c>
      <c r="B1398">
        <v>0</v>
      </c>
      <c r="C1398" t="s">
        <v>12</v>
      </c>
      <c r="D1398">
        <v>-7.5440000000000004E-3</v>
      </c>
      <c r="E1398">
        <f t="shared" si="42"/>
        <v>0.992456</v>
      </c>
      <c r="F1398" s="1">
        <f t="shared" si="43"/>
        <v>41113</v>
      </c>
      <c r="G1398" cm="1">
        <f t="array" ref="G1398">PRODUCT( _xlfn._xlws.FILTER($E:$E, ($C:$C=C1398)*($F:$F=F1398)) ) - 1</f>
        <v>4.8278116438613683E-3</v>
      </c>
      <c r="J1398" t="str">
        <v>TRI</v>
      </c>
      <c r="K1398" s="1">
        <v>41540</v>
      </c>
      <c r="L1398">
        <v>8.6298384067204914E-3</v>
      </c>
    </row>
    <row r="1399" spans="1:12" x14ac:dyDescent="0.2">
      <c r="A1399" s="1">
        <v>41114</v>
      </c>
      <c r="B1399">
        <v>0</v>
      </c>
      <c r="C1399" t="s">
        <v>12</v>
      </c>
      <c r="D1399">
        <v>-4.8650000000000004E-3</v>
      </c>
      <c r="E1399">
        <f t="shared" si="42"/>
        <v>0.99513499999999999</v>
      </c>
      <c r="F1399" s="1">
        <f t="shared" si="43"/>
        <v>41113</v>
      </c>
      <c r="G1399" cm="1">
        <f t="array" ref="G1399">PRODUCT( _xlfn._xlws.FILTER($E:$E, ($C:$C=C1399)*($F:$F=F1399)) ) - 1</f>
        <v>4.8278116438613683E-3</v>
      </c>
      <c r="J1399" t="str">
        <v>TRI</v>
      </c>
      <c r="K1399" s="1">
        <v>41547</v>
      </c>
      <c r="L1399">
        <v>-2.1528674093007183E-2</v>
      </c>
    </row>
    <row r="1400" spans="1:12" x14ac:dyDescent="0.2">
      <c r="A1400" s="1">
        <v>41115</v>
      </c>
      <c r="B1400">
        <v>0</v>
      </c>
      <c r="C1400" t="s">
        <v>12</v>
      </c>
      <c r="D1400">
        <v>-3.055E-3</v>
      </c>
      <c r="E1400">
        <f t="shared" si="42"/>
        <v>0.99694499999999997</v>
      </c>
      <c r="F1400" s="1">
        <f t="shared" si="43"/>
        <v>41113</v>
      </c>
      <c r="G1400" cm="1">
        <f t="array" ref="G1400">PRODUCT( _xlfn._xlws.FILTER($E:$E, ($C:$C=C1400)*($F:$F=F1400)) ) - 1</f>
        <v>4.8278116438613683E-3</v>
      </c>
      <c r="J1400" t="str">
        <v>TRI</v>
      </c>
      <c r="K1400" s="1">
        <v>41554</v>
      </c>
      <c r="L1400">
        <v>1.3822507588576727E-2</v>
      </c>
    </row>
    <row r="1401" spans="1:12" x14ac:dyDescent="0.2">
      <c r="A1401" s="1">
        <v>41116</v>
      </c>
      <c r="B1401">
        <v>0</v>
      </c>
      <c r="C1401" t="s">
        <v>12</v>
      </c>
      <c r="D1401">
        <v>1.1646E-2</v>
      </c>
      <c r="E1401">
        <f t="shared" si="42"/>
        <v>1.011646</v>
      </c>
      <c r="F1401" s="1">
        <f t="shared" si="43"/>
        <v>41113</v>
      </c>
      <c r="G1401" cm="1">
        <f t="array" ref="G1401">PRODUCT( _xlfn._xlws.FILTER($E:$E, ($C:$C=C1401)*($F:$F=F1401)) ) - 1</f>
        <v>4.8278116438613683E-3</v>
      </c>
      <c r="J1401" t="str">
        <v>TRI</v>
      </c>
      <c r="K1401" s="1">
        <v>41561</v>
      </c>
      <c r="L1401">
        <v>1.9477286522360249E-3</v>
      </c>
    </row>
    <row r="1402" spans="1:12" x14ac:dyDescent="0.2">
      <c r="A1402" s="1">
        <v>41117</v>
      </c>
      <c r="B1402">
        <v>0</v>
      </c>
      <c r="C1402" t="s">
        <v>12</v>
      </c>
      <c r="D1402">
        <v>8.7849999999999994E-3</v>
      </c>
      <c r="E1402">
        <f t="shared" si="42"/>
        <v>1.008785</v>
      </c>
      <c r="F1402" s="1">
        <f t="shared" si="43"/>
        <v>41113</v>
      </c>
      <c r="G1402" cm="1">
        <f t="array" ref="G1402">PRODUCT( _xlfn._xlws.FILTER($E:$E, ($C:$C=C1402)*($F:$F=F1402)) ) - 1</f>
        <v>4.8278116438613683E-3</v>
      </c>
      <c r="J1402" t="str">
        <v>TRI</v>
      </c>
      <c r="K1402" s="1">
        <v>41568</v>
      </c>
      <c r="L1402">
        <v>2.6659249493349524E-2</v>
      </c>
    </row>
    <row r="1403" spans="1:12" x14ac:dyDescent="0.2">
      <c r="A1403" s="1">
        <v>41120</v>
      </c>
      <c r="B1403">
        <v>0</v>
      </c>
      <c r="C1403" t="s">
        <v>12</v>
      </c>
      <c r="D1403">
        <v>3.003E-3</v>
      </c>
      <c r="E1403">
        <f t="shared" si="42"/>
        <v>1.0030030000000001</v>
      </c>
      <c r="F1403" s="1">
        <f t="shared" si="43"/>
        <v>41120</v>
      </c>
      <c r="G1403" cm="1">
        <f t="array" ref="G1403">PRODUCT( _xlfn._xlws.FILTER($E:$E, ($C:$C=C1403)*($F:$F=F1403)) ) - 1</f>
        <v>-2.7022506764323717E-3</v>
      </c>
      <c r="J1403" t="str">
        <v>TRI</v>
      </c>
      <c r="K1403" s="1">
        <v>41575</v>
      </c>
      <c r="L1403">
        <v>7.4113386114780466E-2</v>
      </c>
    </row>
    <row r="1404" spans="1:12" x14ac:dyDescent="0.2">
      <c r="A1404" s="1">
        <v>41121</v>
      </c>
      <c r="B1404">
        <v>0</v>
      </c>
      <c r="C1404" t="s">
        <v>12</v>
      </c>
      <c r="D1404">
        <v>4.1920000000000004E-3</v>
      </c>
      <c r="E1404">
        <f t="shared" si="42"/>
        <v>1.004192</v>
      </c>
      <c r="F1404" s="1">
        <f t="shared" si="43"/>
        <v>41120</v>
      </c>
      <c r="G1404" cm="1">
        <f t="array" ref="G1404">PRODUCT( _xlfn._xlws.FILTER($E:$E, ($C:$C=C1404)*($F:$F=F1404)) ) - 1</f>
        <v>-2.7022506764323717E-3</v>
      </c>
      <c r="J1404" t="str">
        <v>TRI</v>
      </c>
      <c r="K1404" s="1">
        <v>41582</v>
      </c>
      <c r="L1404">
        <v>9.3177202667218406E-3</v>
      </c>
    </row>
    <row r="1405" spans="1:12" x14ac:dyDescent="0.2">
      <c r="A1405" s="1">
        <v>41122</v>
      </c>
      <c r="B1405">
        <v>0</v>
      </c>
      <c r="C1405" t="s">
        <v>12</v>
      </c>
      <c r="D1405">
        <v>-1.1032E-2</v>
      </c>
      <c r="E1405">
        <f t="shared" si="42"/>
        <v>0.98896799999999996</v>
      </c>
      <c r="F1405" s="1">
        <f t="shared" si="43"/>
        <v>41120</v>
      </c>
      <c r="G1405" cm="1">
        <f t="array" ref="G1405">PRODUCT( _xlfn._xlws.FILTER($E:$E, ($C:$C=C1405)*($F:$F=F1405)) ) - 1</f>
        <v>-2.7022506764323717E-3</v>
      </c>
      <c r="J1405" t="str">
        <v>TRI</v>
      </c>
      <c r="K1405" s="1">
        <v>41589</v>
      </c>
      <c r="L1405">
        <v>-1.2471862008941459E-3</v>
      </c>
    </row>
    <row r="1406" spans="1:12" x14ac:dyDescent="0.2">
      <c r="A1406" s="1">
        <v>41123</v>
      </c>
      <c r="B1406">
        <v>0</v>
      </c>
      <c r="C1406" t="s">
        <v>12</v>
      </c>
      <c r="D1406">
        <v>-5.1250000000000002E-3</v>
      </c>
      <c r="E1406">
        <f t="shared" si="42"/>
        <v>0.99487499999999995</v>
      </c>
      <c r="F1406" s="1">
        <f t="shared" si="43"/>
        <v>41120</v>
      </c>
      <c r="G1406" cm="1">
        <f t="array" ref="G1406">PRODUCT( _xlfn._xlws.FILTER($E:$E, ($C:$C=C1406)*($F:$F=F1406)) ) - 1</f>
        <v>-2.7022506764323717E-3</v>
      </c>
      <c r="J1406" t="str">
        <v>TRI</v>
      </c>
      <c r="K1406" s="1">
        <v>41596</v>
      </c>
      <c r="L1406">
        <v>6.5438168538125563E-3</v>
      </c>
    </row>
    <row r="1407" spans="1:12" x14ac:dyDescent="0.2">
      <c r="A1407" s="1">
        <v>41124</v>
      </c>
      <c r="B1407">
        <v>0</v>
      </c>
      <c r="C1407" t="s">
        <v>12</v>
      </c>
      <c r="D1407">
        <v>6.3639999999999999E-3</v>
      </c>
      <c r="E1407">
        <f t="shared" si="42"/>
        <v>1.006364</v>
      </c>
      <c r="F1407" s="1">
        <f t="shared" si="43"/>
        <v>41120</v>
      </c>
      <c r="G1407" cm="1">
        <f t="array" ref="G1407">PRODUCT( _xlfn._xlws.FILTER($E:$E, ($C:$C=C1407)*($F:$F=F1407)) ) - 1</f>
        <v>-2.7022506764323717E-3</v>
      </c>
      <c r="J1407" t="str">
        <v>TRI</v>
      </c>
      <c r="K1407" s="1">
        <v>41603</v>
      </c>
      <c r="L1407">
        <v>-9.5119644658414604E-3</v>
      </c>
    </row>
    <row r="1408" spans="1:12" x14ac:dyDescent="0.2">
      <c r="A1408" s="1">
        <v>41128</v>
      </c>
      <c r="B1408">
        <v>0</v>
      </c>
      <c r="C1408" t="s">
        <v>12</v>
      </c>
      <c r="D1408">
        <v>1.5056E-2</v>
      </c>
      <c r="E1408">
        <f t="shared" si="42"/>
        <v>1.015056</v>
      </c>
      <c r="F1408" s="1">
        <f t="shared" si="43"/>
        <v>41127</v>
      </c>
      <c r="G1408" cm="1">
        <f t="array" ref="G1408">PRODUCT( _xlfn._xlws.FILTER($E:$E, ($C:$C=C1408)*($F:$F=F1408)) ) - 1</f>
        <v>1.927136297091292E-2</v>
      </c>
      <c r="J1408" t="str">
        <v>TRI</v>
      </c>
      <c r="K1408" s="1">
        <v>41610</v>
      </c>
      <c r="L1408">
        <v>-6.8240486908184295E-3</v>
      </c>
    </row>
    <row r="1409" spans="1:12" x14ac:dyDescent="0.2">
      <c r="A1409" s="1">
        <v>41129</v>
      </c>
      <c r="B1409">
        <v>0</v>
      </c>
      <c r="C1409" t="s">
        <v>12</v>
      </c>
      <c r="D1409">
        <v>-8.8999999999999995E-4</v>
      </c>
      <c r="E1409">
        <f t="shared" si="42"/>
        <v>0.99911000000000005</v>
      </c>
      <c r="F1409" s="1">
        <f t="shared" si="43"/>
        <v>41127</v>
      </c>
      <c r="G1409" cm="1">
        <f t="array" ref="G1409">PRODUCT( _xlfn._xlws.FILTER($E:$E, ($C:$C=C1409)*($F:$F=F1409)) ) - 1</f>
        <v>1.927136297091292E-2</v>
      </c>
      <c r="J1409" t="str">
        <v>TRI</v>
      </c>
      <c r="K1409" s="1">
        <v>41617</v>
      </c>
      <c r="L1409">
        <v>-8.3956226481750607E-3</v>
      </c>
    </row>
    <row r="1410" spans="1:12" x14ac:dyDescent="0.2">
      <c r="A1410" s="1">
        <v>41130</v>
      </c>
      <c r="B1410">
        <v>0</v>
      </c>
      <c r="C1410" t="s">
        <v>12</v>
      </c>
      <c r="D1410">
        <v>2.6719999999999999E-3</v>
      </c>
      <c r="E1410">
        <f t="shared" si="42"/>
        <v>1.002672</v>
      </c>
      <c r="F1410" s="1">
        <f t="shared" si="43"/>
        <v>41127</v>
      </c>
      <c r="G1410" cm="1">
        <f t="array" ref="G1410">PRODUCT( _xlfn._xlws.FILTER($E:$E, ($C:$C=C1410)*($F:$F=F1410)) ) - 1</f>
        <v>1.927136297091292E-2</v>
      </c>
      <c r="J1410" t="str">
        <v>TRI</v>
      </c>
      <c r="K1410" s="1">
        <v>41624</v>
      </c>
      <c r="L1410">
        <v>2.8483326697399169E-2</v>
      </c>
    </row>
    <row r="1411" spans="1:12" x14ac:dyDescent="0.2">
      <c r="A1411" s="1">
        <v>41131</v>
      </c>
      <c r="B1411">
        <v>0</v>
      </c>
      <c r="C1411" t="s">
        <v>12</v>
      </c>
      <c r="D1411">
        <v>2.369E-3</v>
      </c>
      <c r="E1411">
        <f t="shared" si="42"/>
        <v>1.0023690000000001</v>
      </c>
      <c r="F1411" s="1">
        <f t="shared" si="43"/>
        <v>41127</v>
      </c>
      <c r="G1411" cm="1">
        <f t="array" ref="G1411">PRODUCT( _xlfn._xlws.FILTER($E:$E, ($C:$C=C1411)*($F:$F=F1411)) ) - 1</f>
        <v>1.927136297091292E-2</v>
      </c>
      <c r="J1411" t="str">
        <v>TRI</v>
      </c>
      <c r="K1411" s="1">
        <v>41631</v>
      </c>
      <c r="L1411">
        <v>1.3471993930574078E-2</v>
      </c>
    </row>
    <row r="1412" spans="1:12" x14ac:dyDescent="0.2">
      <c r="A1412" s="1">
        <v>41134</v>
      </c>
      <c r="B1412">
        <v>0</v>
      </c>
      <c r="C1412" t="s">
        <v>12</v>
      </c>
      <c r="D1412">
        <v>2.3630000000000001E-3</v>
      </c>
      <c r="E1412">
        <f t="shared" ref="E1412:E1475" si="44">D1412+1</f>
        <v>1.0023629999999999</v>
      </c>
      <c r="F1412" s="1">
        <f t="shared" ref="F1412:F1475" si="45">A1412 - (WEEKDAY(A1412, 2) - 1)</f>
        <v>41134</v>
      </c>
      <c r="G1412" cm="1">
        <f t="array" ref="G1412">PRODUCT( _xlfn._xlws.FILTER($E:$E, ($C:$C=C1412)*($F:$F=F1412)) ) - 1</f>
        <v>2.3761501696044629E-3</v>
      </c>
      <c r="J1412" t="str">
        <v>TRI</v>
      </c>
      <c r="K1412" s="1">
        <v>41638</v>
      </c>
      <c r="L1412">
        <v>-1.5016725118706997E-2</v>
      </c>
    </row>
    <row r="1413" spans="1:12" x14ac:dyDescent="0.2">
      <c r="A1413" s="1">
        <v>41135</v>
      </c>
      <c r="B1413">
        <v>0</v>
      </c>
      <c r="C1413" t="s">
        <v>12</v>
      </c>
      <c r="D1413">
        <v>-2.0630000000000002E-3</v>
      </c>
      <c r="E1413">
        <f t="shared" si="44"/>
        <v>0.99793699999999996</v>
      </c>
      <c r="F1413" s="1">
        <f t="shared" si="45"/>
        <v>41134</v>
      </c>
      <c r="G1413" cm="1">
        <f t="array" ref="G1413">PRODUCT( _xlfn._xlws.FILTER($E:$E, ($C:$C=C1413)*($F:$F=F1413)) ) - 1</f>
        <v>2.3761501696044629E-3</v>
      </c>
      <c r="J1413" t="str">
        <v>TRI</v>
      </c>
      <c r="K1413" s="1">
        <v>41645</v>
      </c>
      <c r="L1413">
        <v>2.2743807949326289E-2</v>
      </c>
    </row>
    <row r="1414" spans="1:12" x14ac:dyDescent="0.2">
      <c r="A1414" s="1">
        <v>41136</v>
      </c>
      <c r="B1414">
        <v>0</v>
      </c>
      <c r="C1414" t="s">
        <v>12</v>
      </c>
      <c r="D1414">
        <v>5.9100000000000005E-4</v>
      </c>
      <c r="E1414">
        <f t="shared" si="44"/>
        <v>1.000591</v>
      </c>
      <c r="F1414" s="1">
        <f t="shared" si="45"/>
        <v>41134</v>
      </c>
      <c r="G1414" cm="1">
        <f t="array" ref="G1414">PRODUCT( _xlfn._xlws.FILTER($E:$E, ($C:$C=C1414)*($F:$F=F1414)) ) - 1</f>
        <v>2.3761501696044629E-3</v>
      </c>
      <c r="J1414" t="str">
        <v>TRI</v>
      </c>
      <c r="K1414" s="1">
        <v>41652</v>
      </c>
      <c r="L1414">
        <v>7.332244946603117E-3</v>
      </c>
    </row>
    <row r="1415" spans="1:12" x14ac:dyDescent="0.2">
      <c r="A1415" s="1">
        <v>41137</v>
      </c>
      <c r="B1415">
        <v>0</v>
      </c>
      <c r="C1415" t="s">
        <v>12</v>
      </c>
      <c r="D1415">
        <v>8.9300000000000002E-4</v>
      </c>
      <c r="E1415">
        <f t="shared" si="44"/>
        <v>1.000893</v>
      </c>
      <c r="F1415" s="1">
        <f t="shared" si="45"/>
        <v>41134</v>
      </c>
      <c r="G1415" cm="1">
        <f t="array" ref="G1415">PRODUCT( _xlfn._xlws.FILTER($E:$E, ($C:$C=C1415)*($F:$F=F1415)) ) - 1</f>
        <v>2.3761501696044629E-3</v>
      </c>
      <c r="J1415" t="str">
        <v>TRI</v>
      </c>
      <c r="K1415" s="1">
        <v>41659</v>
      </c>
      <c r="L1415">
        <v>-2.5957377485434474E-2</v>
      </c>
    </row>
    <row r="1416" spans="1:12" x14ac:dyDescent="0.2">
      <c r="A1416" s="1">
        <v>41138</v>
      </c>
      <c r="B1416">
        <v>0</v>
      </c>
      <c r="C1416" t="s">
        <v>12</v>
      </c>
      <c r="D1416">
        <v>5.9500000000000004E-4</v>
      </c>
      <c r="E1416">
        <f t="shared" si="44"/>
        <v>1.0005949999999999</v>
      </c>
      <c r="F1416" s="1">
        <f t="shared" si="45"/>
        <v>41134</v>
      </c>
      <c r="G1416" cm="1">
        <f t="array" ref="G1416">PRODUCT( _xlfn._xlws.FILTER($E:$E, ($C:$C=C1416)*($F:$F=F1416)) ) - 1</f>
        <v>2.3761501696044629E-3</v>
      </c>
      <c r="J1416" t="str">
        <v>TRI</v>
      </c>
      <c r="K1416" s="1">
        <v>41666</v>
      </c>
      <c r="L1416">
        <v>7.4640457618202483E-4</v>
      </c>
    </row>
    <row r="1417" spans="1:12" x14ac:dyDescent="0.2">
      <c r="A1417" s="1">
        <v>41141</v>
      </c>
      <c r="B1417">
        <v>0</v>
      </c>
      <c r="C1417" t="s">
        <v>12</v>
      </c>
      <c r="D1417">
        <v>-3.8660000000000001E-3</v>
      </c>
      <c r="E1417">
        <f t="shared" si="44"/>
        <v>0.99613399999999996</v>
      </c>
      <c r="F1417" s="1">
        <f t="shared" si="45"/>
        <v>41141</v>
      </c>
      <c r="G1417" cm="1">
        <f t="array" ref="G1417">PRODUCT( _xlfn._xlws.FILTER($E:$E, ($C:$C=C1417)*($F:$F=F1417)) ) - 1</f>
        <v>-2.3780230870009689E-3</v>
      </c>
      <c r="J1417" t="str">
        <v>TRI</v>
      </c>
      <c r="K1417" s="1">
        <v>41673</v>
      </c>
      <c r="L1417">
        <v>-3.7320613971573158E-3</v>
      </c>
    </row>
    <row r="1418" spans="1:12" x14ac:dyDescent="0.2">
      <c r="A1418" s="1">
        <v>41142</v>
      </c>
      <c r="B1418">
        <v>0</v>
      </c>
      <c r="C1418" t="s">
        <v>12</v>
      </c>
      <c r="D1418">
        <v>4.4780000000000002E-3</v>
      </c>
      <c r="E1418">
        <f t="shared" si="44"/>
        <v>1.004478</v>
      </c>
      <c r="F1418" s="1">
        <f t="shared" si="45"/>
        <v>41141</v>
      </c>
      <c r="G1418" cm="1">
        <f t="array" ref="G1418">PRODUCT( _xlfn._xlws.FILTER($E:$E, ($C:$C=C1418)*($F:$F=F1418)) ) - 1</f>
        <v>-2.3780230870009689E-3</v>
      </c>
      <c r="J1418" t="str">
        <v>TRI</v>
      </c>
      <c r="K1418" s="1">
        <v>41680</v>
      </c>
      <c r="L1418">
        <v>-5.8705391684006347E-2</v>
      </c>
    </row>
    <row r="1419" spans="1:12" x14ac:dyDescent="0.2">
      <c r="A1419" s="1">
        <v>41143</v>
      </c>
      <c r="B1419">
        <v>0</v>
      </c>
      <c r="C1419" t="s">
        <v>12</v>
      </c>
      <c r="D1419">
        <v>-1.7830000000000001E-3</v>
      </c>
      <c r="E1419">
        <f t="shared" si="44"/>
        <v>0.99821700000000002</v>
      </c>
      <c r="F1419" s="1">
        <f t="shared" si="45"/>
        <v>41141</v>
      </c>
      <c r="G1419" cm="1">
        <f t="array" ref="G1419">PRODUCT( _xlfn._xlws.FILTER($E:$E, ($C:$C=C1419)*($F:$F=F1419)) ) - 1</f>
        <v>-2.3780230870009689E-3</v>
      </c>
      <c r="J1419" t="str">
        <v>TRI</v>
      </c>
      <c r="K1419" s="1">
        <v>41687</v>
      </c>
      <c r="L1419">
        <v>2.756623300196881E-2</v>
      </c>
    </row>
    <row r="1420" spans="1:12" x14ac:dyDescent="0.2">
      <c r="A1420" s="1">
        <v>41144</v>
      </c>
      <c r="B1420">
        <v>0</v>
      </c>
      <c r="C1420" t="s">
        <v>12</v>
      </c>
      <c r="D1420">
        <v>-1.786E-3</v>
      </c>
      <c r="E1420">
        <f t="shared" si="44"/>
        <v>0.99821400000000005</v>
      </c>
      <c r="F1420" s="1">
        <f t="shared" si="45"/>
        <v>41141</v>
      </c>
      <c r="G1420" cm="1">
        <f t="array" ref="G1420">PRODUCT( _xlfn._xlws.FILTER($E:$E, ($C:$C=C1420)*($F:$F=F1420)) ) - 1</f>
        <v>-2.3780230870009689E-3</v>
      </c>
      <c r="J1420" t="str">
        <v>TRI</v>
      </c>
      <c r="K1420" s="1">
        <v>41694</v>
      </c>
      <c r="L1420">
        <v>-9.1276774189525955E-3</v>
      </c>
    </row>
    <row r="1421" spans="1:12" x14ac:dyDescent="0.2">
      <c r="A1421" s="1">
        <v>41145</v>
      </c>
      <c r="B1421">
        <v>0</v>
      </c>
      <c r="C1421" t="s">
        <v>12</v>
      </c>
      <c r="D1421">
        <v>5.9699999999999998E-4</v>
      </c>
      <c r="E1421">
        <f t="shared" si="44"/>
        <v>1.000597</v>
      </c>
      <c r="F1421" s="1">
        <f t="shared" si="45"/>
        <v>41141</v>
      </c>
      <c r="G1421" cm="1">
        <f t="array" ref="G1421">PRODUCT( _xlfn._xlws.FILTER($E:$E, ($C:$C=C1421)*($F:$F=F1421)) ) - 1</f>
        <v>-2.3780230870009689E-3</v>
      </c>
      <c r="J1421" t="str">
        <v>TRI</v>
      </c>
      <c r="K1421" s="1">
        <v>41701</v>
      </c>
      <c r="L1421">
        <v>-4.2118787450809991E-3</v>
      </c>
    </row>
    <row r="1422" spans="1:12" x14ac:dyDescent="0.2">
      <c r="A1422" s="1">
        <v>41148</v>
      </c>
      <c r="B1422">
        <v>0</v>
      </c>
      <c r="C1422" t="s">
        <v>12</v>
      </c>
      <c r="D1422">
        <v>1.7880000000000001E-3</v>
      </c>
      <c r="E1422">
        <f t="shared" si="44"/>
        <v>1.0017879999999999</v>
      </c>
      <c r="F1422" s="1">
        <f t="shared" si="45"/>
        <v>41148</v>
      </c>
      <c r="G1422" cm="1">
        <f t="array" ref="G1422">PRODUCT( _xlfn._xlws.FILTER($E:$E, ($C:$C=C1422)*($F:$F=F1422)) ) - 1</f>
        <v>-3.1596158708468214E-2</v>
      </c>
      <c r="J1422" t="str">
        <v>TRI</v>
      </c>
      <c r="K1422" s="1">
        <v>41708</v>
      </c>
      <c r="L1422">
        <v>-1.9556611165540749E-2</v>
      </c>
    </row>
    <row r="1423" spans="1:12" x14ac:dyDescent="0.2">
      <c r="A1423" s="1">
        <v>41149</v>
      </c>
      <c r="B1423">
        <v>0</v>
      </c>
      <c r="C1423" t="s">
        <v>12</v>
      </c>
      <c r="D1423">
        <v>-1.4877E-2</v>
      </c>
      <c r="E1423">
        <f t="shared" si="44"/>
        <v>0.98512299999999997</v>
      </c>
      <c r="F1423" s="1">
        <f t="shared" si="45"/>
        <v>41148</v>
      </c>
      <c r="G1423" cm="1">
        <f t="array" ref="G1423">PRODUCT( _xlfn._xlws.FILTER($E:$E, ($C:$C=C1423)*($F:$F=F1423)) ) - 1</f>
        <v>-3.1596158708468214E-2</v>
      </c>
      <c r="J1423" t="str">
        <v>TRI</v>
      </c>
      <c r="K1423" s="1">
        <v>41715</v>
      </c>
      <c r="L1423">
        <v>2.8031479096023881E-2</v>
      </c>
    </row>
    <row r="1424" spans="1:12" x14ac:dyDescent="0.2">
      <c r="A1424" s="1">
        <v>41150</v>
      </c>
      <c r="B1424">
        <v>0</v>
      </c>
      <c r="C1424" t="s">
        <v>12</v>
      </c>
      <c r="D1424">
        <v>-1.2080000000000001E-3</v>
      </c>
      <c r="E1424">
        <f t="shared" si="44"/>
        <v>0.99879200000000001</v>
      </c>
      <c r="F1424" s="1">
        <f t="shared" si="45"/>
        <v>41148</v>
      </c>
      <c r="G1424" cm="1">
        <f t="array" ref="G1424">PRODUCT( _xlfn._xlws.FILTER($E:$E, ($C:$C=C1424)*($F:$F=F1424)) ) - 1</f>
        <v>-3.1596158708468214E-2</v>
      </c>
      <c r="J1424" t="str">
        <v>TRI</v>
      </c>
      <c r="K1424" s="1">
        <v>41722</v>
      </c>
      <c r="L1424">
        <v>-1.3895091595623965E-2</v>
      </c>
    </row>
    <row r="1425" spans="1:12" x14ac:dyDescent="0.2">
      <c r="A1425" s="1">
        <v>41151</v>
      </c>
      <c r="B1425">
        <v>0</v>
      </c>
      <c r="C1425" t="s">
        <v>12</v>
      </c>
      <c r="D1425">
        <v>-1.2096000000000001E-2</v>
      </c>
      <c r="E1425">
        <f t="shared" si="44"/>
        <v>0.987904</v>
      </c>
      <c r="F1425" s="1">
        <f t="shared" si="45"/>
        <v>41148</v>
      </c>
      <c r="G1425" cm="1">
        <f t="array" ref="G1425">PRODUCT( _xlfn._xlws.FILTER($E:$E, ($C:$C=C1425)*($F:$F=F1425)) ) - 1</f>
        <v>-3.1596158708468214E-2</v>
      </c>
      <c r="J1425" t="str">
        <v>TRI</v>
      </c>
      <c r="K1425" s="1">
        <v>41729</v>
      </c>
      <c r="L1425">
        <v>2.5525492000436412E-2</v>
      </c>
    </row>
    <row r="1426" spans="1:12" x14ac:dyDescent="0.2">
      <c r="A1426" s="1">
        <v>41152</v>
      </c>
      <c r="B1426">
        <v>0</v>
      </c>
      <c r="C1426" t="s">
        <v>12</v>
      </c>
      <c r="D1426">
        <v>-5.5100000000000001E-3</v>
      </c>
      <c r="E1426">
        <f t="shared" si="44"/>
        <v>0.99448999999999999</v>
      </c>
      <c r="F1426" s="1">
        <f t="shared" si="45"/>
        <v>41148</v>
      </c>
      <c r="G1426" cm="1">
        <f t="array" ref="G1426">PRODUCT( _xlfn._xlws.FILTER($E:$E, ($C:$C=C1426)*($F:$F=F1426)) ) - 1</f>
        <v>-3.1596158708468214E-2</v>
      </c>
      <c r="J1426" t="str">
        <v>TRI</v>
      </c>
      <c r="K1426" s="1">
        <v>41736</v>
      </c>
      <c r="L1426">
        <v>-3.4741066706344914E-2</v>
      </c>
    </row>
    <row r="1427" spans="1:12" x14ac:dyDescent="0.2">
      <c r="A1427" s="1">
        <v>41156</v>
      </c>
      <c r="B1427">
        <v>0</v>
      </c>
      <c r="C1427" t="s">
        <v>12</v>
      </c>
      <c r="D1427">
        <v>7.3870000000000003E-3</v>
      </c>
      <c r="E1427">
        <f t="shared" si="44"/>
        <v>1.007387</v>
      </c>
      <c r="F1427" s="1">
        <f t="shared" si="45"/>
        <v>41155</v>
      </c>
      <c r="G1427" cm="1">
        <f t="array" ref="G1427">PRODUCT( _xlfn._xlws.FILTER($E:$E, ($C:$C=C1427)*($F:$F=F1427)) ) - 1</f>
        <v>2.154557063701068E-2</v>
      </c>
      <c r="J1427" t="str">
        <v>TRI</v>
      </c>
      <c r="K1427" s="1">
        <v>41743</v>
      </c>
      <c r="L1427">
        <v>3.0082541962302534E-2</v>
      </c>
    </row>
    <row r="1428" spans="1:12" x14ac:dyDescent="0.2">
      <c r="A1428" s="1">
        <v>41157</v>
      </c>
      <c r="B1428">
        <v>0</v>
      </c>
      <c r="C1428" t="s">
        <v>12</v>
      </c>
      <c r="D1428">
        <v>3.0600000000000001E-4</v>
      </c>
      <c r="E1428">
        <f t="shared" si="44"/>
        <v>1.0003059999999999</v>
      </c>
      <c r="F1428" s="1">
        <f t="shared" si="45"/>
        <v>41155</v>
      </c>
      <c r="G1428" cm="1">
        <f t="array" ref="G1428">PRODUCT( _xlfn._xlws.FILTER($E:$E, ($C:$C=C1428)*($F:$F=F1428)) ) - 1</f>
        <v>2.154557063701068E-2</v>
      </c>
      <c r="J1428" t="str">
        <v>TRI</v>
      </c>
      <c r="K1428" s="1">
        <v>41750</v>
      </c>
      <c r="L1428">
        <v>-4.6945769140979143E-3</v>
      </c>
    </row>
    <row r="1429" spans="1:12" x14ac:dyDescent="0.2">
      <c r="A1429" s="1">
        <v>41158</v>
      </c>
      <c r="B1429">
        <v>0</v>
      </c>
      <c r="C1429" t="s">
        <v>12</v>
      </c>
      <c r="D1429">
        <v>2.4429999999999999E-3</v>
      </c>
      <c r="E1429">
        <f t="shared" si="44"/>
        <v>1.002443</v>
      </c>
      <c r="F1429" s="1">
        <f t="shared" si="45"/>
        <v>41155</v>
      </c>
      <c r="G1429" cm="1">
        <f t="array" ref="G1429">PRODUCT( _xlfn._xlws.FILTER($E:$E, ($C:$C=C1429)*($F:$F=F1429)) ) - 1</f>
        <v>2.154557063701068E-2</v>
      </c>
      <c r="J1429" t="str">
        <v>TRI</v>
      </c>
      <c r="K1429" s="1">
        <v>41757</v>
      </c>
      <c r="L1429">
        <v>2.6985705515793379E-2</v>
      </c>
    </row>
    <row r="1430" spans="1:12" x14ac:dyDescent="0.2">
      <c r="A1430" s="1">
        <v>41159</v>
      </c>
      <c r="B1430">
        <v>0</v>
      </c>
      <c r="C1430" t="s">
        <v>12</v>
      </c>
      <c r="D1430">
        <v>1.1273999999999999E-2</v>
      </c>
      <c r="E1430">
        <f t="shared" si="44"/>
        <v>1.011274</v>
      </c>
      <c r="F1430" s="1">
        <f t="shared" si="45"/>
        <v>41155</v>
      </c>
      <c r="G1430" cm="1">
        <f t="array" ref="G1430">PRODUCT( _xlfn._xlws.FILTER($E:$E, ($C:$C=C1430)*($F:$F=F1430)) ) - 1</f>
        <v>2.154557063701068E-2</v>
      </c>
      <c r="J1430" t="str">
        <v>TRI</v>
      </c>
      <c r="K1430" s="1">
        <v>41764</v>
      </c>
      <c r="L1430">
        <v>-1.1224083674262531E-2</v>
      </c>
    </row>
    <row r="1431" spans="1:12" x14ac:dyDescent="0.2">
      <c r="A1431" s="1">
        <v>41162</v>
      </c>
      <c r="B1431">
        <v>0</v>
      </c>
      <c r="C1431" t="s">
        <v>12</v>
      </c>
      <c r="D1431">
        <v>6.0300000000000002E-4</v>
      </c>
      <c r="E1431">
        <f t="shared" si="44"/>
        <v>1.0006029999999999</v>
      </c>
      <c r="F1431" s="1">
        <f t="shared" si="45"/>
        <v>41162</v>
      </c>
      <c r="G1431" cm="1">
        <f t="array" ref="G1431">PRODUCT( _xlfn._xlws.FILTER($E:$E, ($C:$C=C1431)*($F:$F=F1431)) ) - 1</f>
        <v>-5.7249628590427815E-3</v>
      </c>
      <c r="J1431" t="str">
        <v>TRI</v>
      </c>
      <c r="K1431" s="1">
        <v>41771</v>
      </c>
      <c r="L1431">
        <v>3.3538507643819937E-3</v>
      </c>
    </row>
    <row r="1432" spans="1:12" x14ac:dyDescent="0.2">
      <c r="A1432" s="1">
        <v>41163</v>
      </c>
      <c r="B1432">
        <v>0</v>
      </c>
      <c r="C1432" t="s">
        <v>12</v>
      </c>
      <c r="D1432">
        <v>-1.506E-3</v>
      </c>
      <c r="E1432">
        <f t="shared" si="44"/>
        <v>0.99849399999999999</v>
      </c>
      <c r="F1432" s="1">
        <f t="shared" si="45"/>
        <v>41162</v>
      </c>
      <c r="G1432" cm="1">
        <f t="array" ref="G1432">PRODUCT( _xlfn._xlws.FILTER($E:$E, ($C:$C=C1432)*($F:$F=F1432)) ) - 1</f>
        <v>-5.7249628590427815E-3</v>
      </c>
      <c r="J1432" t="str">
        <v>TRI</v>
      </c>
      <c r="K1432" s="1">
        <v>41778</v>
      </c>
      <c r="L1432">
        <v>-7.0930024595623475E-3</v>
      </c>
    </row>
    <row r="1433" spans="1:12" x14ac:dyDescent="0.2">
      <c r="A1433" s="1">
        <v>41164</v>
      </c>
      <c r="B1433">
        <v>0</v>
      </c>
      <c r="C1433" t="s">
        <v>12</v>
      </c>
      <c r="D1433">
        <v>-1.206E-3</v>
      </c>
      <c r="E1433">
        <f t="shared" si="44"/>
        <v>0.99879399999999996</v>
      </c>
      <c r="F1433" s="1">
        <f t="shared" si="45"/>
        <v>41162</v>
      </c>
      <c r="G1433" cm="1">
        <f t="array" ref="G1433">PRODUCT( _xlfn._xlws.FILTER($E:$E, ($C:$C=C1433)*($F:$F=F1433)) ) - 1</f>
        <v>-5.7249628590427815E-3</v>
      </c>
      <c r="J1433" t="str">
        <v>TRI</v>
      </c>
      <c r="K1433" s="1">
        <v>41785</v>
      </c>
      <c r="L1433">
        <v>-1.7253879295252683E-2</v>
      </c>
    </row>
    <row r="1434" spans="1:12" x14ac:dyDescent="0.2">
      <c r="A1434" s="1">
        <v>41165</v>
      </c>
      <c r="B1434">
        <v>0</v>
      </c>
      <c r="C1434" t="s">
        <v>12</v>
      </c>
      <c r="D1434">
        <v>-5.1330000000000004E-3</v>
      </c>
      <c r="E1434">
        <f t="shared" si="44"/>
        <v>0.99486699999999995</v>
      </c>
      <c r="F1434" s="1">
        <f t="shared" si="45"/>
        <v>41162</v>
      </c>
      <c r="G1434" cm="1">
        <f t="array" ref="G1434">PRODUCT( _xlfn._xlws.FILTER($E:$E, ($C:$C=C1434)*($F:$F=F1434)) ) - 1</f>
        <v>-5.7249628590427815E-3</v>
      </c>
      <c r="J1434" t="str">
        <v>TRI</v>
      </c>
      <c r="K1434" s="1">
        <v>41792</v>
      </c>
      <c r="L1434">
        <v>1.7026292881609617E-2</v>
      </c>
    </row>
    <row r="1435" spans="1:12" x14ac:dyDescent="0.2">
      <c r="A1435" s="1">
        <v>41166</v>
      </c>
      <c r="B1435">
        <v>0</v>
      </c>
      <c r="C1435" t="s">
        <v>12</v>
      </c>
      <c r="D1435">
        <v>1.5169999999999999E-3</v>
      </c>
      <c r="E1435">
        <f t="shared" si="44"/>
        <v>1.001517</v>
      </c>
      <c r="F1435" s="1">
        <f t="shared" si="45"/>
        <v>41162</v>
      </c>
      <c r="G1435" cm="1">
        <f t="array" ref="G1435">PRODUCT( _xlfn._xlws.FILTER($E:$E, ($C:$C=C1435)*($F:$F=F1435)) ) - 1</f>
        <v>-5.7249628590427815E-3</v>
      </c>
      <c r="J1435" t="str">
        <v>TRI</v>
      </c>
      <c r="K1435" s="1">
        <v>41799</v>
      </c>
      <c r="L1435">
        <v>5.2319656887487298E-3</v>
      </c>
    </row>
    <row r="1436" spans="1:12" x14ac:dyDescent="0.2">
      <c r="A1436" s="1">
        <v>41169</v>
      </c>
      <c r="B1436">
        <v>0</v>
      </c>
      <c r="C1436" t="s">
        <v>12</v>
      </c>
      <c r="D1436">
        <v>-7.5760000000000003E-3</v>
      </c>
      <c r="E1436">
        <f t="shared" si="44"/>
        <v>0.99242399999999997</v>
      </c>
      <c r="F1436" s="1">
        <f t="shared" si="45"/>
        <v>41169</v>
      </c>
      <c r="G1436" cm="1">
        <f t="array" ref="G1436">PRODUCT( _xlfn._xlws.FILTER($E:$E, ($C:$C=C1436)*($F:$F=F1436)) ) - 1</f>
        <v>1.5155144407303922E-3</v>
      </c>
      <c r="J1436" t="str">
        <v>TRI</v>
      </c>
      <c r="K1436" s="1">
        <v>41806</v>
      </c>
      <c r="L1436">
        <v>7.0267271726394132E-3</v>
      </c>
    </row>
    <row r="1437" spans="1:12" x14ac:dyDescent="0.2">
      <c r="A1437" s="1">
        <v>41170</v>
      </c>
      <c r="B1437">
        <v>0</v>
      </c>
      <c r="C1437" t="s">
        <v>12</v>
      </c>
      <c r="D1437">
        <v>-1.2210000000000001E-3</v>
      </c>
      <c r="E1437">
        <f t="shared" si="44"/>
        <v>0.99877899999999997</v>
      </c>
      <c r="F1437" s="1">
        <f t="shared" si="45"/>
        <v>41169</v>
      </c>
      <c r="G1437" cm="1">
        <f t="array" ref="G1437">PRODUCT( _xlfn._xlws.FILTER($E:$E, ($C:$C=C1437)*($F:$F=F1437)) ) - 1</f>
        <v>1.5155144407303922E-3</v>
      </c>
      <c r="J1437" t="str">
        <v>TRI</v>
      </c>
      <c r="K1437" s="1">
        <v>41813</v>
      </c>
      <c r="L1437">
        <v>7.7380198804077871E-4</v>
      </c>
    </row>
    <row r="1438" spans="1:12" x14ac:dyDescent="0.2">
      <c r="A1438" s="1">
        <v>41171</v>
      </c>
      <c r="B1438">
        <v>0</v>
      </c>
      <c r="C1438" t="s">
        <v>12</v>
      </c>
      <c r="D1438">
        <v>1.2840000000000001E-2</v>
      </c>
      <c r="E1438">
        <f t="shared" si="44"/>
        <v>1.01284</v>
      </c>
      <c r="F1438" s="1">
        <f t="shared" si="45"/>
        <v>41169</v>
      </c>
      <c r="G1438" cm="1">
        <f t="array" ref="G1438">PRODUCT( _xlfn._xlws.FILTER($E:$E, ($C:$C=C1438)*($F:$F=F1438)) ) - 1</f>
        <v>1.5155144407303922E-3</v>
      </c>
      <c r="J1438" t="str">
        <v>TRI</v>
      </c>
      <c r="K1438" s="1">
        <v>41820</v>
      </c>
      <c r="L1438">
        <v>8.5205966949049028E-3</v>
      </c>
    </row>
    <row r="1439" spans="1:12" x14ac:dyDescent="0.2">
      <c r="A1439" s="1">
        <v>41172</v>
      </c>
      <c r="B1439">
        <v>0</v>
      </c>
      <c r="C1439" t="s">
        <v>12</v>
      </c>
      <c r="D1439">
        <v>-3.6219999999999998E-3</v>
      </c>
      <c r="E1439">
        <f t="shared" si="44"/>
        <v>0.99637799999999999</v>
      </c>
      <c r="F1439" s="1">
        <f t="shared" si="45"/>
        <v>41169</v>
      </c>
      <c r="G1439" cm="1">
        <f t="array" ref="G1439">PRODUCT( _xlfn._xlws.FILTER($E:$E, ($C:$C=C1439)*($F:$F=F1439)) ) - 1</f>
        <v>1.5155144407303922E-3</v>
      </c>
      <c r="J1439" t="str">
        <v>TRI</v>
      </c>
      <c r="K1439" s="1">
        <v>41827</v>
      </c>
      <c r="L1439">
        <v>1.1520596081922241E-2</v>
      </c>
    </row>
    <row r="1440" spans="1:12" x14ac:dyDescent="0.2">
      <c r="A1440" s="1">
        <v>41173</v>
      </c>
      <c r="B1440">
        <v>0</v>
      </c>
      <c r="C1440" t="s">
        <v>12</v>
      </c>
      <c r="D1440">
        <v>1.212E-3</v>
      </c>
      <c r="E1440">
        <f t="shared" si="44"/>
        <v>1.001212</v>
      </c>
      <c r="F1440" s="1">
        <f t="shared" si="45"/>
        <v>41169</v>
      </c>
      <c r="G1440" cm="1">
        <f t="array" ref="G1440">PRODUCT( _xlfn._xlws.FILTER($E:$E, ($C:$C=C1440)*($F:$F=F1440)) ) - 1</f>
        <v>1.5155144407303922E-3</v>
      </c>
      <c r="J1440" t="str">
        <v>TRI</v>
      </c>
      <c r="K1440" s="1">
        <v>41834</v>
      </c>
      <c r="L1440">
        <v>-1.2657718220483449E-3</v>
      </c>
    </row>
    <row r="1441" spans="1:12" x14ac:dyDescent="0.2">
      <c r="A1441" s="1">
        <v>41176</v>
      </c>
      <c r="B1441">
        <v>0</v>
      </c>
      <c r="C1441" t="s">
        <v>12</v>
      </c>
      <c r="D1441">
        <v>1.2099999999999999E-3</v>
      </c>
      <c r="E1441">
        <f t="shared" si="44"/>
        <v>1.0012099999999999</v>
      </c>
      <c r="F1441" s="1">
        <f t="shared" si="45"/>
        <v>41176</v>
      </c>
      <c r="G1441" cm="1">
        <f t="array" ref="G1441">PRODUCT( _xlfn._xlws.FILTER($E:$E, ($C:$C=C1441)*($F:$F=F1441)) ) - 1</f>
        <v>1.4522552483673845E-2</v>
      </c>
      <c r="J1441" t="str">
        <v>TRI</v>
      </c>
      <c r="K1441" s="1">
        <v>41841</v>
      </c>
      <c r="L1441">
        <v>1.0643767239774782E-2</v>
      </c>
    </row>
    <row r="1442" spans="1:12" x14ac:dyDescent="0.2">
      <c r="A1442" s="1">
        <v>41177</v>
      </c>
      <c r="B1442">
        <v>0</v>
      </c>
      <c r="C1442" t="s">
        <v>12</v>
      </c>
      <c r="D1442">
        <v>-3.0200000000000002E-4</v>
      </c>
      <c r="E1442">
        <f t="shared" si="44"/>
        <v>0.99969799999999998</v>
      </c>
      <c r="F1442" s="1">
        <f t="shared" si="45"/>
        <v>41176</v>
      </c>
      <c r="G1442" cm="1">
        <f t="array" ref="G1442">PRODUCT( _xlfn._xlws.FILTER($E:$E, ($C:$C=C1442)*($F:$F=F1442)) ) - 1</f>
        <v>1.4522552483673845E-2</v>
      </c>
      <c r="J1442" t="str">
        <v>TRI</v>
      </c>
      <c r="K1442" s="1">
        <v>41848</v>
      </c>
      <c r="L1442">
        <v>2.7833446144865492E-2</v>
      </c>
    </row>
    <row r="1443" spans="1:12" x14ac:dyDescent="0.2">
      <c r="A1443" s="1">
        <v>41178</v>
      </c>
      <c r="B1443">
        <v>0</v>
      </c>
      <c r="C1443" t="s">
        <v>12</v>
      </c>
      <c r="D1443">
        <v>8.4639999999999993E-3</v>
      </c>
      <c r="E1443">
        <f t="shared" si="44"/>
        <v>1.008464</v>
      </c>
      <c r="F1443" s="1">
        <f t="shared" si="45"/>
        <v>41176</v>
      </c>
      <c r="G1443" cm="1">
        <f t="array" ref="G1443">PRODUCT( _xlfn._xlws.FILTER($E:$E, ($C:$C=C1443)*($F:$F=F1443)) ) - 1</f>
        <v>1.4522552483673845E-2</v>
      </c>
      <c r="J1443" t="str">
        <v>TRI</v>
      </c>
      <c r="K1443" s="1">
        <v>41855</v>
      </c>
      <c r="L1443">
        <v>-9.7644530626950221E-4</v>
      </c>
    </row>
    <row r="1444" spans="1:12" x14ac:dyDescent="0.2">
      <c r="A1444" s="1">
        <v>41179</v>
      </c>
      <c r="B1444">
        <v>0</v>
      </c>
      <c r="C1444" t="s">
        <v>12</v>
      </c>
      <c r="D1444">
        <v>-1.199E-3</v>
      </c>
      <c r="E1444">
        <f t="shared" si="44"/>
        <v>0.99880100000000005</v>
      </c>
      <c r="F1444" s="1">
        <f t="shared" si="45"/>
        <v>41176</v>
      </c>
      <c r="G1444" cm="1">
        <f t="array" ref="G1444">PRODUCT( _xlfn._xlws.FILTER($E:$E, ($C:$C=C1444)*($F:$F=F1444)) ) - 1</f>
        <v>1.4522552483673845E-2</v>
      </c>
      <c r="J1444" t="str">
        <v>TRI</v>
      </c>
      <c r="K1444" s="1">
        <v>41862</v>
      </c>
      <c r="L1444">
        <v>8.3029235555960312E-3</v>
      </c>
    </row>
    <row r="1445" spans="1:12" x14ac:dyDescent="0.2">
      <c r="A1445" s="1">
        <v>41180</v>
      </c>
      <c r="B1445">
        <v>0</v>
      </c>
      <c r="C1445" t="s">
        <v>12</v>
      </c>
      <c r="D1445">
        <v>6.3020000000000003E-3</v>
      </c>
      <c r="E1445">
        <f t="shared" si="44"/>
        <v>1.006302</v>
      </c>
      <c r="F1445" s="1">
        <f t="shared" si="45"/>
        <v>41176</v>
      </c>
      <c r="G1445" cm="1">
        <f t="array" ref="G1445">PRODUCT( _xlfn._xlws.FILTER($E:$E, ($C:$C=C1445)*($F:$F=F1445)) ) - 1</f>
        <v>1.4522552483673845E-2</v>
      </c>
      <c r="J1445" t="str">
        <v>TRI</v>
      </c>
      <c r="K1445" s="1">
        <v>41869</v>
      </c>
      <c r="L1445">
        <v>2.9119568116700023E-3</v>
      </c>
    </row>
    <row r="1446" spans="1:12" x14ac:dyDescent="0.2">
      <c r="A1446" s="1">
        <v>41183</v>
      </c>
      <c r="B1446">
        <v>0</v>
      </c>
      <c r="C1446" t="s">
        <v>12</v>
      </c>
      <c r="D1446">
        <v>3.2810000000000001E-3</v>
      </c>
      <c r="E1446">
        <f t="shared" si="44"/>
        <v>1.0032810000000001</v>
      </c>
      <c r="F1446" s="1">
        <f t="shared" si="45"/>
        <v>41183</v>
      </c>
      <c r="G1446" cm="1">
        <f t="array" ref="G1446">PRODUCT( _xlfn._xlws.FILTER($E:$E, ($C:$C=C1446)*($F:$F=F1446)) ) - 1</f>
        <v>4.175315886204567E-3</v>
      </c>
      <c r="J1446" t="str">
        <v>TRI</v>
      </c>
      <c r="K1446" s="1">
        <v>41876</v>
      </c>
      <c r="L1446">
        <v>3.8972389953002562E-3</v>
      </c>
    </row>
    <row r="1447" spans="1:12" x14ac:dyDescent="0.2">
      <c r="A1447" s="1">
        <v>41184</v>
      </c>
      <c r="B1447">
        <v>0</v>
      </c>
      <c r="C1447" t="s">
        <v>12</v>
      </c>
      <c r="D1447">
        <v>4.7559999999999998E-3</v>
      </c>
      <c r="E1447">
        <f t="shared" si="44"/>
        <v>1.004756</v>
      </c>
      <c r="F1447" s="1">
        <f t="shared" si="45"/>
        <v>41183</v>
      </c>
      <c r="G1447" cm="1">
        <f t="array" ref="G1447">PRODUCT( _xlfn._xlws.FILTER($E:$E, ($C:$C=C1447)*($F:$F=F1447)) ) - 1</f>
        <v>4.175315886204567E-3</v>
      </c>
      <c r="J1447" t="str">
        <v>TRI</v>
      </c>
      <c r="K1447" s="1">
        <v>41883</v>
      </c>
      <c r="L1447">
        <v>6.0673486136815225E-3</v>
      </c>
    </row>
    <row r="1448" spans="1:12" x14ac:dyDescent="0.2">
      <c r="A1448" s="1">
        <v>41185</v>
      </c>
      <c r="B1448">
        <v>0</v>
      </c>
      <c r="C1448" t="s">
        <v>12</v>
      </c>
      <c r="D1448">
        <v>-2.0709999999999999E-3</v>
      </c>
      <c r="E1448">
        <f t="shared" si="44"/>
        <v>0.99792899999999995</v>
      </c>
      <c r="F1448" s="1">
        <f t="shared" si="45"/>
        <v>41183</v>
      </c>
      <c r="G1448" cm="1">
        <f t="array" ref="G1448">PRODUCT( _xlfn._xlws.FILTER($E:$E, ($C:$C=C1448)*($F:$F=F1448)) ) - 1</f>
        <v>4.175315886204567E-3</v>
      </c>
      <c r="J1448" t="str">
        <v>TRI</v>
      </c>
      <c r="K1448" s="1">
        <v>41890</v>
      </c>
      <c r="L1448">
        <v>5.788886024618245E-3</v>
      </c>
    </row>
    <row r="1449" spans="1:12" x14ac:dyDescent="0.2">
      <c r="A1449" s="1">
        <v>41186</v>
      </c>
      <c r="B1449">
        <v>0</v>
      </c>
      <c r="C1449" t="s">
        <v>12</v>
      </c>
      <c r="D1449">
        <v>-1.779E-3</v>
      </c>
      <c r="E1449">
        <f t="shared" si="44"/>
        <v>0.99822100000000002</v>
      </c>
      <c r="F1449" s="1">
        <f t="shared" si="45"/>
        <v>41183</v>
      </c>
      <c r="G1449" cm="1">
        <f t="array" ref="G1449">PRODUCT( _xlfn._xlws.FILTER($E:$E, ($C:$C=C1449)*($F:$F=F1449)) ) - 1</f>
        <v>4.175315886204567E-3</v>
      </c>
      <c r="J1449" t="str">
        <v>TRI</v>
      </c>
      <c r="K1449" s="1">
        <v>41897</v>
      </c>
      <c r="L1449">
        <v>-3.2853364488670711E-2</v>
      </c>
    </row>
    <row r="1450" spans="1:12" x14ac:dyDescent="0.2">
      <c r="A1450" s="1">
        <v>41187</v>
      </c>
      <c r="B1450">
        <v>0</v>
      </c>
      <c r="C1450" t="s">
        <v>12</v>
      </c>
      <c r="D1450">
        <v>0</v>
      </c>
      <c r="E1450">
        <f t="shared" si="44"/>
        <v>1</v>
      </c>
      <c r="F1450" s="1">
        <f t="shared" si="45"/>
        <v>41183</v>
      </c>
      <c r="G1450" cm="1">
        <f t="array" ref="G1450">PRODUCT( _xlfn._xlws.FILTER($E:$E, ($C:$C=C1450)*($F:$F=F1450)) ) - 1</f>
        <v>4.175315886204567E-3</v>
      </c>
      <c r="J1450" t="str">
        <v>TRI</v>
      </c>
      <c r="K1450" s="1">
        <v>41904</v>
      </c>
      <c r="L1450">
        <v>3.9671080847289986E-3</v>
      </c>
    </row>
    <row r="1451" spans="1:12" x14ac:dyDescent="0.2">
      <c r="A1451" s="1">
        <v>41191</v>
      </c>
      <c r="B1451">
        <v>0</v>
      </c>
      <c r="C1451" t="s">
        <v>12</v>
      </c>
      <c r="D1451">
        <v>-2.97E-3</v>
      </c>
      <c r="E1451">
        <f t="shared" si="44"/>
        <v>0.99702999999999997</v>
      </c>
      <c r="F1451" s="1">
        <f t="shared" si="45"/>
        <v>41190</v>
      </c>
      <c r="G1451" cm="1">
        <f t="array" ref="G1451">PRODUCT( _xlfn._xlws.FILTER($E:$E, ($C:$C=C1451)*($F:$F=F1451)) ) - 1</f>
        <v>-1.2177278690029159E-2</v>
      </c>
      <c r="J1451" t="str">
        <v>TRI</v>
      </c>
      <c r="K1451" s="1">
        <v>41911</v>
      </c>
      <c r="L1451">
        <v>3.2107020521118468E-2</v>
      </c>
    </row>
    <row r="1452" spans="1:12" x14ac:dyDescent="0.2">
      <c r="A1452" s="1">
        <v>41192</v>
      </c>
      <c r="B1452">
        <v>0</v>
      </c>
      <c r="C1452" t="s">
        <v>12</v>
      </c>
      <c r="D1452">
        <v>-5.9579999999999998E-3</v>
      </c>
      <c r="E1452">
        <f t="shared" si="44"/>
        <v>0.99404199999999998</v>
      </c>
      <c r="F1452" s="1">
        <f t="shared" si="45"/>
        <v>41190</v>
      </c>
      <c r="G1452" cm="1">
        <f t="array" ref="G1452">PRODUCT( _xlfn._xlws.FILTER($E:$E, ($C:$C=C1452)*($F:$F=F1452)) ) - 1</f>
        <v>-1.2177278690029159E-2</v>
      </c>
      <c r="J1452" t="str">
        <v>TRI</v>
      </c>
      <c r="K1452" s="1">
        <v>41918</v>
      </c>
      <c r="L1452">
        <v>-2.4407906966422699E-2</v>
      </c>
    </row>
    <row r="1453" spans="1:12" x14ac:dyDescent="0.2">
      <c r="A1453" s="1">
        <v>41193</v>
      </c>
      <c r="B1453">
        <v>0</v>
      </c>
      <c r="C1453" t="s">
        <v>12</v>
      </c>
      <c r="D1453">
        <v>-3.8960000000000002E-3</v>
      </c>
      <c r="E1453">
        <f t="shared" si="44"/>
        <v>0.99610399999999999</v>
      </c>
      <c r="F1453" s="1">
        <f t="shared" si="45"/>
        <v>41190</v>
      </c>
      <c r="G1453" cm="1">
        <f t="array" ref="G1453">PRODUCT( _xlfn._xlws.FILTER($E:$E, ($C:$C=C1453)*($F:$F=F1453)) ) - 1</f>
        <v>-1.2177278690029159E-2</v>
      </c>
      <c r="J1453" t="str">
        <v>TRI</v>
      </c>
      <c r="K1453" s="1">
        <v>41925</v>
      </c>
      <c r="L1453">
        <v>-1.9131966941334566E-2</v>
      </c>
    </row>
    <row r="1454" spans="1:12" x14ac:dyDescent="0.2">
      <c r="A1454" s="1">
        <v>41194</v>
      </c>
      <c r="B1454">
        <v>0</v>
      </c>
      <c r="C1454" t="s">
        <v>12</v>
      </c>
      <c r="D1454">
        <v>6.02E-4</v>
      </c>
      <c r="E1454">
        <f t="shared" si="44"/>
        <v>1.000602</v>
      </c>
      <c r="F1454" s="1">
        <f t="shared" si="45"/>
        <v>41190</v>
      </c>
      <c r="G1454" cm="1">
        <f t="array" ref="G1454">PRODUCT( _xlfn._xlws.FILTER($E:$E, ($C:$C=C1454)*($F:$F=F1454)) ) - 1</f>
        <v>-1.2177278690029159E-2</v>
      </c>
      <c r="J1454" t="str">
        <v>TRI</v>
      </c>
      <c r="K1454" s="1">
        <v>41932</v>
      </c>
      <c r="L1454">
        <v>3.7508734213519634E-2</v>
      </c>
    </row>
    <row r="1455" spans="1:12" x14ac:dyDescent="0.2">
      <c r="A1455" s="1">
        <v>41197</v>
      </c>
      <c r="B1455">
        <v>0</v>
      </c>
      <c r="C1455" t="s">
        <v>12</v>
      </c>
      <c r="D1455">
        <v>6.0099999999999997E-4</v>
      </c>
      <c r="E1455">
        <f t="shared" si="44"/>
        <v>1.0006010000000001</v>
      </c>
      <c r="F1455" s="1">
        <f t="shared" si="45"/>
        <v>41197</v>
      </c>
      <c r="G1455" cm="1">
        <f t="array" ref="G1455">PRODUCT( _xlfn._xlws.FILTER($E:$E, ($C:$C=C1455)*($F:$F=F1455)) ) - 1</f>
        <v>1.0222121651887406E-2</v>
      </c>
      <c r="J1455" t="str">
        <v>TRI</v>
      </c>
      <c r="K1455" s="1">
        <v>41939</v>
      </c>
      <c r="L1455">
        <v>1.0604336934977088E-2</v>
      </c>
    </row>
    <row r="1456" spans="1:12" x14ac:dyDescent="0.2">
      <c r="A1456" s="1">
        <v>41198</v>
      </c>
      <c r="B1456">
        <v>0</v>
      </c>
      <c r="C1456" t="s">
        <v>12</v>
      </c>
      <c r="D1456">
        <v>9.9159999999999995E-3</v>
      </c>
      <c r="E1456">
        <f t="shared" si="44"/>
        <v>1.009916</v>
      </c>
      <c r="F1456" s="1">
        <f t="shared" si="45"/>
        <v>41197</v>
      </c>
      <c r="G1456" cm="1">
        <f t="array" ref="G1456">PRODUCT( _xlfn._xlws.FILTER($E:$E, ($C:$C=C1456)*($F:$F=F1456)) ) - 1</f>
        <v>1.0222121651887406E-2</v>
      </c>
      <c r="J1456" t="str">
        <v>TRI</v>
      </c>
      <c r="K1456" s="1">
        <v>41946</v>
      </c>
      <c r="L1456">
        <v>1.6933544117014865E-2</v>
      </c>
    </row>
    <row r="1457" spans="1:12" x14ac:dyDescent="0.2">
      <c r="A1457" s="1">
        <v>41199</v>
      </c>
      <c r="B1457">
        <v>0</v>
      </c>
      <c r="C1457" t="s">
        <v>12</v>
      </c>
      <c r="D1457">
        <v>3.5699999999999998E-3</v>
      </c>
      <c r="E1457">
        <f t="shared" si="44"/>
        <v>1.0035700000000001</v>
      </c>
      <c r="F1457" s="1">
        <f t="shared" si="45"/>
        <v>41197</v>
      </c>
      <c r="G1457" cm="1">
        <f t="array" ref="G1457">PRODUCT( _xlfn._xlws.FILTER($E:$E, ($C:$C=C1457)*($F:$F=F1457)) ) - 1</f>
        <v>1.0222121651887406E-2</v>
      </c>
      <c r="J1457" t="str">
        <v>TRI</v>
      </c>
      <c r="K1457" s="1">
        <v>41953</v>
      </c>
      <c r="L1457">
        <v>1.7589125038768749E-2</v>
      </c>
    </row>
    <row r="1458" spans="1:12" x14ac:dyDescent="0.2">
      <c r="A1458" s="1">
        <v>41200</v>
      </c>
      <c r="B1458">
        <v>0</v>
      </c>
      <c r="C1458" t="s">
        <v>12</v>
      </c>
      <c r="D1458">
        <v>-2.9599999999999998E-4</v>
      </c>
      <c r="E1458">
        <f t="shared" si="44"/>
        <v>0.99970400000000004</v>
      </c>
      <c r="F1458" s="1">
        <f t="shared" si="45"/>
        <v>41197</v>
      </c>
      <c r="G1458" cm="1">
        <f t="array" ref="G1458">PRODUCT( _xlfn._xlws.FILTER($E:$E, ($C:$C=C1458)*($F:$F=F1458)) ) - 1</f>
        <v>1.0222121651887406E-2</v>
      </c>
      <c r="J1458" t="str">
        <v>TRI</v>
      </c>
      <c r="K1458" s="1">
        <v>41960</v>
      </c>
      <c r="L1458">
        <v>2.9877655219823218E-4</v>
      </c>
    </row>
    <row r="1459" spans="1:12" x14ac:dyDescent="0.2">
      <c r="A1459" s="1">
        <v>41201</v>
      </c>
      <c r="B1459">
        <v>0</v>
      </c>
      <c r="C1459" t="s">
        <v>12</v>
      </c>
      <c r="D1459">
        <v>-3.5590000000000001E-3</v>
      </c>
      <c r="E1459">
        <f t="shared" si="44"/>
        <v>0.99644100000000002</v>
      </c>
      <c r="F1459" s="1">
        <f t="shared" si="45"/>
        <v>41197</v>
      </c>
      <c r="G1459" cm="1">
        <f t="array" ref="G1459">PRODUCT( _xlfn._xlws.FILTER($E:$E, ($C:$C=C1459)*($F:$F=F1459)) ) - 1</f>
        <v>1.0222121651887406E-2</v>
      </c>
      <c r="J1459" t="str">
        <v>TRI</v>
      </c>
      <c r="K1459" s="1">
        <v>41967</v>
      </c>
      <c r="L1459">
        <v>5.9726148488793651E-2</v>
      </c>
    </row>
    <row r="1460" spans="1:12" x14ac:dyDescent="0.2">
      <c r="A1460" s="1">
        <v>41204</v>
      </c>
      <c r="B1460">
        <v>0</v>
      </c>
      <c r="C1460" t="s">
        <v>12</v>
      </c>
      <c r="D1460">
        <v>0</v>
      </c>
      <c r="E1460">
        <f t="shared" si="44"/>
        <v>1</v>
      </c>
      <c r="F1460" s="1">
        <f t="shared" si="45"/>
        <v>41204</v>
      </c>
      <c r="G1460" cm="1">
        <f t="array" ref="G1460">PRODUCT( _xlfn._xlws.FILTER($E:$E, ($C:$C=C1460)*($F:$F=F1460)) ) - 1</f>
        <v>-5.952779508584416E-3</v>
      </c>
      <c r="J1460" t="str">
        <v>TRI</v>
      </c>
      <c r="K1460" s="1">
        <v>41974</v>
      </c>
      <c r="L1460">
        <v>-6.7972054528384618E-3</v>
      </c>
    </row>
    <row r="1461" spans="1:12" x14ac:dyDescent="0.2">
      <c r="A1461" s="1">
        <v>41205</v>
      </c>
      <c r="B1461">
        <v>0</v>
      </c>
      <c r="C1461" t="s">
        <v>12</v>
      </c>
      <c r="D1461">
        <v>-5.9519999999999998E-3</v>
      </c>
      <c r="E1461">
        <f t="shared" si="44"/>
        <v>0.99404800000000004</v>
      </c>
      <c r="F1461" s="1">
        <f t="shared" si="45"/>
        <v>41204</v>
      </c>
      <c r="G1461" cm="1">
        <f t="array" ref="G1461">PRODUCT( _xlfn._xlws.FILTER($E:$E, ($C:$C=C1461)*($F:$F=F1461)) ) - 1</f>
        <v>-5.952779508584416E-3</v>
      </c>
      <c r="J1461" t="str">
        <v>TRI</v>
      </c>
      <c r="K1461" s="1">
        <v>41981</v>
      </c>
      <c r="L1461">
        <v>-1.0818032800109845E-2</v>
      </c>
    </row>
    <row r="1462" spans="1:12" x14ac:dyDescent="0.2">
      <c r="A1462" s="1">
        <v>41206</v>
      </c>
      <c r="B1462">
        <v>0</v>
      </c>
      <c r="C1462" t="s">
        <v>12</v>
      </c>
      <c r="D1462">
        <v>-6.2880000000000002E-3</v>
      </c>
      <c r="E1462">
        <f t="shared" si="44"/>
        <v>0.99371200000000004</v>
      </c>
      <c r="F1462" s="1">
        <f t="shared" si="45"/>
        <v>41204</v>
      </c>
      <c r="G1462" cm="1">
        <f t="array" ref="G1462">PRODUCT( _xlfn._xlws.FILTER($E:$E, ($C:$C=C1462)*($F:$F=F1462)) ) - 1</f>
        <v>-5.952779508584416E-3</v>
      </c>
      <c r="J1462" t="str">
        <v>TRI</v>
      </c>
      <c r="K1462" s="1">
        <v>41988</v>
      </c>
      <c r="L1462">
        <v>4.1072082984775937E-2</v>
      </c>
    </row>
    <row r="1463" spans="1:12" x14ac:dyDescent="0.2">
      <c r="A1463" s="1">
        <v>41207</v>
      </c>
      <c r="B1463">
        <v>0</v>
      </c>
      <c r="C1463" t="s">
        <v>12</v>
      </c>
      <c r="D1463">
        <v>6.3270000000000002E-3</v>
      </c>
      <c r="E1463">
        <f t="shared" si="44"/>
        <v>1.006327</v>
      </c>
      <c r="F1463" s="1">
        <f t="shared" si="45"/>
        <v>41204</v>
      </c>
      <c r="G1463" cm="1">
        <f t="array" ref="G1463">PRODUCT( _xlfn._xlws.FILTER($E:$E, ($C:$C=C1463)*($F:$F=F1463)) ) - 1</f>
        <v>-5.952779508584416E-3</v>
      </c>
      <c r="J1463" t="str">
        <v>TRI</v>
      </c>
      <c r="K1463" s="1">
        <v>41995</v>
      </c>
      <c r="L1463">
        <v>2.1012725294736079E-2</v>
      </c>
    </row>
    <row r="1464" spans="1:12" x14ac:dyDescent="0.2">
      <c r="A1464" s="1">
        <v>41208</v>
      </c>
      <c r="B1464">
        <v>0</v>
      </c>
      <c r="C1464" t="s">
        <v>12</v>
      </c>
      <c r="D1464">
        <v>0</v>
      </c>
      <c r="E1464">
        <f t="shared" si="44"/>
        <v>1</v>
      </c>
      <c r="F1464" s="1">
        <f t="shared" si="45"/>
        <v>41204</v>
      </c>
      <c r="G1464" cm="1">
        <f t="array" ref="G1464">PRODUCT( _xlfn._xlws.FILTER($E:$E, ($C:$C=C1464)*($F:$F=F1464)) ) - 1</f>
        <v>-5.952779508584416E-3</v>
      </c>
      <c r="J1464" t="str">
        <v>TRI</v>
      </c>
      <c r="K1464" s="1">
        <v>42002</v>
      </c>
      <c r="L1464">
        <v>-1.4069380939216947E-2</v>
      </c>
    </row>
    <row r="1465" spans="1:12" x14ac:dyDescent="0.2">
      <c r="A1465" s="1">
        <v>41211</v>
      </c>
      <c r="B1465">
        <v>0</v>
      </c>
      <c r="C1465" t="s">
        <v>12</v>
      </c>
      <c r="D1465">
        <v>3.5929999999999998E-3</v>
      </c>
      <c r="E1465">
        <f t="shared" si="44"/>
        <v>1.003593</v>
      </c>
      <c r="F1465" s="1">
        <f t="shared" si="45"/>
        <v>41211</v>
      </c>
      <c r="G1465" cm="1">
        <f t="array" ref="G1465">PRODUCT( _xlfn._xlws.FILTER($E:$E, ($C:$C=C1465)*($F:$F=F1465)) ) - 1</f>
        <v>1.676709870875559E-2</v>
      </c>
      <c r="J1465" t="str">
        <v>TRI</v>
      </c>
      <c r="K1465" s="1">
        <v>42009</v>
      </c>
      <c r="L1465">
        <v>-1.8530659692634233E-2</v>
      </c>
    </row>
    <row r="1466" spans="1:12" x14ac:dyDescent="0.2">
      <c r="A1466" s="1">
        <v>41212</v>
      </c>
      <c r="B1466">
        <v>0</v>
      </c>
      <c r="C1466" t="s">
        <v>12</v>
      </c>
      <c r="D1466">
        <v>5.3699999999999998E-3</v>
      </c>
      <c r="E1466">
        <f t="shared" si="44"/>
        <v>1.0053700000000001</v>
      </c>
      <c r="F1466" s="1">
        <f t="shared" si="45"/>
        <v>41211</v>
      </c>
      <c r="G1466" cm="1">
        <f t="array" ref="G1466">PRODUCT( _xlfn._xlws.FILTER($E:$E, ($C:$C=C1466)*($F:$F=F1466)) ) - 1</f>
        <v>1.676709870875559E-2</v>
      </c>
      <c r="J1466" t="str">
        <v>TRI</v>
      </c>
      <c r="K1466" s="1">
        <v>42016</v>
      </c>
      <c r="L1466">
        <v>3.5590698344395655E-2</v>
      </c>
    </row>
    <row r="1467" spans="1:12" x14ac:dyDescent="0.2">
      <c r="A1467" s="1">
        <v>41213</v>
      </c>
      <c r="B1467">
        <v>0</v>
      </c>
      <c r="C1467" t="s">
        <v>12</v>
      </c>
      <c r="D1467">
        <v>2.0769999999999999E-3</v>
      </c>
      <c r="E1467">
        <f t="shared" si="44"/>
        <v>1.0020770000000001</v>
      </c>
      <c r="F1467" s="1">
        <f t="shared" si="45"/>
        <v>41211</v>
      </c>
      <c r="G1467" cm="1">
        <f t="array" ref="G1467">PRODUCT( _xlfn._xlws.FILTER($E:$E, ($C:$C=C1467)*($F:$F=F1467)) ) - 1</f>
        <v>1.676709870875559E-2</v>
      </c>
      <c r="J1467" t="str">
        <v>TRI</v>
      </c>
      <c r="K1467" s="1">
        <v>42023</v>
      </c>
      <c r="L1467">
        <v>3.4995603002764497E-2</v>
      </c>
    </row>
    <row r="1468" spans="1:12" x14ac:dyDescent="0.2">
      <c r="A1468" s="1">
        <v>41214</v>
      </c>
      <c r="B1468">
        <v>0</v>
      </c>
      <c r="C1468" t="s">
        <v>12</v>
      </c>
      <c r="D1468">
        <v>3.8500000000000001E-3</v>
      </c>
      <c r="E1468">
        <f t="shared" si="44"/>
        <v>1.0038499999999999</v>
      </c>
      <c r="F1468" s="1">
        <f t="shared" si="45"/>
        <v>41211</v>
      </c>
      <c r="G1468" cm="1">
        <f t="array" ref="G1468">PRODUCT( _xlfn._xlws.FILTER($E:$E, ($C:$C=C1468)*($F:$F=F1468)) ) - 1</f>
        <v>1.676709870875559E-2</v>
      </c>
      <c r="J1468" t="str">
        <v>TRI</v>
      </c>
      <c r="K1468" s="1">
        <v>42030</v>
      </c>
      <c r="L1468">
        <v>-1.2756078285554584E-2</v>
      </c>
    </row>
    <row r="1469" spans="1:12" x14ac:dyDescent="0.2">
      <c r="A1469" s="1">
        <v>41215</v>
      </c>
      <c r="B1469">
        <v>0</v>
      </c>
      <c r="C1469" t="s">
        <v>12</v>
      </c>
      <c r="D1469">
        <v>1.7700000000000001E-3</v>
      </c>
      <c r="E1469">
        <f t="shared" si="44"/>
        <v>1.00177</v>
      </c>
      <c r="F1469" s="1">
        <f t="shared" si="45"/>
        <v>41211</v>
      </c>
      <c r="G1469" cm="1">
        <f t="array" ref="G1469">PRODUCT( _xlfn._xlws.FILTER($E:$E, ($C:$C=C1469)*($F:$F=F1469)) ) - 1</f>
        <v>1.676709870875559E-2</v>
      </c>
      <c r="J1469" t="str">
        <v>TRI</v>
      </c>
      <c r="K1469" s="1">
        <v>42037</v>
      </c>
      <c r="L1469">
        <v>2.2764537257062845E-2</v>
      </c>
    </row>
    <row r="1470" spans="1:12" x14ac:dyDescent="0.2">
      <c r="A1470" s="1">
        <v>41218</v>
      </c>
      <c r="B1470">
        <v>0</v>
      </c>
      <c r="C1470" t="s">
        <v>12</v>
      </c>
      <c r="D1470">
        <v>3.8279999999999998E-3</v>
      </c>
      <c r="E1470">
        <f t="shared" si="44"/>
        <v>1.0038279999999999</v>
      </c>
      <c r="F1470" s="1">
        <f t="shared" si="45"/>
        <v>41218</v>
      </c>
      <c r="G1470" cm="1">
        <f t="array" ref="G1470">PRODUCT( _xlfn._xlws.FILTER($E:$E, ($C:$C=C1470)*($F:$F=F1470)) ) - 1</f>
        <v>-4.7113494302333248E-3</v>
      </c>
      <c r="J1470" t="str">
        <v>TRI</v>
      </c>
      <c r="K1470" s="1">
        <v>42044</v>
      </c>
      <c r="L1470">
        <v>-2.0053006043934118E-2</v>
      </c>
    </row>
    <row r="1471" spans="1:12" x14ac:dyDescent="0.2">
      <c r="A1471" s="1">
        <v>41219</v>
      </c>
      <c r="B1471">
        <v>0</v>
      </c>
      <c r="C1471" t="s">
        <v>12</v>
      </c>
      <c r="D1471">
        <v>-2.9300000000000002E-4</v>
      </c>
      <c r="E1471">
        <f t="shared" si="44"/>
        <v>0.99970700000000001</v>
      </c>
      <c r="F1471" s="1">
        <f t="shared" si="45"/>
        <v>41218</v>
      </c>
      <c r="G1471" cm="1">
        <f t="array" ref="G1471">PRODUCT( _xlfn._xlws.FILTER($E:$E, ($C:$C=C1471)*($F:$F=F1471)) ) - 1</f>
        <v>-4.7113494302333248E-3</v>
      </c>
      <c r="J1471" t="str">
        <v>TRI</v>
      </c>
      <c r="K1471" s="1">
        <v>42051</v>
      </c>
      <c r="L1471">
        <v>1.76625695385213E-2</v>
      </c>
    </row>
    <row r="1472" spans="1:12" x14ac:dyDescent="0.2">
      <c r="A1472" s="1">
        <v>41220</v>
      </c>
      <c r="B1472">
        <v>0</v>
      </c>
      <c r="C1472" t="s">
        <v>12</v>
      </c>
      <c r="D1472">
        <v>-5.5750000000000001E-3</v>
      </c>
      <c r="E1472">
        <f t="shared" si="44"/>
        <v>0.994425</v>
      </c>
      <c r="F1472" s="1">
        <f t="shared" si="45"/>
        <v>41218</v>
      </c>
      <c r="G1472" cm="1">
        <f t="array" ref="G1472">PRODUCT( _xlfn._xlws.FILTER($E:$E, ($C:$C=C1472)*($F:$F=F1472)) ) - 1</f>
        <v>-4.7113494302333248E-3</v>
      </c>
      <c r="J1472" t="str">
        <v>TRI</v>
      </c>
      <c r="K1472" s="1">
        <v>42058</v>
      </c>
      <c r="L1472">
        <v>-5.0696364140986327E-3</v>
      </c>
    </row>
    <row r="1473" spans="1:12" x14ac:dyDescent="0.2">
      <c r="A1473" s="1">
        <v>41221</v>
      </c>
      <c r="B1473">
        <v>0</v>
      </c>
      <c r="C1473" t="s">
        <v>12</v>
      </c>
      <c r="D1473">
        <v>-2.6559999999999999E-3</v>
      </c>
      <c r="E1473">
        <f t="shared" si="44"/>
        <v>0.99734400000000001</v>
      </c>
      <c r="F1473" s="1">
        <f t="shared" si="45"/>
        <v>41218</v>
      </c>
      <c r="G1473" cm="1">
        <f t="array" ref="G1473">PRODUCT( _xlfn._xlws.FILTER($E:$E, ($C:$C=C1473)*($F:$F=F1473)) ) - 1</f>
        <v>-4.7113494302333248E-3</v>
      </c>
      <c r="J1473" t="str">
        <v>TRI</v>
      </c>
      <c r="K1473" s="1">
        <v>42065</v>
      </c>
      <c r="L1473">
        <v>3.6682542662551665E-3</v>
      </c>
    </row>
    <row r="1474" spans="1:12" x14ac:dyDescent="0.2">
      <c r="A1474" s="1">
        <v>41222</v>
      </c>
      <c r="B1474">
        <v>0</v>
      </c>
      <c r="C1474" t="s">
        <v>12</v>
      </c>
      <c r="D1474">
        <v>0</v>
      </c>
      <c r="E1474">
        <f t="shared" si="44"/>
        <v>1</v>
      </c>
      <c r="F1474" s="1">
        <f t="shared" si="45"/>
        <v>41218</v>
      </c>
      <c r="G1474" cm="1">
        <f t="array" ref="G1474">PRODUCT( _xlfn._xlws.FILTER($E:$E, ($C:$C=C1474)*($F:$F=F1474)) ) - 1</f>
        <v>-4.7113494302333248E-3</v>
      </c>
      <c r="J1474" t="str">
        <v>TRI</v>
      </c>
      <c r="K1474" s="1">
        <v>42072</v>
      </c>
      <c r="L1474">
        <v>3.269756115252398E-2</v>
      </c>
    </row>
    <row r="1475" spans="1:12" x14ac:dyDescent="0.2">
      <c r="A1475" s="1">
        <v>41225</v>
      </c>
      <c r="B1475">
        <v>0</v>
      </c>
      <c r="C1475" t="s">
        <v>12</v>
      </c>
      <c r="D1475">
        <v>4.7340000000000004E-3</v>
      </c>
      <c r="E1475">
        <f t="shared" si="44"/>
        <v>1.004734</v>
      </c>
      <c r="F1475" s="1">
        <f t="shared" si="45"/>
        <v>41225</v>
      </c>
      <c r="G1475" cm="1">
        <f t="array" ref="G1475">PRODUCT( _xlfn._xlws.FILTER($E:$E, ($C:$C=C1475)*($F:$F=F1475)) ) - 1</f>
        <v>-2.2928193613535486E-2</v>
      </c>
      <c r="J1475" t="str">
        <v>TRI</v>
      </c>
      <c r="K1475" s="1">
        <v>42079</v>
      </c>
      <c r="L1475">
        <v>8.2584624568231568E-3</v>
      </c>
    </row>
    <row r="1476" spans="1:12" x14ac:dyDescent="0.2">
      <c r="A1476" s="1">
        <v>41226</v>
      </c>
      <c r="B1476">
        <v>0</v>
      </c>
      <c r="C1476" t="s">
        <v>12</v>
      </c>
      <c r="D1476">
        <v>0</v>
      </c>
      <c r="E1476">
        <f t="shared" ref="E1476:E1539" si="46">D1476+1</f>
        <v>1</v>
      </c>
      <c r="F1476" s="1">
        <f t="shared" ref="F1476:F1539" si="47">A1476 - (WEEKDAY(A1476, 2) - 1)</f>
        <v>41225</v>
      </c>
      <c r="G1476" cm="1">
        <f t="array" ref="G1476">PRODUCT( _xlfn._xlws.FILTER($E:$E, ($C:$C=C1476)*($F:$F=F1476)) ) - 1</f>
        <v>-2.2928193613535486E-2</v>
      </c>
      <c r="J1476" t="str">
        <v>TRI</v>
      </c>
      <c r="K1476" s="1">
        <v>42086</v>
      </c>
      <c r="L1476">
        <v>-1.4237840936240698E-2</v>
      </c>
    </row>
    <row r="1477" spans="1:12" x14ac:dyDescent="0.2">
      <c r="A1477" s="1">
        <v>41227</v>
      </c>
      <c r="B1477">
        <v>0</v>
      </c>
      <c r="C1477" t="s">
        <v>12</v>
      </c>
      <c r="D1477">
        <v>-1.119E-2</v>
      </c>
      <c r="E1477">
        <f t="shared" si="46"/>
        <v>0.98880999999999997</v>
      </c>
      <c r="F1477" s="1">
        <f t="shared" si="47"/>
        <v>41225</v>
      </c>
      <c r="G1477" cm="1">
        <f t="array" ref="G1477">PRODUCT( _xlfn._xlws.FILTER($E:$E, ($C:$C=C1477)*($F:$F=F1477)) ) - 1</f>
        <v>-2.2928193613535486E-2</v>
      </c>
      <c r="J1477" t="str">
        <v>TRI</v>
      </c>
      <c r="K1477" s="1">
        <v>42093</v>
      </c>
      <c r="L1477">
        <v>2.5524401452972523E-2</v>
      </c>
    </row>
    <row r="1478" spans="1:12" x14ac:dyDescent="0.2">
      <c r="A1478" s="1">
        <v>41228</v>
      </c>
      <c r="B1478">
        <v>0</v>
      </c>
      <c r="C1478" t="s">
        <v>12</v>
      </c>
      <c r="D1478">
        <v>-2.1333999999999999E-2</v>
      </c>
      <c r="E1478">
        <f t="shared" si="46"/>
        <v>0.97866600000000004</v>
      </c>
      <c r="F1478" s="1">
        <f t="shared" si="47"/>
        <v>41225</v>
      </c>
      <c r="G1478" cm="1">
        <f t="array" ref="G1478">PRODUCT( _xlfn._xlws.FILTER($E:$E, ($C:$C=C1478)*($F:$F=F1478)) ) - 1</f>
        <v>-2.2928193613535486E-2</v>
      </c>
      <c r="J1478" t="str">
        <v>TRI</v>
      </c>
      <c r="K1478" s="1">
        <v>42100</v>
      </c>
      <c r="L1478">
        <v>1.678665162370474E-2</v>
      </c>
    </row>
    <row r="1479" spans="1:12" x14ac:dyDescent="0.2">
      <c r="A1479" s="1">
        <v>41229</v>
      </c>
      <c r="B1479">
        <v>0</v>
      </c>
      <c r="C1479" t="s">
        <v>12</v>
      </c>
      <c r="D1479">
        <v>4.9119999999999997E-3</v>
      </c>
      <c r="E1479">
        <f t="shared" si="46"/>
        <v>1.004912</v>
      </c>
      <c r="F1479" s="1">
        <f t="shared" si="47"/>
        <v>41225</v>
      </c>
      <c r="G1479" cm="1">
        <f t="array" ref="G1479">PRODUCT( _xlfn._xlws.FILTER($E:$E, ($C:$C=C1479)*($F:$F=F1479)) ) - 1</f>
        <v>-2.2928193613535486E-2</v>
      </c>
      <c r="J1479" t="str">
        <v>TRI</v>
      </c>
      <c r="K1479" s="1">
        <v>42107</v>
      </c>
      <c r="L1479">
        <v>-4.3642643574934192E-2</v>
      </c>
    </row>
    <row r="1480" spans="1:12" x14ac:dyDescent="0.2">
      <c r="A1480" s="1">
        <v>41232</v>
      </c>
      <c r="B1480">
        <v>0</v>
      </c>
      <c r="C1480" t="s">
        <v>12</v>
      </c>
      <c r="D1480">
        <v>8.2489999999999994E-3</v>
      </c>
      <c r="E1480">
        <f t="shared" si="46"/>
        <v>1.008249</v>
      </c>
      <c r="F1480" s="1">
        <f t="shared" si="47"/>
        <v>41232</v>
      </c>
      <c r="G1480" cm="1">
        <f t="array" ref="G1480">PRODUCT( _xlfn._xlws.FILTER($E:$E, ($C:$C=C1480)*($F:$F=F1480)) ) - 1</f>
        <v>7.0256941874617951E-3</v>
      </c>
      <c r="J1480" t="str">
        <v>TRI</v>
      </c>
      <c r="K1480" s="1">
        <v>42114</v>
      </c>
      <c r="L1480">
        <v>-7.940148392849844E-4</v>
      </c>
    </row>
    <row r="1481" spans="1:12" x14ac:dyDescent="0.2">
      <c r="A1481" s="1">
        <v>41233</v>
      </c>
      <c r="B1481">
        <v>0</v>
      </c>
      <c r="C1481" t="s">
        <v>12</v>
      </c>
      <c r="D1481">
        <v>0</v>
      </c>
      <c r="E1481">
        <f t="shared" si="46"/>
        <v>1</v>
      </c>
      <c r="F1481" s="1">
        <f t="shared" si="47"/>
        <v>41232</v>
      </c>
      <c r="G1481" cm="1">
        <f t="array" ref="G1481">PRODUCT( _xlfn._xlws.FILTER($E:$E, ($C:$C=C1481)*($F:$F=F1481)) ) - 1</f>
        <v>7.0256941874617951E-3</v>
      </c>
      <c r="J1481" t="str">
        <v>TRI</v>
      </c>
      <c r="K1481" s="1">
        <v>42121</v>
      </c>
      <c r="L1481">
        <v>-3.9718584620823671E-3</v>
      </c>
    </row>
    <row r="1482" spans="1:12" x14ac:dyDescent="0.2">
      <c r="A1482" s="1">
        <v>41234</v>
      </c>
      <c r="B1482">
        <v>0</v>
      </c>
      <c r="C1482" t="s">
        <v>12</v>
      </c>
      <c r="D1482">
        <v>-4.5459999999999997E-3</v>
      </c>
      <c r="E1482">
        <f t="shared" si="46"/>
        <v>0.99545399999999995</v>
      </c>
      <c r="F1482" s="1">
        <f t="shared" si="47"/>
        <v>41232</v>
      </c>
      <c r="G1482" cm="1">
        <f t="array" ref="G1482">PRODUCT( _xlfn._xlws.FILTER($E:$E, ($C:$C=C1482)*($F:$F=F1482)) ) - 1</f>
        <v>7.0256941874617951E-3</v>
      </c>
      <c r="J1482" t="str">
        <v>TRI</v>
      </c>
      <c r="K1482" s="1">
        <v>42128</v>
      </c>
      <c r="L1482">
        <v>-1.4153289006013758E-2</v>
      </c>
    </row>
    <row r="1483" spans="1:12" x14ac:dyDescent="0.2">
      <c r="A1483" s="1">
        <v>41235</v>
      </c>
      <c r="B1483">
        <v>0</v>
      </c>
      <c r="C1483" t="s">
        <v>12</v>
      </c>
      <c r="D1483">
        <v>3.0439999999999998E-3</v>
      </c>
      <c r="E1483">
        <f t="shared" si="46"/>
        <v>1.003044</v>
      </c>
      <c r="F1483" s="1">
        <f t="shared" si="47"/>
        <v>41232</v>
      </c>
      <c r="G1483" cm="1">
        <f t="array" ref="G1483">PRODUCT( _xlfn._xlws.FILTER($E:$E, ($C:$C=C1483)*($F:$F=F1483)) ) - 1</f>
        <v>7.0256941874617951E-3</v>
      </c>
      <c r="J1483" t="str">
        <v>TRI</v>
      </c>
      <c r="K1483" s="1">
        <v>42135</v>
      </c>
      <c r="L1483">
        <v>-3.6411092044428273E-3</v>
      </c>
    </row>
    <row r="1484" spans="1:12" x14ac:dyDescent="0.2">
      <c r="A1484" s="1">
        <v>41236</v>
      </c>
      <c r="B1484">
        <v>0</v>
      </c>
      <c r="C1484" t="s">
        <v>12</v>
      </c>
      <c r="D1484">
        <v>3.0299999999999999E-4</v>
      </c>
      <c r="E1484">
        <f t="shared" si="46"/>
        <v>1.0003029999999999</v>
      </c>
      <c r="F1484" s="1">
        <f t="shared" si="47"/>
        <v>41232</v>
      </c>
      <c r="G1484" cm="1">
        <f t="array" ref="G1484">PRODUCT( _xlfn._xlws.FILTER($E:$E, ($C:$C=C1484)*($F:$F=F1484)) ) - 1</f>
        <v>7.0256941874617951E-3</v>
      </c>
      <c r="J1484" t="str">
        <v>TRI</v>
      </c>
      <c r="K1484" s="1">
        <v>42142</v>
      </c>
      <c r="L1484">
        <v>1.8658061545925753E-2</v>
      </c>
    </row>
    <row r="1485" spans="1:12" x14ac:dyDescent="0.2">
      <c r="A1485" s="1">
        <v>41239</v>
      </c>
      <c r="B1485">
        <v>0</v>
      </c>
      <c r="C1485" t="s">
        <v>12</v>
      </c>
      <c r="D1485">
        <v>4.248E-3</v>
      </c>
      <c r="E1485">
        <f t="shared" si="46"/>
        <v>1.004248</v>
      </c>
      <c r="F1485" s="1">
        <f t="shared" si="47"/>
        <v>41239</v>
      </c>
      <c r="G1485" cm="1">
        <f t="array" ref="G1485">PRODUCT( _xlfn._xlws.FILTER($E:$E, ($C:$C=C1485)*($F:$F=F1485)) ) - 1</f>
        <v>1.274273123696279E-2</v>
      </c>
      <c r="J1485" t="str">
        <v>TRI</v>
      </c>
      <c r="K1485" s="1">
        <v>42149</v>
      </c>
      <c r="L1485">
        <v>-2.4103407279546518E-3</v>
      </c>
    </row>
    <row r="1486" spans="1:12" x14ac:dyDescent="0.2">
      <c r="A1486" s="1">
        <v>41240</v>
      </c>
      <c r="B1486">
        <v>0</v>
      </c>
      <c r="C1486" t="s">
        <v>12</v>
      </c>
      <c r="D1486">
        <v>6.0400000000000004E-4</v>
      </c>
      <c r="E1486">
        <f t="shared" si="46"/>
        <v>1.000604</v>
      </c>
      <c r="F1486" s="1">
        <f t="shared" si="47"/>
        <v>41239</v>
      </c>
      <c r="G1486" cm="1">
        <f t="array" ref="G1486">PRODUCT( _xlfn._xlws.FILTER($E:$E, ($C:$C=C1486)*($F:$F=F1486)) ) - 1</f>
        <v>1.274273123696279E-2</v>
      </c>
      <c r="J1486" t="str">
        <v>TRI</v>
      </c>
      <c r="K1486" s="1">
        <v>42156</v>
      </c>
      <c r="L1486">
        <v>-1.1679719514307019E-2</v>
      </c>
    </row>
    <row r="1487" spans="1:12" x14ac:dyDescent="0.2">
      <c r="A1487" s="1">
        <v>41241</v>
      </c>
      <c r="B1487">
        <v>0</v>
      </c>
      <c r="C1487" t="s">
        <v>12</v>
      </c>
      <c r="D1487">
        <v>-4.2269999999999999E-3</v>
      </c>
      <c r="E1487">
        <f t="shared" si="46"/>
        <v>0.99577300000000002</v>
      </c>
      <c r="F1487" s="1">
        <f t="shared" si="47"/>
        <v>41239</v>
      </c>
      <c r="G1487" cm="1">
        <f t="array" ref="G1487">PRODUCT( _xlfn._xlws.FILTER($E:$E, ($C:$C=C1487)*($F:$F=F1487)) ) - 1</f>
        <v>1.274273123696279E-2</v>
      </c>
      <c r="J1487" t="str">
        <v>TRI</v>
      </c>
      <c r="K1487" s="1">
        <v>42163</v>
      </c>
      <c r="L1487">
        <v>-2.343084669407236E-2</v>
      </c>
    </row>
    <row r="1488" spans="1:12" x14ac:dyDescent="0.2">
      <c r="A1488" s="1">
        <v>41242</v>
      </c>
      <c r="B1488">
        <v>0</v>
      </c>
      <c r="C1488" t="s">
        <v>12</v>
      </c>
      <c r="D1488">
        <v>4.2449999999999996E-3</v>
      </c>
      <c r="E1488">
        <f t="shared" si="46"/>
        <v>1.0042450000000001</v>
      </c>
      <c r="F1488" s="1">
        <f t="shared" si="47"/>
        <v>41239</v>
      </c>
      <c r="G1488" cm="1">
        <f t="array" ref="G1488">PRODUCT( _xlfn._xlws.FILTER($E:$E, ($C:$C=C1488)*($F:$F=F1488)) ) - 1</f>
        <v>1.274273123696279E-2</v>
      </c>
      <c r="J1488" t="str">
        <v>TRI</v>
      </c>
      <c r="K1488" s="1">
        <v>42170</v>
      </c>
      <c r="L1488">
        <v>1.668066058235107E-3</v>
      </c>
    </row>
    <row r="1489" spans="1:12" x14ac:dyDescent="0.2">
      <c r="A1489" s="1">
        <v>41243</v>
      </c>
      <c r="B1489">
        <v>0</v>
      </c>
      <c r="C1489" t="s">
        <v>12</v>
      </c>
      <c r="D1489">
        <v>7.8499999999999993E-3</v>
      </c>
      <c r="E1489">
        <f t="shared" si="46"/>
        <v>1.0078499999999999</v>
      </c>
      <c r="F1489" s="1">
        <f t="shared" si="47"/>
        <v>41239</v>
      </c>
      <c r="G1489" cm="1">
        <f t="array" ref="G1489">PRODUCT( _xlfn._xlws.FILTER($E:$E, ($C:$C=C1489)*($F:$F=F1489)) ) - 1</f>
        <v>1.274273123696279E-2</v>
      </c>
      <c r="J1489" t="str">
        <v>TRI</v>
      </c>
      <c r="K1489" s="1">
        <v>42177</v>
      </c>
      <c r="L1489">
        <v>4.3751199781920658E-3</v>
      </c>
    </row>
    <row r="1490" spans="1:12" x14ac:dyDescent="0.2">
      <c r="A1490" s="1">
        <v>41246</v>
      </c>
      <c r="B1490">
        <v>0</v>
      </c>
      <c r="C1490" t="s">
        <v>12</v>
      </c>
      <c r="D1490">
        <v>-1.2881999999999999E-2</v>
      </c>
      <c r="E1490">
        <f t="shared" si="46"/>
        <v>0.98711800000000005</v>
      </c>
      <c r="F1490" s="1">
        <f t="shared" si="47"/>
        <v>41246</v>
      </c>
      <c r="G1490" cm="1">
        <f t="array" ref="G1490">PRODUCT( _xlfn._xlws.FILTER($E:$E, ($C:$C=C1490)*($F:$F=F1490)) ) - 1</f>
        <v>-2.0966692886691396E-3</v>
      </c>
      <c r="J1490" t="str">
        <v>TRI</v>
      </c>
      <c r="K1490" s="1">
        <v>42184</v>
      </c>
      <c r="L1490">
        <v>-3.6702585370917973E-7</v>
      </c>
    </row>
    <row r="1491" spans="1:12" x14ac:dyDescent="0.2">
      <c r="A1491" s="1">
        <v>41247</v>
      </c>
      <c r="B1491">
        <v>0</v>
      </c>
      <c r="C1491" t="s">
        <v>12</v>
      </c>
      <c r="D1491">
        <v>-1.8209999999999999E-3</v>
      </c>
      <c r="E1491">
        <f t="shared" si="46"/>
        <v>0.99817900000000004</v>
      </c>
      <c r="F1491" s="1">
        <f t="shared" si="47"/>
        <v>41246</v>
      </c>
      <c r="G1491" cm="1">
        <f t="array" ref="G1491">PRODUCT( _xlfn._xlws.FILTER($E:$E, ($C:$C=C1491)*($F:$F=F1491)) ) - 1</f>
        <v>-2.0966692886691396E-3</v>
      </c>
      <c r="J1491" t="str">
        <v>TRI</v>
      </c>
      <c r="K1491" s="1">
        <v>42191</v>
      </c>
      <c r="L1491">
        <v>6.6360499602191592E-3</v>
      </c>
    </row>
    <row r="1492" spans="1:12" x14ac:dyDescent="0.2">
      <c r="A1492" s="1">
        <v>41248</v>
      </c>
      <c r="B1492">
        <v>0</v>
      </c>
      <c r="C1492" t="s">
        <v>12</v>
      </c>
      <c r="D1492">
        <v>1.3682E-2</v>
      </c>
      <c r="E1492">
        <f t="shared" si="46"/>
        <v>1.013682</v>
      </c>
      <c r="F1492" s="1">
        <f t="shared" si="47"/>
        <v>41246</v>
      </c>
      <c r="G1492" cm="1">
        <f t="array" ref="G1492">PRODUCT( _xlfn._xlws.FILTER($E:$E, ($C:$C=C1492)*($F:$F=F1492)) ) - 1</f>
        <v>-2.0966692886691396E-3</v>
      </c>
      <c r="J1492" t="str">
        <v>TRI</v>
      </c>
      <c r="K1492" s="1">
        <v>42198</v>
      </c>
      <c r="L1492">
        <v>3.0078008824093727E-2</v>
      </c>
    </row>
    <row r="1493" spans="1:12" x14ac:dyDescent="0.2">
      <c r="A1493" s="1">
        <v>41249</v>
      </c>
      <c r="B1493">
        <v>0</v>
      </c>
      <c r="C1493" t="s">
        <v>12</v>
      </c>
      <c r="D1493">
        <v>2.9999999999999997E-4</v>
      </c>
      <c r="E1493">
        <f t="shared" si="46"/>
        <v>1.0003</v>
      </c>
      <c r="F1493" s="1">
        <f t="shared" si="47"/>
        <v>41246</v>
      </c>
      <c r="G1493" cm="1">
        <f t="array" ref="G1493">PRODUCT( _xlfn._xlws.FILTER($E:$E, ($C:$C=C1493)*($F:$F=F1493)) ) - 1</f>
        <v>-2.0966692886691396E-3</v>
      </c>
      <c r="J1493" t="str">
        <v>TRI</v>
      </c>
      <c r="K1493" s="1">
        <v>42205</v>
      </c>
      <c r="L1493">
        <v>-1.9200287360949142E-2</v>
      </c>
    </row>
    <row r="1494" spans="1:12" x14ac:dyDescent="0.2">
      <c r="A1494" s="1">
        <v>41250</v>
      </c>
      <c r="B1494">
        <v>0</v>
      </c>
      <c r="C1494" t="s">
        <v>12</v>
      </c>
      <c r="D1494">
        <v>-1.199E-3</v>
      </c>
      <c r="E1494">
        <f t="shared" si="46"/>
        <v>0.99880100000000005</v>
      </c>
      <c r="F1494" s="1">
        <f t="shared" si="47"/>
        <v>41246</v>
      </c>
      <c r="G1494" cm="1">
        <f t="array" ref="G1494">PRODUCT( _xlfn._xlws.FILTER($E:$E, ($C:$C=C1494)*($F:$F=F1494)) ) - 1</f>
        <v>-2.0966692886691396E-3</v>
      </c>
      <c r="J1494" t="str">
        <v>TRI</v>
      </c>
      <c r="K1494" s="1">
        <v>42212</v>
      </c>
      <c r="L1494">
        <v>7.9730442928245493E-2</v>
      </c>
    </row>
    <row r="1495" spans="1:12" x14ac:dyDescent="0.2">
      <c r="A1495" s="1">
        <v>41253</v>
      </c>
      <c r="B1495">
        <v>0</v>
      </c>
      <c r="C1495" t="s">
        <v>12</v>
      </c>
      <c r="D1495">
        <v>-9.01E-4</v>
      </c>
      <c r="E1495">
        <f t="shared" si="46"/>
        <v>0.99909899999999996</v>
      </c>
      <c r="F1495" s="1">
        <f t="shared" si="47"/>
        <v>41253</v>
      </c>
      <c r="G1495" cm="1">
        <f t="array" ref="G1495">PRODUCT( _xlfn._xlws.FILTER($E:$E, ($C:$C=C1495)*($F:$F=F1495)) ) - 1</f>
        <v>1.5010814701221564E-2</v>
      </c>
      <c r="J1495" t="str">
        <v>TRI</v>
      </c>
      <c r="K1495" s="1">
        <v>42219</v>
      </c>
      <c r="L1495">
        <v>8.121359759345026E-3</v>
      </c>
    </row>
    <row r="1496" spans="1:12" x14ac:dyDescent="0.2">
      <c r="A1496" s="1">
        <v>41254</v>
      </c>
      <c r="B1496">
        <v>0</v>
      </c>
      <c r="C1496" t="s">
        <v>12</v>
      </c>
      <c r="D1496">
        <v>1.5625E-2</v>
      </c>
      <c r="E1496">
        <f t="shared" si="46"/>
        <v>1.015625</v>
      </c>
      <c r="F1496" s="1">
        <f t="shared" si="47"/>
        <v>41253</v>
      </c>
      <c r="G1496" cm="1">
        <f t="array" ref="G1496">PRODUCT( _xlfn._xlws.FILTER($E:$E, ($C:$C=C1496)*($F:$F=F1496)) ) - 1</f>
        <v>1.5010814701221564E-2</v>
      </c>
      <c r="J1496" t="str">
        <v>TRI</v>
      </c>
      <c r="K1496" s="1">
        <v>42226</v>
      </c>
      <c r="L1496">
        <v>9.1782438586016646E-3</v>
      </c>
    </row>
    <row r="1497" spans="1:12" x14ac:dyDescent="0.2">
      <c r="A1497" s="1">
        <v>41255</v>
      </c>
      <c r="B1497">
        <v>0</v>
      </c>
      <c r="C1497" t="s">
        <v>12</v>
      </c>
      <c r="D1497">
        <v>2.663E-3</v>
      </c>
      <c r="E1497">
        <f t="shared" si="46"/>
        <v>1.0026630000000001</v>
      </c>
      <c r="F1497" s="1">
        <f t="shared" si="47"/>
        <v>41253</v>
      </c>
      <c r="G1497" cm="1">
        <f t="array" ref="G1497">PRODUCT( _xlfn._xlws.FILTER($E:$E, ($C:$C=C1497)*($F:$F=F1497)) ) - 1</f>
        <v>1.5010814701221564E-2</v>
      </c>
      <c r="J1497" t="str">
        <v>TRI</v>
      </c>
      <c r="K1497" s="1">
        <v>42233</v>
      </c>
      <c r="L1497">
        <v>-4.3822696831632535E-2</v>
      </c>
    </row>
    <row r="1498" spans="1:12" x14ac:dyDescent="0.2">
      <c r="A1498" s="1">
        <v>41256</v>
      </c>
      <c r="B1498">
        <v>0</v>
      </c>
      <c r="C1498" t="s">
        <v>12</v>
      </c>
      <c r="D1498">
        <v>-4.4260000000000002E-3</v>
      </c>
      <c r="E1498">
        <f t="shared" si="46"/>
        <v>0.99557399999999996</v>
      </c>
      <c r="F1498" s="1">
        <f t="shared" si="47"/>
        <v>41253</v>
      </c>
      <c r="G1498" cm="1">
        <f t="array" ref="G1498">PRODUCT( _xlfn._xlws.FILTER($E:$E, ($C:$C=C1498)*($F:$F=F1498)) ) - 1</f>
        <v>1.5010814701221564E-2</v>
      </c>
      <c r="J1498" t="str">
        <v>TRI</v>
      </c>
      <c r="K1498" s="1">
        <v>42240</v>
      </c>
      <c r="L1498">
        <v>1.0764984068108774E-2</v>
      </c>
    </row>
    <row r="1499" spans="1:12" x14ac:dyDescent="0.2">
      <c r="A1499" s="1">
        <v>41257</v>
      </c>
      <c r="B1499">
        <v>0</v>
      </c>
      <c r="C1499" t="s">
        <v>12</v>
      </c>
      <c r="D1499">
        <v>2.075E-3</v>
      </c>
      <c r="E1499">
        <f t="shared" si="46"/>
        <v>1.002075</v>
      </c>
      <c r="F1499" s="1">
        <f t="shared" si="47"/>
        <v>41253</v>
      </c>
      <c r="G1499" cm="1">
        <f t="array" ref="G1499">PRODUCT( _xlfn._xlws.FILTER($E:$E, ($C:$C=C1499)*($F:$F=F1499)) ) - 1</f>
        <v>1.5010814701221564E-2</v>
      </c>
      <c r="J1499" t="str">
        <v>TRI</v>
      </c>
      <c r="K1499" s="1">
        <v>42247</v>
      </c>
      <c r="L1499">
        <v>-7.748979640465059E-4</v>
      </c>
    </row>
    <row r="1500" spans="1:12" x14ac:dyDescent="0.2">
      <c r="A1500" s="1">
        <v>41260</v>
      </c>
      <c r="B1500">
        <v>0</v>
      </c>
      <c r="C1500" t="s">
        <v>12</v>
      </c>
      <c r="D1500">
        <v>5.0280000000000004E-3</v>
      </c>
      <c r="E1500">
        <f t="shared" si="46"/>
        <v>1.005028</v>
      </c>
      <c r="F1500" s="1">
        <f t="shared" si="47"/>
        <v>41260</v>
      </c>
      <c r="G1500" cm="1">
        <f t="array" ref="G1500">PRODUCT( _xlfn._xlws.FILTER($E:$E, ($C:$C=C1500)*($F:$F=F1500)) ) - 1</f>
        <v>5.9154461103099187E-3</v>
      </c>
      <c r="J1500" t="str">
        <v>TRI</v>
      </c>
      <c r="K1500" s="1">
        <v>42254</v>
      </c>
      <c r="L1500">
        <v>2.3837256037261945E-2</v>
      </c>
    </row>
    <row r="1501" spans="1:12" x14ac:dyDescent="0.2">
      <c r="A1501" s="1">
        <v>41261</v>
      </c>
      <c r="B1501">
        <v>0</v>
      </c>
      <c r="C1501" t="s">
        <v>12</v>
      </c>
      <c r="D1501">
        <v>1.1770000000000001E-3</v>
      </c>
      <c r="E1501">
        <f t="shared" si="46"/>
        <v>1.001177</v>
      </c>
      <c r="F1501" s="1">
        <f t="shared" si="47"/>
        <v>41260</v>
      </c>
      <c r="G1501" cm="1">
        <f t="array" ref="G1501">PRODUCT( _xlfn._xlws.FILTER($E:$E, ($C:$C=C1501)*($F:$F=F1501)) ) - 1</f>
        <v>5.9154461103099187E-3</v>
      </c>
      <c r="J1501" t="str">
        <v>TRI</v>
      </c>
      <c r="K1501" s="1">
        <v>42261</v>
      </c>
      <c r="L1501">
        <v>-1.5148628086021354E-3</v>
      </c>
    </row>
    <row r="1502" spans="1:12" x14ac:dyDescent="0.2">
      <c r="A1502" s="1">
        <v>41262</v>
      </c>
      <c r="B1502">
        <v>0</v>
      </c>
      <c r="C1502" t="s">
        <v>12</v>
      </c>
      <c r="D1502">
        <v>4.1149999999999997E-3</v>
      </c>
      <c r="E1502">
        <f t="shared" si="46"/>
        <v>1.0041150000000001</v>
      </c>
      <c r="F1502" s="1">
        <f t="shared" si="47"/>
        <v>41260</v>
      </c>
      <c r="G1502" cm="1">
        <f t="array" ref="G1502">PRODUCT( _xlfn._xlws.FILTER($E:$E, ($C:$C=C1502)*($F:$F=F1502)) ) - 1</f>
        <v>5.9154461103099187E-3</v>
      </c>
      <c r="J1502" t="str">
        <v>TRI</v>
      </c>
      <c r="K1502" s="1">
        <v>42268</v>
      </c>
      <c r="L1502">
        <v>6.636000078920512E-3</v>
      </c>
    </row>
    <row r="1503" spans="1:12" x14ac:dyDescent="0.2">
      <c r="A1503" s="1">
        <v>41263</v>
      </c>
      <c r="B1503">
        <v>0</v>
      </c>
      <c r="C1503" t="s">
        <v>12</v>
      </c>
      <c r="D1503">
        <v>-7.3179999999999999E-3</v>
      </c>
      <c r="E1503">
        <f t="shared" si="46"/>
        <v>0.99268199999999995</v>
      </c>
      <c r="F1503" s="1">
        <f t="shared" si="47"/>
        <v>41260</v>
      </c>
      <c r="G1503" cm="1">
        <f t="array" ref="G1503">PRODUCT( _xlfn._xlws.FILTER($E:$E, ($C:$C=C1503)*($F:$F=F1503)) ) - 1</f>
        <v>5.9154461103099187E-3</v>
      </c>
      <c r="J1503" t="str">
        <v>TRI</v>
      </c>
      <c r="K1503" s="1">
        <v>42275</v>
      </c>
      <c r="L1503">
        <v>7.1561888504596549E-3</v>
      </c>
    </row>
    <row r="1504" spans="1:12" x14ac:dyDescent="0.2">
      <c r="A1504" s="1">
        <v>41264</v>
      </c>
      <c r="B1504">
        <v>0</v>
      </c>
      <c r="C1504" t="s">
        <v>12</v>
      </c>
      <c r="D1504">
        <v>2.9489999999999998E-3</v>
      </c>
      <c r="E1504">
        <f t="shared" si="46"/>
        <v>1.0029490000000001</v>
      </c>
      <c r="F1504" s="1">
        <f t="shared" si="47"/>
        <v>41260</v>
      </c>
      <c r="G1504" cm="1">
        <f t="array" ref="G1504">PRODUCT( _xlfn._xlws.FILTER($E:$E, ($C:$C=C1504)*($F:$F=F1504)) ) - 1</f>
        <v>5.9154461103099187E-3</v>
      </c>
      <c r="J1504" t="str">
        <v>TRI</v>
      </c>
      <c r="K1504" s="1">
        <v>42282</v>
      </c>
      <c r="L1504">
        <v>2.0576647756171962E-3</v>
      </c>
    </row>
    <row r="1505" spans="1:12" x14ac:dyDescent="0.2">
      <c r="A1505" s="1">
        <v>41267</v>
      </c>
      <c r="B1505">
        <v>0</v>
      </c>
      <c r="C1505" t="s">
        <v>12</v>
      </c>
      <c r="D1505">
        <v>2.9399999999999999E-3</v>
      </c>
      <c r="E1505">
        <f t="shared" si="46"/>
        <v>1.0029399999999999</v>
      </c>
      <c r="F1505" s="1">
        <f t="shared" si="47"/>
        <v>41267</v>
      </c>
      <c r="G1505" cm="1">
        <f t="array" ref="G1505">PRODUCT( _xlfn._xlws.FILTER($E:$E, ($C:$C=C1505)*($F:$F=F1505)) ) - 1</f>
        <v>-3.2344568119387906E-3</v>
      </c>
      <c r="J1505" t="str">
        <v>TRI</v>
      </c>
      <c r="K1505" s="1">
        <v>42289</v>
      </c>
      <c r="L1505">
        <v>-1.874418575426029E-4</v>
      </c>
    </row>
    <row r="1506" spans="1:12" x14ac:dyDescent="0.2">
      <c r="A1506" s="1">
        <v>41270</v>
      </c>
      <c r="B1506">
        <v>0</v>
      </c>
      <c r="C1506" t="s">
        <v>12</v>
      </c>
      <c r="D1506">
        <v>-8.7900000000000001E-4</v>
      </c>
      <c r="E1506">
        <f t="shared" si="46"/>
        <v>0.99912100000000004</v>
      </c>
      <c r="F1506" s="1">
        <f t="shared" si="47"/>
        <v>41267</v>
      </c>
      <c r="G1506" cm="1">
        <f t="array" ref="G1506">PRODUCT( _xlfn._xlws.FILTER($E:$E, ($C:$C=C1506)*($F:$F=F1506)) ) - 1</f>
        <v>-3.2344568119387906E-3</v>
      </c>
      <c r="J1506" t="str">
        <v>TRI</v>
      </c>
      <c r="K1506" s="1">
        <v>42296</v>
      </c>
      <c r="L1506">
        <v>1.9036422976254741E-2</v>
      </c>
    </row>
    <row r="1507" spans="1:12" x14ac:dyDescent="0.2">
      <c r="A1507" s="1">
        <v>41271</v>
      </c>
      <c r="B1507">
        <v>0</v>
      </c>
      <c r="C1507" t="s">
        <v>12</v>
      </c>
      <c r="D1507">
        <v>-5.2820000000000002E-3</v>
      </c>
      <c r="E1507">
        <f t="shared" si="46"/>
        <v>0.99471799999999999</v>
      </c>
      <c r="F1507" s="1">
        <f t="shared" si="47"/>
        <v>41267</v>
      </c>
      <c r="G1507" cm="1">
        <f t="array" ref="G1507">PRODUCT( _xlfn._xlws.FILTER($E:$E, ($C:$C=C1507)*($F:$F=F1507)) ) - 1</f>
        <v>-3.2344568119387906E-3</v>
      </c>
      <c r="J1507" t="str">
        <v>TRI</v>
      </c>
      <c r="K1507" s="1">
        <v>42303</v>
      </c>
      <c r="L1507">
        <v>-1.6850546398427535E-2</v>
      </c>
    </row>
    <row r="1508" spans="1:12" x14ac:dyDescent="0.2">
      <c r="A1508" s="1">
        <v>41274</v>
      </c>
      <c r="B1508">
        <v>0</v>
      </c>
      <c r="C1508" t="s">
        <v>12</v>
      </c>
      <c r="D1508">
        <v>9.4389999999999995E-3</v>
      </c>
      <c r="E1508">
        <f t="shared" si="46"/>
        <v>1.009439</v>
      </c>
      <c r="F1508" s="1">
        <f t="shared" si="47"/>
        <v>41274</v>
      </c>
      <c r="G1508" cm="1">
        <f t="array" ref="G1508">PRODUCT( _xlfn._xlws.FILTER($E:$E, ($C:$C=C1508)*($F:$F=F1508)) ) - 1</f>
        <v>1.7994444658174791E-2</v>
      </c>
      <c r="J1508" t="str">
        <v>TRI</v>
      </c>
      <c r="K1508" s="1">
        <v>42310</v>
      </c>
      <c r="L1508">
        <v>-6.1476068739523271E-3</v>
      </c>
    </row>
    <row r="1509" spans="1:12" x14ac:dyDescent="0.2">
      <c r="A1509" s="1">
        <v>41276</v>
      </c>
      <c r="B1509">
        <v>0</v>
      </c>
      <c r="C1509" t="s">
        <v>12</v>
      </c>
      <c r="D1509">
        <v>6.1370000000000001E-3</v>
      </c>
      <c r="E1509">
        <f t="shared" si="46"/>
        <v>1.0061370000000001</v>
      </c>
      <c r="F1509" s="1">
        <f t="shared" si="47"/>
        <v>41274</v>
      </c>
      <c r="G1509" cm="1">
        <f t="array" ref="G1509">PRODUCT( _xlfn._xlws.FILTER($E:$E, ($C:$C=C1509)*($F:$F=F1509)) ) - 1</f>
        <v>1.7994444658174791E-2</v>
      </c>
      <c r="J1509" t="str">
        <v>TRI</v>
      </c>
      <c r="K1509" s="1">
        <v>42317</v>
      </c>
      <c r="L1509">
        <v>-2.6616812187134964E-2</v>
      </c>
    </row>
    <row r="1510" spans="1:12" x14ac:dyDescent="0.2">
      <c r="A1510" s="1">
        <v>41277</v>
      </c>
      <c r="B1510">
        <v>0</v>
      </c>
      <c r="C1510" t="s">
        <v>12</v>
      </c>
      <c r="D1510">
        <v>4.3569999999999998E-3</v>
      </c>
      <c r="E1510">
        <f t="shared" si="46"/>
        <v>1.0043569999999999</v>
      </c>
      <c r="F1510" s="1">
        <f t="shared" si="47"/>
        <v>41274</v>
      </c>
      <c r="G1510" cm="1">
        <f t="array" ref="G1510">PRODUCT( _xlfn._xlws.FILTER($E:$E, ($C:$C=C1510)*($F:$F=F1510)) ) - 1</f>
        <v>1.7994444658174791E-2</v>
      </c>
      <c r="J1510" t="str">
        <v>TRI</v>
      </c>
      <c r="K1510" s="1">
        <v>42324</v>
      </c>
      <c r="L1510">
        <v>2.9662225102106365E-2</v>
      </c>
    </row>
    <row r="1511" spans="1:12" x14ac:dyDescent="0.2">
      <c r="A1511" s="1">
        <v>41278</v>
      </c>
      <c r="B1511">
        <v>0</v>
      </c>
      <c r="C1511" t="s">
        <v>12</v>
      </c>
      <c r="D1511">
        <v>-2.0240000000000002E-3</v>
      </c>
      <c r="E1511">
        <f t="shared" si="46"/>
        <v>0.99797599999999997</v>
      </c>
      <c r="F1511" s="1">
        <f t="shared" si="47"/>
        <v>41274</v>
      </c>
      <c r="G1511" cm="1">
        <f t="array" ref="G1511">PRODUCT( _xlfn._xlws.FILTER($E:$E, ($C:$C=C1511)*($F:$F=F1511)) ) - 1</f>
        <v>1.7994444658174791E-2</v>
      </c>
      <c r="J1511" t="str">
        <v>TRI</v>
      </c>
      <c r="K1511" s="1">
        <v>42331</v>
      </c>
      <c r="L1511">
        <v>8.4873477860767377E-3</v>
      </c>
    </row>
    <row r="1512" spans="1:12" x14ac:dyDescent="0.2">
      <c r="A1512" s="1">
        <v>41281</v>
      </c>
      <c r="B1512">
        <v>0</v>
      </c>
      <c r="C1512" t="s">
        <v>12</v>
      </c>
      <c r="D1512">
        <v>2.9E-4</v>
      </c>
      <c r="E1512">
        <f t="shared" si="46"/>
        <v>1.0002899999999999</v>
      </c>
      <c r="F1512" s="1">
        <f t="shared" si="47"/>
        <v>41281</v>
      </c>
      <c r="G1512" cm="1">
        <f t="array" ref="G1512">PRODUCT( _xlfn._xlws.FILTER($E:$E, ($C:$C=C1512)*($F:$F=F1512)) ) - 1</f>
        <v>-4.6353501435201228E-3</v>
      </c>
      <c r="J1512" t="str">
        <v>TRI</v>
      </c>
      <c r="K1512" s="1">
        <v>42338</v>
      </c>
      <c r="L1512">
        <v>1.271688272346827E-2</v>
      </c>
    </row>
    <row r="1513" spans="1:12" x14ac:dyDescent="0.2">
      <c r="A1513" s="1">
        <v>41282</v>
      </c>
      <c r="B1513">
        <v>0</v>
      </c>
      <c r="C1513" t="s">
        <v>12</v>
      </c>
      <c r="D1513">
        <v>-9.8490000000000001E-3</v>
      </c>
      <c r="E1513">
        <f t="shared" si="46"/>
        <v>0.990151</v>
      </c>
      <c r="F1513" s="1">
        <f t="shared" si="47"/>
        <v>41281</v>
      </c>
      <c r="G1513" cm="1">
        <f t="array" ref="G1513">PRODUCT( _xlfn._xlws.FILTER($E:$E, ($C:$C=C1513)*($F:$F=F1513)) ) - 1</f>
        <v>-4.6353501435201228E-3</v>
      </c>
      <c r="J1513" t="str">
        <v>TRI</v>
      </c>
      <c r="K1513" s="1">
        <v>42345</v>
      </c>
      <c r="L1513">
        <v>-3.2318241602619424E-2</v>
      </c>
    </row>
    <row r="1514" spans="1:12" x14ac:dyDescent="0.2">
      <c r="A1514" s="1">
        <v>41283</v>
      </c>
      <c r="B1514">
        <v>0</v>
      </c>
      <c r="C1514" t="s">
        <v>12</v>
      </c>
      <c r="D1514">
        <v>1.4630000000000001E-3</v>
      </c>
      <c r="E1514">
        <f t="shared" si="46"/>
        <v>1.001463</v>
      </c>
      <c r="F1514" s="1">
        <f t="shared" si="47"/>
        <v>41281</v>
      </c>
      <c r="G1514" cm="1">
        <f t="array" ref="G1514">PRODUCT( _xlfn._xlws.FILTER($E:$E, ($C:$C=C1514)*($F:$F=F1514)) ) - 1</f>
        <v>-4.6353501435201228E-3</v>
      </c>
      <c r="J1514" t="str">
        <v>TRI</v>
      </c>
      <c r="K1514" s="1">
        <v>42352</v>
      </c>
      <c r="L1514">
        <v>7.6377941573224639E-4</v>
      </c>
    </row>
    <row r="1515" spans="1:12" x14ac:dyDescent="0.2">
      <c r="A1515" s="1">
        <v>41284</v>
      </c>
      <c r="B1515">
        <v>0</v>
      </c>
      <c r="C1515" t="s">
        <v>12</v>
      </c>
      <c r="D1515">
        <v>2.92E-4</v>
      </c>
      <c r="E1515">
        <f t="shared" si="46"/>
        <v>1.000292</v>
      </c>
      <c r="F1515" s="1">
        <f t="shared" si="47"/>
        <v>41281</v>
      </c>
      <c r="G1515" cm="1">
        <f t="array" ref="G1515">PRODUCT( _xlfn._xlws.FILTER($E:$E, ($C:$C=C1515)*($F:$F=F1515)) ) - 1</f>
        <v>-4.6353501435201228E-3</v>
      </c>
      <c r="J1515" t="str">
        <v>TRI</v>
      </c>
      <c r="K1515" s="1">
        <v>42359</v>
      </c>
      <c r="L1515">
        <v>7.0560120125198189E-3</v>
      </c>
    </row>
    <row r="1516" spans="1:12" x14ac:dyDescent="0.2">
      <c r="A1516" s="1">
        <v>41285</v>
      </c>
      <c r="B1516">
        <v>0</v>
      </c>
      <c r="C1516" t="s">
        <v>12</v>
      </c>
      <c r="D1516">
        <v>3.2130000000000001E-3</v>
      </c>
      <c r="E1516">
        <f t="shared" si="46"/>
        <v>1.0032129999999999</v>
      </c>
      <c r="F1516" s="1">
        <f t="shared" si="47"/>
        <v>41281</v>
      </c>
      <c r="G1516" cm="1">
        <f t="array" ref="G1516">PRODUCT( _xlfn._xlws.FILTER($E:$E, ($C:$C=C1516)*($F:$F=F1516)) ) - 1</f>
        <v>-4.6353501435201228E-3</v>
      </c>
      <c r="J1516" t="str">
        <v>TRI</v>
      </c>
      <c r="K1516" s="1">
        <v>42366</v>
      </c>
      <c r="L1516">
        <v>-7.5745987777325885E-3</v>
      </c>
    </row>
    <row r="1517" spans="1:12" x14ac:dyDescent="0.2">
      <c r="A1517" s="1">
        <v>41288</v>
      </c>
      <c r="B1517">
        <v>0</v>
      </c>
      <c r="C1517" t="s">
        <v>12</v>
      </c>
      <c r="D1517">
        <v>-1.7470000000000001E-3</v>
      </c>
      <c r="E1517">
        <f t="shared" si="46"/>
        <v>0.99825299999999995</v>
      </c>
      <c r="F1517" s="1">
        <f t="shared" si="47"/>
        <v>41288</v>
      </c>
      <c r="G1517" cm="1">
        <f t="array" ref="G1517">PRODUCT( _xlfn._xlws.FILTER($E:$E, ($C:$C=C1517)*($F:$F=F1517)) ) - 1</f>
        <v>4.0752281108260568E-3</v>
      </c>
      <c r="J1517" t="str">
        <v>TRI</v>
      </c>
      <c r="K1517" s="1">
        <v>42373</v>
      </c>
      <c r="L1517">
        <v>-4.0259266919377312E-2</v>
      </c>
    </row>
    <row r="1518" spans="1:12" x14ac:dyDescent="0.2">
      <c r="A1518" s="1">
        <v>41289</v>
      </c>
      <c r="B1518">
        <v>0</v>
      </c>
      <c r="C1518" t="s">
        <v>12</v>
      </c>
      <c r="D1518">
        <v>1.0789999999999999E-2</v>
      </c>
      <c r="E1518">
        <f t="shared" si="46"/>
        <v>1.0107900000000001</v>
      </c>
      <c r="F1518" s="1">
        <f t="shared" si="47"/>
        <v>41288</v>
      </c>
      <c r="G1518" cm="1">
        <f t="array" ref="G1518">PRODUCT( _xlfn._xlws.FILTER($E:$E, ($C:$C=C1518)*($F:$F=F1518)) ) - 1</f>
        <v>4.0752281108260568E-3</v>
      </c>
      <c r="J1518" t="str">
        <v>TRI</v>
      </c>
      <c r="K1518" s="1">
        <v>42380</v>
      </c>
      <c r="L1518">
        <v>1.5904699700389768E-2</v>
      </c>
    </row>
    <row r="1519" spans="1:12" x14ac:dyDescent="0.2">
      <c r="A1519" s="1">
        <v>41290</v>
      </c>
      <c r="B1519">
        <v>0</v>
      </c>
      <c r="C1519" t="s">
        <v>12</v>
      </c>
      <c r="D1519">
        <v>-4.6160000000000003E-3</v>
      </c>
      <c r="E1519">
        <f t="shared" si="46"/>
        <v>0.99538400000000005</v>
      </c>
      <c r="F1519" s="1">
        <f t="shared" si="47"/>
        <v>41288</v>
      </c>
      <c r="G1519" cm="1">
        <f t="array" ref="G1519">PRODUCT( _xlfn._xlws.FILTER($E:$E, ($C:$C=C1519)*($F:$F=F1519)) ) - 1</f>
        <v>4.0752281108260568E-3</v>
      </c>
      <c r="J1519" t="str">
        <v>TRI</v>
      </c>
      <c r="K1519" s="1">
        <v>42387</v>
      </c>
      <c r="L1519">
        <v>1.1546066652927012E-2</v>
      </c>
    </row>
    <row r="1520" spans="1:12" x14ac:dyDescent="0.2">
      <c r="A1520" s="1">
        <v>41291</v>
      </c>
      <c r="B1520">
        <v>0</v>
      </c>
      <c r="C1520" t="s">
        <v>12</v>
      </c>
      <c r="D1520">
        <v>0</v>
      </c>
      <c r="E1520">
        <f t="shared" si="46"/>
        <v>1</v>
      </c>
      <c r="F1520" s="1">
        <f t="shared" si="47"/>
        <v>41288</v>
      </c>
      <c r="G1520" cm="1">
        <f t="array" ref="G1520">PRODUCT( _xlfn._xlws.FILTER($E:$E, ($C:$C=C1520)*($F:$F=F1520)) ) - 1</f>
        <v>4.0752281108260568E-3</v>
      </c>
      <c r="J1520" t="str">
        <v>TRI</v>
      </c>
      <c r="K1520" s="1">
        <v>42394</v>
      </c>
      <c r="L1520">
        <v>1.3735655908690525E-2</v>
      </c>
    </row>
    <row r="1521" spans="1:12" x14ac:dyDescent="0.2">
      <c r="A1521" s="1">
        <v>41292</v>
      </c>
      <c r="B1521">
        <v>0</v>
      </c>
      <c r="C1521" t="s">
        <v>12</v>
      </c>
      <c r="D1521">
        <v>-2.9E-4</v>
      </c>
      <c r="E1521">
        <f t="shared" si="46"/>
        <v>0.99970999999999999</v>
      </c>
      <c r="F1521" s="1">
        <f t="shared" si="47"/>
        <v>41288</v>
      </c>
      <c r="G1521" cm="1">
        <f t="array" ref="G1521">PRODUCT( _xlfn._xlws.FILTER($E:$E, ($C:$C=C1521)*($F:$F=F1521)) ) - 1</f>
        <v>4.0752281108260568E-3</v>
      </c>
      <c r="J1521" t="str">
        <v>TRI</v>
      </c>
      <c r="K1521" s="1">
        <v>42401</v>
      </c>
      <c r="L1521">
        <v>-3.0152793801941025E-2</v>
      </c>
    </row>
    <row r="1522" spans="1:12" x14ac:dyDescent="0.2">
      <c r="A1522" s="1">
        <v>41295</v>
      </c>
      <c r="B1522">
        <v>0</v>
      </c>
      <c r="C1522" t="s">
        <v>12</v>
      </c>
      <c r="D1522">
        <v>2.9E-4</v>
      </c>
      <c r="E1522">
        <f t="shared" si="46"/>
        <v>1.0002899999999999</v>
      </c>
      <c r="F1522" s="1">
        <f t="shared" si="47"/>
        <v>41295</v>
      </c>
      <c r="G1522" cm="1">
        <f t="array" ref="G1522">PRODUCT( _xlfn._xlws.FILTER($E:$E, ($C:$C=C1522)*($F:$F=F1522)) ) - 1</f>
        <v>-3.1904109204851094E-3</v>
      </c>
      <c r="J1522" t="str">
        <v>TRI</v>
      </c>
      <c r="K1522" s="1">
        <v>42408</v>
      </c>
      <c r="L1522">
        <v>-2.6761190165285997E-2</v>
      </c>
    </row>
    <row r="1523" spans="1:12" x14ac:dyDescent="0.2">
      <c r="A1523" s="1">
        <v>41296</v>
      </c>
      <c r="B1523">
        <v>0</v>
      </c>
      <c r="C1523" t="s">
        <v>12</v>
      </c>
      <c r="D1523">
        <v>-2.8990000000000001E-3</v>
      </c>
      <c r="E1523">
        <f t="shared" si="46"/>
        <v>0.99710100000000002</v>
      </c>
      <c r="F1523" s="1">
        <f t="shared" si="47"/>
        <v>41295</v>
      </c>
      <c r="G1523" cm="1">
        <f t="array" ref="G1523">PRODUCT( _xlfn._xlws.FILTER($E:$E, ($C:$C=C1523)*($F:$F=F1523)) ) - 1</f>
        <v>-3.1904109204851094E-3</v>
      </c>
      <c r="J1523" t="str">
        <v>TRI</v>
      </c>
      <c r="K1523" s="1">
        <v>42415</v>
      </c>
      <c r="L1523">
        <v>1.02744205694274E-2</v>
      </c>
    </row>
    <row r="1524" spans="1:12" x14ac:dyDescent="0.2">
      <c r="A1524" s="1">
        <v>41297</v>
      </c>
      <c r="B1524">
        <v>0</v>
      </c>
      <c r="C1524" t="s">
        <v>12</v>
      </c>
      <c r="D1524">
        <v>-3.7789999999999998E-3</v>
      </c>
      <c r="E1524">
        <f t="shared" si="46"/>
        <v>0.99622100000000002</v>
      </c>
      <c r="F1524" s="1">
        <f t="shared" si="47"/>
        <v>41295</v>
      </c>
      <c r="G1524" cm="1">
        <f t="array" ref="G1524">PRODUCT( _xlfn._xlws.FILTER($E:$E, ($C:$C=C1524)*($F:$F=F1524)) ) - 1</f>
        <v>-3.1904109204851094E-3</v>
      </c>
      <c r="J1524" t="str">
        <v>TRI</v>
      </c>
      <c r="K1524" s="1">
        <v>42422</v>
      </c>
      <c r="L1524">
        <v>-1.818486724915247E-3</v>
      </c>
    </row>
    <row r="1525" spans="1:12" x14ac:dyDescent="0.2">
      <c r="A1525" s="1">
        <v>41298</v>
      </c>
      <c r="B1525">
        <v>0</v>
      </c>
      <c r="C1525" t="s">
        <v>12</v>
      </c>
      <c r="D1525">
        <v>2.3340000000000001E-3</v>
      </c>
      <c r="E1525">
        <f t="shared" si="46"/>
        <v>1.0023340000000001</v>
      </c>
      <c r="F1525" s="1">
        <f t="shared" si="47"/>
        <v>41295</v>
      </c>
      <c r="G1525" cm="1">
        <f t="array" ref="G1525">PRODUCT( _xlfn._xlws.FILTER($E:$E, ($C:$C=C1525)*($F:$F=F1525)) ) - 1</f>
        <v>-3.1904109204851094E-3</v>
      </c>
      <c r="J1525" t="str">
        <v>TRI</v>
      </c>
      <c r="K1525" s="1">
        <v>42429</v>
      </c>
      <c r="L1525">
        <v>-1.0523661874114132E-2</v>
      </c>
    </row>
    <row r="1526" spans="1:12" x14ac:dyDescent="0.2">
      <c r="A1526" s="1">
        <v>41299</v>
      </c>
      <c r="B1526">
        <v>0</v>
      </c>
      <c r="C1526" t="s">
        <v>12</v>
      </c>
      <c r="D1526">
        <v>8.7299999999999997E-4</v>
      </c>
      <c r="E1526">
        <f t="shared" si="46"/>
        <v>1.0008729999999999</v>
      </c>
      <c r="F1526" s="1">
        <f t="shared" si="47"/>
        <v>41295</v>
      </c>
      <c r="G1526" cm="1">
        <f t="array" ref="G1526">PRODUCT( _xlfn._xlws.FILTER($E:$E, ($C:$C=C1526)*($F:$F=F1526)) ) - 1</f>
        <v>-3.1904109204851094E-3</v>
      </c>
      <c r="J1526" t="str">
        <v>TRI</v>
      </c>
      <c r="K1526" s="1">
        <v>42436</v>
      </c>
      <c r="L1526">
        <v>2.7203677637661405E-2</v>
      </c>
    </row>
    <row r="1527" spans="1:12" x14ac:dyDescent="0.2">
      <c r="A1527" s="1">
        <v>41302</v>
      </c>
      <c r="B1527">
        <v>0</v>
      </c>
      <c r="C1527" t="s">
        <v>12</v>
      </c>
      <c r="D1527">
        <v>5.8170000000000001E-3</v>
      </c>
      <c r="E1527">
        <f t="shared" si="46"/>
        <v>1.005817</v>
      </c>
      <c r="F1527" s="1">
        <f t="shared" si="47"/>
        <v>41302</v>
      </c>
      <c r="G1527" cm="1">
        <f t="array" ref="G1527">PRODUCT( _xlfn._xlws.FILTER($E:$E, ($C:$C=C1527)*($F:$F=F1527)) ) - 1</f>
        <v>4.3623262487095804E-3</v>
      </c>
      <c r="J1527" t="str">
        <v>TRI</v>
      </c>
      <c r="K1527" s="1">
        <v>42443</v>
      </c>
      <c r="L1527">
        <v>1.8519611832997329E-2</v>
      </c>
    </row>
    <row r="1528" spans="1:12" x14ac:dyDescent="0.2">
      <c r="A1528" s="1">
        <v>41303</v>
      </c>
      <c r="B1528">
        <v>0</v>
      </c>
      <c r="C1528" t="s">
        <v>12</v>
      </c>
      <c r="D1528">
        <v>4.0489999999999996E-3</v>
      </c>
      <c r="E1528">
        <f t="shared" si="46"/>
        <v>1.004049</v>
      </c>
      <c r="F1528" s="1">
        <f t="shared" si="47"/>
        <v>41302</v>
      </c>
      <c r="G1528" cm="1">
        <f t="array" ref="G1528">PRODUCT( _xlfn._xlws.FILTER($E:$E, ($C:$C=C1528)*($F:$F=F1528)) ) - 1</f>
        <v>4.3623262487095804E-3</v>
      </c>
      <c r="J1528" t="str">
        <v>TRI</v>
      </c>
      <c r="K1528" s="1">
        <v>42450</v>
      </c>
      <c r="L1528">
        <v>1.9160230850775006E-2</v>
      </c>
    </row>
    <row r="1529" spans="1:12" x14ac:dyDescent="0.2">
      <c r="A1529" s="1">
        <v>41304</v>
      </c>
      <c r="B1529">
        <v>0</v>
      </c>
      <c r="C1529" t="s">
        <v>12</v>
      </c>
      <c r="D1529">
        <v>-2.8800000000000001E-4</v>
      </c>
      <c r="E1529">
        <f t="shared" si="46"/>
        <v>0.99971200000000005</v>
      </c>
      <c r="F1529" s="1">
        <f t="shared" si="47"/>
        <v>41302</v>
      </c>
      <c r="G1529" cm="1">
        <f t="array" ref="G1529">PRODUCT( _xlfn._xlws.FILTER($E:$E, ($C:$C=C1529)*($F:$F=F1529)) ) - 1</f>
        <v>4.3623262487095804E-3</v>
      </c>
      <c r="J1529" t="str">
        <v>TRI</v>
      </c>
      <c r="K1529" s="1">
        <v>42457</v>
      </c>
      <c r="L1529">
        <v>1.1318237716954949E-2</v>
      </c>
    </row>
    <row r="1530" spans="1:12" x14ac:dyDescent="0.2">
      <c r="A1530" s="1">
        <v>41305</v>
      </c>
      <c r="B1530">
        <v>0</v>
      </c>
      <c r="C1530" t="s">
        <v>12</v>
      </c>
      <c r="D1530">
        <v>-2.0170000000000001E-3</v>
      </c>
      <c r="E1530">
        <f t="shared" si="46"/>
        <v>0.99798299999999995</v>
      </c>
      <c r="F1530" s="1">
        <f t="shared" si="47"/>
        <v>41302</v>
      </c>
      <c r="G1530" cm="1">
        <f t="array" ref="G1530">PRODUCT( _xlfn._xlws.FILTER($E:$E, ($C:$C=C1530)*($F:$F=F1530)) ) - 1</f>
        <v>4.3623262487095804E-3</v>
      </c>
      <c r="J1530" t="str">
        <v>TRI</v>
      </c>
      <c r="K1530" s="1">
        <v>42464</v>
      </c>
      <c r="L1530">
        <v>-1.3846507190375834E-2</v>
      </c>
    </row>
    <row r="1531" spans="1:12" x14ac:dyDescent="0.2">
      <c r="A1531" s="1">
        <v>41306</v>
      </c>
      <c r="B1531">
        <v>0</v>
      </c>
      <c r="C1531" t="s">
        <v>12</v>
      </c>
      <c r="D1531">
        <v>-3.176E-3</v>
      </c>
      <c r="E1531">
        <f t="shared" si="46"/>
        <v>0.99682400000000004</v>
      </c>
      <c r="F1531" s="1">
        <f t="shared" si="47"/>
        <v>41302</v>
      </c>
      <c r="G1531" cm="1">
        <f t="array" ref="G1531">PRODUCT( _xlfn._xlws.FILTER($E:$E, ($C:$C=C1531)*($F:$F=F1531)) ) - 1</f>
        <v>4.3623262487095804E-3</v>
      </c>
      <c r="J1531" t="str">
        <v>TRI</v>
      </c>
      <c r="K1531" s="1">
        <v>42471</v>
      </c>
      <c r="L1531">
        <v>4.0383063607234426E-3</v>
      </c>
    </row>
    <row r="1532" spans="1:12" x14ac:dyDescent="0.2">
      <c r="A1532" s="1">
        <v>41309</v>
      </c>
      <c r="B1532">
        <v>0</v>
      </c>
      <c r="C1532" t="s">
        <v>12</v>
      </c>
      <c r="D1532">
        <v>-1.738E-3</v>
      </c>
      <c r="E1532">
        <f t="shared" si="46"/>
        <v>0.99826199999999998</v>
      </c>
      <c r="F1532" s="1">
        <f t="shared" si="47"/>
        <v>41309</v>
      </c>
      <c r="G1532" cm="1">
        <f t="array" ref="G1532">PRODUCT( _xlfn._xlws.FILTER($E:$E, ($C:$C=C1532)*($F:$F=F1532)) ) - 1</f>
        <v>-2.1721342938743393E-2</v>
      </c>
      <c r="J1532" t="str">
        <v>TRI</v>
      </c>
      <c r="K1532" s="1">
        <v>42478</v>
      </c>
      <c r="L1532">
        <v>-9.5771720497813684E-3</v>
      </c>
    </row>
    <row r="1533" spans="1:12" x14ac:dyDescent="0.2">
      <c r="A1533" s="1">
        <v>41310</v>
      </c>
      <c r="B1533">
        <v>0</v>
      </c>
      <c r="C1533" t="s">
        <v>12</v>
      </c>
      <c r="D1533">
        <v>5.5120000000000004E-3</v>
      </c>
      <c r="E1533">
        <f t="shared" si="46"/>
        <v>1.005512</v>
      </c>
      <c r="F1533" s="1">
        <f t="shared" si="47"/>
        <v>41309</v>
      </c>
      <c r="G1533" cm="1">
        <f t="array" ref="G1533">PRODUCT( _xlfn._xlws.FILTER($E:$E, ($C:$C=C1533)*($F:$F=F1533)) ) - 1</f>
        <v>-2.1721342938743393E-2</v>
      </c>
      <c r="J1533" t="str">
        <v>TRI</v>
      </c>
      <c r="K1533" s="1">
        <v>42485</v>
      </c>
      <c r="L1533">
        <v>-1.1609447240011894E-3</v>
      </c>
    </row>
    <row r="1534" spans="1:12" x14ac:dyDescent="0.2">
      <c r="A1534" s="1">
        <v>41311</v>
      </c>
      <c r="B1534">
        <v>0</v>
      </c>
      <c r="C1534" t="s">
        <v>12</v>
      </c>
      <c r="D1534">
        <v>-1.7309999999999999E-3</v>
      </c>
      <c r="E1534">
        <f t="shared" si="46"/>
        <v>0.99826899999999996</v>
      </c>
      <c r="F1534" s="1">
        <f t="shared" si="47"/>
        <v>41309</v>
      </c>
      <c r="G1534" cm="1">
        <f t="array" ref="G1534">PRODUCT( _xlfn._xlws.FILTER($E:$E, ($C:$C=C1534)*($F:$F=F1534)) ) - 1</f>
        <v>-2.1721342938743393E-2</v>
      </c>
      <c r="J1534" t="str">
        <v>TRI</v>
      </c>
      <c r="K1534" s="1">
        <v>42492</v>
      </c>
      <c r="L1534">
        <v>1.4524335861213489E-2</v>
      </c>
    </row>
    <row r="1535" spans="1:12" x14ac:dyDescent="0.2">
      <c r="A1535" s="1">
        <v>41312</v>
      </c>
      <c r="B1535">
        <v>0</v>
      </c>
      <c r="C1535" t="s">
        <v>12</v>
      </c>
      <c r="D1535">
        <v>-1.0404999999999999E-2</v>
      </c>
      <c r="E1535">
        <f t="shared" si="46"/>
        <v>0.989595</v>
      </c>
      <c r="F1535" s="1">
        <f t="shared" si="47"/>
        <v>41309</v>
      </c>
      <c r="G1535" cm="1">
        <f t="array" ref="G1535">PRODUCT( _xlfn._xlws.FILTER($E:$E, ($C:$C=C1535)*($F:$F=F1535)) ) - 1</f>
        <v>-2.1721342938743393E-2</v>
      </c>
      <c r="J1535" t="str">
        <v>TRI</v>
      </c>
      <c r="K1535" s="1">
        <v>42499</v>
      </c>
      <c r="L1535">
        <v>1.469762914657835E-2</v>
      </c>
    </row>
    <row r="1536" spans="1:12" x14ac:dyDescent="0.2">
      <c r="A1536" s="1">
        <v>41313</v>
      </c>
      <c r="B1536">
        <v>0</v>
      </c>
      <c r="C1536" t="s">
        <v>12</v>
      </c>
      <c r="D1536">
        <v>-1.3435000000000001E-2</v>
      </c>
      <c r="E1536">
        <f t="shared" si="46"/>
        <v>0.98656500000000003</v>
      </c>
      <c r="F1536" s="1">
        <f t="shared" si="47"/>
        <v>41309</v>
      </c>
      <c r="G1536" cm="1">
        <f t="array" ref="G1536">PRODUCT( _xlfn._xlws.FILTER($E:$E, ($C:$C=C1536)*($F:$F=F1536)) ) - 1</f>
        <v>-2.1721342938743393E-2</v>
      </c>
      <c r="J1536" t="str">
        <v>TRI</v>
      </c>
      <c r="K1536" s="1">
        <v>42506</v>
      </c>
      <c r="L1536">
        <v>2.6789676195603462E-2</v>
      </c>
    </row>
    <row r="1537" spans="1:12" x14ac:dyDescent="0.2">
      <c r="A1537" s="1">
        <v>41316</v>
      </c>
      <c r="B1537">
        <v>0</v>
      </c>
      <c r="C1537" t="s">
        <v>12</v>
      </c>
      <c r="D1537">
        <v>-3.8479999999999999E-3</v>
      </c>
      <c r="E1537">
        <f t="shared" si="46"/>
        <v>0.99615200000000004</v>
      </c>
      <c r="F1537" s="1">
        <f t="shared" si="47"/>
        <v>41316</v>
      </c>
      <c r="G1537" cm="1">
        <f t="array" ref="G1537">PRODUCT( _xlfn._xlws.FILTER($E:$E, ($C:$C=C1537)*($F:$F=F1537)) ) - 1</f>
        <v>-1.2717867026691754E-2</v>
      </c>
      <c r="J1537" t="str">
        <v>TRI</v>
      </c>
      <c r="K1537" s="1">
        <v>42513</v>
      </c>
      <c r="L1537">
        <v>1.7920715491988037E-2</v>
      </c>
    </row>
    <row r="1538" spans="1:12" x14ac:dyDescent="0.2">
      <c r="A1538" s="1">
        <v>41317</v>
      </c>
      <c r="B1538">
        <v>0</v>
      </c>
      <c r="C1538" t="s">
        <v>12</v>
      </c>
      <c r="D1538">
        <v>-1.0104E-2</v>
      </c>
      <c r="E1538">
        <f t="shared" si="46"/>
        <v>0.989896</v>
      </c>
      <c r="F1538" s="1">
        <f t="shared" si="47"/>
        <v>41316</v>
      </c>
      <c r="G1538" cm="1">
        <f t="array" ref="G1538">PRODUCT( _xlfn._xlws.FILTER($E:$E, ($C:$C=C1538)*($F:$F=F1538)) ) - 1</f>
        <v>-1.2717867026691754E-2</v>
      </c>
      <c r="J1538" t="str">
        <v>TRI</v>
      </c>
      <c r="K1538" s="1">
        <v>42520</v>
      </c>
      <c r="L1538">
        <v>-6.3520860148494895E-3</v>
      </c>
    </row>
    <row r="1539" spans="1:12" x14ac:dyDescent="0.2">
      <c r="A1539" s="1">
        <v>41318</v>
      </c>
      <c r="B1539">
        <v>0</v>
      </c>
      <c r="C1539" t="s">
        <v>12</v>
      </c>
      <c r="D1539">
        <v>4.2420000000000001E-3</v>
      </c>
      <c r="E1539">
        <f t="shared" si="46"/>
        <v>1.0042420000000001</v>
      </c>
      <c r="F1539" s="1">
        <f t="shared" si="47"/>
        <v>41316</v>
      </c>
      <c r="G1539" cm="1">
        <f t="array" ref="G1539">PRODUCT( _xlfn._xlws.FILTER($E:$E, ($C:$C=C1539)*($F:$F=F1539)) ) - 1</f>
        <v>-1.2717867026691754E-2</v>
      </c>
      <c r="J1539" t="str">
        <v>TRI</v>
      </c>
      <c r="K1539" s="1">
        <v>42527</v>
      </c>
      <c r="L1539">
        <v>-2.3012605628738192E-2</v>
      </c>
    </row>
    <row r="1540" spans="1:12" x14ac:dyDescent="0.2">
      <c r="A1540" s="1">
        <v>41319</v>
      </c>
      <c r="B1540">
        <v>0</v>
      </c>
      <c r="C1540" t="s">
        <v>12</v>
      </c>
      <c r="D1540">
        <v>-2.1120000000000002E-3</v>
      </c>
      <c r="E1540">
        <f t="shared" ref="E1540:E1603" si="48">D1540+1</f>
        <v>0.997888</v>
      </c>
      <c r="F1540" s="1">
        <f t="shared" ref="F1540:F1603" si="49">A1540 - (WEEKDAY(A1540, 2) - 1)</f>
        <v>41316</v>
      </c>
      <c r="G1540" cm="1">
        <f t="array" ref="G1540">PRODUCT( _xlfn._xlws.FILTER($E:$E, ($C:$C=C1540)*($F:$F=F1540)) ) - 1</f>
        <v>-1.2717867026691754E-2</v>
      </c>
      <c r="J1540" t="str">
        <v>TRI</v>
      </c>
      <c r="K1540" s="1">
        <v>42534</v>
      </c>
      <c r="L1540">
        <v>-1.2899464030424523E-2</v>
      </c>
    </row>
    <row r="1541" spans="1:12" x14ac:dyDescent="0.2">
      <c r="A1541" s="1">
        <v>41320</v>
      </c>
      <c r="B1541">
        <v>0</v>
      </c>
      <c r="C1541" t="s">
        <v>12</v>
      </c>
      <c r="D1541">
        <v>-9.0700000000000004E-4</v>
      </c>
      <c r="E1541">
        <f t="shared" si="48"/>
        <v>0.99909300000000001</v>
      </c>
      <c r="F1541" s="1">
        <f t="shared" si="49"/>
        <v>41316</v>
      </c>
      <c r="G1541" cm="1">
        <f t="array" ref="G1541">PRODUCT( _xlfn._xlws.FILTER($E:$E, ($C:$C=C1541)*($F:$F=F1541)) ) - 1</f>
        <v>-1.2717867026691754E-2</v>
      </c>
      <c r="J1541" t="str">
        <v>TRI</v>
      </c>
      <c r="K1541" s="1">
        <v>42541</v>
      </c>
      <c r="L1541">
        <v>-1.4772365473884164E-2</v>
      </c>
    </row>
    <row r="1542" spans="1:12" x14ac:dyDescent="0.2">
      <c r="A1542" s="1">
        <v>41324</v>
      </c>
      <c r="B1542">
        <v>0</v>
      </c>
      <c r="C1542" t="s">
        <v>12</v>
      </c>
      <c r="D1542">
        <v>1.2106E-2</v>
      </c>
      <c r="E1542">
        <f t="shared" si="48"/>
        <v>1.012106</v>
      </c>
      <c r="F1542" s="1">
        <f t="shared" si="49"/>
        <v>41323</v>
      </c>
      <c r="G1542" cm="1">
        <f t="array" ref="G1542">PRODUCT( _xlfn._xlws.FILTER($E:$E, ($C:$C=C1542)*($F:$F=F1542)) ) - 1</f>
        <v>2.3304967233850782E-2</v>
      </c>
      <c r="J1542" t="str">
        <v>TRI</v>
      </c>
      <c r="K1542" s="1">
        <v>42548</v>
      </c>
      <c r="L1542">
        <v>4.8052867005237143E-3</v>
      </c>
    </row>
    <row r="1543" spans="1:12" x14ac:dyDescent="0.2">
      <c r="A1543" s="1">
        <v>41325</v>
      </c>
      <c r="B1543">
        <v>0</v>
      </c>
      <c r="C1543" t="s">
        <v>12</v>
      </c>
      <c r="D1543">
        <v>-1.794E-3</v>
      </c>
      <c r="E1543">
        <f t="shared" si="48"/>
        <v>0.99820600000000004</v>
      </c>
      <c r="F1543" s="1">
        <f t="shared" si="49"/>
        <v>41323</v>
      </c>
      <c r="G1543" cm="1">
        <f t="array" ref="G1543">PRODUCT( _xlfn._xlws.FILTER($E:$E, ($C:$C=C1543)*($F:$F=F1543)) ) - 1</f>
        <v>2.3304967233850782E-2</v>
      </c>
      <c r="J1543" t="str">
        <v>TRI</v>
      </c>
      <c r="K1543" s="1">
        <v>42555</v>
      </c>
      <c r="L1543">
        <v>1.9130441449607627E-2</v>
      </c>
    </row>
    <row r="1544" spans="1:12" x14ac:dyDescent="0.2">
      <c r="A1544" s="1">
        <v>41326</v>
      </c>
      <c r="B1544">
        <v>0</v>
      </c>
      <c r="C1544" t="s">
        <v>12</v>
      </c>
      <c r="D1544">
        <v>8.6879999999999995E-3</v>
      </c>
      <c r="E1544">
        <f t="shared" si="48"/>
        <v>1.008688</v>
      </c>
      <c r="F1544" s="1">
        <f t="shared" si="49"/>
        <v>41323</v>
      </c>
      <c r="G1544" cm="1">
        <f t="array" ref="G1544">PRODUCT( _xlfn._xlws.FILTER($E:$E, ($C:$C=C1544)*($F:$F=F1544)) ) - 1</f>
        <v>2.3304967233850782E-2</v>
      </c>
      <c r="J1544" t="str">
        <v>TRI</v>
      </c>
      <c r="K1544" s="1">
        <v>42562</v>
      </c>
      <c r="L1544">
        <v>4.1486133649539791E-2</v>
      </c>
    </row>
    <row r="1545" spans="1:12" x14ac:dyDescent="0.2">
      <c r="A1545" s="1">
        <v>41327</v>
      </c>
      <c r="B1545">
        <v>0</v>
      </c>
      <c r="C1545" t="s">
        <v>12</v>
      </c>
      <c r="D1545">
        <v>4.1580000000000002E-3</v>
      </c>
      <c r="E1545">
        <f t="shared" si="48"/>
        <v>1.0041580000000001</v>
      </c>
      <c r="F1545" s="1">
        <f t="shared" si="49"/>
        <v>41323</v>
      </c>
      <c r="G1545" cm="1">
        <f t="array" ref="G1545">PRODUCT( _xlfn._xlws.FILTER($E:$E, ($C:$C=C1545)*($F:$F=F1545)) ) - 1</f>
        <v>2.3304967233850782E-2</v>
      </c>
      <c r="J1545" t="str">
        <v>TRI</v>
      </c>
      <c r="K1545" s="1">
        <v>42569</v>
      </c>
      <c r="L1545">
        <v>2.9019526819662467E-2</v>
      </c>
    </row>
    <row r="1546" spans="1:12" x14ac:dyDescent="0.2">
      <c r="A1546" s="1">
        <v>41330</v>
      </c>
      <c r="B1546">
        <v>0</v>
      </c>
      <c r="C1546" t="s">
        <v>12</v>
      </c>
      <c r="D1546">
        <v>-1.0944000000000001E-2</v>
      </c>
      <c r="E1546">
        <f t="shared" si="48"/>
        <v>0.98905600000000005</v>
      </c>
      <c r="F1546" s="1">
        <f t="shared" si="49"/>
        <v>41330</v>
      </c>
      <c r="G1546" cm="1">
        <f t="array" ref="G1546">PRODUCT( _xlfn._xlws.FILTER($E:$E, ($C:$C=C1546)*($F:$F=F1546)) ) - 1</f>
        <v>-5.0278588450963779E-3</v>
      </c>
      <c r="J1546" t="str">
        <v>TRI</v>
      </c>
      <c r="K1546" s="1">
        <v>42576</v>
      </c>
      <c r="L1546">
        <v>-3.6432910723626422E-2</v>
      </c>
    </row>
    <row r="1547" spans="1:12" x14ac:dyDescent="0.2">
      <c r="A1547" s="1">
        <v>41331</v>
      </c>
      <c r="B1547">
        <v>0</v>
      </c>
      <c r="C1547" t="s">
        <v>12</v>
      </c>
      <c r="D1547">
        <v>-2.0929999999999998E-3</v>
      </c>
      <c r="E1547">
        <f t="shared" si="48"/>
        <v>0.99790699999999999</v>
      </c>
      <c r="F1547" s="1">
        <f t="shared" si="49"/>
        <v>41330</v>
      </c>
      <c r="G1547" cm="1">
        <f t="array" ref="G1547">PRODUCT( _xlfn._xlws.FILTER($E:$E, ($C:$C=C1547)*($F:$F=F1547)) ) - 1</f>
        <v>-5.0278588450963779E-3</v>
      </c>
      <c r="J1547" t="str">
        <v>TRI</v>
      </c>
      <c r="K1547" s="1">
        <v>42583</v>
      </c>
      <c r="L1547">
        <v>-1.2542721811092394E-2</v>
      </c>
    </row>
    <row r="1548" spans="1:12" x14ac:dyDescent="0.2">
      <c r="A1548" s="1">
        <v>41332</v>
      </c>
      <c r="B1548">
        <v>0</v>
      </c>
      <c r="C1548" t="s">
        <v>12</v>
      </c>
      <c r="D1548">
        <v>7.1919999999999996E-3</v>
      </c>
      <c r="E1548">
        <f t="shared" si="48"/>
        <v>1.0071920000000001</v>
      </c>
      <c r="F1548" s="1">
        <f t="shared" si="49"/>
        <v>41330</v>
      </c>
      <c r="G1548" cm="1">
        <f t="array" ref="G1548">PRODUCT( _xlfn._xlws.FILTER($E:$E, ($C:$C=C1548)*($F:$F=F1548)) ) - 1</f>
        <v>-5.0278588450963779E-3</v>
      </c>
      <c r="J1548" t="str">
        <v>TRI</v>
      </c>
      <c r="K1548" s="1">
        <v>42590</v>
      </c>
      <c r="L1548">
        <v>3.6819673846189005E-4</v>
      </c>
    </row>
    <row r="1549" spans="1:12" x14ac:dyDescent="0.2">
      <c r="A1549" s="1">
        <v>41333</v>
      </c>
      <c r="B1549">
        <v>0</v>
      </c>
      <c r="C1549" t="s">
        <v>12</v>
      </c>
      <c r="D1549">
        <v>1.488E-3</v>
      </c>
      <c r="E1549">
        <f t="shared" si="48"/>
        <v>1.0014879999999999</v>
      </c>
      <c r="F1549" s="1">
        <f t="shared" si="49"/>
        <v>41330</v>
      </c>
      <c r="G1549" cm="1">
        <f t="array" ref="G1549">PRODUCT( _xlfn._xlws.FILTER($E:$E, ($C:$C=C1549)*($F:$F=F1549)) ) - 1</f>
        <v>-5.0278588450963779E-3</v>
      </c>
      <c r="J1549" t="str">
        <v>TRI</v>
      </c>
      <c r="K1549" s="1">
        <v>42597</v>
      </c>
      <c r="L1549">
        <v>-7.5329487244950588E-3</v>
      </c>
    </row>
    <row r="1550" spans="1:12" x14ac:dyDescent="0.2">
      <c r="A1550" s="1">
        <v>41334</v>
      </c>
      <c r="B1550">
        <v>0</v>
      </c>
      <c r="C1550" t="s">
        <v>12</v>
      </c>
      <c r="D1550">
        <v>-5.9400000000000002E-4</v>
      </c>
      <c r="E1550">
        <f t="shared" si="48"/>
        <v>0.99940600000000002</v>
      </c>
      <c r="F1550" s="1">
        <f t="shared" si="49"/>
        <v>41330</v>
      </c>
      <c r="G1550" cm="1">
        <f t="array" ref="G1550">PRODUCT( _xlfn._xlws.FILTER($E:$E, ($C:$C=C1550)*($F:$F=F1550)) ) - 1</f>
        <v>-5.0278588450963779E-3</v>
      </c>
      <c r="J1550" t="str">
        <v>TRI</v>
      </c>
      <c r="K1550" s="1">
        <v>42604</v>
      </c>
      <c r="L1550">
        <v>7.8514429065599245E-3</v>
      </c>
    </row>
    <row r="1551" spans="1:12" x14ac:dyDescent="0.2">
      <c r="A1551" s="1">
        <v>41337</v>
      </c>
      <c r="B1551">
        <v>0</v>
      </c>
      <c r="C1551" t="s">
        <v>12</v>
      </c>
      <c r="D1551">
        <v>-1.7830000000000001E-3</v>
      </c>
      <c r="E1551">
        <f t="shared" si="48"/>
        <v>0.99821700000000002</v>
      </c>
      <c r="F1551" s="1">
        <f t="shared" si="49"/>
        <v>41337</v>
      </c>
      <c r="G1551" cm="1">
        <f t="array" ref="G1551">PRODUCT( _xlfn._xlws.FILTER($E:$E, ($C:$C=C1551)*($F:$F=F1551)) ) - 1</f>
        <v>2.6762819458638898E-3</v>
      </c>
      <c r="J1551" t="str">
        <v>TRI</v>
      </c>
      <c r="K1551" s="1">
        <v>42611</v>
      </c>
      <c r="L1551">
        <v>2.1146359960955818E-2</v>
      </c>
    </row>
    <row r="1552" spans="1:12" x14ac:dyDescent="0.2">
      <c r="A1552" s="1">
        <v>41338</v>
      </c>
      <c r="B1552">
        <v>0</v>
      </c>
      <c r="C1552" t="s">
        <v>12</v>
      </c>
      <c r="D1552">
        <v>1.4890000000000001E-3</v>
      </c>
      <c r="E1552">
        <f t="shared" si="48"/>
        <v>1.0014890000000001</v>
      </c>
      <c r="F1552" s="1">
        <f t="shared" si="49"/>
        <v>41337</v>
      </c>
      <c r="G1552" cm="1">
        <f t="array" ref="G1552">PRODUCT( _xlfn._xlws.FILTER($E:$E, ($C:$C=C1552)*($F:$F=F1552)) ) - 1</f>
        <v>2.6762819458638898E-3</v>
      </c>
      <c r="J1552" t="str">
        <v>TRI</v>
      </c>
      <c r="K1552" s="1">
        <v>42618</v>
      </c>
      <c r="L1552">
        <v>-3.6512651840433397E-2</v>
      </c>
    </row>
    <row r="1553" spans="1:12" x14ac:dyDescent="0.2">
      <c r="A1553" s="1">
        <v>41339</v>
      </c>
      <c r="B1553">
        <v>0</v>
      </c>
      <c r="C1553" t="s">
        <v>12</v>
      </c>
      <c r="D1553">
        <v>-5.947E-3</v>
      </c>
      <c r="E1553">
        <f t="shared" si="48"/>
        <v>0.99405299999999996</v>
      </c>
      <c r="F1553" s="1">
        <f t="shared" si="49"/>
        <v>41337</v>
      </c>
      <c r="G1553" cm="1">
        <f t="array" ref="G1553">PRODUCT( _xlfn._xlws.FILTER($E:$E, ($C:$C=C1553)*($F:$F=F1553)) ) - 1</f>
        <v>2.6762819458638898E-3</v>
      </c>
      <c r="J1553" t="str">
        <v>TRI</v>
      </c>
      <c r="K1553" s="1">
        <v>42625</v>
      </c>
      <c r="L1553">
        <v>3.2994189274554442E-2</v>
      </c>
    </row>
    <row r="1554" spans="1:12" x14ac:dyDescent="0.2">
      <c r="A1554" s="1">
        <v>41340</v>
      </c>
      <c r="B1554">
        <v>0</v>
      </c>
      <c r="C1554" t="s">
        <v>12</v>
      </c>
      <c r="D1554">
        <v>8.0770000000000008E-3</v>
      </c>
      <c r="E1554">
        <f t="shared" si="48"/>
        <v>1.0080770000000001</v>
      </c>
      <c r="F1554" s="1">
        <f t="shared" si="49"/>
        <v>41337</v>
      </c>
      <c r="G1554" cm="1">
        <f t="array" ref="G1554">PRODUCT( _xlfn._xlws.FILTER($E:$E, ($C:$C=C1554)*($F:$F=F1554)) ) - 1</f>
        <v>2.6762819458638898E-3</v>
      </c>
      <c r="J1554" t="str">
        <v>TRI</v>
      </c>
      <c r="K1554" s="1">
        <v>42632</v>
      </c>
      <c r="L1554">
        <v>-5.6577039658382011E-3</v>
      </c>
    </row>
    <row r="1555" spans="1:12" x14ac:dyDescent="0.2">
      <c r="A1555" s="1">
        <v>41341</v>
      </c>
      <c r="B1555">
        <v>0</v>
      </c>
      <c r="C1555" t="s">
        <v>12</v>
      </c>
      <c r="D1555">
        <v>8.8999999999999995E-4</v>
      </c>
      <c r="E1555">
        <f t="shared" si="48"/>
        <v>1.0008900000000001</v>
      </c>
      <c r="F1555" s="1">
        <f t="shared" si="49"/>
        <v>41337</v>
      </c>
      <c r="G1555" cm="1">
        <f t="array" ref="G1555">PRODUCT( _xlfn._xlws.FILTER($E:$E, ($C:$C=C1555)*($F:$F=F1555)) ) - 1</f>
        <v>2.6762819458638898E-3</v>
      </c>
      <c r="J1555" t="str">
        <v>TRI</v>
      </c>
      <c r="K1555" s="1">
        <v>42639</v>
      </c>
      <c r="L1555">
        <v>-4.2211991357681278E-3</v>
      </c>
    </row>
    <row r="1556" spans="1:12" x14ac:dyDescent="0.2">
      <c r="A1556" s="1">
        <v>41344</v>
      </c>
      <c r="B1556">
        <v>0</v>
      </c>
      <c r="C1556" t="s">
        <v>12</v>
      </c>
      <c r="D1556">
        <v>4.744E-3</v>
      </c>
      <c r="E1556">
        <f t="shared" si="48"/>
        <v>1.0047440000000001</v>
      </c>
      <c r="F1556" s="1">
        <f t="shared" si="49"/>
        <v>41344</v>
      </c>
      <c r="G1556" cm="1">
        <f t="array" ref="G1556">PRODUCT( _xlfn._xlws.FILTER($E:$E, ($C:$C=C1556)*($F:$F=F1556)) ) - 1</f>
        <v>-1.1266549440128615E-2</v>
      </c>
      <c r="J1556" t="str">
        <v>TRI</v>
      </c>
      <c r="K1556" s="1">
        <v>42646</v>
      </c>
      <c r="L1556">
        <v>-8.1098888809461034E-3</v>
      </c>
    </row>
    <row r="1557" spans="1:12" x14ac:dyDescent="0.2">
      <c r="A1557" s="1">
        <v>41345</v>
      </c>
      <c r="B1557">
        <v>0</v>
      </c>
      <c r="C1557" t="s">
        <v>12</v>
      </c>
      <c r="D1557">
        <v>1.475E-3</v>
      </c>
      <c r="E1557">
        <f t="shared" si="48"/>
        <v>1.0014749999999999</v>
      </c>
      <c r="F1557" s="1">
        <f t="shared" si="49"/>
        <v>41344</v>
      </c>
      <c r="G1557" cm="1">
        <f t="array" ref="G1557">PRODUCT( _xlfn._xlws.FILTER($E:$E, ($C:$C=C1557)*($F:$F=F1557)) ) - 1</f>
        <v>-1.1266549440128615E-2</v>
      </c>
      <c r="J1557" t="str">
        <v>TRI</v>
      </c>
      <c r="K1557" s="1">
        <v>42653</v>
      </c>
      <c r="L1557">
        <v>-2.7875748524642807E-2</v>
      </c>
    </row>
    <row r="1558" spans="1:12" x14ac:dyDescent="0.2">
      <c r="A1558" s="1">
        <v>41346</v>
      </c>
      <c r="B1558">
        <v>0</v>
      </c>
      <c r="C1558" t="s">
        <v>12</v>
      </c>
      <c r="D1558">
        <v>-7.3660000000000002E-3</v>
      </c>
      <c r="E1558">
        <f t="shared" si="48"/>
        <v>0.99263400000000002</v>
      </c>
      <c r="F1558" s="1">
        <f t="shared" si="49"/>
        <v>41344</v>
      </c>
      <c r="G1558" cm="1">
        <f t="array" ref="G1558">PRODUCT( _xlfn._xlws.FILTER($E:$E, ($C:$C=C1558)*($F:$F=F1558)) ) - 1</f>
        <v>-1.1266549440128615E-2</v>
      </c>
      <c r="J1558" t="str">
        <v>TRI</v>
      </c>
      <c r="K1558" s="1">
        <v>42660</v>
      </c>
      <c r="L1558">
        <v>1.2617572179212111E-2</v>
      </c>
    </row>
    <row r="1559" spans="1:12" x14ac:dyDescent="0.2">
      <c r="A1559" s="1">
        <v>41347</v>
      </c>
      <c r="B1559">
        <v>0</v>
      </c>
      <c r="C1559" t="s">
        <v>12</v>
      </c>
      <c r="D1559">
        <v>-3.5620000000000001E-3</v>
      </c>
      <c r="E1559">
        <f t="shared" si="48"/>
        <v>0.99643800000000005</v>
      </c>
      <c r="F1559" s="1">
        <f t="shared" si="49"/>
        <v>41344</v>
      </c>
      <c r="G1559" cm="1">
        <f t="array" ref="G1559">PRODUCT( _xlfn._xlws.FILTER($E:$E, ($C:$C=C1559)*($F:$F=F1559)) ) - 1</f>
        <v>-1.1266549440128615E-2</v>
      </c>
      <c r="J1559" t="str">
        <v>TRI</v>
      </c>
      <c r="K1559" s="1">
        <v>42667</v>
      </c>
      <c r="L1559">
        <v>-1.5111485886105669E-3</v>
      </c>
    </row>
    <row r="1560" spans="1:12" x14ac:dyDescent="0.2">
      <c r="A1560" s="1">
        <v>41348</v>
      </c>
      <c r="B1560">
        <v>0</v>
      </c>
      <c r="C1560" t="s">
        <v>12</v>
      </c>
      <c r="D1560">
        <v>-6.5539999999999999E-3</v>
      </c>
      <c r="E1560">
        <f t="shared" si="48"/>
        <v>0.99344600000000005</v>
      </c>
      <c r="F1560" s="1">
        <f t="shared" si="49"/>
        <v>41344</v>
      </c>
      <c r="G1560" cm="1">
        <f t="array" ref="G1560">PRODUCT( _xlfn._xlws.FILTER($E:$E, ($C:$C=C1560)*($F:$F=F1560)) ) - 1</f>
        <v>-1.1266549440128615E-2</v>
      </c>
      <c r="J1560" t="str">
        <v>TRI</v>
      </c>
      <c r="K1560" s="1">
        <v>42674</v>
      </c>
      <c r="L1560">
        <v>3.6112208361177123E-2</v>
      </c>
    </row>
    <row r="1561" spans="1:12" x14ac:dyDescent="0.2">
      <c r="A1561" s="1">
        <v>41351</v>
      </c>
      <c r="B1561">
        <v>0</v>
      </c>
      <c r="C1561" t="s">
        <v>12</v>
      </c>
      <c r="D1561">
        <v>-2.3990000000000001E-3</v>
      </c>
      <c r="E1561">
        <f t="shared" si="48"/>
        <v>0.99760099999999996</v>
      </c>
      <c r="F1561" s="1">
        <f t="shared" si="49"/>
        <v>41351</v>
      </c>
      <c r="G1561" cm="1">
        <f t="array" ref="G1561">PRODUCT( _xlfn._xlws.FILTER($E:$E, ($C:$C=C1561)*($F:$F=F1561)) ) - 1</f>
        <v>1.0493725352853867E-2</v>
      </c>
      <c r="J1561" t="str">
        <v>TRI</v>
      </c>
      <c r="K1561" s="1">
        <v>42681</v>
      </c>
      <c r="L1561">
        <v>2.4635467518449694E-2</v>
      </c>
    </row>
    <row r="1562" spans="1:12" x14ac:dyDescent="0.2">
      <c r="A1562" s="1">
        <v>41352</v>
      </c>
      <c r="B1562">
        <v>0</v>
      </c>
      <c r="C1562" t="s">
        <v>12</v>
      </c>
      <c r="D1562">
        <v>2.4039999999999999E-3</v>
      </c>
      <c r="E1562">
        <f t="shared" si="48"/>
        <v>1.0024040000000001</v>
      </c>
      <c r="F1562" s="1">
        <f t="shared" si="49"/>
        <v>41351</v>
      </c>
      <c r="G1562" cm="1">
        <f t="array" ref="G1562">PRODUCT( _xlfn._xlws.FILTER($E:$E, ($C:$C=C1562)*($F:$F=F1562)) ) - 1</f>
        <v>1.0493725352853867E-2</v>
      </c>
      <c r="J1562" t="str">
        <v>TRI</v>
      </c>
      <c r="K1562" s="1">
        <v>42688</v>
      </c>
      <c r="L1562">
        <v>2.2910502952579126E-2</v>
      </c>
    </row>
    <row r="1563" spans="1:12" x14ac:dyDescent="0.2">
      <c r="A1563" s="1">
        <v>41353</v>
      </c>
      <c r="B1563">
        <v>0</v>
      </c>
      <c r="C1563" t="s">
        <v>12</v>
      </c>
      <c r="D1563">
        <v>5.6969999999999998E-3</v>
      </c>
      <c r="E1563">
        <f t="shared" si="48"/>
        <v>1.0056970000000001</v>
      </c>
      <c r="F1563" s="1">
        <f t="shared" si="49"/>
        <v>41351</v>
      </c>
      <c r="G1563" cm="1">
        <f t="array" ref="G1563">PRODUCT( _xlfn._xlws.FILTER($E:$E, ($C:$C=C1563)*($F:$F=F1563)) ) - 1</f>
        <v>1.0493725352853867E-2</v>
      </c>
      <c r="J1563" t="str">
        <v>TRI</v>
      </c>
      <c r="K1563" s="1">
        <v>42695</v>
      </c>
      <c r="L1563">
        <v>1.8957764024270629E-2</v>
      </c>
    </row>
    <row r="1564" spans="1:12" x14ac:dyDescent="0.2">
      <c r="A1564" s="1">
        <v>41354</v>
      </c>
      <c r="B1564">
        <v>0</v>
      </c>
      <c r="C1564" t="s">
        <v>12</v>
      </c>
      <c r="D1564">
        <v>1.789E-3</v>
      </c>
      <c r="E1564">
        <f t="shared" si="48"/>
        <v>1.001789</v>
      </c>
      <c r="F1564" s="1">
        <f t="shared" si="49"/>
        <v>41351</v>
      </c>
      <c r="G1564" cm="1">
        <f t="array" ref="G1564">PRODUCT( _xlfn._xlws.FILTER($E:$E, ($C:$C=C1564)*($F:$F=F1564)) ) - 1</f>
        <v>1.0493725352853867E-2</v>
      </c>
      <c r="J1564" t="str">
        <v>TRI</v>
      </c>
      <c r="K1564" s="1">
        <v>42702</v>
      </c>
      <c r="L1564">
        <v>-8.9576429621506248E-3</v>
      </c>
    </row>
    <row r="1565" spans="1:12" x14ac:dyDescent="0.2">
      <c r="A1565" s="1">
        <v>41355</v>
      </c>
      <c r="B1565">
        <v>0</v>
      </c>
      <c r="C1565" t="s">
        <v>12</v>
      </c>
      <c r="D1565">
        <v>2.9759999999999999E-3</v>
      </c>
      <c r="E1565">
        <f t="shared" si="48"/>
        <v>1.0029760000000001</v>
      </c>
      <c r="F1565" s="1">
        <f t="shared" si="49"/>
        <v>41351</v>
      </c>
      <c r="G1565" cm="1">
        <f t="array" ref="G1565">PRODUCT( _xlfn._xlws.FILTER($E:$E, ($C:$C=C1565)*($F:$F=F1565)) ) - 1</f>
        <v>1.0493725352853867E-2</v>
      </c>
      <c r="J1565" t="str">
        <v>TRI</v>
      </c>
      <c r="K1565" s="1">
        <v>42709</v>
      </c>
      <c r="L1565">
        <v>2.5552117273282215E-2</v>
      </c>
    </row>
    <row r="1566" spans="1:12" x14ac:dyDescent="0.2">
      <c r="A1566" s="1">
        <v>41358</v>
      </c>
      <c r="B1566">
        <v>0</v>
      </c>
      <c r="C1566" t="s">
        <v>12</v>
      </c>
      <c r="D1566">
        <v>-2.3739999999999998E-3</v>
      </c>
      <c r="E1566">
        <f t="shared" si="48"/>
        <v>0.99762600000000001</v>
      </c>
      <c r="F1566" s="1">
        <f t="shared" si="49"/>
        <v>41358</v>
      </c>
      <c r="G1566" cm="1">
        <f t="array" ref="G1566">PRODUCT( _xlfn._xlws.FILTER($E:$E, ($C:$C=C1566)*($F:$F=F1566)) ) - 1</f>
        <v>1.335314280065969E-2</v>
      </c>
      <c r="J1566" t="str">
        <v>TRI</v>
      </c>
      <c r="K1566" s="1">
        <v>42716</v>
      </c>
      <c r="L1566">
        <v>2.8810085731199031E-3</v>
      </c>
    </row>
    <row r="1567" spans="1:12" x14ac:dyDescent="0.2">
      <c r="A1567" s="1">
        <v>41359</v>
      </c>
      <c r="B1567">
        <v>0</v>
      </c>
      <c r="C1567" t="s">
        <v>12</v>
      </c>
      <c r="D1567">
        <v>3.8670000000000002E-3</v>
      </c>
      <c r="E1567">
        <f t="shared" si="48"/>
        <v>1.0038670000000001</v>
      </c>
      <c r="F1567" s="1">
        <f t="shared" si="49"/>
        <v>41358</v>
      </c>
      <c r="G1567" cm="1">
        <f t="array" ref="G1567">PRODUCT( _xlfn._xlws.FILTER($E:$E, ($C:$C=C1567)*($F:$F=F1567)) ) - 1</f>
        <v>1.335314280065969E-2</v>
      </c>
      <c r="J1567" t="str">
        <v>TRI</v>
      </c>
      <c r="K1567" s="1">
        <v>42723</v>
      </c>
      <c r="L1567">
        <v>4.7320653891078646E-3</v>
      </c>
    </row>
    <row r="1568" spans="1:12" x14ac:dyDescent="0.2">
      <c r="A1568" s="1">
        <v>41360</v>
      </c>
      <c r="B1568">
        <v>0</v>
      </c>
      <c r="C1568" t="s">
        <v>12</v>
      </c>
      <c r="D1568">
        <v>8.8900000000000003E-4</v>
      </c>
      <c r="E1568">
        <f t="shared" si="48"/>
        <v>1.0008889999999999</v>
      </c>
      <c r="F1568" s="1">
        <f t="shared" si="49"/>
        <v>41358</v>
      </c>
      <c r="G1568" cm="1">
        <f t="array" ref="G1568">PRODUCT( _xlfn._xlws.FILTER($E:$E, ($C:$C=C1568)*($F:$F=F1568)) ) - 1</f>
        <v>1.335314280065969E-2</v>
      </c>
      <c r="J1568" t="str">
        <v>TRI</v>
      </c>
      <c r="K1568" s="1">
        <v>42730</v>
      </c>
      <c r="L1568">
        <v>-1.1607050467077773E-2</v>
      </c>
    </row>
    <row r="1569" spans="1:7" x14ac:dyDescent="0.2">
      <c r="A1569" s="1">
        <v>41361</v>
      </c>
      <c r="B1569">
        <v>0</v>
      </c>
      <c r="C1569" t="s">
        <v>12</v>
      </c>
      <c r="D1569">
        <v>1.0952999999999999E-2</v>
      </c>
      <c r="E1569">
        <f t="shared" si="48"/>
        <v>1.010953</v>
      </c>
      <c r="F1569" s="1">
        <f t="shared" si="49"/>
        <v>41358</v>
      </c>
      <c r="G1569" cm="1">
        <f t="array" ref="G1569">PRODUCT( _xlfn._xlws.FILTER($E:$E, ($C:$C=C1569)*($F:$F=F1569)) ) - 1</f>
        <v>1.335314280065969E-2</v>
      </c>
    </row>
    <row r="1570" spans="1:7" x14ac:dyDescent="0.2">
      <c r="A1570" s="1">
        <v>41365</v>
      </c>
      <c r="B1570">
        <v>0</v>
      </c>
      <c r="C1570" t="s">
        <v>12</v>
      </c>
      <c r="D1570">
        <v>-6.149E-3</v>
      </c>
      <c r="E1570">
        <f t="shared" si="48"/>
        <v>0.99385100000000004</v>
      </c>
      <c r="F1570" s="1">
        <f t="shared" si="49"/>
        <v>41365</v>
      </c>
      <c r="G1570" cm="1">
        <f t="array" ref="G1570">PRODUCT( _xlfn._xlws.FILTER($E:$E, ($C:$C=C1570)*($F:$F=F1570)) ) - 1</f>
        <v>-1.1418663669110374E-2</v>
      </c>
    </row>
    <row r="1571" spans="1:7" x14ac:dyDescent="0.2">
      <c r="A1571" s="1">
        <v>41366</v>
      </c>
      <c r="B1571">
        <v>0</v>
      </c>
      <c r="C1571" t="s">
        <v>12</v>
      </c>
      <c r="D1571">
        <v>5.3039999999999997E-3</v>
      </c>
      <c r="E1571">
        <f t="shared" si="48"/>
        <v>1.005304</v>
      </c>
      <c r="F1571" s="1">
        <f t="shared" si="49"/>
        <v>41365</v>
      </c>
      <c r="G1571" cm="1">
        <f t="array" ref="G1571">PRODUCT( _xlfn._xlws.FILTER($E:$E, ($C:$C=C1571)*($F:$F=F1571)) ) - 1</f>
        <v>-1.1418663669110374E-2</v>
      </c>
    </row>
    <row r="1572" spans="1:7" x14ac:dyDescent="0.2">
      <c r="A1572" s="1">
        <v>41367</v>
      </c>
      <c r="B1572">
        <v>0</v>
      </c>
      <c r="C1572" t="s">
        <v>12</v>
      </c>
      <c r="D1572">
        <v>-1.758E-3</v>
      </c>
      <c r="E1572">
        <f t="shared" si="48"/>
        <v>0.99824199999999996</v>
      </c>
      <c r="F1572" s="1">
        <f t="shared" si="49"/>
        <v>41365</v>
      </c>
      <c r="G1572" cm="1">
        <f t="array" ref="G1572">PRODUCT( _xlfn._xlws.FILTER($E:$E, ($C:$C=C1572)*($F:$F=F1572)) ) - 1</f>
        <v>-1.1418663669110374E-2</v>
      </c>
    </row>
    <row r="1573" spans="1:7" x14ac:dyDescent="0.2">
      <c r="A1573" s="1">
        <v>41368</v>
      </c>
      <c r="B1573">
        <v>0</v>
      </c>
      <c r="C1573" t="s">
        <v>12</v>
      </c>
      <c r="D1573">
        <v>-2.349E-3</v>
      </c>
      <c r="E1573">
        <f t="shared" si="48"/>
        <v>0.99765099999999995</v>
      </c>
      <c r="F1573" s="1">
        <f t="shared" si="49"/>
        <v>41365</v>
      </c>
      <c r="G1573" cm="1">
        <f t="array" ref="G1573">PRODUCT( _xlfn._xlws.FILTER($E:$E, ($C:$C=C1573)*($F:$F=F1573)) ) - 1</f>
        <v>-1.1418663669110374E-2</v>
      </c>
    </row>
    <row r="1574" spans="1:7" x14ac:dyDescent="0.2">
      <c r="A1574" s="1">
        <v>41369</v>
      </c>
      <c r="B1574">
        <v>0</v>
      </c>
      <c r="C1574" t="s">
        <v>12</v>
      </c>
      <c r="D1574">
        <v>-6.4739999999999997E-3</v>
      </c>
      <c r="E1574">
        <f t="shared" si="48"/>
        <v>0.99352600000000002</v>
      </c>
      <c r="F1574" s="1">
        <f t="shared" si="49"/>
        <v>41365</v>
      </c>
      <c r="G1574" cm="1">
        <f t="array" ref="G1574">PRODUCT( _xlfn._xlws.FILTER($E:$E, ($C:$C=C1574)*($F:$F=F1574)) ) - 1</f>
        <v>-1.1418663669110374E-2</v>
      </c>
    </row>
    <row r="1575" spans="1:7" x14ac:dyDescent="0.2">
      <c r="A1575" s="1">
        <v>41372</v>
      </c>
      <c r="B1575">
        <v>0</v>
      </c>
      <c r="C1575" t="s">
        <v>12</v>
      </c>
      <c r="D1575">
        <v>3.555E-3</v>
      </c>
      <c r="E1575">
        <f t="shared" si="48"/>
        <v>1.003555</v>
      </c>
      <c r="F1575" s="1">
        <f t="shared" si="49"/>
        <v>41372</v>
      </c>
      <c r="G1575" cm="1">
        <f t="array" ref="G1575">PRODUCT( _xlfn._xlws.FILTER($E:$E, ($C:$C=C1575)*($F:$F=F1575)) ) - 1</f>
        <v>-1.1844232062250271E-3</v>
      </c>
    </row>
    <row r="1576" spans="1:7" x14ac:dyDescent="0.2">
      <c r="A1576" s="1">
        <v>41373</v>
      </c>
      <c r="B1576">
        <v>0</v>
      </c>
      <c r="C1576" t="s">
        <v>12</v>
      </c>
      <c r="D1576">
        <v>2.0660000000000001E-3</v>
      </c>
      <c r="E1576">
        <f t="shared" si="48"/>
        <v>1.0020659999999999</v>
      </c>
      <c r="F1576" s="1">
        <f t="shared" si="49"/>
        <v>41372</v>
      </c>
      <c r="G1576" cm="1">
        <f t="array" ref="G1576">PRODUCT( _xlfn._xlws.FILTER($E:$E, ($C:$C=C1576)*($F:$F=F1576)) ) - 1</f>
        <v>-1.1844232062250271E-3</v>
      </c>
    </row>
    <row r="1577" spans="1:7" x14ac:dyDescent="0.2">
      <c r="A1577" s="1">
        <v>41374</v>
      </c>
      <c r="B1577">
        <v>0</v>
      </c>
      <c r="C1577" t="s">
        <v>12</v>
      </c>
      <c r="D1577">
        <v>1.4729999999999999E-3</v>
      </c>
      <c r="E1577">
        <f t="shared" si="48"/>
        <v>1.0014730000000001</v>
      </c>
      <c r="F1577" s="1">
        <f t="shared" si="49"/>
        <v>41372</v>
      </c>
      <c r="G1577" cm="1">
        <f t="array" ref="G1577">PRODUCT( _xlfn._xlws.FILTER($E:$E, ($C:$C=C1577)*($F:$F=F1577)) ) - 1</f>
        <v>-1.1844232062250271E-3</v>
      </c>
    </row>
    <row r="1578" spans="1:7" x14ac:dyDescent="0.2">
      <c r="A1578" s="1">
        <v>41375</v>
      </c>
      <c r="B1578">
        <v>0</v>
      </c>
      <c r="C1578" t="s">
        <v>12</v>
      </c>
      <c r="D1578">
        <v>2.9399999999999999E-4</v>
      </c>
      <c r="E1578">
        <f t="shared" si="48"/>
        <v>1.000294</v>
      </c>
      <c r="F1578" s="1">
        <f t="shared" si="49"/>
        <v>41372</v>
      </c>
      <c r="G1578" cm="1">
        <f t="array" ref="G1578">PRODUCT( _xlfn._xlws.FILTER($E:$E, ($C:$C=C1578)*($F:$F=F1578)) ) - 1</f>
        <v>-1.1844232062250271E-3</v>
      </c>
    </row>
    <row r="1579" spans="1:7" x14ac:dyDescent="0.2">
      <c r="A1579" s="1">
        <v>41376</v>
      </c>
      <c r="B1579">
        <v>0</v>
      </c>
      <c r="C1579" t="s">
        <v>12</v>
      </c>
      <c r="D1579">
        <v>-8.5269999999999999E-3</v>
      </c>
      <c r="E1579">
        <f t="shared" si="48"/>
        <v>0.99147300000000005</v>
      </c>
      <c r="F1579" s="1">
        <f t="shared" si="49"/>
        <v>41372</v>
      </c>
      <c r="G1579" cm="1">
        <f t="array" ref="G1579">PRODUCT( _xlfn._xlws.FILTER($E:$E, ($C:$C=C1579)*($F:$F=F1579)) ) - 1</f>
        <v>-1.1844232062250271E-3</v>
      </c>
    </row>
    <row r="1580" spans="1:7" x14ac:dyDescent="0.2">
      <c r="A1580" s="1">
        <v>41379</v>
      </c>
      <c r="B1580">
        <v>0</v>
      </c>
      <c r="C1580" t="s">
        <v>12</v>
      </c>
      <c r="D1580">
        <v>-1.5717999999999999E-2</v>
      </c>
      <c r="E1580">
        <f t="shared" si="48"/>
        <v>0.98428199999999999</v>
      </c>
      <c r="F1580" s="1">
        <f t="shared" si="49"/>
        <v>41379</v>
      </c>
      <c r="G1580" cm="1">
        <f t="array" ref="G1580">PRODUCT( _xlfn._xlws.FILTER($E:$E, ($C:$C=C1580)*($F:$F=F1580)) ) - 1</f>
        <v>-3.2616507725877764E-3</v>
      </c>
    </row>
    <row r="1581" spans="1:7" x14ac:dyDescent="0.2">
      <c r="A1581" s="1">
        <v>41380</v>
      </c>
      <c r="B1581">
        <v>0</v>
      </c>
      <c r="C1581" t="s">
        <v>12</v>
      </c>
      <c r="D1581">
        <v>1.3257E-2</v>
      </c>
      <c r="E1581">
        <f t="shared" si="48"/>
        <v>1.0132570000000001</v>
      </c>
      <c r="F1581" s="1">
        <f t="shared" si="49"/>
        <v>41379</v>
      </c>
      <c r="G1581" cm="1">
        <f t="array" ref="G1581">PRODUCT( _xlfn._xlws.FILTER($E:$E, ($C:$C=C1581)*($F:$F=F1581)) ) - 1</f>
        <v>-3.2616507725877764E-3</v>
      </c>
    </row>
    <row r="1582" spans="1:7" x14ac:dyDescent="0.2">
      <c r="A1582" s="1">
        <v>41381</v>
      </c>
      <c r="B1582">
        <v>0</v>
      </c>
      <c r="C1582" t="s">
        <v>12</v>
      </c>
      <c r="D1582">
        <v>-1.0407E-2</v>
      </c>
      <c r="E1582">
        <f t="shared" si="48"/>
        <v>0.98959299999999994</v>
      </c>
      <c r="F1582" s="1">
        <f t="shared" si="49"/>
        <v>41379</v>
      </c>
      <c r="G1582" cm="1">
        <f t="array" ref="G1582">PRODUCT( _xlfn._xlws.FILTER($E:$E, ($C:$C=C1582)*($F:$F=F1582)) ) - 1</f>
        <v>-3.2616507725877764E-3</v>
      </c>
    </row>
    <row r="1583" spans="1:7" x14ac:dyDescent="0.2">
      <c r="A1583" s="1">
        <v>41382</v>
      </c>
      <c r="B1583">
        <v>0</v>
      </c>
      <c r="C1583" t="s">
        <v>12</v>
      </c>
      <c r="D1583">
        <v>6.0099999999999997E-3</v>
      </c>
      <c r="E1583">
        <f t="shared" si="48"/>
        <v>1.0060100000000001</v>
      </c>
      <c r="F1583" s="1">
        <f t="shared" si="49"/>
        <v>41379</v>
      </c>
      <c r="G1583" cm="1">
        <f t="array" ref="G1583">PRODUCT( _xlfn._xlws.FILTER($E:$E, ($C:$C=C1583)*($F:$F=F1583)) ) - 1</f>
        <v>-3.2616507725877764E-3</v>
      </c>
    </row>
    <row r="1584" spans="1:7" x14ac:dyDescent="0.2">
      <c r="A1584" s="1">
        <v>41383</v>
      </c>
      <c r="B1584">
        <v>0</v>
      </c>
      <c r="C1584" t="s">
        <v>12</v>
      </c>
      <c r="D1584">
        <v>3.8830000000000002E-3</v>
      </c>
      <c r="E1584">
        <f t="shared" si="48"/>
        <v>1.0038830000000001</v>
      </c>
      <c r="F1584" s="1">
        <f t="shared" si="49"/>
        <v>41379</v>
      </c>
      <c r="G1584" cm="1">
        <f t="array" ref="G1584">PRODUCT( _xlfn._xlws.FILTER($E:$E, ($C:$C=C1584)*($F:$F=F1584)) ) - 1</f>
        <v>-3.2616507725877764E-3</v>
      </c>
    </row>
    <row r="1585" spans="1:7" x14ac:dyDescent="0.2">
      <c r="A1585" s="1">
        <v>41386</v>
      </c>
      <c r="B1585">
        <v>0</v>
      </c>
      <c r="C1585" t="s">
        <v>12</v>
      </c>
      <c r="D1585">
        <v>3.5699999999999998E-3</v>
      </c>
      <c r="E1585">
        <f t="shared" si="48"/>
        <v>1.0035700000000001</v>
      </c>
      <c r="F1585" s="1">
        <f t="shared" si="49"/>
        <v>41386</v>
      </c>
      <c r="G1585" cm="1">
        <f t="array" ref="G1585">PRODUCT( _xlfn._xlws.FILTER($E:$E, ($C:$C=C1585)*($F:$F=F1585)) ) - 1</f>
        <v>2.2313987248431699E-2</v>
      </c>
    </row>
    <row r="1586" spans="1:7" x14ac:dyDescent="0.2">
      <c r="A1586" s="1">
        <v>41387</v>
      </c>
      <c r="B1586">
        <v>0</v>
      </c>
      <c r="C1586" t="s">
        <v>12</v>
      </c>
      <c r="D1586">
        <v>2.075E-3</v>
      </c>
      <c r="E1586">
        <f t="shared" si="48"/>
        <v>1.002075</v>
      </c>
      <c r="F1586" s="1">
        <f t="shared" si="49"/>
        <v>41386</v>
      </c>
      <c r="G1586" cm="1">
        <f t="array" ref="G1586">PRODUCT( _xlfn._xlws.FILTER($E:$E, ($C:$C=C1586)*($F:$F=F1586)) ) - 1</f>
        <v>2.2313987248431699E-2</v>
      </c>
    </row>
    <row r="1587" spans="1:7" x14ac:dyDescent="0.2">
      <c r="A1587" s="1">
        <v>41388</v>
      </c>
      <c r="B1587">
        <v>0</v>
      </c>
      <c r="C1587" t="s">
        <v>12</v>
      </c>
      <c r="D1587">
        <v>8.8760000000000002E-3</v>
      </c>
      <c r="E1587">
        <f t="shared" si="48"/>
        <v>1.0088760000000001</v>
      </c>
      <c r="F1587" s="1">
        <f t="shared" si="49"/>
        <v>41386</v>
      </c>
      <c r="G1587" cm="1">
        <f t="array" ref="G1587">PRODUCT( _xlfn._xlws.FILTER($E:$E, ($C:$C=C1587)*($F:$F=F1587)) ) - 1</f>
        <v>2.2313987248431699E-2</v>
      </c>
    </row>
    <row r="1588" spans="1:7" x14ac:dyDescent="0.2">
      <c r="A1588" s="1">
        <v>41389</v>
      </c>
      <c r="B1588">
        <v>0</v>
      </c>
      <c r="C1588" t="s">
        <v>12</v>
      </c>
      <c r="D1588">
        <v>5.8650000000000004E-3</v>
      </c>
      <c r="E1588">
        <f t="shared" si="48"/>
        <v>1.005865</v>
      </c>
      <c r="F1588" s="1">
        <f t="shared" si="49"/>
        <v>41386</v>
      </c>
      <c r="G1588" cm="1">
        <f t="array" ref="G1588">PRODUCT( _xlfn._xlws.FILTER($E:$E, ($C:$C=C1588)*($F:$F=F1588)) ) - 1</f>
        <v>2.2313987248431699E-2</v>
      </c>
    </row>
    <row r="1589" spans="1:7" x14ac:dyDescent="0.2">
      <c r="A1589" s="1">
        <v>41390</v>
      </c>
      <c r="B1589">
        <v>0</v>
      </c>
      <c r="C1589" t="s">
        <v>12</v>
      </c>
      <c r="D1589">
        <v>1.7489999999999999E-3</v>
      </c>
      <c r="E1589">
        <f t="shared" si="48"/>
        <v>1.001749</v>
      </c>
      <c r="F1589" s="1">
        <f t="shared" si="49"/>
        <v>41386</v>
      </c>
      <c r="G1589" cm="1">
        <f t="array" ref="G1589">PRODUCT( _xlfn._xlws.FILTER($E:$E, ($C:$C=C1589)*($F:$F=F1589)) ) - 1</f>
        <v>2.2313987248431699E-2</v>
      </c>
    </row>
    <row r="1590" spans="1:7" x14ac:dyDescent="0.2">
      <c r="A1590" s="1">
        <v>41393</v>
      </c>
      <c r="B1590">
        <v>0</v>
      </c>
      <c r="C1590" t="s">
        <v>12</v>
      </c>
      <c r="D1590">
        <v>8.7299999999999997E-4</v>
      </c>
      <c r="E1590">
        <f t="shared" si="48"/>
        <v>1.0008729999999999</v>
      </c>
      <c r="F1590" s="1">
        <f t="shared" si="49"/>
        <v>41393</v>
      </c>
      <c r="G1590" cm="1">
        <f t="array" ref="G1590">PRODUCT( _xlfn._xlws.FILTER($E:$E, ($C:$C=C1590)*($F:$F=F1590)) ) - 1</f>
        <v>1.5133839884427625E-2</v>
      </c>
    </row>
    <row r="1591" spans="1:7" x14ac:dyDescent="0.2">
      <c r="A1591" s="1">
        <v>41394</v>
      </c>
      <c r="B1591">
        <v>0</v>
      </c>
      <c r="C1591" t="s">
        <v>12</v>
      </c>
      <c r="D1591">
        <v>1.6284E-2</v>
      </c>
      <c r="E1591">
        <f t="shared" si="48"/>
        <v>1.016284</v>
      </c>
      <c r="F1591" s="1">
        <f t="shared" si="49"/>
        <v>41393</v>
      </c>
      <c r="G1591" cm="1">
        <f t="array" ref="G1591">PRODUCT( _xlfn._xlws.FILTER($E:$E, ($C:$C=C1591)*($F:$F=F1591)) ) - 1</f>
        <v>1.5133839884427625E-2</v>
      </c>
    </row>
    <row r="1592" spans="1:7" x14ac:dyDescent="0.2">
      <c r="A1592" s="1">
        <v>41395</v>
      </c>
      <c r="B1592">
        <v>0</v>
      </c>
      <c r="C1592" t="s">
        <v>12</v>
      </c>
      <c r="D1592">
        <v>-6.581E-3</v>
      </c>
      <c r="E1592">
        <f t="shared" si="48"/>
        <v>0.99341900000000005</v>
      </c>
      <c r="F1592" s="1">
        <f t="shared" si="49"/>
        <v>41393</v>
      </c>
      <c r="G1592" cm="1">
        <f t="array" ref="G1592">PRODUCT( _xlfn._xlws.FILTER($E:$E, ($C:$C=C1592)*($F:$F=F1592)) ) - 1</f>
        <v>1.5133839884427625E-2</v>
      </c>
    </row>
    <row r="1593" spans="1:7" x14ac:dyDescent="0.2">
      <c r="A1593" s="1">
        <v>41396</v>
      </c>
      <c r="B1593">
        <v>0</v>
      </c>
      <c r="C1593" t="s">
        <v>12</v>
      </c>
      <c r="D1593">
        <v>8.0649999999999993E-3</v>
      </c>
      <c r="E1593">
        <f t="shared" si="48"/>
        <v>1.008065</v>
      </c>
      <c r="F1593" s="1">
        <f t="shared" si="49"/>
        <v>41393</v>
      </c>
      <c r="G1593" cm="1">
        <f t="array" ref="G1593">PRODUCT( _xlfn._xlws.FILTER($E:$E, ($C:$C=C1593)*($F:$F=F1593)) ) - 1</f>
        <v>1.5133839884427625E-2</v>
      </c>
    </row>
    <row r="1594" spans="1:7" x14ac:dyDescent="0.2">
      <c r="A1594" s="1">
        <v>41397</v>
      </c>
      <c r="B1594">
        <v>0</v>
      </c>
      <c r="C1594" t="s">
        <v>12</v>
      </c>
      <c r="D1594">
        <v>-3.4290000000000002E-3</v>
      </c>
      <c r="E1594">
        <f t="shared" si="48"/>
        <v>0.99657099999999998</v>
      </c>
      <c r="F1594" s="1">
        <f t="shared" si="49"/>
        <v>41393</v>
      </c>
      <c r="G1594" cm="1">
        <f t="array" ref="G1594">PRODUCT( _xlfn._xlws.FILTER($E:$E, ($C:$C=C1594)*($F:$F=F1594)) ) - 1</f>
        <v>1.5133839884427625E-2</v>
      </c>
    </row>
    <row r="1595" spans="1:7" x14ac:dyDescent="0.2">
      <c r="A1595" s="1">
        <v>41400</v>
      </c>
      <c r="B1595">
        <v>0</v>
      </c>
      <c r="C1595" t="s">
        <v>12</v>
      </c>
      <c r="D1595">
        <v>3.7269999999999998E-3</v>
      </c>
      <c r="E1595">
        <f t="shared" si="48"/>
        <v>1.003727</v>
      </c>
      <c r="F1595" s="1">
        <f t="shared" si="49"/>
        <v>41400</v>
      </c>
      <c r="G1595" cm="1">
        <f t="array" ref="G1595">PRODUCT( _xlfn._xlws.FILTER($E:$E, ($C:$C=C1595)*($F:$F=F1595)) ) - 1</f>
        <v>-1.1467473076374413E-2</v>
      </c>
    </row>
    <row r="1596" spans="1:7" x14ac:dyDescent="0.2">
      <c r="A1596" s="1">
        <v>41401</v>
      </c>
      <c r="B1596">
        <v>0</v>
      </c>
      <c r="C1596" t="s">
        <v>12</v>
      </c>
      <c r="D1596">
        <v>-1.142E-3</v>
      </c>
      <c r="E1596">
        <f t="shared" si="48"/>
        <v>0.99885800000000002</v>
      </c>
      <c r="F1596" s="1">
        <f t="shared" si="49"/>
        <v>41400</v>
      </c>
      <c r="G1596" cm="1">
        <f t="array" ref="G1596">PRODUCT( _xlfn._xlws.FILTER($E:$E, ($C:$C=C1596)*($F:$F=F1596)) ) - 1</f>
        <v>-1.1467473076374413E-2</v>
      </c>
    </row>
    <row r="1597" spans="1:7" x14ac:dyDescent="0.2">
      <c r="A1597" s="1">
        <v>41402</v>
      </c>
      <c r="B1597">
        <v>0</v>
      </c>
      <c r="C1597" t="s">
        <v>12</v>
      </c>
      <c r="D1597">
        <v>-1.3726E-2</v>
      </c>
      <c r="E1597">
        <f t="shared" si="48"/>
        <v>0.98627399999999998</v>
      </c>
      <c r="F1597" s="1">
        <f t="shared" si="49"/>
        <v>41400</v>
      </c>
      <c r="G1597" cm="1">
        <f t="array" ref="G1597">PRODUCT( _xlfn._xlws.FILTER($E:$E, ($C:$C=C1597)*($F:$F=F1597)) ) - 1</f>
        <v>-1.1467473076374413E-2</v>
      </c>
    </row>
    <row r="1598" spans="1:7" x14ac:dyDescent="0.2">
      <c r="A1598" s="1">
        <v>41403</v>
      </c>
      <c r="B1598">
        <v>0</v>
      </c>
      <c r="C1598" t="s">
        <v>12</v>
      </c>
      <c r="D1598">
        <v>2.3189999999999999E-3</v>
      </c>
      <c r="E1598">
        <f t="shared" si="48"/>
        <v>1.002319</v>
      </c>
      <c r="F1598" s="1">
        <f t="shared" si="49"/>
        <v>41400</v>
      </c>
      <c r="G1598" cm="1">
        <f t="array" ref="G1598">PRODUCT( _xlfn._xlws.FILTER($E:$E, ($C:$C=C1598)*($F:$F=F1598)) ) - 1</f>
        <v>-1.1467473076374413E-2</v>
      </c>
    </row>
    <row r="1599" spans="1:7" x14ac:dyDescent="0.2">
      <c r="A1599" s="1">
        <v>41404</v>
      </c>
      <c r="B1599">
        <v>0</v>
      </c>
      <c r="C1599" t="s">
        <v>12</v>
      </c>
      <c r="D1599">
        <v>-2.6029999999999998E-3</v>
      </c>
      <c r="E1599">
        <f t="shared" si="48"/>
        <v>0.99739699999999998</v>
      </c>
      <c r="F1599" s="1">
        <f t="shared" si="49"/>
        <v>41400</v>
      </c>
      <c r="G1599" cm="1">
        <f t="array" ref="G1599">PRODUCT( _xlfn._xlws.FILTER($E:$E, ($C:$C=C1599)*($F:$F=F1599)) ) - 1</f>
        <v>-1.1467473076374413E-2</v>
      </c>
    </row>
    <row r="1600" spans="1:7" x14ac:dyDescent="0.2">
      <c r="A1600" s="1">
        <v>41407</v>
      </c>
      <c r="B1600">
        <v>0</v>
      </c>
      <c r="C1600" t="s">
        <v>12</v>
      </c>
      <c r="D1600">
        <v>-7.8309999999999994E-3</v>
      </c>
      <c r="E1600">
        <f t="shared" si="48"/>
        <v>0.99216899999999997</v>
      </c>
      <c r="F1600" s="1">
        <f t="shared" si="49"/>
        <v>41407</v>
      </c>
      <c r="G1600" cm="1">
        <f t="array" ref="G1600">PRODUCT( _xlfn._xlws.FILTER($E:$E, ($C:$C=C1600)*($F:$F=F1600)) ) - 1</f>
        <v>-5.1272762858770582E-3</v>
      </c>
    </row>
    <row r="1601" spans="1:7" x14ac:dyDescent="0.2">
      <c r="A1601" s="1">
        <v>41408</v>
      </c>
      <c r="B1601">
        <v>0</v>
      </c>
      <c r="C1601" t="s">
        <v>12</v>
      </c>
      <c r="D1601">
        <v>-7.0150000000000004E-3</v>
      </c>
      <c r="E1601">
        <f t="shared" si="48"/>
        <v>0.99298500000000001</v>
      </c>
      <c r="F1601" s="1">
        <f t="shared" si="49"/>
        <v>41407</v>
      </c>
      <c r="G1601" cm="1">
        <f t="array" ref="G1601">PRODUCT( _xlfn._xlws.FILTER($E:$E, ($C:$C=C1601)*($F:$F=F1601)) ) - 1</f>
        <v>-5.1272762858770582E-3</v>
      </c>
    </row>
    <row r="1602" spans="1:7" x14ac:dyDescent="0.2">
      <c r="A1602" s="1">
        <v>41409</v>
      </c>
      <c r="B1602">
        <v>0</v>
      </c>
      <c r="C1602" t="s">
        <v>12</v>
      </c>
      <c r="D1602">
        <v>-5.8900000000000001E-4</v>
      </c>
      <c r="E1602">
        <f t="shared" si="48"/>
        <v>0.99941100000000005</v>
      </c>
      <c r="F1602" s="1">
        <f t="shared" si="49"/>
        <v>41407</v>
      </c>
      <c r="G1602" cm="1">
        <f t="array" ref="G1602">PRODUCT( _xlfn._xlws.FILTER($E:$E, ($C:$C=C1602)*($F:$F=F1602)) ) - 1</f>
        <v>-5.1272762858770582E-3</v>
      </c>
    </row>
    <row r="1603" spans="1:7" x14ac:dyDescent="0.2">
      <c r="A1603" s="1">
        <v>41410</v>
      </c>
      <c r="B1603">
        <v>0</v>
      </c>
      <c r="C1603" t="s">
        <v>12</v>
      </c>
      <c r="D1603">
        <v>2.9700000000000001E-4</v>
      </c>
      <c r="E1603">
        <f t="shared" si="48"/>
        <v>1.000297</v>
      </c>
      <c r="F1603" s="1">
        <f t="shared" si="49"/>
        <v>41407</v>
      </c>
      <c r="G1603" cm="1">
        <f t="array" ref="G1603">PRODUCT( _xlfn._xlws.FILTER($E:$E, ($C:$C=C1603)*($F:$F=F1603)) ) - 1</f>
        <v>-5.1272762858770582E-3</v>
      </c>
    </row>
    <row r="1604" spans="1:7" x14ac:dyDescent="0.2">
      <c r="A1604" s="1">
        <v>41411</v>
      </c>
      <c r="B1604">
        <v>0</v>
      </c>
      <c r="C1604" t="s">
        <v>12</v>
      </c>
      <c r="D1604">
        <v>1.0104E-2</v>
      </c>
      <c r="E1604">
        <f t="shared" ref="E1604:E1667" si="50">D1604+1</f>
        <v>1.0101039999999999</v>
      </c>
      <c r="F1604" s="1">
        <f t="shared" ref="F1604:F1667" si="51">A1604 - (WEEKDAY(A1604, 2) - 1)</f>
        <v>41407</v>
      </c>
      <c r="G1604" cm="1">
        <f t="array" ref="G1604">PRODUCT( _xlfn._xlws.FILTER($E:$E, ($C:$C=C1604)*($F:$F=F1604)) ) - 1</f>
        <v>-5.1272762858770582E-3</v>
      </c>
    </row>
    <row r="1605" spans="1:7" x14ac:dyDescent="0.2">
      <c r="A1605" s="1">
        <v>41415</v>
      </c>
      <c r="B1605">
        <v>0</v>
      </c>
      <c r="C1605" t="s">
        <v>12</v>
      </c>
      <c r="D1605">
        <v>2.6480000000000002E-3</v>
      </c>
      <c r="E1605">
        <f t="shared" si="50"/>
        <v>1.002648</v>
      </c>
      <c r="F1605" s="1">
        <f t="shared" si="51"/>
        <v>41414</v>
      </c>
      <c r="G1605" cm="1">
        <f t="array" ref="G1605">PRODUCT( _xlfn._xlws.FILTER($E:$E, ($C:$C=C1605)*($F:$F=F1605)) ) - 1</f>
        <v>-1.0590434404971538E-2</v>
      </c>
    </row>
    <row r="1606" spans="1:7" x14ac:dyDescent="0.2">
      <c r="A1606" s="1">
        <v>41416</v>
      </c>
      <c r="B1606">
        <v>0</v>
      </c>
      <c r="C1606" t="s">
        <v>12</v>
      </c>
      <c r="D1606">
        <v>-6.4549999999999998E-3</v>
      </c>
      <c r="E1606">
        <f t="shared" si="50"/>
        <v>0.99354500000000001</v>
      </c>
      <c r="F1606" s="1">
        <f t="shared" si="51"/>
        <v>41414</v>
      </c>
      <c r="G1606" cm="1">
        <f t="array" ref="G1606">PRODUCT( _xlfn._xlws.FILTER($E:$E, ($C:$C=C1606)*($F:$F=F1606)) ) - 1</f>
        <v>-1.0590434404971538E-2</v>
      </c>
    </row>
    <row r="1607" spans="1:7" x14ac:dyDescent="0.2">
      <c r="A1607" s="1">
        <v>41417</v>
      </c>
      <c r="B1607">
        <v>0</v>
      </c>
      <c r="C1607" t="s">
        <v>12</v>
      </c>
      <c r="D1607">
        <v>-6.202E-3</v>
      </c>
      <c r="E1607">
        <f t="shared" si="50"/>
        <v>0.99379799999999996</v>
      </c>
      <c r="F1607" s="1">
        <f t="shared" si="51"/>
        <v>41414</v>
      </c>
      <c r="G1607" cm="1">
        <f t="array" ref="G1607">PRODUCT( _xlfn._xlws.FILTER($E:$E, ($C:$C=C1607)*($F:$F=F1607)) ) - 1</f>
        <v>-1.0590434404971538E-2</v>
      </c>
    </row>
    <row r="1608" spans="1:7" x14ac:dyDescent="0.2">
      <c r="A1608" s="1">
        <v>41418</v>
      </c>
      <c r="B1608">
        <v>0</v>
      </c>
      <c r="C1608" t="s">
        <v>12</v>
      </c>
      <c r="D1608">
        <v>-5.9400000000000002E-4</v>
      </c>
      <c r="E1608">
        <f t="shared" si="50"/>
        <v>0.99940600000000002</v>
      </c>
      <c r="F1608" s="1">
        <f t="shared" si="51"/>
        <v>41414</v>
      </c>
      <c r="G1608" cm="1">
        <f t="array" ref="G1608">PRODUCT( _xlfn._xlws.FILTER($E:$E, ($C:$C=C1608)*($F:$F=F1608)) ) - 1</f>
        <v>-1.0590434404971538E-2</v>
      </c>
    </row>
    <row r="1609" spans="1:7" x14ac:dyDescent="0.2">
      <c r="A1609" s="1">
        <v>41421</v>
      </c>
      <c r="B1609">
        <v>0</v>
      </c>
      <c r="C1609" t="s">
        <v>12</v>
      </c>
      <c r="D1609">
        <v>8.92E-4</v>
      </c>
      <c r="E1609">
        <f t="shared" si="50"/>
        <v>1.0008919999999999</v>
      </c>
      <c r="F1609" s="1">
        <f t="shared" si="51"/>
        <v>41421</v>
      </c>
      <c r="G1609" cm="1">
        <f t="array" ref="G1609">PRODUCT( _xlfn._xlws.FILTER($E:$E, ($C:$C=C1609)*($F:$F=F1609)) ) - 1</f>
        <v>-1.843522813729237E-2</v>
      </c>
    </row>
    <row r="1610" spans="1:7" x14ac:dyDescent="0.2">
      <c r="A1610" s="1">
        <v>41422</v>
      </c>
      <c r="B1610">
        <v>0</v>
      </c>
      <c r="C1610" t="s">
        <v>12</v>
      </c>
      <c r="D1610">
        <v>3.565E-3</v>
      </c>
      <c r="E1610">
        <f t="shared" si="50"/>
        <v>1.003565</v>
      </c>
      <c r="F1610" s="1">
        <f t="shared" si="51"/>
        <v>41421</v>
      </c>
      <c r="G1610" cm="1">
        <f t="array" ref="G1610">PRODUCT( _xlfn._xlws.FILTER($E:$E, ($C:$C=C1610)*($F:$F=F1610)) ) - 1</f>
        <v>-1.843522813729237E-2</v>
      </c>
    </row>
    <row r="1611" spans="1:7" x14ac:dyDescent="0.2">
      <c r="A1611" s="1">
        <v>41423</v>
      </c>
      <c r="B1611">
        <v>0</v>
      </c>
      <c r="C1611" t="s">
        <v>12</v>
      </c>
      <c r="D1611">
        <v>-4.4400000000000004E-3</v>
      </c>
      <c r="E1611">
        <f t="shared" si="50"/>
        <v>0.99556</v>
      </c>
      <c r="F1611" s="1">
        <f t="shared" si="51"/>
        <v>41421</v>
      </c>
      <c r="G1611" cm="1">
        <f t="array" ref="G1611">PRODUCT( _xlfn._xlws.FILTER($E:$E, ($C:$C=C1611)*($F:$F=F1611)) ) - 1</f>
        <v>-1.843522813729237E-2</v>
      </c>
    </row>
    <row r="1612" spans="1:7" x14ac:dyDescent="0.2">
      <c r="A1612" s="1">
        <v>41424</v>
      </c>
      <c r="B1612">
        <v>0</v>
      </c>
      <c r="C1612" t="s">
        <v>12</v>
      </c>
      <c r="D1612">
        <v>-7.731E-3</v>
      </c>
      <c r="E1612">
        <f t="shared" si="50"/>
        <v>0.99226899999999996</v>
      </c>
      <c r="F1612" s="1">
        <f t="shared" si="51"/>
        <v>41421</v>
      </c>
      <c r="G1612" cm="1">
        <f t="array" ref="G1612">PRODUCT( _xlfn._xlws.FILTER($E:$E, ($C:$C=C1612)*($F:$F=F1612)) ) - 1</f>
        <v>-1.843522813729237E-2</v>
      </c>
    </row>
    <row r="1613" spans="1:7" x14ac:dyDescent="0.2">
      <c r="A1613" s="1">
        <v>41425</v>
      </c>
      <c r="B1613">
        <v>0</v>
      </c>
      <c r="C1613" t="s">
        <v>12</v>
      </c>
      <c r="D1613">
        <v>-1.0788000000000001E-2</v>
      </c>
      <c r="E1613">
        <f t="shared" si="50"/>
        <v>0.98921199999999998</v>
      </c>
      <c r="F1613" s="1">
        <f t="shared" si="51"/>
        <v>41421</v>
      </c>
      <c r="G1613" cm="1">
        <f t="array" ref="G1613">PRODUCT( _xlfn._xlws.FILTER($E:$E, ($C:$C=C1613)*($F:$F=F1613)) ) - 1</f>
        <v>-1.843522813729237E-2</v>
      </c>
    </row>
    <row r="1614" spans="1:7" x14ac:dyDescent="0.2">
      <c r="A1614" s="1">
        <v>41428</v>
      </c>
      <c r="B1614">
        <v>0</v>
      </c>
      <c r="C1614" t="s">
        <v>12</v>
      </c>
      <c r="D1614">
        <v>-4.241E-3</v>
      </c>
      <c r="E1614">
        <f t="shared" si="50"/>
        <v>0.99575899999999995</v>
      </c>
      <c r="F1614" s="1">
        <f t="shared" si="51"/>
        <v>41428</v>
      </c>
      <c r="G1614" cm="1">
        <f t="array" ref="G1614">PRODUCT( _xlfn._xlws.FILTER($E:$E, ($C:$C=C1614)*($F:$F=F1614)) ) - 1</f>
        <v>-1.6661529116495211E-2</v>
      </c>
    </row>
    <row r="1615" spans="1:7" x14ac:dyDescent="0.2">
      <c r="A1615" s="1">
        <v>41429</v>
      </c>
      <c r="B1615">
        <v>0</v>
      </c>
      <c r="C1615" t="s">
        <v>12</v>
      </c>
      <c r="D1615">
        <v>6.0850000000000001E-3</v>
      </c>
      <c r="E1615">
        <f t="shared" si="50"/>
        <v>1.0060849999999999</v>
      </c>
      <c r="F1615" s="1">
        <f t="shared" si="51"/>
        <v>41428</v>
      </c>
      <c r="G1615" cm="1">
        <f t="array" ref="G1615">PRODUCT( _xlfn._xlws.FILTER($E:$E, ($C:$C=C1615)*($F:$F=F1615)) ) - 1</f>
        <v>-1.6661529116495211E-2</v>
      </c>
    </row>
    <row r="1616" spans="1:7" x14ac:dyDescent="0.2">
      <c r="A1616" s="1">
        <v>41430</v>
      </c>
      <c r="B1616">
        <v>0</v>
      </c>
      <c r="C1616" t="s">
        <v>12</v>
      </c>
      <c r="D1616">
        <v>-1.6631E-2</v>
      </c>
      <c r="E1616">
        <f t="shared" si="50"/>
        <v>0.98336900000000005</v>
      </c>
      <c r="F1616" s="1">
        <f t="shared" si="51"/>
        <v>41428</v>
      </c>
      <c r="G1616" cm="1">
        <f t="array" ref="G1616">PRODUCT( _xlfn._xlws.FILTER($E:$E, ($C:$C=C1616)*($F:$F=F1616)) ) - 1</f>
        <v>-1.6661529116495211E-2</v>
      </c>
    </row>
    <row r="1617" spans="1:7" x14ac:dyDescent="0.2">
      <c r="A1617" s="1">
        <v>41431</v>
      </c>
      <c r="B1617">
        <v>0</v>
      </c>
      <c r="C1617" t="s">
        <v>12</v>
      </c>
      <c r="D1617">
        <v>-1.4453000000000001E-2</v>
      </c>
      <c r="E1617">
        <f t="shared" si="50"/>
        <v>0.98554699999999995</v>
      </c>
      <c r="F1617" s="1">
        <f t="shared" si="51"/>
        <v>41428</v>
      </c>
      <c r="G1617" cm="1">
        <f t="array" ref="G1617">PRODUCT( _xlfn._xlws.FILTER($E:$E, ($C:$C=C1617)*($F:$F=F1617)) ) - 1</f>
        <v>-1.6661529116495211E-2</v>
      </c>
    </row>
    <row r="1618" spans="1:7" x14ac:dyDescent="0.2">
      <c r="A1618" s="1">
        <v>41432</v>
      </c>
      <c r="B1618">
        <v>0</v>
      </c>
      <c r="C1618" t="s">
        <v>12</v>
      </c>
      <c r="D1618">
        <v>1.2792E-2</v>
      </c>
      <c r="E1618">
        <f t="shared" si="50"/>
        <v>1.0127919999999999</v>
      </c>
      <c r="F1618" s="1">
        <f t="shared" si="51"/>
        <v>41428</v>
      </c>
      <c r="G1618" cm="1">
        <f t="array" ref="G1618">PRODUCT( _xlfn._xlws.FILTER($E:$E, ($C:$C=C1618)*($F:$F=F1618)) ) - 1</f>
        <v>-1.6661529116495211E-2</v>
      </c>
    </row>
    <row r="1619" spans="1:7" x14ac:dyDescent="0.2">
      <c r="A1619" s="1">
        <v>41435</v>
      </c>
      <c r="B1619">
        <v>0</v>
      </c>
      <c r="C1619" t="s">
        <v>12</v>
      </c>
      <c r="D1619">
        <v>3.6970000000000002E-3</v>
      </c>
      <c r="E1619">
        <f t="shared" si="50"/>
        <v>1.0036970000000001</v>
      </c>
      <c r="F1619" s="1">
        <f t="shared" si="51"/>
        <v>41435</v>
      </c>
      <c r="G1619" cm="1">
        <f t="array" ref="G1619">PRODUCT( _xlfn._xlws.FILTER($E:$E, ($C:$C=C1619)*($F:$F=F1619)) ) - 1</f>
        <v>1.663586228043612E-2</v>
      </c>
    </row>
    <row r="1620" spans="1:7" x14ac:dyDescent="0.2">
      <c r="A1620" s="1">
        <v>41436</v>
      </c>
      <c r="B1620">
        <v>0</v>
      </c>
      <c r="C1620" t="s">
        <v>12</v>
      </c>
      <c r="D1620">
        <v>-2.7620000000000001E-3</v>
      </c>
      <c r="E1620">
        <f t="shared" si="50"/>
        <v>0.99723799999999996</v>
      </c>
      <c r="F1620" s="1">
        <f t="shared" si="51"/>
        <v>41435</v>
      </c>
      <c r="G1620" cm="1">
        <f t="array" ref="G1620">PRODUCT( _xlfn._xlws.FILTER($E:$E, ($C:$C=C1620)*($F:$F=F1620)) ) - 1</f>
        <v>1.663586228043612E-2</v>
      </c>
    </row>
    <row r="1621" spans="1:7" x14ac:dyDescent="0.2">
      <c r="A1621" s="1">
        <v>41437</v>
      </c>
      <c r="B1621">
        <v>0</v>
      </c>
      <c r="C1621" t="s">
        <v>12</v>
      </c>
      <c r="D1621">
        <v>-2.2161E-2</v>
      </c>
      <c r="E1621">
        <f t="shared" si="50"/>
        <v>0.97783900000000001</v>
      </c>
      <c r="F1621" s="1">
        <f t="shared" si="51"/>
        <v>41435</v>
      </c>
      <c r="G1621" cm="1">
        <f t="array" ref="G1621">PRODUCT( _xlfn._xlws.FILTER($E:$E, ($C:$C=C1621)*($F:$F=F1621)) ) - 1</f>
        <v>1.663586228043612E-2</v>
      </c>
    </row>
    <row r="1622" spans="1:7" x14ac:dyDescent="0.2">
      <c r="A1622" s="1">
        <v>41438</v>
      </c>
      <c r="B1622">
        <v>0</v>
      </c>
      <c r="C1622" t="s">
        <v>12</v>
      </c>
      <c r="D1622">
        <v>1.6681999999999999E-2</v>
      </c>
      <c r="E1622">
        <f t="shared" si="50"/>
        <v>1.0166820000000001</v>
      </c>
      <c r="F1622" s="1">
        <f t="shared" si="51"/>
        <v>41435</v>
      </c>
      <c r="G1622" cm="1">
        <f t="array" ref="G1622">PRODUCT( _xlfn._xlws.FILTER($E:$E, ($C:$C=C1622)*($F:$F=F1622)) ) - 1</f>
        <v>1.663586228043612E-2</v>
      </c>
    </row>
    <row r="1623" spans="1:7" x14ac:dyDescent="0.2">
      <c r="A1623" s="1">
        <v>41439</v>
      </c>
      <c r="B1623">
        <v>0</v>
      </c>
      <c r="C1623" t="s">
        <v>12</v>
      </c>
      <c r="D1623">
        <v>2.1672E-2</v>
      </c>
      <c r="E1623">
        <f t="shared" si="50"/>
        <v>1.0216719999999999</v>
      </c>
      <c r="F1623" s="1">
        <f t="shared" si="51"/>
        <v>41435</v>
      </c>
      <c r="G1623" cm="1">
        <f t="array" ref="G1623">PRODUCT( _xlfn._xlws.FILTER($E:$E, ($C:$C=C1623)*($F:$F=F1623)) ) - 1</f>
        <v>1.663586228043612E-2</v>
      </c>
    </row>
    <row r="1624" spans="1:7" x14ac:dyDescent="0.2">
      <c r="A1624" s="1">
        <v>41442</v>
      </c>
      <c r="B1624">
        <v>0</v>
      </c>
      <c r="C1624" t="s">
        <v>12</v>
      </c>
      <c r="D1624">
        <v>-6.0599999999999998E-4</v>
      </c>
      <c r="E1624">
        <f t="shared" si="50"/>
        <v>0.999394</v>
      </c>
      <c r="F1624" s="1">
        <f t="shared" si="51"/>
        <v>41442</v>
      </c>
      <c r="G1624" cm="1">
        <f t="array" ref="G1624">PRODUCT( _xlfn._xlws.FILTER($E:$E, ($C:$C=C1624)*($F:$F=F1624)) ) - 1</f>
        <v>-5.0607079078926032E-2</v>
      </c>
    </row>
    <row r="1625" spans="1:7" x14ac:dyDescent="0.2">
      <c r="A1625" s="1">
        <v>41443</v>
      </c>
      <c r="B1625">
        <v>0</v>
      </c>
      <c r="C1625" t="s">
        <v>12</v>
      </c>
      <c r="D1625">
        <v>7.5799999999999999E-3</v>
      </c>
      <c r="E1625">
        <f t="shared" si="50"/>
        <v>1.0075799999999999</v>
      </c>
      <c r="F1625" s="1">
        <f t="shared" si="51"/>
        <v>41442</v>
      </c>
      <c r="G1625" cm="1">
        <f t="array" ref="G1625">PRODUCT( _xlfn._xlws.FILTER($E:$E, ($C:$C=C1625)*($F:$F=F1625)) ) - 1</f>
        <v>-5.0607079078926032E-2</v>
      </c>
    </row>
    <row r="1626" spans="1:7" x14ac:dyDescent="0.2">
      <c r="A1626" s="1">
        <v>41444</v>
      </c>
      <c r="B1626">
        <v>0</v>
      </c>
      <c r="C1626" t="s">
        <v>12</v>
      </c>
      <c r="D1626">
        <v>-1.9560999999999999E-2</v>
      </c>
      <c r="E1626">
        <f t="shared" si="50"/>
        <v>0.98043899999999995</v>
      </c>
      <c r="F1626" s="1">
        <f t="shared" si="51"/>
        <v>41442</v>
      </c>
      <c r="G1626" cm="1">
        <f t="array" ref="G1626">PRODUCT( _xlfn._xlws.FILTER($E:$E, ($C:$C=C1626)*($F:$F=F1626)) ) - 1</f>
        <v>-5.0607079078926032E-2</v>
      </c>
    </row>
    <row r="1627" spans="1:7" x14ac:dyDescent="0.2">
      <c r="A1627" s="1">
        <v>41445</v>
      </c>
      <c r="B1627">
        <v>0</v>
      </c>
      <c r="C1627" t="s">
        <v>12</v>
      </c>
      <c r="D1627">
        <v>-4.113E-2</v>
      </c>
      <c r="E1627">
        <f t="shared" si="50"/>
        <v>0.95887</v>
      </c>
      <c r="F1627" s="1">
        <f t="shared" si="51"/>
        <v>41442</v>
      </c>
      <c r="G1627" cm="1">
        <f t="array" ref="G1627">PRODUCT( _xlfn._xlws.FILTER($E:$E, ($C:$C=C1627)*($F:$F=F1627)) ) - 1</f>
        <v>-5.0607079078926032E-2</v>
      </c>
    </row>
    <row r="1628" spans="1:7" x14ac:dyDescent="0.2">
      <c r="A1628" s="1">
        <v>41446</v>
      </c>
      <c r="B1628">
        <v>0</v>
      </c>
      <c r="C1628" t="s">
        <v>12</v>
      </c>
      <c r="D1628">
        <v>2.8809999999999999E-3</v>
      </c>
      <c r="E1628">
        <f t="shared" si="50"/>
        <v>1.0028809999999999</v>
      </c>
      <c r="F1628" s="1">
        <f t="shared" si="51"/>
        <v>41442</v>
      </c>
      <c r="G1628" cm="1">
        <f t="array" ref="G1628">PRODUCT( _xlfn._xlws.FILTER($E:$E, ($C:$C=C1628)*($F:$F=F1628)) ) - 1</f>
        <v>-5.0607079078926032E-2</v>
      </c>
    </row>
    <row r="1629" spans="1:7" x14ac:dyDescent="0.2">
      <c r="A1629" s="1">
        <v>41449</v>
      </c>
      <c r="B1629">
        <v>0</v>
      </c>
      <c r="C1629" t="s">
        <v>12</v>
      </c>
      <c r="D1629">
        <v>-4.7879999999999997E-3</v>
      </c>
      <c r="E1629">
        <f t="shared" si="50"/>
        <v>0.99521199999999999</v>
      </c>
      <c r="F1629" s="1">
        <f t="shared" si="51"/>
        <v>41449</v>
      </c>
      <c r="G1629" cm="1">
        <f t="array" ref="G1629">PRODUCT( _xlfn._xlws.FILTER($E:$E, ($C:$C=C1629)*($F:$F=F1629)) ) - 1</f>
        <v>2.7448928692628938E-2</v>
      </c>
    </row>
    <row r="1630" spans="1:7" x14ac:dyDescent="0.2">
      <c r="A1630" s="1">
        <v>41450</v>
      </c>
      <c r="B1630">
        <v>0</v>
      </c>
      <c r="C1630" t="s">
        <v>12</v>
      </c>
      <c r="D1630">
        <v>4.8110000000000002E-3</v>
      </c>
      <c r="E1630">
        <f t="shared" si="50"/>
        <v>1.0048109999999999</v>
      </c>
      <c r="F1630" s="1">
        <f t="shared" si="51"/>
        <v>41449</v>
      </c>
      <c r="G1630" cm="1">
        <f t="array" ref="G1630">PRODUCT( _xlfn._xlws.FILTER($E:$E, ($C:$C=C1630)*($F:$F=F1630)) ) - 1</f>
        <v>2.7448928692628938E-2</v>
      </c>
    </row>
    <row r="1631" spans="1:7" x14ac:dyDescent="0.2">
      <c r="A1631" s="1">
        <v>41451</v>
      </c>
      <c r="B1631">
        <v>0</v>
      </c>
      <c r="C1631" t="s">
        <v>12</v>
      </c>
      <c r="D1631">
        <v>6.38E-4</v>
      </c>
      <c r="E1631">
        <f t="shared" si="50"/>
        <v>1.0006379999999999</v>
      </c>
      <c r="F1631" s="1">
        <f t="shared" si="51"/>
        <v>41449</v>
      </c>
      <c r="G1631" cm="1">
        <f t="array" ref="G1631">PRODUCT( _xlfn._xlws.FILTER($E:$E, ($C:$C=C1631)*($F:$F=F1631)) ) - 1</f>
        <v>2.7448928692628938E-2</v>
      </c>
    </row>
    <row r="1632" spans="1:7" x14ac:dyDescent="0.2">
      <c r="A1632" s="1">
        <v>41452</v>
      </c>
      <c r="B1632">
        <v>0</v>
      </c>
      <c r="C1632" t="s">
        <v>12</v>
      </c>
      <c r="D1632">
        <v>1.1802E-2</v>
      </c>
      <c r="E1632">
        <f t="shared" si="50"/>
        <v>1.0118020000000001</v>
      </c>
      <c r="F1632" s="1">
        <f t="shared" si="51"/>
        <v>41449</v>
      </c>
      <c r="G1632" cm="1">
        <f t="array" ref="G1632">PRODUCT( _xlfn._xlws.FILTER($E:$E, ($C:$C=C1632)*($F:$F=F1632)) ) - 1</f>
        <v>2.7448928692628938E-2</v>
      </c>
    </row>
    <row r="1633" spans="1:7" x14ac:dyDescent="0.2">
      <c r="A1633" s="1">
        <v>41453</v>
      </c>
      <c r="B1633">
        <v>0</v>
      </c>
      <c r="C1633" t="s">
        <v>12</v>
      </c>
      <c r="D1633">
        <v>1.4817E-2</v>
      </c>
      <c r="E1633">
        <f t="shared" si="50"/>
        <v>1.0148170000000001</v>
      </c>
      <c r="F1633" s="1">
        <f t="shared" si="51"/>
        <v>41449</v>
      </c>
      <c r="G1633" cm="1">
        <f t="array" ref="G1633">PRODUCT( _xlfn._xlws.FILTER($E:$E, ($C:$C=C1633)*($F:$F=F1633)) ) - 1</f>
        <v>2.7448928692628938E-2</v>
      </c>
    </row>
    <row r="1634" spans="1:7" x14ac:dyDescent="0.2">
      <c r="A1634" s="1">
        <v>41457</v>
      </c>
      <c r="B1634">
        <v>0</v>
      </c>
      <c r="C1634" t="s">
        <v>12</v>
      </c>
      <c r="D1634">
        <v>-5.5919999999999997E-3</v>
      </c>
      <c r="E1634">
        <f t="shared" si="50"/>
        <v>0.99440799999999996</v>
      </c>
      <c r="F1634" s="1">
        <f t="shared" si="51"/>
        <v>41456</v>
      </c>
      <c r="G1634" cm="1">
        <f t="array" ref="G1634">PRODUCT( _xlfn._xlws.FILTER($E:$E, ($C:$C=C1634)*($F:$F=F1634)) ) - 1</f>
        <v>-2.1435850230930309E-2</v>
      </c>
    </row>
    <row r="1635" spans="1:7" x14ac:dyDescent="0.2">
      <c r="A1635" s="1">
        <v>41458</v>
      </c>
      <c r="B1635">
        <v>0</v>
      </c>
      <c r="C1635" t="s">
        <v>12</v>
      </c>
      <c r="D1635">
        <v>-7.4980000000000003E-3</v>
      </c>
      <c r="E1635">
        <f t="shared" si="50"/>
        <v>0.992502</v>
      </c>
      <c r="F1635" s="1">
        <f t="shared" si="51"/>
        <v>41456</v>
      </c>
      <c r="G1635" cm="1">
        <f t="array" ref="G1635">PRODUCT( _xlfn._xlws.FILTER($E:$E, ($C:$C=C1635)*($F:$F=F1635)) ) - 1</f>
        <v>-2.1435850230930309E-2</v>
      </c>
    </row>
    <row r="1636" spans="1:7" x14ac:dyDescent="0.2">
      <c r="A1636" s="1">
        <v>41459</v>
      </c>
      <c r="B1636">
        <v>0</v>
      </c>
      <c r="C1636" t="s">
        <v>12</v>
      </c>
      <c r="D1636">
        <v>2.5179999999999998E-3</v>
      </c>
      <c r="E1636">
        <f t="shared" si="50"/>
        <v>1.002518</v>
      </c>
      <c r="F1636" s="1">
        <f t="shared" si="51"/>
        <v>41456</v>
      </c>
      <c r="G1636" cm="1">
        <f t="array" ref="G1636">PRODUCT( _xlfn._xlws.FILTER($E:$E, ($C:$C=C1636)*($F:$F=F1636)) ) - 1</f>
        <v>-2.1435850230930309E-2</v>
      </c>
    </row>
    <row r="1637" spans="1:7" x14ac:dyDescent="0.2">
      <c r="A1637" s="1">
        <v>41460</v>
      </c>
      <c r="B1637">
        <v>0</v>
      </c>
      <c r="C1637" t="s">
        <v>12</v>
      </c>
      <c r="D1637">
        <v>-1.0989000000000001E-2</v>
      </c>
      <c r="E1637">
        <f t="shared" si="50"/>
        <v>0.98901099999999997</v>
      </c>
      <c r="F1637" s="1">
        <f t="shared" si="51"/>
        <v>41456</v>
      </c>
      <c r="G1637" cm="1">
        <f t="array" ref="G1637">PRODUCT( _xlfn._xlws.FILTER($E:$E, ($C:$C=C1637)*($F:$F=F1637)) ) - 1</f>
        <v>-2.1435850230930309E-2</v>
      </c>
    </row>
    <row r="1638" spans="1:7" x14ac:dyDescent="0.2">
      <c r="A1638" s="1">
        <v>41463</v>
      </c>
      <c r="B1638">
        <v>0</v>
      </c>
      <c r="C1638" t="s">
        <v>12</v>
      </c>
      <c r="D1638">
        <v>1.873E-2</v>
      </c>
      <c r="E1638">
        <f t="shared" si="50"/>
        <v>1.0187299999999999</v>
      </c>
      <c r="F1638" s="1">
        <f t="shared" si="51"/>
        <v>41463</v>
      </c>
      <c r="G1638" cm="1">
        <f t="array" ref="G1638">PRODUCT( _xlfn._xlws.FILTER($E:$E, ($C:$C=C1638)*($F:$F=F1638)) ) - 1</f>
        <v>2.7300663498477151E-2</v>
      </c>
    </row>
    <row r="1639" spans="1:7" x14ac:dyDescent="0.2">
      <c r="A1639" s="1">
        <v>41464</v>
      </c>
      <c r="B1639">
        <v>0</v>
      </c>
      <c r="C1639" t="s">
        <v>12</v>
      </c>
      <c r="D1639">
        <v>1.0283E-2</v>
      </c>
      <c r="E1639">
        <f t="shared" si="50"/>
        <v>1.010283</v>
      </c>
      <c r="F1639" s="1">
        <f t="shared" si="51"/>
        <v>41463</v>
      </c>
      <c r="G1639" cm="1">
        <f t="array" ref="G1639">PRODUCT( _xlfn._xlws.FILTER($E:$E, ($C:$C=C1639)*($F:$F=F1639)) ) - 1</f>
        <v>2.7300663498477151E-2</v>
      </c>
    </row>
    <row r="1640" spans="1:7" x14ac:dyDescent="0.2">
      <c r="A1640" s="1">
        <v>41465</v>
      </c>
      <c r="B1640">
        <v>0</v>
      </c>
      <c r="C1640" t="s">
        <v>12</v>
      </c>
      <c r="D1640">
        <v>-1.1413E-2</v>
      </c>
      <c r="E1640">
        <f t="shared" si="50"/>
        <v>0.98858699999999999</v>
      </c>
      <c r="F1640" s="1">
        <f t="shared" si="51"/>
        <v>41463</v>
      </c>
      <c r="G1640" cm="1">
        <f t="array" ref="G1640">PRODUCT( _xlfn._xlws.FILTER($E:$E, ($C:$C=C1640)*($F:$F=F1640)) ) - 1</f>
        <v>2.7300663498477151E-2</v>
      </c>
    </row>
    <row r="1641" spans="1:7" x14ac:dyDescent="0.2">
      <c r="A1641" s="1">
        <v>41466</v>
      </c>
      <c r="B1641">
        <v>0</v>
      </c>
      <c r="C1641" t="s">
        <v>12</v>
      </c>
      <c r="D1641">
        <v>1.4041E-2</v>
      </c>
      <c r="E1641">
        <f t="shared" si="50"/>
        <v>1.014041</v>
      </c>
      <c r="F1641" s="1">
        <f t="shared" si="51"/>
        <v>41463</v>
      </c>
      <c r="G1641" cm="1">
        <f t="array" ref="G1641">PRODUCT( _xlfn._xlws.FILTER($E:$E, ($C:$C=C1641)*($F:$F=F1641)) ) - 1</f>
        <v>2.7300663498477151E-2</v>
      </c>
    </row>
    <row r="1642" spans="1:7" x14ac:dyDescent="0.2">
      <c r="A1642" s="1">
        <v>41467</v>
      </c>
      <c r="B1642">
        <v>0</v>
      </c>
      <c r="C1642" t="s">
        <v>12</v>
      </c>
      <c r="D1642">
        <v>-4.3080000000000002E-3</v>
      </c>
      <c r="E1642">
        <f t="shared" si="50"/>
        <v>0.99569200000000002</v>
      </c>
      <c r="F1642" s="1">
        <f t="shared" si="51"/>
        <v>41463</v>
      </c>
      <c r="G1642" cm="1">
        <f t="array" ref="G1642">PRODUCT( _xlfn._xlws.FILTER($E:$E, ($C:$C=C1642)*($F:$F=F1642)) ) - 1</f>
        <v>2.7300663498477151E-2</v>
      </c>
    </row>
    <row r="1643" spans="1:7" x14ac:dyDescent="0.2">
      <c r="A1643" s="1">
        <v>41470</v>
      </c>
      <c r="B1643">
        <v>0</v>
      </c>
      <c r="C1643" t="s">
        <v>12</v>
      </c>
      <c r="D1643">
        <v>6.7990000000000004E-3</v>
      </c>
      <c r="E1643">
        <f t="shared" si="50"/>
        <v>1.006799</v>
      </c>
      <c r="F1643" s="1">
        <f t="shared" si="51"/>
        <v>41470</v>
      </c>
      <c r="G1643" cm="1">
        <f t="array" ref="G1643">PRODUCT( _xlfn._xlws.FILTER($E:$E, ($C:$C=C1643)*($F:$F=F1643)) ) - 1</f>
        <v>-6.1760716439540619E-4</v>
      </c>
    </row>
    <row r="1644" spans="1:7" x14ac:dyDescent="0.2">
      <c r="A1644" s="1">
        <v>41471</v>
      </c>
      <c r="B1644">
        <v>0</v>
      </c>
      <c r="C1644" t="s">
        <v>12</v>
      </c>
      <c r="D1644">
        <v>-2.4559999999999998E-3</v>
      </c>
      <c r="E1644">
        <f t="shared" si="50"/>
        <v>0.99754399999999999</v>
      </c>
      <c r="F1644" s="1">
        <f t="shared" si="51"/>
        <v>41470</v>
      </c>
      <c r="G1644" cm="1">
        <f t="array" ref="G1644">PRODUCT( _xlfn._xlws.FILTER($E:$E, ($C:$C=C1644)*($F:$F=F1644)) ) - 1</f>
        <v>-6.1760716439540619E-4</v>
      </c>
    </row>
    <row r="1645" spans="1:7" x14ac:dyDescent="0.2">
      <c r="A1645" s="1">
        <v>41472</v>
      </c>
      <c r="B1645">
        <v>0</v>
      </c>
      <c r="C1645" t="s">
        <v>12</v>
      </c>
      <c r="D1645">
        <v>6.4619999999999999E-3</v>
      </c>
      <c r="E1645">
        <f t="shared" si="50"/>
        <v>1.006462</v>
      </c>
      <c r="F1645" s="1">
        <f t="shared" si="51"/>
        <v>41470</v>
      </c>
      <c r="G1645" cm="1">
        <f t="array" ref="G1645">PRODUCT( _xlfn._xlws.FILTER($E:$E, ($C:$C=C1645)*($F:$F=F1645)) ) - 1</f>
        <v>-6.1760716439540619E-4</v>
      </c>
    </row>
    <row r="1646" spans="1:7" x14ac:dyDescent="0.2">
      <c r="A1646" s="1">
        <v>41473</v>
      </c>
      <c r="B1646">
        <v>0</v>
      </c>
      <c r="C1646" t="s">
        <v>12</v>
      </c>
      <c r="D1646">
        <v>-1.2534E-2</v>
      </c>
      <c r="E1646">
        <f t="shared" si="50"/>
        <v>0.98746599999999995</v>
      </c>
      <c r="F1646" s="1">
        <f t="shared" si="51"/>
        <v>41470</v>
      </c>
      <c r="G1646" cm="1">
        <f t="array" ref="G1646">PRODUCT( _xlfn._xlws.FILTER($E:$E, ($C:$C=C1646)*($F:$F=F1646)) ) - 1</f>
        <v>-6.1760716439540619E-4</v>
      </c>
    </row>
    <row r="1647" spans="1:7" x14ac:dyDescent="0.2">
      <c r="A1647" s="1">
        <v>41474</v>
      </c>
      <c r="B1647">
        <v>0</v>
      </c>
      <c r="C1647" t="s">
        <v>12</v>
      </c>
      <c r="D1647">
        <v>1.238E-3</v>
      </c>
      <c r="E1647">
        <f t="shared" si="50"/>
        <v>1.0012380000000001</v>
      </c>
      <c r="F1647" s="1">
        <f t="shared" si="51"/>
        <v>41470</v>
      </c>
      <c r="G1647" cm="1">
        <f t="array" ref="G1647">PRODUCT( _xlfn._xlws.FILTER($E:$E, ($C:$C=C1647)*($F:$F=F1647)) ) - 1</f>
        <v>-6.1760716439540619E-4</v>
      </c>
    </row>
    <row r="1648" spans="1:7" x14ac:dyDescent="0.2">
      <c r="A1648" s="1">
        <v>41477</v>
      </c>
      <c r="B1648">
        <v>0</v>
      </c>
      <c r="C1648" t="s">
        <v>12</v>
      </c>
      <c r="D1648">
        <v>0</v>
      </c>
      <c r="E1648">
        <f t="shared" si="50"/>
        <v>1</v>
      </c>
      <c r="F1648" s="1">
        <f t="shared" si="51"/>
        <v>41477</v>
      </c>
      <c r="G1648" cm="1">
        <f t="array" ref="G1648">PRODUCT( _xlfn._xlws.FILTER($E:$E, ($C:$C=C1648)*($F:$F=F1648)) ) - 1</f>
        <v>-3.4014024747959226E-3</v>
      </c>
    </row>
    <row r="1649" spans="1:7" x14ac:dyDescent="0.2">
      <c r="A1649" s="1">
        <v>41478</v>
      </c>
      <c r="B1649">
        <v>0</v>
      </c>
      <c r="C1649" t="s">
        <v>12</v>
      </c>
      <c r="D1649">
        <v>1.8550000000000001E-3</v>
      </c>
      <c r="E1649">
        <f t="shared" si="50"/>
        <v>1.0018549999999999</v>
      </c>
      <c r="F1649" s="1">
        <f t="shared" si="51"/>
        <v>41477</v>
      </c>
      <c r="G1649" cm="1">
        <f t="array" ref="G1649">PRODUCT( _xlfn._xlws.FILTER($E:$E, ($C:$C=C1649)*($F:$F=F1649)) ) - 1</f>
        <v>-3.4014024747959226E-3</v>
      </c>
    </row>
    <row r="1650" spans="1:7" x14ac:dyDescent="0.2">
      <c r="A1650" s="1">
        <v>41479</v>
      </c>
      <c r="B1650">
        <v>0</v>
      </c>
      <c r="C1650" t="s">
        <v>12</v>
      </c>
      <c r="D1650">
        <v>-4.3210000000000002E-3</v>
      </c>
      <c r="E1650">
        <f t="shared" si="50"/>
        <v>0.99567899999999998</v>
      </c>
      <c r="F1650" s="1">
        <f t="shared" si="51"/>
        <v>41477</v>
      </c>
      <c r="G1650" cm="1">
        <f t="array" ref="G1650">PRODUCT( _xlfn._xlws.FILTER($E:$E, ($C:$C=C1650)*($F:$F=F1650)) ) - 1</f>
        <v>-3.4014024747959226E-3</v>
      </c>
    </row>
    <row r="1651" spans="1:7" x14ac:dyDescent="0.2">
      <c r="A1651" s="1">
        <v>41480</v>
      </c>
      <c r="B1651">
        <v>0</v>
      </c>
      <c r="C1651" t="s">
        <v>12</v>
      </c>
      <c r="D1651">
        <v>1.24E-3</v>
      </c>
      <c r="E1651">
        <f t="shared" si="50"/>
        <v>1.0012399999999999</v>
      </c>
      <c r="F1651" s="1">
        <f t="shared" si="51"/>
        <v>41477</v>
      </c>
      <c r="G1651" cm="1">
        <f t="array" ref="G1651">PRODUCT( _xlfn._xlws.FILTER($E:$E, ($C:$C=C1651)*($F:$F=F1651)) ) - 1</f>
        <v>-3.4014024747959226E-3</v>
      </c>
    </row>
    <row r="1652" spans="1:7" x14ac:dyDescent="0.2">
      <c r="A1652" s="1">
        <v>41481</v>
      </c>
      <c r="B1652">
        <v>0</v>
      </c>
      <c r="C1652" t="s">
        <v>12</v>
      </c>
      <c r="D1652">
        <v>-2.1670000000000001E-3</v>
      </c>
      <c r="E1652">
        <f t="shared" si="50"/>
        <v>0.99783299999999997</v>
      </c>
      <c r="F1652" s="1">
        <f t="shared" si="51"/>
        <v>41477</v>
      </c>
      <c r="G1652" cm="1">
        <f t="array" ref="G1652">PRODUCT( _xlfn._xlws.FILTER($E:$E, ($C:$C=C1652)*($F:$F=F1652)) ) - 1</f>
        <v>-3.4014024747959226E-3</v>
      </c>
    </row>
    <row r="1653" spans="1:7" x14ac:dyDescent="0.2">
      <c r="A1653" s="1">
        <v>41484</v>
      </c>
      <c r="B1653">
        <v>0</v>
      </c>
      <c r="C1653" t="s">
        <v>12</v>
      </c>
      <c r="D1653">
        <v>6.2049999999999996E-3</v>
      </c>
      <c r="E1653">
        <f t="shared" si="50"/>
        <v>1.006205</v>
      </c>
      <c r="F1653" s="1">
        <f t="shared" si="51"/>
        <v>41484</v>
      </c>
      <c r="G1653" cm="1">
        <f t="array" ref="G1653">PRODUCT( _xlfn._xlws.FILTER($E:$E, ($C:$C=C1653)*($F:$F=F1653)) ) - 1</f>
        <v>-2.4827397733971912E-3</v>
      </c>
    </row>
    <row r="1654" spans="1:7" x14ac:dyDescent="0.2">
      <c r="A1654" s="1">
        <v>41485</v>
      </c>
      <c r="B1654">
        <v>0</v>
      </c>
      <c r="C1654" t="s">
        <v>12</v>
      </c>
      <c r="D1654">
        <v>2.1589999999999999E-3</v>
      </c>
      <c r="E1654">
        <f t="shared" si="50"/>
        <v>1.002159</v>
      </c>
      <c r="F1654" s="1">
        <f t="shared" si="51"/>
        <v>41484</v>
      </c>
      <c r="G1654" cm="1">
        <f t="array" ref="G1654">PRODUCT( _xlfn._xlws.FILTER($E:$E, ($C:$C=C1654)*($F:$F=F1654)) ) - 1</f>
        <v>-2.4827397733971912E-3</v>
      </c>
    </row>
    <row r="1655" spans="1:7" x14ac:dyDescent="0.2">
      <c r="A1655" s="1">
        <v>41486</v>
      </c>
      <c r="B1655">
        <v>0</v>
      </c>
      <c r="C1655" t="s">
        <v>12</v>
      </c>
      <c r="D1655">
        <v>-6.4619999999999999E-3</v>
      </c>
      <c r="E1655">
        <f t="shared" si="50"/>
        <v>0.99353800000000003</v>
      </c>
      <c r="F1655" s="1">
        <f t="shared" si="51"/>
        <v>41484</v>
      </c>
      <c r="G1655" cm="1">
        <f t="array" ref="G1655">PRODUCT( _xlfn._xlws.FILTER($E:$E, ($C:$C=C1655)*($F:$F=F1655)) ) - 1</f>
        <v>-2.4827397733971912E-3</v>
      </c>
    </row>
    <row r="1656" spans="1:7" x14ac:dyDescent="0.2">
      <c r="A1656" s="1">
        <v>41487</v>
      </c>
      <c r="B1656">
        <v>0</v>
      </c>
      <c r="C1656" t="s">
        <v>12</v>
      </c>
      <c r="D1656">
        <v>-8.6719999999999992E-3</v>
      </c>
      <c r="E1656">
        <f t="shared" si="50"/>
        <v>0.99132799999999999</v>
      </c>
      <c r="F1656" s="1">
        <f t="shared" si="51"/>
        <v>41484</v>
      </c>
      <c r="G1656" cm="1">
        <f t="array" ref="G1656">PRODUCT( _xlfn._xlws.FILTER($E:$E, ($C:$C=C1656)*($F:$F=F1656)) ) - 1</f>
        <v>-2.4827397733971912E-3</v>
      </c>
    </row>
    <row r="1657" spans="1:7" x14ac:dyDescent="0.2">
      <c r="A1657" s="1">
        <v>41488</v>
      </c>
      <c r="B1657">
        <v>0</v>
      </c>
      <c r="C1657" t="s">
        <v>12</v>
      </c>
      <c r="D1657">
        <v>4.3740000000000003E-3</v>
      </c>
      <c r="E1657">
        <f t="shared" si="50"/>
        <v>1.0043740000000001</v>
      </c>
      <c r="F1657" s="1">
        <f t="shared" si="51"/>
        <v>41484</v>
      </c>
      <c r="G1657" cm="1">
        <f t="array" ref="G1657">PRODUCT( _xlfn._xlws.FILTER($E:$E, ($C:$C=C1657)*($F:$F=F1657)) ) - 1</f>
        <v>-2.4827397733971912E-3</v>
      </c>
    </row>
    <row r="1658" spans="1:7" x14ac:dyDescent="0.2">
      <c r="A1658" s="1">
        <v>41492</v>
      </c>
      <c r="B1658">
        <v>0</v>
      </c>
      <c r="C1658" t="s">
        <v>12</v>
      </c>
      <c r="D1658">
        <v>-1.2442E-2</v>
      </c>
      <c r="E1658">
        <f t="shared" si="50"/>
        <v>0.98755800000000005</v>
      </c>
      <c r="F1658" s="1">
        <f t="shared" si="51"/>
        <v>41491</v>
      </c>
      <c r="G1658" cm="1">
        <f t="array" ref="G1658">PRODUCT( _xlfn._xlws.FILTER($E:$E, ($C:$C=C1658)*($F:$F=F1658)) ) - 1</f>
        <v>-1.2753342010540569E-2</v>
      </c>
    </row>
    <row r="1659" spans="1:7" x14ac:dyDescent="0.2">
      <c r="A1659" s="1">
        <v>41493</v>
      </c>
      <c r="B1659">
        <v>0</v>
      </c>
      <c r="C1659" t="s">
        <v>12</v>
      </c>
      <c r="D1659">
        <v>8.1890000000000001E-3</v>
      </c>
      <c r="E1659">
        <f t="shared" si="50"/>
        <v>1.008189</v>
      </c>
      <c r="F1659" s="1">
        <f t="shared" si="51"/>
        <v>41491</v>
      </c>
      <c r="G1659" cm="1">
        <f t="array" ref="G1659">PRODUCT( _xlfn._xlws.FILTER($E:$E, ($C:$C=C1659)*($F:$F=F1659)) ) - 1</f>
        <v>-1.2753342010540569E-2</v>
      </c>
    </row>
    <row r="1660" spans="1:7" x14ac:dyDescent="0.2">
      <c r="A1660" s="1">
        <v>41494</v>
      </c>
      <c r="B1660">
        <v>0</v>
      </c>
      <c r="C1660" t="s">
        <v>12</v>
      </c>
      <c r="D1660">
        <v>-6.8729999999999998E-3</v>
      </c>
      <c r="E1660">
        <f t="shared" si="50"/>
        <v>0.99312699999999998</v>
      </c>
      <c r="F1660" s="1">
        <f t="shared" si="51"/>
        <v>41491</v>
      </c>
      <c r="G1660" cm="1">
        <f t="array" ref="G1660">PRODUCT( _xlfn._xlws.FILTER($E:$E, ($C:$C=C1660)*($F:$F=F1660)) ) - 1</f>
        <v>-1.2753342010540569E-2</v>
      </c>
    </row>
    <row r="1661" spans="1:7" x14ac:dyDescent="0.2">
      <c r="A1661" s="1">
        <v>41495</v>
      </c>
      <c r="B1661">
        <v>0</v>
      </c>
      <c r="C1661" t="s">
        <v>12</v>
      </c>
      <c r="D1661">
        <v>-1.573E-3</v>
      </c>
      <c r="E1661">
        <f t="shared" si="50"/>
        <v>0.99842699999999995</v>
      </c>
      <c r="F1661" s="1">
        <f t="shared" si="51"/>
        <v>41491</v>
      </c>
      <c r="G1661" cm="1">
        <f t="array" ref="G1661">PRODUCT( _xlfn._xlws.FILTER($E:$E, ($C:$C=C1661)*($F:$F=F1661)) ) - 1</f>
        <v>-1.2753342010540569E-2</v>
      </c>
    </row>
    <row r="1662" spans="1:7" x14ac:dyDescent="0.2">
      <c r="A1662" s="1">
        <v>41498</v>
      </c>
      <c r="B1662">
        <v>0</v>
      </c>
      <c r="C1662" t="s">
        <v>12</v>
      </c>
      <c r="D1662">
        <v>1.2600000000000001E-3</v>
      </c>
      <c r="E1662">
        <f t="shared" si="50"/>
        <v>1.00126</v>
      </c>
      <c r="F1662" s="1">
        <f t="shared" si="51"/>
        <v>41498</v>
      </c>
      <c r="G1662" cm="1">
        <f t="array" ref="G1662">PRODUCT( _xlfn._xlws.FILTER($E:$E, ($C:$C=C1662)*($F:$F=F1662)) ) - 1</f>
        <v>-6.9008625284094904E-3</v>
      </c>
    </row>
    <row r="1663" spans="1:7" x14ac:dyDescent="0.2">
      <c r="A1663" s="1">
        <v>41499</v>
      </c>
      <c r="B1663">
        <v>0</v>
      </c>
      <c r="C1663" t="s">
        <v>12</v>
      </c>
      <c r="D1663">
        <v>-6.293E-3</v>
      </c>
      <c r="E1663">
        <f t="shared" si="50"/>
        <v>0.99370700000000001</v>
      </c>
      <c r="F1663" s="1">
        <f t="shared" si="51"/>
        <v>41498</v>
      </c>
      <c r="G1663" cm="1">
        <f t="array" ref="G1663">PRODUCT( _xlfn._xlws.FILTER($E:$E, ($C:$C=C1663)*($F:$F=F1663)) ) - 1</f>
        <v>-6.9008625284094904E-3</v>
      </c>
    </row>
    <row r="1664" spans="1:7" x14ac:dyDescent="0.2">
      <c r="A1664" s="1">
        <v>41500</v>
      </c>
      <c r="B1664">
        <v>0</v>
      </c>
      <c r="C1664" t="s">
        <v>12</v>
      </c>
      <c r="D1664">
        <v>-5.0670000000000003E-3</v>
      </c>
      <c r="E1664">
        <f t="shared" si="50"/>
        <v>0.99493299999999996</v>
      </c>
      <c r="F1664" s="1">
        <f t="shared" si="51"/>
        <v>41498</v>
      </c>
      <c r="G1664" cm="1">
        <f t="array" ref="G1664">PRODUCT( _xlfn._xlws.FILTER($E:$E, ($C:$C=C1664)*($F:$F=F1664)) ) - 1</f>
        <v>-6.9008625284094904E-3</v>
      </c>
    </row>
    <row r="1665" spans="1:7" x14ac:dyDescent="0.2">
      <c r="A1665" s="1">
        <v>41501</v>
      </c>
      <c r="B1665">
        <v>0</v>
      </c>
      <c r="C1665" t="s">
        <v>12</v>
      </c>
      <c r="D1665">
        <v>3.21E-4</v>
      </c>
      <c r="E1665">
        <f t="shared" si="50"/>
        <v>1.000321</v>
      </c>
      <c r="F1665" s="1">
        <f t="shared" si="51"/>
        <v>41498</v>
      </c>
      <c r="G1665" cm="1">
        <f t="array" ref="G1665">PRODUCT( _xlfn._xlws.FILTER($E:$E, ($C:$C=C1665)*($F:$F=F1665)) ) - 1</f>
        <v>-6.9008625284094904E-3</v>
      </c>
    </row>
    <row r="1666" spans="1:7" x14ac:dyDescent="0.2">
      <c r="A1666" s="1">
        <v>41502</v>
      </c>
      <c r="B1666">
        <v>0</v>
      </c>
      <c r="C1666" t="s">
        <v>12</v>
      </c>
      <c r="D1666">
        <v>2.892E-3</v>
      </c>
      <c r="E1666">
        <f t="shared" si="50"/>
        <v>1.0028919999999999</v>
      </c>
      <c r="F1666" s="1">
        <f t="shared" si="51"/>
        <v>41498</v>
      </c>
      <c r="G1666" cm="1">
        <f t="array" ref="G1666">PRODUCT( _xlfn._xlws.FILTER($E:$E, ($C:$C=C1666)*($F:$F=F1666)) ) - 1</f>
        <v>-6.9008625284094904E-3</v>
      </c>
    </row>
    <row r="1667" spans="1:7" x14ac:dyDescent="0.2">
      <c r="A1667" s="1">
        <v>41505</v>
      </c>
      <c r="B1667">
        <v>0</v>
      </c>
      <c r="C1667" t="s">
        <v>12</v>
      </c>
      <c r="D1667">
        <v>-2.307E-2</v>
      </c>
      <c r="E1667">
        <f t="shared" si="50"/>
        <v>0.97692999999999997</v>
      </c>
      <c r="F1667" s="1">
        <f t="shared" si="51"/>
        <v>41505</v>
      </c>
      <c r="G1667" cm="1">
        <f t="array" ref="G1667">PRODUCT( _xlfn._xlws.FILTER($E:$E, ($C:$C=C1667)*($F:$F=F1667)) ) - 1</f>
        <v>-2.3711229721562477E-2</v>
      </c>
    </row>
    <row r="1668" spans="1:7" x14ac:dyDescent="0.2">
      <c r="A1668" s="1">
        <v>41506</v>
      </c>
      <c r="B1668">
        <v>0</v>
      </c>
      <c r="C1668" t="s">
        <v>12</v>
      </c>
      <c r="D1668">
        <v>7.5430000000000002E-3</v>
      </c>
      <c r="E1668">
        <f t="shared" ref="E1668:E1731" si="52">D1668+1</f>
        <v>1.0075430000000001</v>
      </c>
      <c r="F1668" s="1">
        <f t="shared" ref="F1668:F1731" si="53">A1668 - (WEEKDAY(A1668, 2) - 1)</f>
        <v>41505</v>
      </c>
      <c r="G1668" cm="1">
        <f t="array" ref="G1668">PRODUCT( _xlfn._xlws.FILTER($E:$E, ($C:$C=C1668)*($F:$F=F1668)) ) - 1</f>
        <v>-2.3711229721562477E-2</v>
      </c>
    </row>
    <row r="1669" spans="1:7" x14ac:dyDescent="0.2">
      <c r="A1669" s="1">
        <v>41507</v>
      </c>
      <c r="B1669">
        <v>0</v>
      </c>
      <c r="C1669" t="s">
        <v>12</v>
      </c>
      <c r="D1669">
        <v>-9.1149999999999998E-3</v>
      </c>
      <c r="E1669">
        <f t="shared" si="52"/>
        <v>0.99088500000000002</v>
      </c>
      <c r="F1669" s="1">
        <f t="shared" si="53"/>
        <v>41505</v>
      </c>
      <c r="G1669" cm="1">
        <f t="array" ref="G1669">PRODUCT( _xlfn._xlws.FILTER($E:$E, ($C:$C=C1669)*($F:$F=F1669)) ) - 1</f>
        <v>-2.3711229721562477E-2</v>
      </c>
    </row>
    <row r="1670" spans="1:7" x14ac:dyDescent="0.2">
      <c r="A1670" s="1">
        <v>41508</v>
      </c>
      <c r="B1670">
        <v>0</v>
      </c>
      <c r="C1670" t="s">
        <v>12</v>
      </c>
      <c r="D1670">
        <v>0</v>
      </c>
      <c r="E1670">
        <f t="shared" si="52"/>
        <v>1</v>
      </c>
      <c r="F1670" s="1">
        <f t="shared" si="53"/>
        <v>41505</v>
      </c>
      <c r="G1670" cm="1">
        <f t="array" ref="G1670">PRODUCT( _xlfn._xlws.FILTER($E:$E, ($C:$C=C1670)*($F:$F=F1670)) ) - 1</f>
        <v>-2.3711229721562477E-2</v>
      </c>
    </row>
    <row r="1671" spans="1:7" x14ac:dyDescent="0.2">
      <c r="A1671" s="1">
        <v>41509</v>
      </c>
      <c r="B1671">
        <v>0</v>
      </c>
      <c r="C1671" t="s">
        <v>12</v>
      </c>
      <c r="D1671">
        <v>9.859999999999999E-4</v>
      </c>
      <c r="E1671">
        <f t="shared" si="52"/>
        <v>1.0009859999999999</v>
      </c>
      <c r="F1671" s="1">
        <f t="shared" si="53"/>
        <v>41505</v>
      </c>
      <c r="G1671" cm="1">
        <f t="array" ref="G1671">PRODUCT( _xlfn._xlws.FILTER($E:$E, ($C:$C=C1671)*($F:$F=F1671)) ) - 1</f>
        <v>-2.3711229721562477E-2</v>
      </c>
    </row>
    <row r="1672" spans="1:7" x14ac:dyDescent="0.2">
      <c r="A1672" s="1">
        <v>41512</v>
      </c>
      <c r="B1672">
        <v>0</v>
      </c>
      <c r="C1672" t="s">
        <v>12</v>
      </c>
      <c r="D1672">
        <v>-1.0174000000000001E-2</v>
      </c>
      <c r="E1672">
        <f t="shared" si="52"/>
        <v>0.98982599999999998</v>
      </c>
      <c r="F1672" s="1">
        <f t="shared" si="53"/>
        <v>41512</v>
      </c>
      <c r="G1672" cm="1">
        <f t="array" ref="G1672">PRODUCT( _xlfn._xlws.FILTER($E:$E, ($C:$C=C1672)*($F:$F=F1672)) ) - 1</f>
        <v>-3.9388028119800023E-3</v>
      </c>
    </row>
    <row r="1673" spans="1:7" x14ac:dyDescent="0.2">
      <c r="A1673" s="1">
        <v>41513</v>
      </c>
      <c r="B1673">
        <v>0</v>
      </c>
      <c r="C1673" t="s">
        <v>12</v>
      </c>
      <c r="D1673">
        <v>-4.6420000000000003E-3</v>
      </c>
      <c r="E1673">
        <f t="shared" si="52"/>
        <v>0.99535799999999997</v>
      </c>
      <c r="F1673" s="1">
        <f t="shared" si="53"/>
        <v>41512</v>
      </c>
      <c r="G1673" cm="1">
        <f t="array" ref="G1673">PRODUCT( _xlfn._xlws.FILTER($E:$E, ($C:$C=C1673)*($F:$F=F1673)) ) - 1</f>
        <v>-3.9388028119800023E-3</v>
      </c>
    </row>
    <row r="1674" spans="1:7" x14ac:dyDescent="0.2">
      <c r="A1674" s="1">
        <v>41514</v>
      </c>
      <c r="B1674">
        <v>0</v>
      </c>
      <c r="C1674" t="s">
        <v>12</v>
      </c>
      <c r="D1674">
        <v>2.6649999999999998E-3</v>
      </c>
      <c r="E1674">
        <f t="shared" si="52"/>
        <v>1.0026649999999999</v>
      </c>
      <c r="F1674" s="1">
        <f t="shared" si="53"/>
        <v>41512</v>
      </c>
      <c r="G1674" cm="1">
        <f t="array" ref="G1674">PRODUCT( _xlfn._xlws.FILTER($E:$E, ($C:$C=C1674)*($F:$F=F1674)) ) - 1</f>
        <v>-3.9388028119800023E-3</v>
      </c>
    </row>
    <row r="1675" spans="1:7" x14ac:dyDescent="0.2">
      <c r="A1675" s="1">
        <v>41515</v>
      </c>
      <c r="B1675">
        <v>0</v>
      </c>
      <c r="C1675" t="s">
        <v>12</v>
      </c>
      <c r="D1675">
        <v>-1.3290000000000001E-3</v>
      </c>
      <c r="E1675">
        <f t="shared" si="52"/>
        <v>0.99867099999999998</v>
      </c>
      <c r="F1675" s="1">
        <f t="shared" si="53"/>
        <v>41512</v>
      </c>
      <c r="G1675" cm="1">
        <f t="array" ref="G1675">PRODUCT( _xlfn._xlws.FILTER($E:$E, ($C:$C=C1675)*($F:$F=F1675)) ) - 1</f>
        <v>-3.9388028119800023E-3</v>
      </c>
    </row>
    <row r="1676" spans="1:7" x14ac:dyDescent="0.2">
      <c r="A1676" s="1">
        <v>41516</v>
      </c>
      <c r="B1676">
        <v>0</v>
      </c>
      <c r="C1676" t="s">
        <v>12</v>
      </c>
      <c r="D1676">
        <v>9.6469999999999993E-3</v>
      </c>
      <c r="E1676">
        <f t="shared" si="52"/>
        <v>1.009647</v>
      </c>
      <c r="F1676" s="1">
        <f t="shared" si="53"/>
        <v>41512</v>
      </c>
      <c r="G1676" cm="1">
        <f t="array" ref="G1676">PRODUCT( _xlfn._xlws.FILTER($E:$E, ($C:$C=C1676)*($F:$F=F1676)) ) - 1</f>
        <v>-3.9388028119800023E-3</v>
      </c>
    </row>
    <row r="1677" spans="1:7" x14ac:dyDescent="0.2">
      <c r="A1677" s="1">
        <v>41520</v>
      </c>
      <c r="B1677">
        <v>0</v>
      </c>
      <c r="C1677" t="s">
        <v>12</v>
      </c>
      <c r="D1677">
        <v>-1.1861999999999999E-2</v>
      </c>
      <c r="E1677">
        <f t="shared" si="52"/>
        <v>0.98813799999999996</v>
      </c>
      <c r="F1677" s="1">
        <f t="shared" si="53"/>
        <v>41519</v>
      </c>
      <c r="G1677" cm="1">
        <f t="array" ref="G1677">PRODUCT( _xlfn._xlws.FILTER($E:$E, ($C:$C=C1677)*($F:$F=F1677)) ) - 1</f>
        <v>1.1861611118493487E-2</v>
      </c>
    </row>
    <row r="1678" spans="1:7" x14ac:dyDescent="0.2">
      <c r="A1678" s="1">
        <v>41521</v>
      </c>
      <c r="B1678">
        <v>0</v>
      </c>
      <c r="C1678" t="s">
        <v>12</v>
      </c>
      <c r="D1678">
        <v>7.6689999999999996E-3</v>
      </c>
      <c r="E1678">
        <f t="shared" si="52"/>
        <v>1.0076689999999999</v>
      </c>
      <c r="F1678" s="1">
        <f t="shared" si="53"/>
        <v>41519</v>
      </c>
      <c r="G1678" cm="1">
        <f t="array" ref="G1678">PRODUCT( _xlfn._xlws.FILTER($E:$E, ($C:$C=C1678)*($F:$F=F1678)) ) - 1</f>
        <v>1.1861611118493487E-2</v>
      </c>
    </row>
    <row r="1679" spans="1:7" x14ac:dyDescent="0.2">
      <c r="A1679" s="1">
        <v>41522</v>
      </c>
      <c r="B1679">
        <v>0</v>
      </c>
      <c r="C1679" t="s">
        <v>12</v>
      </c>
      <c r="D1679">
        <v>1.1582E-2</v>
      </c>
      <c r="E1679">
        <f t="shared" si="52"/>
        <v>1.011582</v>
      </c>
      <c r="F1679" s="1">
        <f t="shared" si="53"/>
        <v>41519</v>
      </c>
      <c r="G1679" cm="1">
        <f t="array" ref="G1679">PRODUCT( _xlfn._xlws.FILTER($E:$E, ($C:$C=C1679)*($F:$F=F1679)) ) - 1</f>
        <v>1.1861611118493487E-2</v>
      </c>
    </row>
    <row r="1680" spans="1:7" x14ac:dyDescent="0.2">
      <c r="A1680" s="1">
        <v>41523</v>
      </c>
      <c r="B1680">
        <v>0</v>
      </c>
      <c r="C1680" t="s">
        <v>12</v>
      </c>
      <c r="D1680">
        <v>4.5799999999999999E-3</v>
      </c>
      <c r="E1680">
        <f t="shared" si="52"/>
        <v>1.00458</v>
      </c>
      <c r="F1680" s="1">
        <f t="shared" si="53"/>
        <v>41519</v>
      </c>
      <c r="G1680" cm="1">
        <f t="array" ref="G1680">PRODUCT( _xlfn._xlws.FILTER($E:$E, ($C:$C=C1680)*($F:$F=F1680)) ) - 1</f>
        <v>1.1861611118493487E-2</v>
      </c>
    </row>
    <row r="1681" spans="1:7" x14ac:dyDescent="0.2">
      <c r="A1681" s="1">
        <v>41526</v>
      </c>
      <c r="B1681">
        <v>0</v>
      </c>
      <c r="C1681" t="s">
        <v>12</v>
      </c>
      <c r="D1681">
        <v>-9.1170000000000001E-3</v>
      </c>
      <c r="E1681">
        <f t="shared" si="52"/>
        <v>0.99088299999999996</v>
      </c>
      <c r="F1681" s="1">
        <f t="shared" si="53"/>
        <v>41526</v>
      </c>
      <c r="G1681" cm="1">
        <f t="array" ref="G1681">PRODUCT( _xlfn._xlws.FILTER($E:$E, ($C:$C=C1681)*($F:$F=F1681)) ) - 1</f>
        <v>-2.2794192905133959E-2</v>
      </c>
    </row>
    <row r="1682" spans="1:7" x14ac:dyDescent="0.2">
      <c r="A1682" s="1">
        <v>41527</v>
      </c>
      <c r="B1682">
        <v>0</v>
      </c>
      <c r="C1682" t="s">
        <v>12</v>
      </c>
      <c r="D1682">
        <v>-9.8589999999999997E-3</v>
      </c>
      <c r="E1682">
        <f t="shared" si="52"/>
        <v>0.99014100000000005</v>
      </c>
      <c r="F1682" s="1">
        <f t="shared" si="53"/>
        <v>41526</v>
      </c>
      <c r="G1682" cm="1">
        <f t="array" ref="G1682">PRODUCT( _xlfn._xlws.FILTER($E:$E, ($C:$C=C1682)*($F:$F=F1682)) ) - 1</f>
        <v>-2.2794192905133959E-2</v>
      </c>
    </row>
    <row r="1683" spans="1:7" x14ac:dyDescent="0.2">
      <c r="A1683" s="1">
        <v>41528</v>
      </c>
      <c r="B1683">
        <v>0</v>
      </c>
      <c r="C1683" t="s">
        <v>12</v>
      </c>
      <c r="D1683">
        <v>6.306E-3</v>
      </c>
      <c r="E1683">
        <f t="shared" si="52"/>
        <v>1.0063059999999999</v>
      </c>
      <c r="F1683" s="1">
        <f t="shared" si="53"/>
        <v>41526</v>
      </c>
      <c r="G1683" cm="1">
        <f t="array" ref="G1683">PRODUCT( _xlfn._xlws.FILTER($E:$E, ($C:$C=C1683)*($F:$F=F1683)) ) - 1</f>
        <v>-2.2794192905133959E-2</v>
      </c>
    </row>
    <row r="1684" spans="1:7" x14ac:dyDescent="0.2">
      <c r="A1684" s="1">
        <v>41529</v>
      </c>
      <c r="B1684">
        <v>0</v>
      </c>
      <c r="C1684" t="s">
        <v>12</v>
      </c>
      <c r="D1684">
        <v>-7.5859999999999999E-3</v>
      </c>
      <c r="E1684">
        <f t="shared" si="52"/>
        <v>0.99241400000000002</v>
      </c>
      <c r="F1684" s="1">
        <f t="shared" si="53"/>
        <v>41526</v>
      </c>
      <c r="G1684" cm="1">
        <f t="array" ref="G1684">PRODUCT( _xlfn._xlws.FILTER($E:$E, ($C:$C=C1684)*($F:$F=F1684)) ) - 1</f>
        <v>-2.2794192905133959E-2</v>
      </c>
    </row>
    <row r="1685" spans="1:7" x14ac:dyDescent="0.2">
      <c r="A1685" s="1">
        <v>41530</v>
      </c>
      <c r="B1685">
        <v>0</v>
      </c>
      <c r="C1685" t="s">
        <v>12</v>
      </c>
      <c r="D1685">
        <v>-2.6589999999999999E-3</v>
      </c>
      <c r="E1685">
        <f t="shared" si="52"/>
        <v>0.99734100000000003</v>
      </c>
      <c r="F1685" s="1">
        <f t="shared" si="53"/>
        <v>41526</v>
      </c>
      <c r="G1685" cm="1">
        <f t="array" ref="G1685">PRODUCT( _xlfn._xlws.FILTER($E:$E, ($C:$C=C1685)*($F:$F=F1685)) ) - 1</f>
        <v>-2.2794192905133959E-2</v>
      </c>
    </row>
    <row r="1686" spans="1:7" x14ac:dyDescent="0.2">
      <c r="A1686" s="1">
        <v>41533</v>
      </c>
      <c r="B1686">
        <v>0</v>
      </c>
      <c r="C1686" t="s">
        <v>12</v>
      </c>
      <c r="D1686">
        <v>1.2996000000000001E-2</v>
      </c>
      <c r="E1686">
        <f t="shared" si="52"/>
        <v>1.012996</v>
      </c>
      <c r="F1686" s="1">
        <f t="shared" si="53"/>
        <v>41533</v>
      </c>
      <c r="G1686" cm="1">
        <f t="array" ref="G1686">PRODUCT( _xlfn._xlws.FILTER($E:$E, ($C:$C=C1686)*($F:$F=F1686)) ) - 1</f>
        <v>4.8317841604937684E-2</v>
      </c>
    </row>
    <row r="1687" spans="1:7" x14ac:dyDescent="0.2">
      <c r="A1687" s="1">
        <v>41534</v>
      </c>
      <c r="B1687">
        <v>0</v>
      </c>
      <c r="C1687" t="s">
        <v>12</v>
      </c>
      <c r="D1687">
        <v>1.3159999999999999E-3</v>
      </c>
      <c r="E1687">
        <f t="shared" si="52"/>
        <v>1.0013160000000001</v>
      </c>
      <c r="F1687" s="1">
        <f t="shared" si="53"/>
        <v>41533</v>
      </c>
      <c r="G1687" cm="1">
        <f t="array" ref="G1687">PRODUCT( _xlfn._xlws.FILTER($E:$E, ($C:$C=C1687)*($F:$F=F1687)) ) - 1</f>
        <v>4.8317841604937684E-2</v>
      </c>
    </row>
    <row r="1688" spans="1:7" x14ac:dyDescent="0.2">
      <c r="A1688" s="1">
        <v>41535</v>
      </c>
      <c r="B1688">
        <v>0</v>
      </c>
      <c r="C1688" t="s">
        <v>12</v>
      </c>
      <c r="D1688">
        <v>1.4455000000000001E-2</v>
      </c>
      <c r="E1688">
        <f t="shared" si="52"/>
        <v>1.0144550000000001</v>
      </c>
      <c r="F1688" s="1">
        <f t="shared" si="53"/>
        <v>41533</v>
      </c>
      <c r="G1688" cm="1">
        <f t="array" ref="G1688">PRODUCT( _xlfn._xlws.FILTER($E:$E, ($C:$C=C1688)*($F:$F=F1688)) ) - 1</f>
        <v>4.8317841604937684E-2</v>
      </c>
    </row>
    <row r="1689" spans="1:7" x14ac:dyDescent="0.2">
      <c r="A1689" s="1">
        <v>41536</v>
      </c>
      <c r="B1689">
        <v>0</v>
      </c>
      <c r="C1689" t="s">
        <v>12</v>
      </c>
      <c r="D1689">
        <v>1.1658E-2</v>
      </c>
      <c r="E1689">
        <f t="shared" si="52"/>
        <v>1.0116579999999999</v>
      </c>
      <c r="F1689" s="1">
        <f t="shared" si="53"/>
        <v>41533</v>
      </c>
      <c r="G1689" cm="1">
        <f t="array" ref="G1689">PRODUCT( _xlfn._xlws.FILTER($E:$E, ($C:$C=C1689)*($F:$F=F1689)) ) - 1</f>
        <v>4.8317841604937684E-2</v>
      </c>
    </row>
    <row r="1690" spans="1:7" x14ac:dyDescent="0.2">
      <c r="A1690" s="1">
        <v>41537</v>
      </c>
      <c r="B1690">
        <v>0</v>
      </c>
      <c r="C1690" t="s">
        <v>12</v>
      </c>
      <c r="D1690">
        <v>7.0419999999999996E-3</v>
      </c>
      <c r="E1690">
        <f t="shared" si="52"/>
        <v>1.007042</v>
      </c>
      <c r="F1690" s="1">
        <f t="shared" si="53"/>
        <v>41533</v>
      </c>
      <c r="G1690" cm="1">
        <f t="array" ref="G1690">PRODUCT( _xlfn._xlws.FILTER($E:$E, ($C:$C=C1690)*($F:$F=F1690)) ) - 1</f>
        <v>4.8317841604937684E-2</v>
      </c>
    </row>
    <row r="1691" spans="1:7" x14ac:dyDescent="0.2">
      <c r="A1691" s="1">
        <v>41540</v>
      </c>
      <c r="B1691">
        <v>0</v>
      </c>
      <c r="C1691" t="s">
        <v>12</v>
      </c>
      <c r="D1691">
        <v>-8.2640000000000005E-3</v>
      </c>
      <c r="E1691">
        <f t="shared" si="52"/>
        <v>0.99173599999999995</v>
      </c>
      <c r="F1691" s="1">
        <f t="shared" si="53"/>
        <v>41540</v>
      </c>
      <c r="G1691" cm="1">
        <f t="array" ref="G1691">PRODUCT( _xlfn._xlws.FILTER($E:$E, ($C:$C=C1691)*($F:$F=F1691)) ) - 1</f>
        <v>-4.4490723024821488E-3</v>
      </c>
    </row>
    <row r="1692" spans="1:7" x14ac:dyDescent="0.2">
      <c r="A1692" s="1">
        <v>41541</v>
      </c>
      <c r="B1692">
        <v>0</v>
      </c>
      <c r="C1692" t="s">
        <v>12</v>
      </c>
      <c r="D1692">
        <v>6.0899999999999999E-3</v>
      </c>
      <c r="E1692">
        <f t="shared" si="52"/>
        <v>1.0060899999999999</v>
      </c>
      <c r="F1692" s="1">
        <f t="shared" si="53"/>
        <v>41540</v>
      </c>
      <c r="G1692" cm="1">
        <f t="array" ref="G1692">PRODUCT( _xlfn._xlws.FILTER($E:$E, ($C:$C=C1692)*($F:$F=F1692)) ) - 1</f>
        <v>-4.4490723024821488E-3</v>
      </c>
    </row>
    <row r="1693" spans="1:7" x14ac:dyDescent="0.2">
      <c r="A1693" s="1">
        <v>41542</v>
      </c>
      <c r="B1693">
        <v>0</v>
      </c>
      <c r="C1693" t="s">
        <v>12</v>
      </c>
      <c r="D1693">
        <v>-1.9109999999999999E-3</v>
      </c>
      <c r="E1693">
        <f t="shared" si="52"/>
        <v>0.998089</v>
      </c>
      <c r="F1693" s="1">
        <f t="shared" si="53"/>
        <v>41540</v>
      </c>
      <c r="G1693" cm="1">
        <f t="array" ref="G1693">PRODUCT( _xlfn._xlws.FILTER($E:$E, ($C:$C=C1693)*($F:$F=F1693)) ) - 1</f>
        <v>-4.4490723024821488E-3</v>
      </c>
    </row>
    <row r="1694" spans="1:7" x14ac:dyDescent="0.2">
      <c r="A1694" s="1">
        <v>41543</v>
      </c>
      <c r="B1694">
        <v>0</v>
      </c>
      <c r="C1694" t="s">
        <v>12</v>
      </c>
      <c r="D1694">
        <v>2.5530000000000001E-3</v>
      </c>
      <c r="E1694">
        <f t="shared" si="52"/>
        <v>1.002553</v>
      </c>
      <c r="F1694" s="1">
        <f t="shared" si="53"/>
        <v>41540</v>
      </c>
      <c r="G1694" cm="1">
        <f t="array" ref="G1694">PRODUCT( _xlfn._xlws.FILTER($E:$E, ($C:$C=C1694)*($F:$F=F1694)) ) - 1</f>
        <v>-4.4490723024821488E-3</v>
      </c>
    </row>
    <row r="1695" spans="1:7" x14ac:dyDescent="0.2">
      <c r="A1695" s="1">
        <v>41544</v>
      </c>
      <c r="B1695">
        <v>0</v>
      </c>
      <c r="C1695" t="s">
        <v>12</v>
      </c>
      <c r="D1695">
        <v>-2.8649999999999999E-3</v>
      </c>
      <c r="E1695">
        <f t="shared" si="52"/>
        <v>0.99713499999999999</v>
      </c>
      <c r="F1695" s="1">
        <f t="shared" si="53"/>
        <v>41540</v>
      </c>
      <c r="G1695" cm="1">
        <f t="array" ref="G1695">PRODUCT( _xlfn._xlws.FILTER($E:$E, ($C:$C=C1695)*($F:$F=F1695)) ) - 1</f>
        <v>-4.4490723024821488E-3</v>
      </c>
    </row>
    <row r="1696" spans="1:7" x14ac:dyDescent="0.2">
      <c r="A1696" s="1">
        <v>41547</v>
      </c>
      <c r="B1696">
        <v>0</v>
      </c>
      <c r="C1696" t="s">
        <v>12</v>
      </c>
      <c r="D1696">
        <v>-9.5799999999999998E-4</v>
      </c>
      <c r="E1696">
        <f t="shared" si="52"/>
        <v>0.99904199999999999</v>
      </c>
      <c r="F1696" s="1">
        <f t="shared" si="53"/>
        <v>41547</v>
      </c>
      <c r="G1696" cm="1">
        <f t="array" ref="G1696">PRODUCT( _xlfn._xlws.FILTER($E:$E, ($C:$C=C1696)*($F:$F=F1696)) ) - 1</f>
        <v>-1.1813300365490886E-2</v>
      </c>
    </row>
    <row r="1697" spans="1:7" x14ac:dyDescent="0.2">
      <c r="A1697" s="1">
        <v>41548</v>
      </c>
      <c r="B1697">
        <v>0</v>
      </c>
      <c r="C1697" t="s">
        <v>12</v>
      </c>
      <c r="D1697">
        <v>1.2784E-2</v>
      </c>
      <c r="E1697">
        <f t="shared" si="52"/>
        <v>1.0127839999999999</v>
      </c>
      <c r="F1697" s="1">
        <f t="shared" si="53"/>
        <v>41547</v>
      </c>
      <c r="G1697" cm="1">
        <f t="array" ref="G1697">PRODUCT( _xlfn._xlws.FILTER($E:$E, ($C:$C=C1697)*($F:$F=F1697)) ) - 1</f>
        <v>-1.1813300365490886E-2</v>
      </c>
    </row>
    <row r="1698" spans="1:7" x14ac:dyDescent="0.2">
      <c r="A1698" s="1">
        <v>41549</v>
      </c>
      <c r="B1698">
        <v>0</v>
      </c>
      <c r="C1698" t="s">
        <v>12</v>
      </c>
      <c r="D1698">
        <v>4.1019999999999997E-3</v>
      </c>
      <c r="E1698">
        <f t="shared" si="52"/>
        <v>1.0041020000000001</v>
      </c>
      <c r="F1698" s="1">
        <f t="shared" si="53"/>
        <v>41547</v>
      </c>
      <c r="G1698" cm="1">
        <f t="array" ref="G1698">PRODUCT( _xlfn._xlws.FILTER($E:$E, ($C:$C=C1698)*($F:$F=F1698)) ) - 1</f>
        <v>-1.1813300365490886E-2</v>
      </c>
    </row>
    <row r="1699" spans="1:7" x14ac:dyDescent="0.2">
      <c r="A1699" s="1">
        <v>41550</v>
      </c>
      <c r="B1699">
        <v>0</v>
      </c>
      <c r="C1699" t="s">
        <v>12</v>
      </c>
      <c r="D1699">
        <v>-1.7912999999999998E-2</v>
      </c>
      <c r="E1699">
        <f t="shared" si="52"/>
        <v>0.98208700000000004</v>
      </c>
      <c r="F1699" s="1">
        <f t="shared" si="53"/>
        <v>41547</v>
      </c>
      <c r="G1699" cm="1">
        <f t="array" ref="G1699">PRODUCT( _xlfn._xlws.FILTER($E:$E, ($C:$C=C1699)*($F:$F=F1699)) ) - 1</f>
        <v>-1.1813300365490886E-2</v>
      </c>
    </row>
    <row r="1700" spans="1:7" x14ac:dyDescent="0.2">
      <c r="A1700" s="1">
        <v>41551</v>
      </c>
      <c r="B1700">
        <v>0</v>
      </c>
      <c r="C1700" t="s">
        <v>12</v>
      </c>
      <c r="D1700">
        <v>-9.5999999999999992E-3</v>
      </c>
      <c r="E1700">
        <f t="shared" si="52"/>
        <v>0.99039999999999995</v>
      </c>
      <c r="F1700" s="1">
        <f t="shared" si="53"/>
        <v>41547</v>
      </c>
      <c r="G1700" cm="1">
        <f t="array" ref="G1700">PRODUCT( _xlfn._xlws.FILTER($E:$E, ($C:$C=C1700)*($F:$F=F1700)) ) - 1</f>
        <v>-1.1813300365490886E-2</v>
      </c>
    </row>
    <row r="1701" spans="1:7" x14ac:dyDescent="0.2">
      <c r="A1701" s="1">
        <v>41554</v>
      </c>
      <c r="B1701">
        <v>0</v>
      </c>
      <c r="C1701" t="s">
        <v>12</v>
      </c>
      <c r="D1701">
        <v>3.2299999999999999E-4</v>
      </c>
      <c r="E1701">
        <f t="shared" si="52"/>
        <v>1.0003230000000001</v>
      </c>
      <c r="F1701" s="1">
        <f t="shared" si="53"/>
        <v>41554</v>
      </c>
      <c r="G1701" cm="1">
        <f t="array" ref="G1701">PRODUCT( _xlfn._xlws.FILTER($E:$E, ($C:$C=C1701)*($F:$F=F1701)) ) - 1</f>
        <v>2.4554876399546455E-2</v>
      </c>
    </row>
    <row r="1702" spans="1:7" x14ac:dyDescent="0.2">
      <c r="A1702" s="1">
        <v>41555</v>
      </c>
      <c r="B1702">
        <v>0</v>
      </c>
      <c r="C1702" t="s">
        <v>12</v>
      </c>
      <c r="D1702">
        <v>-6.4599999999999998E-4</v>
      </c>
      <c r="E1702">
        <f t="shared" si="52"/>
        <v>0.99935399999999996</v>
      </c>
      <c r="F1702" s="1">
        <f t="shared" si="53"/>
        <v>41554</v>
      </c>
      <c r="G1702" cm="1">
        <f t="array" ref="G1702">PRODUCT( _xlfn._xlws.FILTER($E:$E, ($C:$C=C1702)*($F:$F=F1702)) ) - 1</f>
        <v>2.4554876399546455E-2</v>
      </c>
    </row>
    <row r="1703" spans="1:7" x14ac:dyDescent="0.2">
      <c r="A1703" s="1">
        <v>41556</v>
      </c>
      <c r="B1703">
        <v>0</v>
      </c>
      <c r="C1703" t="s">
        <v>12</v>
      </c>
      <c r="D1703">
        <v>-9.7000000000000005E-4</v>
      </c>
      <c r="E1703">
        <f t="shared" si="52"/>
        <v>0.99902999999999997</v>
      </c>
      <c r="F1703" s="1">
        <f t="shared" si="53"/>
        <v>41554</v>
      </c>
      <c r="G1703" cm="1">
        <f t="array" ref="G1703">PRODUCT( _xlfn._xlws.FILTER($E:$E, ($C:$C=C1703)*($F:$F=F1703)) ) - 1</f>
        <v>2.4554876399546455E-2</v>
      </c>
    </row>
    <row r="1704" spans="1:7" x14ac:dyDescent="0.2">
      <c r="A1704" s="1">
        <v>41557</v>
      </c>
      <c r="B1704">
        <v>0</v>
      </c>
      <c r="C1704" t="s">
        <v>12</v>
      </c>
      <c r="D1704">
        <v>1.3911E-2</v>
      </c>
      <c r="E1704">
        <f t="shared" si="52"/>
        <v>1.013911</v>
      </c>
      <c r="F1704" s="1">
        <f t="shared" si="53"/>
        <v>41554</v>
      </c>
      <c r="G1704" cm="1">
        <f t="array" ref="G1704">PRODUCT( _xlfn._xlws.FILTER($E:$E, ($C:$C=C1704)*($F:$F=F1704)) ) - 1</f>
        <v>2.4554876399546455E-2</v>
      </c>
    </row>
    <row r="1705" spans="1:7" x14ac:dyDescent="0.2">
      <c r="A1705" s="1">
        <v>41558</v>
      </c>
      <c r="B1705">
        <v>0</v>
      </c>
      <c r="C1705" t="s">
        <v>12</v>
      </c>
      <c r="D1705">
        <v>1.1806000000000001E-2</v>
      </c>
      <c r="E1705">
        <f t="shared" si="52"/>
        <v>1.011806</v>
      </c>
      <c r="F1705" s="1">
        <f t="shared" si="53"/>
        <v>41554</v>
      </c>
      <c r="G1705" cm="1">
        <f t="array" ref="G1705">PRODUCT( _xlfn._xlws.FILTER($E:$E, ($C:$C=C1705)*($F:$F=F1705)) ) - 1</f>
        <v>2.4554876399546455E-2</v>
      </c>
    </row>
    <row r="1706" spans="1:7" x14ac:dyDescent="0.2">
      <c r="A1706" s="1">
        <v>41562</v>
      </c>
      <c r="B1706">
        <v>0</v>
      </c>
      <c r="C1706" t="s">
        <v>12</v>
      </c>
      <c r="D1706">
        <v>-5.3610000000000003E-3</v>
      </c>
      <c r="E1706">
        <f t="shared" si="52"/>
        <v>0.99463900000000005</v>
      </c>
      <c r="F1706" s="1">
        <f t="shared" si="53"/>
        <v>41561</v>
      </c>
      <c r="G1706" cm="1">
        <f t="array" ref="G1706">PRODUCT( _xlfn._xlws.FILTER($E:$E, ($C:$C=C1706)*($F:$F=F1706)) ) - 1</f>
        <v>9.4612480498632578E-3</v>
      </c>
    </row>
    <row r="1707" spans="1:7" x14ac:dyDescent="0.2">
      <c r="A1707" s="1">
        <v>41563</v>
      </c>
      <c r="B1707">
        <v>0</v>
      </c>
      <c r="C1707" t="s">
        <v>12</v>
      </c>
      <c r="D1707">
        <v>2.5360000000000001E-3</v>
      </c>
      <c r="E1707">
        <f t="shared" si="52"/>
        <v>1.0025360000000001</v>
      </c>
      <c r="F1707" s="1">
        <f t="shared" si="53"/>
        <v>41561</v>
      </c>
      <c r="G1707" cm="1">
        <f t="array" ref="G1707">PRODUCT( _xlfn._xlws.FILTER($E:$E, ($C:$C=C1707)*($F:$F=F1707)) ) - 1</f>
        <v>9.4612480498632578E-3</v>
      </c>
    </row>
    <row r="1708" spans="1:7" x14ac:dyDescent="0.2">
      <c r="A1708" s="1">
        <v>41564</v>
      </c>
      <c r="B1708">
        <v>0</v>
      </c>
      <c r="C1708" t="s">
        <v>12</v>
      </c>
      <c r="D1708">
        <v>4.4279999999999996E-3</v>
      </c>
      <c r="E1708">
        <f t="shared" si="52"/>
        <v>1.0044280000000001</v>
      </c>
      <c r="F1708" s="1">
        <f t="shared" si="53"/>
        <v>41561</v>
      </c>
      <c r="G1708" cm="1">
        <f t="array" ref="G1708">PRODUCT( _xlfn._xlws.FILTER($E:$E, ($C:$C=C1708)*($F:$F=F1708)) ) - 1</f>
        <v>9.4612480498632578E-3</v>
      </c>
    </row>
    <row r="1709" spans="1:7" x14ac:dyDescent="0.2">
      <c r="A1709" s="1">
        <v>41565</v>
      </c>
      <c r="B1709">
        <v>0</v>
      </c>
      <c r="C1709" t="s">
        <v>12</v>
      </c>
      <c r="D1709">
        <v>7.8720000000000005E-3</v>
      </c>
      <c r="E1709">
        <f t="shared" si="52"/>
        <v>1.0078720000000001</v>
      </c>
      <c r="F1709" s="1">
        <f t="shared" si="53"/>
        <v>41561</v>
      </c>
      <c r="G1709" cm="1">
        <f t="array" ref="G1709">PRODUCT( _xlfn._xlws.FILTER($E:$E, ($C:$C=C1709)*($F:$F=F1709)) ) - 1</f>
        <v>9.4612480498632578E-3</v>
      </c>
    </row>
    <row r="1710" spans="1:7" x14ac:dyDescent="0.2">
      <c r="A1710" s="1">
        <v>41568</v>
      </c>
      <c r="B1710">
        <v>0</v>
      </c>
      <c r="C1710" t="s">
        <v>12</v>
      </c>
      <c r="D1710">
        <v>3.124E-3</v>
      </c>
      <c r="E1710">
        <f t="shared" si="52"/>
        <v>1.0031239999999999</v>
      </c>
      <c r="F1710" s="1">
        <f t="shared" si="53"/>
        <v>41568</v>
      </c>
      <c r="G1710" cm="1">
        <f t="array" ref="G1710">PRODUCT( _xlfn._xlws.FILTER($E:$E, ($C:$C=C1710)*($F:$F=F1710)) ) - 1</f>
        <v>2.1868587877892143E-2</v>
      </c>
    </row>
    <row r="1711" spans="1:7" x14ac:dyDescent="0.2">
      <c r="A1711" s="1">
        <v>41569</v>
      </c>
      <c r="B1711">
        <v>0</v>
      </c>
      <c r="C1711" t="s">
        <v>12</v>
      </c>
      <c r="D1711">
        <v>5.6059999999999999E-3</v>
      </c>
      <c r="E1711">
        <f t="shared" si="52"/>
        <v>1.005606</v>
      </c>
      <c r="F1711" s="1">
        <f t="shared" si="53"/>
        <v>41568</v>
      </c>
      <c r="G1711" cm="1">
        <f t="array" ref="G1711">PRODUCT( _xlfn._xlws.FILTER($E:$E, ($C:$C=C1711)*($F:$F=F1711)) ) - 1</f>
        <v>2.1868587877892143E-2</v>
      </c>
    </row>
    <row r="1712" spans="1:7" x14ac:dyDescent="0.2">
      <c r="A1712" s="1">
        <v>41570</v>
      </c>
      <c r="B1712">
        <v>0</v>
      </c>
      <c r="C1712" t="s">
        <v>12</v>
      </c>
      <c r="D1712">
        <v>9.5999999999999992E-3</v>
      </c>
      <c r="E1712">
        <f t="shared" si="52"/>
        <v>1.0096000000000001</v>
      </c>
      <c r="F1712" s="1">
        <f t="shared" si="53"/>
        <v>41568</v>
      </c>
      <c r="G1712" cm="1">
        <f t="array" ref="G1712">PRODUCT( _xlfn._xlws.FILTER($E:$E, ($C:$C=C1712)*($F:$F=F1712)) ) - 1</f>
        <v>2.1868587877892143E-2</v>
      </c>
    </row>
    <row r="1713" spans="1:7" x14ac:dyDescent="0.2">
      <c r="A1713" s="1">
        <v>41571</v>
      </c>
      <c r="B1713">
        <v>0</v>
      </c>
      <c r="C1713" t="s">
        <v>12</v>
      </c>
      <c r="D1713">
        <v>-7.0549999999999996E-3</v>
      </c>
      <c r="E1713">
        <f t="shared" si="52"/>
        <v>0.99294499999999997</v>
      </c>
      <c r="F1713" s="1">
        <f t="shared" si="53"/>
        <v>41568</v>
      </c>
      <c r="G1713" cm="1">
        <f t="array" ref="G1713">PRODUCT( _xlfn._xlws.FILTER($E:$E, ($C:$C=C1713)*($F:$F=F1713)) ) - 1</f>
        <v>2.1868587877892143E-2</v>
      </c>
    </row>
    <row r="1714" spans="1:7" x14ac:dyDescent="0.2">
      <c r="A1714" s="1">
        <v>41572</v>
      </c>
      <c r="B1714">
        <v>0</v>
      </c>
      <c r="C1714" t="s">
        <v>12</v>
      </c>
      <c r="D1714">
        <v>1.0503999999999999E-2</v>
      </c>
      <c r="E1714">
        <f t="shared" si="52"/>
        <v>1.0105040000000001</v>
      </c>
      <c r="F1714" s="1">
        <f t="shared" si="53"/>
        <v>41568</v>
      </c>
      <c r="G1714" cm="1">
        <f t="array" ref="G1714">PRODUCT( _xlfn._xlws.FILTER($E:$E, ($C:$C=C1714)*($F:$F=F1714)) ) - 1</f>
        <v>2.1868587877892143E-2</v>
      </c>
    </row>
    <row r="1715" spans="1:7" x14ac:dyDescent="0.2">
      <c r="A1715" s="1">
        <v>41575</v>
      </c>
      <c r="B1715">
        <v>0</v>
      </c>
      <c r="C1715" t="s">
        <v>12</v>
      </c>
      <c r="D1715">
        <v>-5.8089999999999999E-3</v>
      </c>
      <c r="E1715">
        <f t="shared" si="52"/>
        <v>0.99419100000000005</v>
      </c>
      <c r="F1715" s="1">
        <f t="shared" si="53"/>
        <v>41575</v>
      </c>
      <c r="G1715" cm="1">
        <f t="array" ref="G1715">PRODUCT( _xlfn._xlws.FILTER($E:$E, ($C:$C=C1715)*($F:$F=F1715)) ) - 1</f>
        <v>-7.3380166578755901E-3</v>
      </c>
    </row>
    <row r="1716" spans="1:7" x14ac:dyDescent="0.2">
      <c r="A1716" s="1">
        <v>41576</v>
      </c>
      <c r="B1716">
        <v>0</v>
      </c>
      <c r="C1716" t="s">
        <v>12</v>
      </c>
      <c r="D1716">
        <v>-6.1499999999999999E-4</v>
      </c>
      <c r="E1716">
        <f t="shared" si="52"/>
        <v>0.99938499999999997</v>
      </c>
      <c r="F1716" s="1">
        <f t="shared" si="53"/>
        <v>41575</v>
      </c>
      <c r="G1716" cm="1">
        <f t="array" ref="G1716">PRODUCT( _xlfn._xlws.FILTER($E:$E, ($C:$C=C1716)*($F:$F=F1716)) ) - 1</f>
        <v>-7.3380166578755901E-3</v>
      </c>
    </row>
    <row r="1717" spans="1:7" x14ac:dyDescent="0.2">
      <c r="A1717" s="1">
        <v>41577</v>
      </c>
      <c r="B1717">
        <v>0</v>
      </c>
      <c r="C1717" t="s">
        <v>12</v>
      </c>
      <c r="D1717">
        <v>-9.2299999999999999E-4</v>
      </c>
      <c r="E1717">
        <f t="shared" si="52"/>
        <v>0.99907699999999999</v>
      </c>
      <c r="F1717" s="1">
        <f t="shared" si="53"/>
        <v>41575</v>
      </c>
      <c r="G1717" cm="1">
        <f t="array" ref="G1717">PRODUCT( _xlfn._xlws.FILTER($E:$E, ($C:$C=C1717)*($F:$F=F1717)) ) - 1</f>
        <v>-7.3380166578755901E-3</v>
      </c>
    </row>
    <row r="1718" spans="1:7" x14ac:dyDescent="0.2">
      <c r="A1718" s="1">
        <v>41578</v>
      </c>
      <c r="B1718">
        <v>0</v>
      </c>
      <c r="C1718" t="s">
        <v>12</v>
      </c>
      <c r="D1718">
        <v>-1.232E-3</v>
      </c>
      <c r="E1718">
        <f t="shared" si="52"/>
        <v>0.99876799999999999</v>
      </c>
      <c r="F1718" s="1">
        <f t="shared" si="53"/>
        <v>41575</v>
      </c>
      <c r="G1718" cm="1">
        <f t="array" ref="G1718">PRODUCT( _xlfn._xlws.FILTER($E:$E, ($C:$C=C1718)*($F:$F=F1718)) ) - 1</f>
        <v>-7.3380166578755901E-3</v>
      </c>
    </row>
    <row r="1719" spans="1:7" x14ac:dyDescent="0.2">
      <c r="A1719" s="1">
        <v>41579</v>
      </c>
      <c r="B1719">
        <v>0</v>
      </c>
      <c r="C1719" t="s">
        <v>12</v>
      </c>
      <c r="D1719">
        <v>1.2329999999999999E-3</v>
      </c>
      <c r="E1719">
        <f t="shared" si="52"/>
        <v>1.001233</v>
      </c>
      <c r="F1719" s="1">
        <f t="shared" si="53"/>
        <v>41575</v>
      </c>
      <c r="G1719" cm="1">
        <f t="array" ref="G1719">PRODUCT( _xlfn._xlws.FILTER($E:$E, ($C:$C=C1719)*($F:$F=F1719)) ) - 1</f>
        <v>-7.3380166578755901E-3</v>
      </c>
    </row>
    <row r="1720" spans="1:7" x14ac:dyDescent="0.2">
      <c r="A1720" s="1">
        <v>41582</v>
      </c>
      <c r="B1720">
        <v>0</v>
      </c>
      <c r="C1720" t="s">
        <v>12</v>
      </c>
      <c r="D1720">
        <v>-4.0039999999999997E-3</v>
      </c>
      <c r="E1720">
        <f t="shared" si="52"/>
        <v>0.99599599999999999</v>
      </c>
      <c r="F1720" s="1">
        <f t="shared" si="53"/>
        <v>41582</v>
      </c>
      <c r="G1720" cm="1">
        <f t="array" ref="G1720">PRODUCT( _xlfn._xlws.FILTER($E:$E, ($C:$C=C1720)*($F:$F=F1720)) ) - 1</f>
        <v>-1.8170338276968789E-2</v>
      </c>
    </row>
    <row r="1721" spans="1:7" x14ac:dyDescent="0.2">
      <c r="A1721" s="1">
        <v>41583</v>
      </c>
      <c r="B1721">
        <v>0</v>
      </c>
      <c r="C1721" t="s">
        <v>12</v>
      </c>
      <c r="D1721">
        <v>2.7829999999999999E-3</v>
      </c>
      <c r="E1721">
        <f t="shared" si="52"/>
        <v>1.002783</v>
      </c>
      <c r="F1721" s="1">
        <f t="shared" si="53"/>
        <v>41582</v>
      </c>
      <c r="G1721" cm="1">
        <f t="array" ref="G1721">PRODUCT( _xlfn._xlws.FILTER($E:$E, ($C:$C=C1721)*($F:$F=F1721)) ) - 1</f>
        <v>-1.8170338276968789E-2</v>
      </c>
    </row>
    <row r="1722" spans="1:7" x14ac:dyDescent="0.2">
      <c r="A1722" s="1">
        <v>41584</v>
      </c>
      <c r="B1722">
        <v>0</v>
      </c>
      <c r="C1722" t="s">
        <v>12</v>
      </c>
      <c r="D1722">
        <v>-2.7750000000000001E-3</v>
      </c>
      <c r="E1722">
        <f t="shared" si="52"/>
        <v>0.99722500000000003</v>
      </c>
      <c r="F1722" s="1">
        <f t="shared" si="53"/>
        <v>41582</v>
      </c>
      <c r="G1722" cm="1">
        <f t="array" ref="G1722">PRODUCT( _xlfn._xlws.FILTER($E:$E, ($C:$C=C1722)*($F:$F=F1722)) ) - 1</f>
        <v>-1.8170338276968789E-2</v>
      </c>
    </row>
    <row r="1723" spans="1:7" x14ac:dyDescent="0.2">
      <c r="A1723" s="1">
        <v>41585</v>
      </c>
      <c r="B1723">
        <v>0</v>
      </c>
      <c r="C1723" t="s">
        <v>12</v>
      </c>
      <c r="D1723">
        <v>-1.0204E-2</v>
      </c>
      <c r="E1723">
        <f t="shared" si="52"/>
        <v>0.98979600000000001</v>
      </c>
      <c r="F1723" s="1">
        <f t="shared" si="53"/>
        <v>41582</v>
      </c>
      <c r="G1723" cm="1">
        <f t="array" ref="G1723">PRODUCT( _xlfn._xlws.FILTER($E:$E, ($C:$C=C1723)*($F:$F=F1723)) ) - 1</f>
        <v>-1.8170338276968789E-2</v>
      </c>
    </row>
    <row r="1724" spans="1:7" x14ac:dyDescent="0.2">
      <c r="A1724" s="1">
        <v>41586</v>
      </c>
      <c r="B1724">
        <v>0</v>
      </c>
      <c r="C1724" t="s">
        <v>12</v>
      </c>
      <c r="D1724">
        <v>-4.0610000000000004E-3</v>
      </c>
      <c r="E1724">
        <f t="shared" si="52"/>
        <v>0.99593900000000002</v>
      </c>
      <c r="F1724" s="1">
        <f t="shared" si="53"/>
        <v>41582</v>
      </c>
      <c r="G1724" cm="1">
        <f t="array" ref="G1724">PRODUCT( _xlfn._xlws.FILTER($E:$E, ($C:$C=C1724)*($F:$F=F1724)) ) - 1</f>
        <v>-1.8170338276968789E-2</v>
      </c>
    </row>
    <row r="1725" spans="1:7" x14ac:dyDescent="0.2">
      <c r="A1725" s="1">
        <v>41589</v>
      </c>
      <c r="B1725">
        <v>0</v>
      </c>
      <c r="C1725" t="s">
        <v>12</v>
      </c>
      <c r="D1725">
        <v>-6.587E-3</v>
      </c>
      <c r="E1725">
        <f t="shared" si="52"/>
        <v>0.99341299999999999</v>
      </c>
      <c r="F1725" s="1">
        <f t="shared" si="53"/>
        <v>41589</v>
      </c>
      <c r="G1725" cm="1">
        <f t="array" ref="G1725">PRODUCT( _xlfn._xlws.FILTER($E:$E, ($C:$C=C1725)*($F:$F=F1725)) ) - 1</f>
        <v>5.0829633307118982E-3</v>
      </c>
    </row>
    <row r="1726" spans="1:7" x14ac:dyDescent="0.2">
      <c r="A1726" s="1">
        <v>41590</v>
      </c>
      <c r="B1726">
        <v>0</v>
      </c>
      <c r="C1726" t="s">
        <v>12</v>
      </c>
      <c r="D1726">
        <v>9.4700000000000003E-4</v>
      </c>
      <c r="E1726">
        <f t="shared" si="52"/>
        <v>1.000947</v>
      </c>
      <c r="F1726" s="1">
        <f t="shared" si="53"/>
        <v>41589</v>
      </c>
      <c r="G1726" cm="1">
        <f t="array" ref="G1726">PRODUCT( _xlfn._xlws.FILTER($E:$E, ($C:$C=C1726)*($F:$F=F1726)) ) - 1</f>
        <v>5.0829633307118982E-3</v>
      </c>
    </row>
    <row r="1727" spans="1:7" x14ac:dyDescent="0.2">
      <c r="A1727" s="1">
        <v>41591</v>
      </c>
      <c r="B1727">
        <v>0</v>
      </c>
      <c r="C1727" t="s">
        <v>12</v>
      </c>
      <c r="D1727">
        <v>4.1009999999999996E-3</v>
      </c>
      <c r="E1727">
        <f t="shared" si="52"/>
        <v>1.0041009999999999</v>
      </c>
      <c r="F1727" s="1">
        <f t="shared" si="53"/>
        <v>41589</v>
      </c>
      <c r="G1727" cm="1">
        <f t="array" ref="G1727">PRODUCT( _xlfn._xlws.FILTER($E:$E, ($C:$C=C1727)*($F:$F=F1727)) ) - 1</f>
        <v>5.0829633307118982E-3</v>
      </c>
    </row>
    <row r="1728" spans="1:7" x14ac:dyDescent="0.2">
      <c r="A1728" s="1">
        <v>41592</v>
      </c>
      <c r="B1728">
        <v>0</v>
      </c>
      <c r="C1728" t="s">
        <v>12</v>
      </c>
      <c r="D1728">
        <v>7.6140000000000001E-3</v>
      </c>
      <c r="E1728">
        <f t="shared" si="52"/>
        <v>1.007614</v>
      </c>
      <c r="F1728" s="1">
        <f t="shared" si="53"/>
        <v>41589</v>
      </c>
      <c r="G1728" cm="1">
        <f t="array" ref="G1728">PRODUCT( _xlfn._xlws.FILTER($E:$E, ($C:$C=C1728)*($F:$F=F1728)) ) - 1</f>
        <v>5.0829633307118982E-3</v>
      </c>
    </row>
    <row r="1729" spans="1:7" x14ac:dyDescent="0.2">
      <c r="A1729" s="1">
        <v>41593</v>
      </c>
      <c r="B1729">
        <v>0</v>
      </c>
      <c r="C1729" t="s">
        <v>12</v>
      </c>
      <c r="D1729">
        <v>-9.4499999999999998E-4</v>
      </c>
      <c r="E1729">
        <f t="shared" si="52"/>
        <v>0.99905500000000003</v>
      </c>
      <c r="F1729" s="1">
        <f t="shared" si="53"/>
        <v>41589</v>
      </c>
      <c r="G1729" cm="1">
        <f t="array" ref="G1729">PRODUCT( _xlfn._xlws.FILTER($E:$E, ($C:$C=C1729)*($F:$F=F1729)) ) - 1</f>
        <v>5.0829633307118982E-3</v>
      </c>
    </row>
    <row r="1730" spans="1:7" x14ac:dyDescent="0.2">
      <c r="A1730" s="1">
        <v>41596</v>
      </c>
      <c r="B1730">
        <v>0</v>
      </c>
      <c r="C1730" t="s">
        <v>12</v>
      </c>
      <c r="D1730">
        <v>-3.467E-3</v>
      </c>
      <c r="E1730">
        <f t="shared" si="52"/>
        <v>0.996533</v>
      </c>
      <c r="F1730" s="1">
        <f t="shared" si="53"/>
        <v>41596</v>
      </c>
      <c r="G1730" cm="1">
        <f t="array" ref="G1730">PRODUCT( _xlfn._xlws.FILTER($E:$E, ($C:$C=C1730)*($F:$F=F1730)) ) - 1</f>
        <v>-5.3589328671936887E-3</v>
      </c>
    </row>
    <row r="1731" spans="1:7" x14ac:dyDescent="0.2">
      <c r="A1731" s="1">
        <v>41597</v>
      </c>
      <c r="B1731">
        <v>0</v>
      </c>
      <c r="C1731" t="s">
        <v>12</v>
      </c>
      <c r="D1731">
        <v>0</v>
      </c>
      <c r="E1731">
        <f t="shared" si="52"/>
        <v>1</v>
      </c>
      <c r="F1731" s="1">
        <f t="shared" si="53"/>
        <v>41596</v>
      </c>
      <c r="G1731" cm="1">
        <f t="array" ref="G1731">PRODUCT( _xlfn._xlws.FILTER($E:$E, ($C:$C=C1731)*($F:$F=F1731)) ) - 1</f>
        <v>-5.3589328671936887E-3</v>
      </c>
    </row>
    <row r="1732" spans="1:7" x14ac:dyDescent="0.2">
      <c r="A1732" s="1">
        <v>41598</v>
      </c>
      <c r="B1732">
        <v>0</v>
      </c>
      <c r="C1732" t="s">
        <v>12</v>
      </c>
      <c r="D1732">
        <v>-3.163E-3</v>
      </c>
      <c r="E1732">
        <f t="shared" ref="E1732:E1795" si="54">D1732+1</f>
        <v>0.99683699999999997</v>
      </c>
      <c r="F1732" s="1">
        <f t="shared" ref="F1732:F1795" si="55">A1732 - (WEEKDAY(A1732, 2) - 1)</f>
        <v>41596</v>
      </c>
      <c r="G1732" cm="1">
        <f t="array" ref="G1732">PRODUCT( _xlfn._xlws.FILTER($E:$E, ($C:$C=C1732)*($F:$F=F1732)) ) - 1</f>
        <v>-5.3589328671936887E-3</v>
      </c>
    </row>
    <row r="1733" spans="1:7" x14ac:dyDescent="0.2">
      <c r="A1733" s="1">
        <v>41599</v>
      </c>
      <c r="B1733">
        <v>0</v>
      </c>
      <c r="C1733" t="s">
        <v>12</v>
      </c>
      <c r="D1733">
        <v>1.586E-3</v>
      </c>
      <c r="E1733">
        <f t="shared" si="54"/>
        <v>1.0015860000000001</v>
      </c>
      <c r="F1733" s="1">
        <f t="shared" si="55"/>
        <v>41596</v>
      </c>
      <c r="G1733" cm="1">
        <f t="array" ref="G1733">PRODUCT( _xlfn._xlws.FILTER($E:$E, ($C:$C=C1733)*($F:$F=F1733)) ) - 1</f>
        <v>-5.3589328671936887E-3</v>
      </c>
    </row>
    <row r="1734" spans="1:7" x14ac:dyDescent="0.2">
      <c r="A1734" s="1">
        <v>41600</v>
      </c>
      <c r="B1734">
        <v>0</v>
      </c>
      <c r="C1734" t="s">
        <v>12</v>
      </c>
      <c r="D1734">
        <v>-3.1700000000000001E-4</v>
      </c>
      <c r="E1734">
        <f t="shared" si="54"/>
        <v>0.99968299999999999</v>
      </c>
      <c r="F1734" s="1">
        <f t="shared" si="55"/>
        <v>41596</v>
      </c>
      <c r="G1734" cm="1">
        <f t="array" ref="G1734">PRODUCT( _xlfn._xlws.FILTER($E:$E, ($C:$C=C1734)*($F:$F=F1734)) ) - 1</f>
        <v>-5.3589328671936887E-3</v>
      </c>
    </row>
    <row r="1735" spans="1:7" x14ac:dyDescent="0.2">
      <c r="A1735" s="1">
        <v>41603</v>
      </c>
      <c r="B1735">
        <v>0</v>
      </c>
      <c r="C1735" t="s">
        <v>12</v>
      </c>
      <c r="D1735">
        <v>1.9009999999999999E-3</v>
      </c>
      <c r="E1735">
        <f t="shared" si="54"/>
        <v>1.0019009999999999</v>
      </c>
      <c r="F1735" s="1">
        <f t="shared" si="55"/>
        <v>41603</v>
      </c>
      <c r="G1735" cm="1">
        <f t="array" ref="G1735">PRODUCT( _xlfn._xlws.FILTER($E:$E, ($C:$C=C1735)*($F:$F=F1735)) ) - 1</f>
        <v>-1.2990181595987638E-2</v>
      </c>
    </row>
    <row r="1736" spans="1:7" x14ac:dyDescent="0.2">
      <c r="A1736" s="1">
        <v>41604</v>
      </c>
      <c r="B1736">
        <v>0</v>
      </c>
      <c r="C1736" t="s">
        <v>12</v>
      </c>
      <c r="D1736">
        <v>-6.6410000000000002E-3</v>
      </c>
      <c r="E1736">
        <f t="shared" si="54"/>
        <v>0.99335899999999999</v>
      </c>
      <c r="F1736" s="1">
        <f t="shared" si="55"/>
        <v>41603</v>
      </c>
      <c r="G1736" cm="1">
        <f t="array" ref="G1736">PRODUCT( _xlfn._xlws.FILTER($E:$E, ($C:$C=C1736)*($F:$F=F1736)) ) - 1</f>
        <v>-1.2990181595987638E-2</v>
      </c>
    </row>
    <row r="1737" spans="1:7" x14ac:dyDescent="0.2">
      <c r="A1737" s="1">
        <v>41605</v>
      </c>
      <c r="B1737">
        <v>0</v>
      </c>
      <c r="C1737" t="s">
        <v>12</v>
      </c>
      <c r="D1737">
        <v>-3.82E-3</v>
      </c>
      <c r="E1737">
        <f t="shared" si="54"/>
        <v>0.99617999999999995</v>
      </c>
      <c r="F1737" s="1">
        <f t="shared" si="55"/>
        <v>41603</v>
      </c>
      <c r="G1737" cm="1">
        <f t="array" ref="G1737">PRODUCT( _xlfn._xlws.FILTER($E:$E, ($C:$C=C1737)*($F:$F=F1737)) ) - 1</f>
        <v>-1.2990181595987638E-2</v>
      </c>
    </row>
    <row r="1738" spans="1:7" x14ac:dyDescent="0.2">
      <c r="A1738" s="1">
        <v>41606</v>
      </c>
      <c r="B1738">
        <v>0</v>
      </c>
      <c r="C1738" t="s">
        <v>12</v>
      </c>
      <c r="D1738">
        <v>-2.2369999999999998E-3</v>
      </c>
      <c r="E1738">
        <f t="shared" si="54"/>
        <v>0.99776299999999996</v>
      </c>
      <c r="F1738" s="1">
        <f t="shared" si="55"/>
        <v>41603</v>
      </c>
      <c r="G1738" cm="1">
        <f t="array" ref="G1738">PRODUCT( _xlfn._xlws.FILTER($E:$E, ($C:$C=C1738)*($F:$F=F1738)) ) - 1</f>
        <v>-1.2990181595987638E-2</v>
      </c>
    </row>
    <row r="1739" spans="1:7" x14ac:dyDescent="0.2">
      <c r="A1739" s="1">
        <v>41607</v>
      </c>
      <c r="B1739">
        <v>0</v>
      </c>
      <c r="C1739" t="s">
        <v>12</v>
      </c>
      <c r="D1739">
        <v>-2.2420000000000001E-3</v>
      </c>
      <c r="E1739">
        <f t="shared" si="54"/>
        <v>0.99775800000000003</v>
      </c>
      <c r="F1739" s="1">
        <f t="shared" si="55"/>
        <v>41603</v>
      </c>
      <c r="G1739" cm="1">
        <f t="array" ref="G1739">PRODUCT( _xlfn._xlws.FILTER($E:$E, ($C:$C=C1739)*($F:$F=F1739)) ) - 1</f>
        <v>-1.2990181595987638E-2</v>
      </c>
    </row>
    <row r="1740" spans="1:7" x14ac:dyDescent="0.2">
      <c r="A1740" s="1">
        <v>41610</v>
      </c>
      <c r="B1740">
        <v>0</v>
      </c>
      <c r="C1740" t="s">
        <v>12</v>
      </c>
      <c r="D1740">
        <v>-2.2469999999999999E-3</v>
      </c>
      <c r="E1740">
        <f t="shared" si="54"/>
        <v>0.997753</v>
      </c>
      <c r="F1740" s="1">
        <f t="shared" si="55"/>
        <v>41610</v>
      </c>
      <c r="G1740" cm="1">
        <f t="array" ref="G1740">PRODUCT( _xlfn._xlws.FILTER($E:$E, ($C:$C=C1740)*($F:$F=F1740)) ) - 1</f>
        <v>8.3470595296648575E-3</v>
      </c>
    </row>
    <row r="1741" spans="1:7" x14ac:dyDescent="0.2">
      <c r="A1741" s="1">
        <v>41611</v>
      </c>
      <c r="B1741">
        <v>0</v>
      </c>
      <c r="C1741" t="s">
        <v>12</v>
      </c>
      <c r="D1741">
        <v>1.0939000000000001E-2</v>
      </c>
      <c r="E1741">
        <f t="shared" si="54"/>
        <v>1.010939</v>
      </c>
      <c r="F1741" s="1">
        <f t="shared" si="55"/>
        <v>41610</v>
      </c>
      <c r="G1741" cm="1">
        <f t="array" ref="G1741">PRODUCT( _xlfn._xlws.FILTER($E:$E, ($C:$C=C1741)*($F:$F=F1741)) ) - 1</f>
        <v>8.3470595296648575E-3</v>
      </c>
    </row>
    <row r="1742" spans="1:7" x14ac:dyDescent="0.2">
      <c r="A1742" s="1">
        <v>41612</v>
      </c>
      <c r="B1742">
        <v>0</v>
      </c>
      <c r="C1742" t="s">
        <v>12</v>
      </c>
      <c r="D1742">
        <v>6.3699999999999998E-4</v>
      </c>
      <c r="E1742">
        <f t="shared" si="54"/>
        <v>1.000637</v>
      </c>
      <c r="F1742" s="1">
        <f t="shared" si="55"/>
        <v>41610</v>
      </c>
      <c r="G1742" cm="1">
        <f t="array" ref="G1742">PRODUCT( _xlfn._xlws.FILTER($E:$E, ($C:$C=C1742)*($F:$F=F1742)) ) - 1</f>
        <v>8.3470595296648575E-3</v>
      </c>
    </row>
    <row r="1743" spans="1:7" x14ac:dyDescent="0.2">
      <c r="A1743" s="1">
        <v>41613</v>
      </c>
      <c r="B1743">
        <v>0</v>
      </c>
      <c r="C1743" t="s">
        <v>12</v>
      </c>
      <c r="D1743">
        <v>-9.5399999999999999E-4</v>
      </c>
      <c r="E1743">
        <f t="shared" si="54"/>
        <v>0.99904599999999999</v>
      </c>
      <c r="F1743" s="1">
        <f t="shared" si="55"/>
        <v>41610</v>
      </c>
      <c r="G1743" cm="1">
        <f t="array" ref="G1743">PRODUCT( _xlfn._xlws.FILTER($E:$E, ($C:$C=C1743)*($F:$F=F1743)) ) - 1</f>
        <v>8.3470595296648575E-3</v>
      </c>
    </row>
    <row r="1744" spans="1:7" x14ac:dyDescent="0.2">
      <c r="A1744" s="1">
        <v>41614</v>
      </c>
      <c r="B1744">
        <v>0</v>
      </c>
      <c r="C1744" t="s">
        <v>12</v>
      </c>
      <c r="D1744">
        <v>0</v>
      </c>
      <c r="E1744">
        <f t="shared" si="54"/>
        <v>1</v>
      </c>
      <c r="F1744" s="1">
        <f t="shared" si="55"/>
        <v>41610</v>
      </c>
      <c r="G1744" cm="1">
        <f t="array" ref="G1744">PRODUCT( _xlfn._xlws.FILTER($E:$E, ($C:$C=C1744)*($F:$F=F1744)) ) - 1</f>
        <v>8.3470595296648575E-3</v>
      </c>
    </row>
    <row r="1745" spans="1:7" x14ac:dyDescent="0.2">
      <c r="A1745" s="1">
        <v>41617</v>
      </c>
      <c r="B1745">
        <v>0</v>
      </c>
      <c r="C1745" t="s">
        <v>12</v>
      </c>
      <c r="D1745">
        <v>2.2290000000000001E-3</v>
      </c>
      <c r="E1745">
        <f t="shared" si="54"/>
        <v>1.002229</v>
      </c>
      <c r="F1745" s="1">
        <f t="shared" si="55"/>
        <v>41617</v>
      </c>
      <c r="G1745" cm="1">
        <f t="array" ref="G1745">PRODUCT( _xlfn._xlws.FILTER($E:$E, ($C:$C=C1745)*($F:$F=F1745)) ) - 1</f>
        <v>-4.1070139025888186E-2</v>
      </c>
    </row>
    <row r="1746" spans="1:7" x14ac:dyDescent="0.2">
      <c r="A1746" s="1">
        <v>41618</v>
      </c>
      <c r="B1746">
        <v>0</v>
      </c>
      <c r="C1746" t="s">
        <v>12</v>
      </c>
      <c r="D1746">
        <v>-4.7650000000000001E-3</v>
      </c>
      <c r="E1746">
        <f t="shared" si="54"/>
        <v>0.99523499999999998</v>
      </c>
      <c r="F1746" s="1">
        <f t="shared" si="55"/>
        <v>41617</v>
      </c>
      <c r="G1746" cm="1">
        <f t="array" ref="G1746">PRODUCT( _xlfn._xlws.FILTER($E:$E, ($C:$C=C1746)*($F:$F=F1746)) ) - 1</f>
        <v>-4.1070139025888186E-2</v>
      </c>
    </row>
    <row r="1747" spans="1:7" x14ac:dyDescent="0.2">
      <c r="A1747" s="1">
        <v>41619</v>
      </c>
      <c r="B1747">
        <v>0</v>
      </c>
      <c r="C1747" t="s">
        <v>12</v>
      </c>
      <c r="D1747">
        <v>-4.4689999999999999E-3</v>
      </c>
      <c r="E1747">
        <f t="shared" si="54"/>
        <v>0.99553100000000005</v>
      </c>
      <c r="F1747" s="1">
        <f t="shared" si="55"/>
        <v>41617</v>
      </c>
      <c r="G1747" cm="1">
        <f t="array" ref="G1747">PRODUCT( _xlfn._xlws.FILTER($E:$E, ($C:$C=C1747)*($F:$F=F1747)) ) - 1</f>
        <v>-4.1070139025888186E-2</v>
      </c>
    </row>
    <row r="1748" spans="1:7" x14ac:dyDescent="0.2">
      <c r="A1748" s="1">
        <v>41620</v>
      </c>
      <c r="B1748">
        <v>0</v>
      </c>
      <c r="C1748" t="s">
        <v>12</v>
      </c>
      <c r="D1748">
        <v>-3.6871000000000001E-2</v>
      </c>
      <c r="E1748">
        <f t="shared" si="54"/>
        <v>0.96312900000000001</v>
      </c>
      <c r="F1748" s="1">
        <f t="shared" si="55"/>
        <v>41617</v>
      </c>
      <c r="G1748" cm="1">
        <f t="array" ref="G1748">PRODUCT( _xlfn._xlws.FILTER($E:$E, ($C:$C=C1748)*($F:$F=F1748)) ) - 1</f>
        <v>-4.1070139025888186E-2</v>
      </c>
    </row>
    <row r="1749" spans="1:7" x14ac:dyDescent="0.2">
      <c r="A1749" s="1">
        <v>41621</v>
      </c>
      <c r="B1749">
        <v>0</v>
      </c>
      <c r="C1749" t="s">
        <v>12</v>
      </c>
      <c r="D1749">
        <v>2.663E-3</v>
      </c>
      <c r="E1749">
        <f t="shared" si="54"/>
        <v>1.0026630000000001</v>
      </c>
      <c r="F1749" s="1">
        <f t="shared" si="55"/>
        <v>41617</v>
      </c>
      <c r="G1749" cm="1">
        <f t="array" ref="G1749">PRODUCT( _xlfn._xlws.FILTER($E:$E, ($C:$C=C1749)*($F:$F=F1749)) ) - 1</f>
        <v>-4.1070139025888186E-2</v>
      </c>
    </row>
    <row r="1750" spans="1:7" x14ac:dyDescent="0.2">
      <c r="A1750" s="1">
        <v>41624</v>
      </c>
      <c r="B1750">
        <v>0</v>
      </c>
      <c r="C1750" t="s">
        <v>12</v>
      </c>
      <c r="D1750">
        <v>-1.1952000000000001E-2</v>
      </c>
      <c r="E1750">
        <f t="shared" si="54"/>
        <v>0.98804800000000004</v>
      </c>
      <c r="F1750" s="1">
        <f t="shared" si="55"/>
        <v>41624</v>
      </c>
      <c r="G1750" cm="1">
        <f t="array" ref="G1750">PRODUCT( _xlfn._xlws.FILTER($E:$E, ($C:$C=C1750)*($F:$F=F1750)) ) - 1</f>
        <v>1.328140374591813E-2</v>
      </c>
    </row>
    <row r="1751" spans="1:7" x14ac:dyDescent="0.2">
      <c r="A1751" s="1">
        <v>41625</v>
      </c>
      <c r="B1751">
        <v>0</v>
      </c>
      <c r="C1751" t="s">
        <v>12</v>
      </c>
      <c r="D1751">
        <v>1.1761000000000001E-2</v>
      </c>
      <c r="E1751">
        <f t="shared" si="54"/>
        <v>1.0117609999999999</v>
      </c>
      <c r="F1751" s="1">
        <f t="shared" si="55"/>
        <v>41624</v>
      </c>
      <c r="G1751" cm="1">
        <f t="array" ref="G1751">PRODUCT( _xlfn._xlws.FILTER($E:$E, ($C:$C=C1751)*($F:$F=F1751)) ) - 1</f>
        <v>1.328140374591813E-2</v>
      </c>
    </row>
    <row r="1752" spans="1:7" x14ac:dyDescent="0.2">
      <c r="A1752" s="1">
        <v>41626</v>
      </c>
      <c r="B1752">
        <v>0</v>
      </c>
      <c r="C1752" t="s">
        <v>12</v>
      </c>
      <c r="D1752">
        <v>4.6499999999999996E-3</v>
      </c>
      <c r="E1752">
        <f t="shared" si="54"/>
        <v>1.00465</v>
      </c>
      <c r="F1752" s="1">
        <f t="shared" si="55"/>
        <v>41624</v>
      </c>
      <c r="G1752" cm="1">
        <f t="array" ref="G1752">PRODUCT( _xlfn._xlws.FILTER($E:$E, ($C:$C=C1752)*($F:$F=F1752)) ) - 1</f>
        <v>1.328140374591813E-2</v>
      </c>
    </row>
    <row r="1753" spans="1:7" x14ac:dyDescent="0.2">
      <c r="A1753" s="1">
        <v>41627</v>
      </c>
      <c r="B1753">
        <v>0</v>
      </c>
      <c r="C1753" t="s">
        <v>12</v>
      </c>
      <c r="D1753">
        <v>-4.6280000000000002E-3</v>
      </c>
      <c r="E1753">
        <f t="shared" si="54"/>
        <v>0.99537200000000003</v>
      </c>
      <c r="F1753" s="1">
        <f t="shared" si="55"/>
        <v>41624</v>
      </c>
      <c r="G1753" cm="1">
        <f t="array" ref="G1753">PRODUCT( _xlfn._xlws.FILTER($E:$E, ($C:$C=C1753)*($F:$F=F1753)) ) - 1</f>
        <v>1.328140374591813E-2</v>
      </c>
    </row>
    <row r="1754" spans="1:7" x14ac:dyDescent="0.2">
      <c r="A1754" s="1">
        <v>41628</v>
      </c>
      <c r="B1754">
        <v>0</v>
      </c>
      <c r="C1754" t="s">
        <v>12</v>
      </c>
      <c r="D1754">
        <v>1.3617000000000001E-2</v>
      </c>
      <c r="E1754">
        <f t="shared" si="54"/>
        <v>1.013617</v>
      </c>
      <c r="F1754" s="1">
        <f t="shared" si="55"/>
        <v>41624</v>
      </c>
      <c r="G1754" cm="1">
        <f t="array" ref="G1754">PRODUCT( _xlfn._xlws.FILTER($E:$E, ($C:$C=C1754)*($F:$F=F1754)) ) - 1</f>
        <v>1.328140374591813E-2</v>
      </c>
    </row>
    <row r="1755" spans="1:7" x14ac:dyDescent="0.2">
      <c r="A1755" s="1">
        <v>41631</v>
      </c>
      <c r="B1755">
        <v>0</v>
      </c>
      <c r="C1755" t="s">
        <v>12</v>
      </c>
      <c r="D1755">
        <v>-5.8979999999999996E-3</v>
      </c>
      <c r="E1755">
        <f t="shared" si="54"/>
        <v>0.99410200000000004</v>
      </c>
      <c r="F1755" s="1">
        <f t="shared" si="55"/>
        <v>41631</v>
      </c>
      <c r="G1755" cm="1">
        <f t="array" ref="G1755">PRODUCT( _xlfn._xlws.FILTER($E:$E, ($C:$C=C1755)*($F:$F=F1755)) ) - 1</f>
        <v>-4.2593223447163764E-3</v>
      </c>
    </row>
    <row r="1756" spans="1:7" x14ac:dyDescent="0.2">
      <c r="A1756" s="1">
        <v>41632</v>
      </c>
      <c r="B1756">
        <v>0</v>
      </c>
      <c r="C1756" t="s">
        <v>12</v>
      </c>
      <c r="D1756">
        <v>2.637E-3</v>
      </c>
      <c r="E1756">
        <f t="shared" si="54"/>
        <v>1.002637</v>
      </c>
      <c r="F1756" s="1">
        <f t="shared" si="55"/>
        <v>41631</v>
      </c>
      <c r="G1756" cm="1">
        <f t="array" ref="G1756">PRODUCT( _xlfn._xlws.FILTER($E:$E, ($C:$C=C1756)*($F:$F=F1756)) ) - 1</f>
        <v>-4.2593223447163764E-3</v>
      </c>
    </row>
    <row r="1757" spans="1:7" x14ac:dyDescent="0.2">
      <c r="A1757" s="1">
        <v>41635</v>
      </c>
      <c r="B1757">
        <v>0</v>
      </c>
      <c r="C1757" t="s">
        <v>12</v>
      </c>
      <c r="D1757">
        <v>-9.859999999999999E-4</v>
      </c>
      <c r="E1757">
        <f t="shared" si="54"/>
        <v>0.99901399999999996</v>
      </c>
      <c r="F1757" s="1">
        <f t="shared" si="55"/>
        <v>41631</v>
      </c>
      <c r="G1757" cm="1">
        <f t="array" ref="G1757">PRODUCT( _xlfn._xlws.FILTER($E:$E, ($C:$C=C1757)*($F:$F=F1757)) ) - 1</f>
        <v>-4.2593223447163764E-3</v>
      </c>
    </row>
    <row r="1758" spans="1:7" x14ac:dyDescent="0.2">
      <c r="A1758" s="1">
        <v>41638</v>
      </c>
      <c r="B1758">
        <v>0</v>
      </c>
      <c r="C1758" t="s">
        <v>12</v>
      </c>
      <c r="D1758">
        <v>1.3159999999999999E-3</v>
      </c>
      <c r="E1758">
        <f t="shared" si="54"/>
        <v>1.0013160000000001</v>
      </c>
      <c r="F1758" s="1">
        <f t="shared" si="55"/>
        <v>41638</v>
      </c>
      <c r="G1758" cm="1">
        <f t="array" ref="G1758">PRODUCT( _xlfn._xlws.FILTER($E:$E, ($C:$C=C1758)*($F:$F=F1758)) ) - 1</f>
        <v>9.8661278344769343E-4</v>
      </c>
    </row>
    <row r="1759" spans="1:7" x14ac:dyDescent="0.2">
      <c r="A1759" s="1">
        <v>41639</v>
      </c>
      <c r="B1759">
        <v>0</v>
      </c>
      <c r="C1759" t="s">
        <v>12</v>
      </c>
      <c r="D1759">
        <v>6.5700000000000003E-4</v>
      </c>
      <c r="E1759">
        <f t="shared" si="54"/>
        <v>1.0006569999999999</v>
      </c>
      <c r="F1759" s="1">
        <f t="shared" si="55"/>
        <v>41638</v>
      </c>
      <c r="G1759" cm="1">
        <f t="array" ref="G1759">PRODUCT( _xlfn._xlws.FILTER($E:$E, ($C:$C=C1759)*($F:$F=F1759)) ) - 1</f>
        <v>9.8661278344769343E-4</v>
      </c>
    </row>
    <row r="1760" spans="1:7" x14ac:dyDescent="0.2">
      <c r="A1760" s="1">
        <v>41641</v>
      </c>
      <c r="B1760">
        <v>0</v>
      </c>
      <c r="C1760" t="s">
        <v>12</v>
      </c>
      <c r="D1760">
        <v>1.642E-3</v>
      </c>
      <c r="E1760">
        <f t="shared" si="54"/>
        <v>1.0016419999999999</v>
      </c>
      <c r="F1760" s="1">
        <f t="shared" si="55"/>
        <v>41638</v>
      </c>
      <c r="G1760" cm="1">
        <f t="array" ref="G1760">PRODUCT( _xlfn._xlws.FILTER($E:$E, ($C:$C=C1760)*($F:$F=F1760)) ) - 1</f>
        <v>9.8661278344769343E-4</v>
      </c>
    </row>
    <row r="1761" spans="1:7" x14ac:dyDescent="0.2">
      <c r="A1761" s="1">
        <v>41642</v>
      </c>
      <c r="B1761">
        <v>0</v>
      </c>
      <c r="C1761" t="s">
        <v>12</v>
      </c>
      <c r="D1761">
        <v>-2.6229999999999999E-3</v>
      </c>
      <c r="E1761">
        <f t="shared" si="54"/>
        <v>0.99737699999999996</v>
      </c>
      <c r="F1761" s="1">
        <f t="shared" si="55"/>
        <v>41638</v>
      </c>
      <c r="G1761" cm="1">
        <f t="array" ref="G1761">PRODUCT( _xlfn._xlws.FILTER($E:$E, ($C:$C=C1761)*($F:$F=F1761)) ) - 1</f>
        <v>9.8661278344769343E-4</v>
      </c>
    </row>
    <row r="1762" spans="1:7" x14ac:dyDescent="0.2">
      <c r="A1762" s="1">
        <v>41645</v>
      </c>
      <c r="B1762">
        <v>0</v>
      </c>
      <c r="C1762" t="s">
        <v>12</v>
      </c>
      <c r="D1762">
        <v>-2.3010000000000001E-3</v>
      </c>
      <c r="E1762">
        <f t="shared" si="54"/>
        <v>0.997699</v>
      </c>
      <c r="F1762" s="1">
        <f t="shared" si="55"/>
        <v>41645</v>
      </c>
      <c r="G1762" cm="1">
        <f t="array" ref="G1762">PRODUCT( _xlfn._xlws.FILTER($E:$E, ($C:$C=C1762)*($F:$F=F1762)) ) - 1</f>
        <v>-9.8756626185692031E-4</v>
      </c>
    </row>
    <row r="1763" spans="1:7" x14ac:dyDescent="0.2">
      <c r="A1763" s="1">
        <v>41646</v>
      </c>
      <c r="B1763">
        <v>0</v>
      </c>
      <c r="C1763" t="s">
        <v>12</v>
      </c>
      <c r="D1763">
        <v>4.9420000000000002E-3</v>
      </c>
      <c r="E1763">
        <f t="shared" si="54"/>
        <v>1.004942</v>
      </c>
      <c r="F1763" s="1">
        <f t="shared" si="55"/>
        <v>41645</v>
      </c>
      <c r="G1763" cm="1">
        <f t="array" ref="G1763">PRODUCT( _xlfn._xlws.FILTER($E:$E, ($C:$C=C1763)*($F:$F=F1763)) ) - 1</f>
        <v>-9.8756626185692031E-4</v>
      </c>
    </row>
    <row r="1764" spans="1:7" x14ac:dyDescent="0.2">
      <c r="A1764" s="1">
        <v>41647</v>
      </c>
      <c r="B1764">
        <v>0</v>
      </c>
      <c r="C1764" t="s">
        <v>12</v>
      </c>
      <c r="D1764">
        <v>1.639E-3</v>
      </c>
      <c r="E1764">
        <f t="shared" si="54"/>
        <v>1.0016389999999999</v>
      </c>
      <c r="F1764" s="1">
        <f t="shared" si="55"/>
        <v>41645</v>
      </c>
      <c r="G1764" cm="1">
        <f t="array" ref="G1764">PRODUCT( _xlfn._xlws.FILTER($E:$E, ($C:$C=C1764)*($F:$F=F1764)) ) - 1</f>
        <v>-9.8756626185692031E-4</v>
      </c>
    </row>
    <row r="1765" spans="1:7" x14ac:dyDescent="0.2">
      <c r="A1765" s="1">
        <v>41648</v>
      </c>
      <c r="B1765">
        <v>0</v>
      </c>
      <c r="C1765" t="s">
        <v>12</v>
      </c>
      <c r="D1765">
        <v>-2.6189999999999998E-3</v>
      </c>
      <c r="E1765">
        <f t="shared" si="54"/>
        <v>0.99738099999999996</v>
      </c>
      <c r="F1765" s="1">
        <f t="shared" si="55"/>
        <v>41645</v>
      </c>
      <c r="G1765" cm="1">
        <f t="array" ref="G1765">PRODUCT( _xlfn._xlws.FILTER($E:$E, ($C:$C=C1765)*($F:$F=F1765)) ) - 1</f>
        <v>-9.8756626185692031E-4</v>
      </c>
    </row>
    <row r="1766" spans="1:7" x14ac:dyDescent="0.2">
      <c r="A1766" s="1">
        <v>41649</v>
      </c>
      <c r="B1766">
        <v>0</v>
      </c>
      <c r="C1766" t="s">
        <v>12</v>
      </c>
      <c r="D1766">
        <v>-2.6259999999999999E-3</v>
      </c>
      <c r="E1766">
        <f t="shared" si="54"/>
        <v>0.99737399999999998</v>
      </c>
      <c r="F1766" s="1">
        <f t="shared" si="55"/>
        <v>41645</v>
      </c>
      <c r="G1766" cm="1">
        <f t="array" ref="G1766">PRODUCT( _xlfn._xlws.FILTER($E:$E, ($C:$C=C1766)*($F:$F=F1766)) ) - 1</f>
        <v>-9.8756626185692031E-4</v>
      </c>
    </row>
    <row r="1767" spans="1:7" x14ac:dyDescent="0.2">
      <c r="A1767" s="1">
        <v>41652</v>
      </c>
      <c r="B1767">
        <v>0</v>
      </c>
      <c r="C1767" t="s">
        <v>12</v>
      </c>
      <c r="D1767">
        <v>-2.9619999999999998E-3</v>
      </c>
      <c r="E1767">
        <f t="shared" si="54"/>
        <v>0.99703799999999998</v>
      </c>
      <c r="F1767" s="1">
        <f t="shared" si="55"/>
        <v>41652</v>
      </c>
      <c r="G1767" cm="1">
        <f t="array" ref="G1767">PRODUCT( _xlfn._xlws.FILTER($E:$E, ($C:$C=C1767)*($F:$F=F1767)) ) - 1</f>
        <v>-5.2652687389326269E-3</v>
      </c>
    </row>
    <row r="1768" spans="1:7" x14ac:dyDescent="0.2">
      <c r="A1768" s="1">
        <v>41653</v>
      </c>
      <c r="B1768">
        <v>0</v>
      </c>
      <c r="C1768" t="s">
        <v>12</v>
      </c>
      <c r="D1768">
        <v>0</v>
      </c>
      <c r="E1768">
        <f t="shared" si="54"/>
        <v>1</v>
      </c>
      <c r="F1768" s="1">
        <f t="shared" si="55"/>
        <v>41652</v>
      </c>
      <c r="G1768" cm="1">
        <f t="array" ref="G1768">PRODUCT( _xlfn._xlws.FILTER($E:$E, ($C:$C=C1768)*($F:$F=F1768)) ) - 1</f>
        <v>-5.2652687389326269E-3</v>
      </c>
    </row>
    <row r="1769" spans="1:7" x14ac:dyDescent="0.2">
      <c r="A1769" s="1">
        <v>41654</v>
      </c>
      <c r="B1769">
        <v>0</v>
      </c>
      <c r="C1769" t="s">
        <v>12</v>
      </c>
      <c r="D1769">
        <v>-3.3E-4</v>
      </c>
      <c r="E1769">
        <f t="shared" si="54"/>
        <v>0.99966999999999995</v>
      </c>
      <c r="F1769" s="1">
        <f t="shared" si="55"/>
        <v>41652</v>
      </c>
      <c r="G1769" cm="1">
        <f t="array" ref="G1769">PRODUCT( _xlfn._xlws.FILTER($E:$E, ($C:$C=C1769)*($F:$F=F1769)) ) - 1</f>
        <v>-5.2652687389326269E-3</v>
      </c>
    </row>
    <row r="1770" spans="1:7" x14ac:dyDescent="0.2">
      <c r="A1770" s="1">
        <v>41655</v>
      </c>
      <c r="B1770">
        <v>0</v>
      </c>
      <c r="C1770" t="s">
        <v>12</v>
      </c>
      <c r="D1770">
        <v>-2.3110000000000001E-3</v>
      </c>
      <c r="E1770">
        <f t="shared" si="54"/>
        <v>0.99768900000000005</v>
      </c>
      <c r="F1770" s="1">
        <f t="shared" si="55"/>
        <v>41652</v>
      </c>
      <c r="G1770" cm="1">
        <f t="array" ref="G1770">PRODUCT( _xlfn._xlws.FILTER($E:$E, ($C:$C=C1770)*($F:$F=F1770)) ) - 1</f>
        <v>-5.2652687389326269E-3</v>
      </c>
    </row>
    <row r="1771" spans="1:7" x14ac:dyDescent="0.2">
      <c r="A1771" s="1">
        <v>41656</v>
      </c>
      <c r="B1771">
        <v>0</v>
      </c>
      <c r="C1771" t="s">
        <v>12</v>
      </c>
      <c r="D1771">
        <v>3.3100000000000002E-4</v>
      </c>
      <c r="E1771">
        <f t="shared" si="54"/>
        <v>1.0003310000000001</v>
      </c>
      <c r="F1771" s="1">
        <f t="shared" si="55"/>
        <v>41652</v>
      </c>
      <c r="G1771" cm="1">
        <f t="array" ref="G1771">PRODUCT( _xlfn._xlws.FILTER($E:$E, ($C:$C=C1771)*($F:$F=F1771)) ) - 1</f>
        <v>-5.2652687389326269E-3</v>
      </c>
    </row>
    <row r="1772" spans="1:7" x14ac:dyDescent="0.2">
      <c r="A1772" s="1">
        <v>41659</v>
      </c>
      <c r="B1772">
        <v>0</v>
      </c>
      <c r="C1772" t="s">
        <v>12</v>
      </c>
      <c r="D1772">
        <v>1.1908999999999999E-2</v>
      </c>
      <c r="E1772">
        <f t="shared" si="54"/>
        <v>1.0119089999999999</v>
      </c>
      <c r="F1772" s="1">
        <f t="shared" si="55"/>
        <v>41659</v>
      </c>
      <c r="G1772" cm="1">
        <f t="array" ref="G1772">PRODUCT( _xlfn._xlws.FILTER($E:$E, ($C:$C=C1772)*($F:$F=F1772)) ) - 1</f>
        <v>2.6461255785550364E-3</v>
      </c>
    </row>
    <row r="1773" spans="1:7" x14ac:dyDescent="0.2">
      <c r="A1773" s="1">
        <v>41660</v>
      </c>
      <c r="B1773">
        <v>0</v>
      </c>
      <c r="C1773" t="s">
        <v>12</v>
      </c>
      <c r="D1773">
        <v>-7.5189999999999996E-3</v>
      </c>
      <c r="E1773">
        <f t="shared" si="54"/>
        <v>0.99248099999999995</v>
      </c>
      <c r="F1773" s="1">
        <f t="shared" si="55"/>
        <v>41659</v>
      </c>
      <c r="G1773" cm="1">
        <f t="array" ref="G1773">PRODUCT( _xlfn._xlws.FILTER($E:$E, ($C:$C=C1773)*($F:$F=F1773)) ) - 1</f>
        <v>2.6461255785550364E-3</v>
      </c>
    </row>
    <row r="1774" spans="1:7" x14ac:dyDescent="0.2">
      <c r="A1774" s="1">
        <v>41661</v>
      </c>
      <c r="B1774">
        <v>0</v>
      </c>
      <c r="C1774" t="s">
        <v>12</v>
      </c>
      <c r="D1774">
        <v>-6.2579999999999997E-3</v>
      </c>
      <c r="E1774">
        <f t="shared" si="54"/>
        <v>0.99374200000000001</v>
      </c>
      <c r="F1774" s="1">
        <f t="shared" si="55"/>
        <v>41659</v>
      </c>
      <c r="G1774" cm="1">
        <f t="array" ref="G1774">PRODUCT( _xlfn._xlws.FILTER($E:$E, ($C:$C=C1774)*($F:$F=F1774)) ) - 1</f>
        <v>2.6461255785550364E-3</v>
      </c>
    </row>
    <row r="1775" spans="1:7" x14ac:dyDescent="0.2">
      <c r="A1775" s="1">
        <v>41662</v>
      </c>
      <c r="B1775">
        <v>0</v>
      </c>
      <c r="C1775" t="s">
        <v>12</v>
      </c>
      <c r="D1775">
        <v>-1.9889999999999999E-3</v>
      </c>
      <c r="E1775">
        <f t="shared" si="54"/>
        <v>0.99801099999999998</v>
      </c>
      <c r="F1775" s="1">
        <f t="shared" si="55"/>
        <v>41659</v>
      </c>
      <c r="G1775" cm="1">
        <f t="array" ref="G1775">PRODUCT( _xlfn._xlws.FILTER($E:$E, ($C:$C=C1775)*($F:$F=F1775)) ) - 1</f>
        <v>2.6461255785550364E-3</v>
      </c>
    </row>
    <row r="1776" spans="1:7" x14ac:dyDescent="0.2">
      <c r="A1776" s="1">
        <v>41663</v>
      </c>
      <c r="B1776">
        <v>0</v>
      </c>
      <c r="C1776" t="s">
        <v>12</v>
      </c>
      <c r="D1776">
        <v>6.6420000000000003E-3</v>
      </c>
      <c r="E1776">
        <f t="shared" si="54"/>
        <v>1.006642</v>
      </c>
      <c r="F1776" s="1">
        <f t="shared" si="55"/>
        <v>41659</v>
      </c>
      <c r="G1776" cm="1">
        <f t="array" ref="G1776">PRODUCT( _xlfn._xlws.FILTER($E:$E, ($C:$C=C1776)*($F:$F=F1776)) ) - 1</f>
        <v>2.6461255785550364E-3</v>
      </c>
    </row>
    <row r="1777" spans="1:7" x14ac:dyDescent="0.2">
      <c r="A1777" s="1">
        <v>41666</v>
      </c>
      <c r="B1777">
        <v>0</v>
      </c>
      <c r="C1777" t="s">
        <v>12</v>
      </c>
      <c r="D1777">
        <v>-3.6289999999999998E-3</v>
      </c>
      <c r="E1777">
        <f t="shared" si="54"/>
        <v>0.99637100000000001</v>
      </c>
      <c r="F1777" s="1">
        <f t="shared" si="55"/>
        <v>41666</v>
      </c>
      <c r="G1777" cm="1">
        <f t="array" ref="G1777">PRODUCT( _xlfn._xlws.FILTER($E:$E, ($C:$C=C1777)*($F:$F=F1777)) ) - 1</f>
        <v>1.0227794195793782E-2</v>
      </c>
    </row>
    <row r="1778" spans="1:7" x14ac:dyDescent="0.2">
      <c r="A1778" s="1">
        <v>41667</v>
      </c>
      <c r="B1778">
        <v>0</v>
      </c>
      <c r="C1778" t="s">
        <v>12</v>
      </c>
      <c r="D1778">
        <v>-6.9540000000000001E-3</v>
      </c>
      <c r="E1778">
        <f t="shared" si="54"/>
        <v>0.99304599999999998</v>
      </c>
      <c r="F1778" s="1">
        <f t="shared" si="55"/>
        <v>41666</v>
      </c>
      <c r="G1778" cm="1">
        <f t="array" ref="G1778">PRODUCT( _xlfn._xlws.FILTER($E:$E, ($C:$C=C1778)*($F:$F=F1778)) ) - 1</f>
        <v>1.0227794195793782E-2</v>
      </c>
    </row>
    <row r="1779" spans="1:7" x14ac:dyDescent="0.2">
      <c r="A1779" s="1">
        <v>41668</v>
      </c>
      <c r="B1779">
        <v>0</v>
      </c>
      <c r="C1779" t="s">
        <v>12</v>
      </c>
      <c r="D1779">
        <v>-3.6679999999999998E-3</v>
      </c>
      <c r="E1779">
        <f t="shared" si="54"/>
        <v>0.996332</v>
      </c>
      <c r="F1779" s="1">
        <f t="shared" si="55"/>
        <v>41666</v>
      </c>
      <c r="G1779" cm="1">
        <f t="array" ref="G1779">PRODUCT( _xlfn._xlws.FILTER($E:$E, ($C:$C=C1779)*($F:$F=F1779)) ) - 1</f>
        <v>1.0227794195793782E-2</v>
      </c>
    </row>
    <row r="1780" spans="1:7" x14ac:dyDescent="0.2">
      <c r="A1780" s="1">
        <v>41669</v>
      </c>
      <c r="B1780">
        <v>0</v>
      </c>
      <c r="C1780" t="s">
        <v>12</v>
      </c>
      <c r="D1780">
        <v>1.4390999999999999E-2</v>
      </c>
      <c r="E1780">
        <f t="shared" si="54"/>
        <v>1.014391</v>
      </c>
      <c r="F1780" s="1">
        <f t="shared" si="55"/>
        <v>41666</v>
      </c>
      <c r="G1780" cm="1">
        <f t="array" ref="G1780">PRODUCT( _xlfn._xlws.FILTER($E:$E, ($C:$C=C1780)*($F:$F=F1780)) ) - 1</f>
        <v>1.0227794195793782E-2</v>
      </c>
    </row>
    <row r="1781" spans="1:7" x14ac:dyDescent="0.2">
      <c r="A1781" s="1">
        <v>41670</v>
      </c>
      <c r="B1781">
        <v>0</v>
      </c>
      <c r="C1781" t="s">
        <v>12</v>
      </c>
      <c r="D1781">
        <v>1.0227999999999999E-2</v>
      </c>
      <c r="E1781">
        <f t="shared" si="54"/>
        <v>1.0102279999999999</v>
      </c>
      <c r="F1781" s="1">
        <f t="shared" si="55"/>
        <v>41666</v>
      </c>
      <c r="G1781" cm="1">
        <f t="array" ref="G1781">PRODUCT( _xlfn._xlws.FILTER($E:$E, ($C:$C=C1781)*($F:$F=F1781)) ) - 1</f>
        <v>1.0227794195793782E-2</v>
      </c>
    </row>
    <row r="1782" spans="1:7" x14ac:dyDescent="0.2">
      <c r="A1782" s="1">
        <v>41673</v>
      </c>
      <c r="B1782">
        <v>0</v>
      </c>
      <c r="C1782" t="s">
        <v>12</v>
      </c>
      <c r="D1782">
        <v>-3.2659999999999998E-3</v>
      </c>
      <c r="E1782">
        <f t="shared" si="54"/>
        <v>0.99673400000000001</v>
      </c>
      <c r="F1782" s="1">
        <f t="shared" si="55"/>
        <v>41673</v>
      </c>
      <c r="G1782" cm="1">
        <f t="array" ref="G1782">PRODUCT( _xlfn._xlws.FILTER($E:$E, ($C:$C=C1782)*($F:$F=F1782)) ) - 1</f>
        <v>1.2083769059409999E-2</v>
      </c>
    </row>
    <row r="1783" spans="1:7" x14ac:dyDescent="0.2">
      <c r="A1783" s="1">
        <v>41674</v>
      </c>
      <c r="B1783">
        <v>0</v>
      </c>
      <c r="C1783" t="s">
        <v>12</v>
      </c>
      <c r="D1783">
        <v>-3.604E-3</v>
      </c>
      <c r="E1783">
        <f t="shared" si="54"/>
        <v>0.99639599999999995</v>
      </c>
      <c r="F1783" s="1">
        <f t="shared" si="55"/>
        <v>41673</v>
      </c>
      <c r="G1783" cm="1">
        <f t="array" ref="G1783">PRODUCT( _xlfn._xlws.FILTER($E:$E, ($C:$C=C1783)*($F:$F=F1783)) ) - 1</f>
        <v>1.2083769059409999E-2</v>
      </c>
    </row>
    <row r="1784" spans="1:7" x14ac:dyDescent="0.2">
      <c r="A1784" s="1">
        <v>41675</v>
      </c>
      <c r="B1784">
        <v>0</v>
      </c>
      <c r="C1784" t="s">
        <v>12</v>
      </c>
      <c r="D1784">
        <v>1.6440000000000001E-3</v>
      </c>
      <c r="E1784">
        <f t="shared" si="54"/>
        <v>1.001644</v>
      </c>
      <c r="F1784" s="1">
        <f t="shared" si="55"/>
        <v>41673</v>
      </c>
      <c r="G1784" cm="1">
        <f t="array" ref="G1784">PRODUCT( _xlfn._xlws.FILTER($E:$E, ($C:$C=C1784)*($F:$F=F1784)) ) - 1</f>
        <v>1.2083769059409999E-2</v>
      </c>
    </row>
    <row r="1785" spans="1:7" x14ac:dyDescent="0.2">
      <c r="A1785" s="1">
        <v>41676</v>
      </c>
      <c r="B1785">
        <v>0</v>
      </c>
      <c r="C1785" t="s">
        <v>12</v>
      </c>
      <c r="D1785">
        <v>6.2379999999999996E-3</v>
      </c>
      <c r="E1785">
        <f t="shared" si="54"/>
        <v>1.006238</v>
      </c>
      <c r="F1785" s="1">
        <f t="shared" si="55"/>
        <v>41673</v>
      </c>
      <c r="G1785" cm="1">
        <f t="array" ref="G1785">PRODUCT( _xlfn._xlws.FILTER($E:$E, ($C:$C=C1785)*($F:$F=F1785)) ) - 1</f>
        <v>1.2083769059409999E-2</v>
      </c>
    </row>
    <row r="1786" spans="1:7" x14ac:dyDescent="0.2">
      <c r="A1786" s="1">
        <v>41677</v>
      </c>
      <c r="B1786">
        <v>0</v>
      </c>
      <c r="C1786" t="s">
        <v>12</v>
      </c>
      <c r="D1786">
        <v>1.1093E-2</v>
      </c>
      <c r="E1786">
        <f t="shared" si="54"/>
        <v>1.011093</v>
      </c>
      <c r="F1786" s="1">
        <f t="shared" si="55"/>
        <v>41673</v>
      </c>
      <c r="G1786" cm="1">
        <f t="array" ref="G1786">PRODUCT( _xlfn._xlws.FILTER($E:$E, ($C:$C=C1786)*($F:$F=F1786)) ) - 1</f>
        <v>1.2083769059409999E-2</v>
      </c>
    </row>
    <row r="1787" spans="1:7" x14ac:dyDescent="0.2">
      <c r="A1787" s="1">
        <v>41680</v>
      </c>
      <c r="B1787">
        <v>0</v>
      </c>
      <c r="C1787" t="s">
        <v>12</v>
      </c>
      <c r="D1787">
        <v>-4.5180000000000003E-3</v>
      </c>
      <c r="E1787">
        <f t="shared" si="54"/>
        <v>0.99548199999999998</v>
      </c>
      <c r="F1787" s="1">
        <f t="shared" si="55"/>
        <v>41680</v>
      </c>
      <c r="G1787" cm="1">
        <f t="array" ref="G1787">PRODUCT( _xlfn._xlws.FILTER($E:$E, ($C:$C=C1787)*($F:$F=F1787)) ) - 1</f>
        <v>1.2871750542777782E-3</v>
      </c>
    </row>
    <row r="1788" spans="1:7" x14ac:dyDescent="0.2">
      <c r="A1788" s="1">
        <v>41681</v>
      </c>
      <c r="B1788">
        <v>0</v>
      </c>
      <c r="C1788" t="s">
        <v>12</v>
      </c>
      <c r="D1788">
        <v>3.2400000000000001E-4</v>
      </c>
      <c r="E1788">
        <f t="shared" si="54"/>
        <v>1.000324</v>
      </c>
      <c r="F1788" s="1">
        <f t="shared" si="55"/>
        <v>41680</v>
      </c>
      <c r="G1788" cm="1">
        <f t="array" ref="G1788">PRODUCT( _xlfn._xlws.FILTER($E:$E, ($C:$C=C1788)*($F:$F=F1788)) ) - 1</f>
        <v>1.2871750542777782E-3</v>
      </c>
    </row>
    <row r="1789" spans="1:7" x14ac:dyDescent="0.2">
      <c r="A1789" s="1">
        <v>41682</v>
      </c>
      <c r="B1789">
        <v>0</v>
      </c>
      <c r="C1789" t="s">
        <v>12</v>
      </c>
      <c r="D1789">
        <v>5.8329999999999996E-3</v>
      </c>
      <c r="E1789">
        <f t="shared" si="54"/>
        <v>1.005833</v>
      </c>
      <c r="F1789" s="1">
        <f t="shared" si="55"/>
        <v>41680</v>
      </c>
      <c r="G1789" cm="1">
        <f t="array" ref="G1789">PRODUCT( _xlfn._xlws.FILTER($E:$E, ($C:$C=C1789)*($F:$F=F1789)) ) - 1</f>
        <v>1.2871750542777782E-3</v>
      </c>
    </row>
    <row r="1790" spans="1:7" x14ac:dyDescent="0.2">
      <c r="A1790" s="1">
        <v>41683</v>
      </c>
      <c r="B1790">
        <v>0</v>
      </c>
      <c r="C1790" t="s">
        <v>12</v>
      </c>
      <c r="D1790">
        <v>-4.8830000000000002E-3</v>
      </c>
      <c r="E1790">
        <f t="shared" si="54"/>
        <v>0.99511700000000003</v>
      </c>
      <c r="F1790" s="1">
        <f t="shared" si="55"/>
        <v>41680</v>
      </c>
      <c r="G1790" cm="1">
        <f t="array" ref="G1790">PRODUCT( _xlfn._xlws.FILTER($E:$E, ($C:$C=C1790)*($F:$F=F1790)) ) - 1</f>
        <v>1.2871750542777782E-3</v>
      </c>
    </row>
    <row r="1791" spans="1:7" x14ac:dyDescent="0.2">
      <c r="A1791" s="1">
        <v>41684</v>
      </c>
      <c r="B1791">
        <v>0</v>
      </c>
      <c r="C1791" t="s">
        <v>12</v>
      </c>
      <c r="D1791">
        <v>4.5799999999999999E-3</v>
      </c>
      <c r="E1791">
        <f t="shared" si="54"/>
        <v>1.00458</v>
      </c>
      <c r="F1791" s="1">
        <f t="shared" si="55"/>
        <v>41680</v>
      </c>
      <c r="G1791" cm="1">
        <f t="array" ref="G1791">PRODUCT( _xlfn._xlws.FILTER($E:$E, ($C:$C=C1791)*($F:$F=F1791)) ) - 1</f>
        <v>1.2871750542777782E-3</v>
      </c>
    </row>
    <row r="1792" spans="1:7" x14ac:dyDescent="0.2">
      <c r="A1792" s="1">
        <v>41688</v>
      </c>
      <c r="B1792">
        <v>0</v>
      </c>
      <c r="C1792" t="s">
        <v>12</v>
      </c>
      <c r="D1792">
        <v>9.77E-4</v>
      </c>
      <c r="E1792">
        <f t="shared" si="54"/>
        <v>1.000977</v>
      </c>
      <c r="F1792" s="1">
        <f t="shared" si="55"/>
        <v>41687</v>
      </c>
      <c r="G1792" cm="1">
        <f t="array" ref="G1792">PRODUCT( _xlfn._xlws.FILTER($E:$E, ($C:$C=C1792)*($F:$F=F1792)) ) - 1</f>
        <v>3.2565274485474305E-4</v>
      </c>
    </row>
    <row r="1793" spans="1:7" x14ac:dyDescent="0.2">
      <c r="A1793" s="1">
        <v>41689</v>
      </c>
      <c r="B1793">
        <v>0</v>
      </c>
      <c r="C1793" t="s">
        <v>12</v>
      </c>
      <c r="D1793">
        <v>0</v>
      </c>
      <c r="E1793">
        <f t="shared" si="54"/>
        <v>1</v>
      </c>
      <c r="F1793" s="1">
        <f t="shared" si="55"/>
        <v>41687</v>
      </c>
      <c r="G1793" cm="1">
        <f t="array" ref="G1793">PRODUCT( _xlfn._xlws.FILTER($E:$E, ($C:$C=C1793)*($F:$F=F1793)) ) - 1</f>
        <v>3.2565274485474305E-4</v>
      </c>
    </row>
    <row r="1794" spans="1:7" x14ac:dyDescent="0.2">
      <c r="A1794" s="1">
        <v>41690</v>
      </c>
      <c r="B1794">
        <v>0</v>
      </c>
      <c r="C1794" t="s">
        <v>12</v>
      </c>
      <c r="D1794">
        <v>-2.2769999999999999E-3</v>
      </c>
      <c r="E1794">
        <f t="shared" si="54"/>
        <v>0.99772300000000003</v>
      </c>
      <c r="F1794" s="1">
        <f t="shared" si="55"/>
        <v>41687</v>
      </c>
      <c r="G1794" cm="1">
        <f t="array" ref="G1794">PRODUCT( _xlfn._xlws.FILTER($E:$E, ($C:$C=C1794)*($F:$F=F1794)) ) - 1</f>
        <v>3.2565274485474305E-4</v>
      </c>
    </row>
    <row r="1795" spans="1:7" x14ac:dyDescent="0.2">
      <c r="A1795" s="1">
        <v>41691</v>
      </c>
      <c r="B1795">
        <v>0</v>
      </c>
      <c r="C1795" t="s">
        <v>12</v>
      </c>
      <c r="D1795">
        <v>1.6299999999999999E-3</v>
      </c>
      <c r="E1795">
        <f t="shared" si="54"/>
        <v>1.00163</v>
      </c>
      <c r="F1795" s="1">
        <f t="shared" si="55"/>
        <v>41687</v>
      </c>
      <c r="G1795" cm="1">
        <f t="array" ref="G1795">PRODUCT( _xlfn._xlws.FILTER($E:$E, ($C:$C=C1795)*($F:$F=F1795)) ) - 1</f>
        <v>3.2565274485474305E-4</v>
      </c>
    </row>
    <row r="1796" spans="1:7" x14ac:dyDescent="0.2">
      <c r="A1796" s="1">
        <v>41694</v>
      </c>
      <c r="B1796">
        <v>0</v>
      </c>
      <c r="C1796" t="s">
        <v>12</v>
      </c>
      <c r="D1796">
        <v>-4.5570000000000003E-3</v>
      </c>
      <c r="E1796">
        <f t="shared" ref="E1796:E1859" si="56">D1796+1</f>
        <v>0.99544299999999997</v>
      </c>
      <c r="F1796" s="1">
        <f t="shared" ref="F1796:F1859" si="57">A1796 - (WEEKDAY(A1796, 2) - 1)</f>
        <v>41694</v>
      </c>
      <c r="G1796" cm="1">
        <f t="array" ref="G1796">PRODUCT( _xlfn._xlws.FILTER($E:$E, ($C:$C=C1796)*($F:$F=F1796)) ) - 1</f>
        <v>-2.9288868455854544E-3</v>
      </c>
    </row>
    <row r="1797" spans="1:7" x14ac:dyDescent="0.2">
      <c r="A1797" s="1">
        <v>41695</v>
      </c>
      <c r="B1797">
        <v>0</v>
      </c>
      <c r="C1797" t="s">
        <v>12</v>
      </c>
      <c r="D1797">
        <v>1.635E-3</v>
      </c>
      <c r="E1797">
        <f t="shared" si="56"/>
        <v>1.0016350000000001</v>
      </c>
      <c r="F1797" s="1">
        <f t="shared" si="57"/>
        <v>41694</v>
      </c>
      <c r="G1797" cm="1">
        <f t="array" ref="G1797">PRODUCT( _xlfn._xlws.FILTER($E:$E, ($C:$C=C1797)*($F:$F=F1797)) ) - 1</f>
        <v>-2.9288868455854544E-3</v>
      </c>
    </row>
    <row r="1798" spans="1:7" x14ac:dyDescent="0.2">
      <c r="A1798" s="1">
        <v>41696</v>
      </c>
      <c r="B1798">
        <v>0</v>
      </c>
      <c r="C1798" t="s">
        <v>12</v>
      </c>
      <c r="D1798">
        <v>-2.2850000000000001E-3</v>
      </c>
      <c r="E1798">
        <f t="shared" si="56"/>
        <v>0.99771500000000002</v>
      </c>
      <c r="F1798" s="1">
        <f t="shared" si="57"/>
        <v>41694</v>
      </c>
      <c r="G1798" cm="1">
        <f t="array" ref="G1798">PRODUCT( _xlfn._xlws.FILTER($E:$E, ($C:$C=C1798)*($F:$F=F1798)) ) - 1</f>
        <v>-2.9288868455854544E-3</v>
      </c>
    </row>
    <row r="1799" spans="1:7" x14ac:dyDescent="0.2">
      <c r="A1799" s="1">
        <v>41697</v>
      </c>
      <c r="B1799">
        <v>0</v>
      </c>
      <c r="C1799" t="s">
        <v>12</v>
      </c>
      <c r="D1799">
        <v>3.2720000000000002E-3</v>
      </c>
      <c r="E1799">
        <f t="shared" si="56"/>
        <v>1.0032719999999999</v>
      </c>
      <c r="F1799" s="1">
        <f t="shared" si="57"/>
        <v>41694</v>
      </c>
      <c r="G1799" cm="1">
        <f t="array" ref="G1799">PRODUCT( _xlfn._xlws.FILTER($E:$E, ($C:$C=C1799)*($F:$F=F1799)) ) - 1</f>
        <v>-2.9288868455854544E-3</v>
      </c>
    </row>
    <row r="1800" spans="1:7" x14ac:dyDescent="0.2">
      <c r="A1800" s="1">
        <v>41698</v>
      </c>
      <c r="B1800">
        <v>0</v>
      </c>
      <c r="C1800" t="s">
        <v>12</v>
      </c>
      <c r="D1800">
        <v>-9.7799999999999992E-4</v>
      </c>
      <c r="E1800">
        <f t="shared" si="56"/>
        <v>0.99902199999999997</v>
      </c>
      <c r="F1800" s="1">
        <f t="shared" si="57"/>
        <v>41694</v>
      </c>
      <c r="G1800" cm="1">
        <f t="array" ref="G1800">PRODUCT( _xlfn._xlws.FILTER($E:$E, ($C:$C=C1800)*($F:$F=F1800)) ) - 1</f>
        <v>-2.9288868455854544E-3</v>
      </c>
    </row>
    <row r="1801" spans="1:7" x14ac:dyDescent="0.2">
      <c r="A1801" s="1">
        <v>41701</v>
      </c>
      <c r="B1801">
        <v>0</v>
      </c>
      <c r="C1801" t="s">
        <v>12</v>
      </c>
      <c r="D1801">
        <v>-9.7900000000000005E-4</v>
      </c>
      <c r="E1801">
        <f t="shared" si="56"/>
        <v>0.99902100000000005</v>
      </c>
      <c r="F1801" s="1">
        <f t="shared" si="57"/>
        <v>41701</v>
      </c>
      <c r="G1801" cm="1">
        <f t="array" ref="G1801">PRODUCT( _xlfn._xlws.FILTER($E:$E, ($C:$C=C1801)*($F:$F=F1801)) ) - 1</f>
        <v>8.0315248673912265E-8</v>
      </c>
    </row>
    <row r="1802" spans="1:7" x14ac:dyDescent="0.2">
      <c r="A1802" s="1">
        <v>41702</v>
      </c>
      <c r="B1802">
        <v>0</v>
      </c>
      <c r="C1802" t="s">
        <v>12</v>
      </c>
      <c r="D1802">
        <v>-3.2699999999999998E-4</v>
      </c>
      <c r="E1802">
        <f t="shared" si="56"/>
        <v>0.99967300000000003</v>
      </c>
      <c r="F1802" s="1">
        <f t="shared" si="57"/>
        <v>41701</v>
      </c>
      <c r="G1802" cm="1">
        <f t="array" ref="G1802">PRODUCT( _xlfn._xlws.FILTER($E:$E, ($C:$C=C1802)*($F:$F=F1802)) ) - 1</f>
        <v>8.0315248673912265E-8</v>
      </c>
    </row>
    <row r="1803" spans="1:7" x14ac:dyDescent="0.2">
      <c r="A1803" s="1">
        <v>41703</v>
      </c>
      <c r="B1803">
        <v>0</v>
      </c>
      <c r="C1803" t="s">
        <v>12</v>
      </c>
      <c r="D1803">
        <v>1.634E-3</v>
      </c>
      <c r="E1803">
        <f t="shared" si="56"/>
        <v>1.0016339999999999</v>
      </c>
      <c r="F1803" s="1">
        <f t="shared" si="57"/>
        <v>41701</v>
      </c>
      <c r="G1803" cm="1">
        <f t="array" ref="G1803">PRODUCT( _xlfn._xlws.FILTER($E:$E, ($C:$C=C1803)*($F:$F=F1803)) ) - 1</f>
        <v>8.0315248673912265E-8</v>
      </c>
    </row>
    <row r="1804" spans="1:7" x14ac:dyDescent="0.2">
      <c r="A1804" s="1">
        <v>41704</v>
      </c>
      <c r="B1804">
        <v>0</v>
      </c>
      <c r="C1804" t="s">
        <v>12</v>
      </c>
      <c r="D1804">
        <v>-3.2600000000000001E-4</v>
      </c>
      <c r="E1804">
        <f t="shared" si="56"/>
        <v>0.99967399999999995</v>
      </c>
      <c r="F1804" s="1">
        <f t="shared" si="57"/>
        <v>41701</v>
      </c>
      <c r="G1804" cm="1">
        <f t="array" ref="G1804">PRODUCT( _xlfn._xlws.FILTER($E:$E, ($C:$C=C1804)*($F:$F=F1804)) ) - 1</f>
        <v>8.0315248673912265E-8</v>
      </c>
    </row>
    <row r="1805" spans="1:7" x14ac:dyDescent="0.2">
      <c r="A1805" s="1">
        <v>41705</v>
      </c>
      <c r="B1805">
        <v>0</v>
      </c>
      <c r="C1805" t="s">
        <v>12</v>
      </c>
      <c r="D1805">
        <v>0</v>
      </c>
      <c r="E1805">
        <f t="shared" si="56"/>
        <v>1</v>
      </c>
      <c r="F1805" s="1">
        <f t="shared" si="57"/>
        <v>41701</v>
      </c>
      <c r="G1805" cm="1">
        <f t="array" ref="G1805">PRODUCT( _xlfn._xlws.FILTER($E:$E, ($C:$C=C1805)*($F:$F=F1805)) ) - 1</f>
        <v>8.0315248673912265E-8</v>
      </c>
    </row>
    <row r="1806" spans="1:7" x14ac:dyDescent="0.2">
      <c r="A1806" s="1">
        <v>41708</v>
      </c>
      <c r="B1806">
        <v>0</v>
      </c>
      <c r="C1806" t="s">
        <v>12</v>
      </c>
      <c r="D1806">
        <v>1.632E-3</v>
      </c>
      <c r="E1806">
        <f t="shared" si="56"/>
        <v>1.0016320000000001</v>
      </c>
      <c r="F1806" s="1">
        <f t="shared" si="57"/>
        <v>41708</v>
      </c>
      <c r="G1806" cm="1">
        <f t="array" ref="G1806">PRODUCT( _xlfn._xlws.FILTER($E:$E, ($C:$C=C1806)*($F:$F=F1806)) ) - 1</f>
        <v>2.1220688013727562E-2</v>
      </c>
    </row>
    <row r="1807" spans="1:7" x14ac:dyDescent="0.2">
      <c r="A1807" s="1">
        <v>41709</v>
      </c>
      <c r="B1807">
        <v>0</v>
      </c>
      <c r="C1807" t="s">
        <v>12</v>
      </c>
      <c r="D1807">
        <v>3.2590000000000002E-3</v>
      </c>
      <c r="E1807">
        <f t="shared" si="56"/>
        <v>1.0032589999999999</v>
      </c>
      <c r="F1807" s="1">
        <f t="shared" si="57"/>
        <v>41708</v>
      </c>
      <c r="G1807" cm="1">
        <f t="array" ref="G1807">PRODUCT( _xlfn._xlws.FILTER($E:$E, ($C:$C=C1807)*($F:$F=F1807)) ) - 1</f>
        <v>2.1220688013727562E-2</v>
      </c>
    </row>
    <row r="1808" spans="1:7" x14ac:dyDescent="0.2">
      <c r="A1808" s="1">
        <v>41710</v>
      </c>
      <c r="B1808">
        <v>0</v>
      </c>
      <c r="C1808" t="s">
        <v>12</v>
      </c>
      <c r="D1808">
        <v>9.0969999999999992E-3</v>
      </c>
      <c r="E1808">
        <f t="shared" si="56"/>
        <v>1.0090969999999999</v>
      </c>
      <c r="F1808" s="1">
        <f t="shared" si="57"/>
        <v>41708</v>
      </c>
      <c r="G1808" cm="1">
        <f t="array" ref="G1808">PRODUCT( _xlfn._xlws.FILTER($E:$E, ($C:$C=C1808)*($F:$F=F1808)) ) - 1</f>
        <v>2.1220688013727562E-2</v>
      </c>
    </row>
    <row r="1809" spans="1:7" x14ac:dyDescent="0.2">
      <c r="A1809" s="1">
        <v>41711</v>
      </c>
      <c r="B1809">
        <v>0</v>
      </c>
      <c r="C1809" t="s">
        <v>12</v>
      </c>
      <c r="D1809">
        <v>3.8639999999999998E-3</v>
      </c>
      <c r="E1809">
        <f t="shared" si="56"/>
        <v>1.0038640000000001</v>
      </c>
      <c r="F1809" s="1">
        <f t="shared" si="57"/>
        <v>41708</v>
      </c>
      <c r="G1809" cm="1">
        <f t="array" ref="G1809">PRODUCT( _xlfn._xlws.FILTER($E:$E, ($C:$C=C1809)*($F:$F=F1809)) ) - 1</f>
        <v>2.1220688013727562E-2</v>
      </c>
    </row>
    <row r="1810" spans="1:7" x14ac:dyDescent="0.2">
      <c r="A1810" s="1">
        <v>41712</v>
      </c>
      <c r="B1810">
        <v>0</v>
      </c>
      <c r="C1810" t="s">
        <v>12</v>
      </c>
      <c r="D1810">
        <v>3.2070000000000002E-3</v>
      </c>
      <c r="E1810">
        <f t="shared" si="56"/>
        <v>1.003207</v>
      </c>
      <c r="F1810" s="1">
        <f t="shared" si="57"/>
        <v>41708</v>
      </c>
      <c r="G1810" cm="1">
        <f t="array" ref="G1810">PRODUCT( _xlfn._xlws.FILTER($E:$E, ($C:$C=C1810)*($F:$F=F1810)) ) - 1</f>
        <v>2.1220688013727562E-2</v>
      </c>
    </row>
    <row r="1811" spans="1:7" x14ac:dyDescent="0.2">
      <c r="A1811" s="1">
        <v>41715</v>
      </c>
      <c r="B1811">
        <v>0</v>
      </c>
      <c r="C1811" t="s">
        <v>12</v>
      </c>
      <c r="D1811">
        <v>1.279E-3</v>
      </c>
      <c r="E1811">
        <f t="shared" si="56"/>
        <v>1.001279</v>
      </c>
      <c r="F1811" s="1">
        <f t="shared" si="57"/>
        <v>41715</v>
      </c>
      <c r="G1811" cm="1">
        <f t="array" ref="G1811">PRODUCT( _xlfn._xlws.FILTER($E:$E, ($C:$C=C1811)*($F:$F=F1811)) ) - 1</f>
        <v>-2.8767831921880926E-3</v>
      </c>
    </row>
    <row r="1812" spans="1:7" x14ac:dyDescent="0.2">
      <c r="A1812" s="1">
        <v>41716</v>
      </c>
      <c r="B1812">
        <v>0</v>
      </c>
      <c r="C1812" t="s">
        <v>12</v>
      </c>
      <c r="D1812">
        <v>3.1930000000000001E-3</v>
      </c>
      <c r="E1812">
        <f t="shared" si="56"/>
        <v>1.003193</v>
      </c>
      <c r="F1812" s="1">
        <f t="shared" si="57"/>
        <v>41715</v>
      </c>
      <c r="G1812" cm="1">
        <f t="array" ref="G1812">PRODUCT( _xlfn._xlws.FILTER($E:$E, ($C:$C=C1812)*($F:$F=F1812)) ) - 1</f>
        <v>-2.8767831921880926E-3</v>
      </c>
    </row>
    <row r="1813" spans="1:7" x14ac:dyDescent="0.2">
      <c r="A1813" s="1">
        <v>41717</v>
      </c>
      <c r="B1813">
        <v>0</v>
      </c>
      <c r="C1813" t="s">
        <v>12</v>
      </c>
      <c r="D1813">
        <v>-5.411E-3</v>
      </c>
      <c r="E1813">
        <f t="shared" si="56"/>
        <v>0.99458899999999995</v>
      </c>
      <c r="F1813" s="1">
        <f t="shared" si="57"/>
        <v>41715</v>
      </c>
      <c r="G1813" cm="1">
        <f t="array" ref="G1813">PRODUCT( _xlfn._xlws.FILTER($E:$E, ($C:$C=C1813)*($F:$F=F1813)) ) - 1</f>
        <v>-2.8767831921880926E-3</v>
      </c>
    </row>
    <row r="1814" spans="1:7" x14ac:dyDescent="0.2">
      <c r="A1814" s="1">
        <v>41718</v>
      </c>
      <c r="B1814">
        <v>0</v>
      </c>
      <c r="C1814" t="s">
        <v>12</v>
      </c>
      <c r="D1814">
        <v>-1.6000000000000001E-3</v>
      </c>
      <c r="E1814">
        <f t="shared" si="56"/>
        <v>0.99839999999999995</v>
      </c>
      <c r="F1814" s="1">
        <f t="shared" si="57"/>
        <v>41715</v>
      </c>
      <c r="G1814" cm="1">
        <f t="array" ref="G1814">PRODUCT( _xlfn._xlws.FILTER($E:$E, ($C:$C=C1814)*($F:$F=F1814)) ) - 1</f>
        <v>-2.8767831921880926E-3</v>
      </c>
    </row>
    <row r="1815" spans="1:7" x14ac:dyDescent="0.2">
      <c r="A1815" s="1">
        <v>41719</v>
      </c>
      <c r="B1815">
        <v>0</v>
      </c>
      <c r="C1815" t="s">
        <v>12</v>
      </c>
      <c r="D1815">
        <v>-3.2000000000000003E-4</v>
      </c>
      <c r="E1815">
        <f t="shared" si="56"/>
        <v>0.99968000000000001</v>
      </c>
      <c r="F1815" s="1">
        <f t="shared" si="57"/>
        <v>41715</v>
      </c>
      <c r="G1815" cm="1">
        <f t="array" ref="G1815">PRODUCT( _xlfn._xlws.FILTER($E:$E, ($C:$C=C1815)*($F:$F=F1815)) ) - 1</f>
        <v>-2.8767831921880926E-3</v>
      </c>
    </row>
    <row r="1816" spans="1:7" x14ac:dyDescent="0.2">
      <c r="A1816" s="1">
        <v>41722</v>
      </c>
      <c r="B1816">
        <v>0</v>
      </c>
      <c r="C1816" t="s">
        <v>12</v>
      </c>
      <c r="D1816">
        <v>4.1679999999999998E-3</v>
      </c>
      <c r="E1816">
        <f t="shared" si="56"/>
        <v>1.0041679999999999</v>
      </c>
      <c r="F1816" s="1">
        <f t="shared" si="57"/>
        <v>41722</v>
      </c>
      <c r="G1816" cm="1">
        <f t="array" ref="G1816">PRODUCT( _xlfn._xlws.FILTER($E:$E, ($C:$C=C1816)*($F:$F=F1816)) ) - 1</f>
        <v>1.0258297992829624E-2</v>
      </c>
    </row>
    <row r="1817" spans="1:7" x14ac:dyDescent="0.2">
      <c r="A1817" s="1">
        <v>41723</v>
      </c>
      <c r="B1817">
        <v>0</v>
      </c>
      <c r="C1817" t="s">
        <v>12</v>
      </c>
      <c r="D1817">
        <v>-4.1510000000000002E-3</v>
      </c>
      <c r="E1817">
        <f t="shared" si="56"/>
        <v>0.99584899999999998</v>
      </c>
      <c r="F1817" s="1">
        <f t="shared" si="57"/>
        <v>41722</v>
      </c>
      <c r="G1817" cm="1">
        <f t="array" ref="G1817">PRODUCT( _xlfn._xlws.FILTER($E:$E, ($C:$C=C1817)*($F:$F=F1817)) ) - 1</f>
        <v>1.0258297992829624E-2</v>
      </c>
    </row>
    <row r="1818" spans="1:7" x14ac:dyDescent="0.2">
      <c r="A1818" s="1">
        <v>41724</v>
      </c>
      <c r="B1818">
        <v>0</v>
      </c>
      <c r="C1818" t="s">
        <v>12</v>
      </c>
      <c r="D1818">
        <v>2.2439999999999999E-3</v>
      </c>
      <c r="E1818">
        <f t="shared" si="56"/>
        <v>1.0022439999999999</v>
      </c>
      <c r="F1818" s="1">
        <f t="shared" si="57"/>
        <v>41722</v>
      </c>
      <c r="G1818" cm="1">
        <f t="array" ref="G1818">PRODUCT( _xlfn._xlws.FILTER($E:$E, ($C:$C=C1818)*($F:$F=F1818)) ) - 1</f>
        <v>1.0258297992829624E-2</v>
      </c>
    </row>
    <row r="1819" spans="1:7" x14ac:dyDescent="0.2">
      <c r="A1819" s="1">
        <v>41725</v>
      </c>
      <c r="B1819">
        <v>0</v>
      </c>
      <c r="C1819" t="s">
        <v>12</v>
      </c>
      <c r="D1819">
        <v>5.1180000000000002E-3</v>
      </c>
      <c r="E1819">
        <f t="shared" si="56"/>
        <v>1.005118</v>
      </c>
      <c r="F1819" s="1">
        <f t="shared" si="57"/>
        <v>41722</v>
      </c>
      <c r="G1819" cm="1">
        <f t="array" ref="G1819">PRODUCT( _xlfn._xlws.FILTER($E:$E, ($C:$C=C1819)*($F:$F=F1819)) ) - 1</f>
        <v>1.0258297992829624E-2</v>
      </c>
    </row>
    <row r="1820" spans="1:7" x14ac:dyDescent="0.2">
      <c r="A1820" s="1">
        <v>41726</v>
      </c>
      <c r="B1820">
        <v>0</v>
      </c>
      <c r="C1820" t="s">
        <v>12</v>
      </c>
      <c r="D1820">
        <v>2.8639999999999998E-3</v>
      </c>
      <c r="E1820">
        <f t="shared" si="56"/>
        <v>1.002864</v>
      </c>
      <c r="F1820" s="1">
        <f t="shared" si="57"/>
        <v>41722</v>
      </c>
      <c r="G1820" cm="1">
        <f t="array" ref="G1820">PRODUCT( _xlfn._xlws.FILTER($E:$E, ($C:$C=C1820)*($F:$F=F1820)) ) - 1</f>
        <v>1.0258297992829624E-2</v>
      </c>
    </row>
    <row r="1821" spans="1:7" x14ac:dyDescent="0.2">
      <c r="A1821" s="1">
        <v>41729</v>
      </c>
      <c r="B1821">
        <v>0</v>
      </c>
      <c r="C1821" t="s">
        <v>12</v>
      </c>
      <c r="D1821">
        <v>3.1700000000000001E-4</v>
      </c>
      <c r="E1821">
        <f t="shared" si="56"/>
        <v>1.0003169999999999</v>
      </c>
      <c r="F1821" s="1">
        <f t="shared" si="57"/>
        <v>41729</v>
      </c>
      <c r="G1821" cm="1">
        <f t="array" ref="G1821">PRODUCT( _xlfn._xlws.FILTER($E:$E, ($C:$C=C1821)*($F:$F=F1821)) ) - 1</f>
        <v>-1.2703117406596132E-3</v>
      </c>
    </row>
    <row r="1822" spans="1:7" x14ac:dyDescent="0.2">
      <c r="A1822" s="1">
        <v>41730</v>
      </c>
      <c r="B1822">
        <v>0</v>
      </c>
      <c r="C1822" t="s">
        <v>12</v>
      </c>
      <c r="D1822">
        <v>0</v>
      </c>
      <c r="E1822">
        <f t="shared" si="56"/>
        <v>1</v>
      </c>
      <c r="F1822" s="1">
        <f t="shared" si="57"/>
        <v>41729</v>
      </c>
      <c r="G1822" cm="1">
        <f t="array" ref="G1822">PRODUCT( _xlfn._xlws.FILTER($E:$E, ($C:$C=C1822)*($F:$F=F1822)) ) - 1</f>
        <v>-1.2703117406596132E-3</v>
      </c>
    </row>
    <row r="1823" spans="1:7" x14ac:dyDescent="0.2">
      <c r="A1823" s="1">
        <v>41731</v>
      </c>
      <c r="B1823">
        <v>0</v>
      </c>
      <c r="C1823" t="s">
        <v>12</v>
      </c>
      <c r="D1823">
        <v>-1.2689999999999999E-3</v>
      </c>
      <c r="E1823">
        <f t="shared" si="56"/>
        <v>0.99873100000000004</v>
      </c>
      <c r="F1823" s="1">
        <f t="shared" si="57"/>
        <v>41729</v>
      </c>
      <c r="G1823" cm="1">
        <f t="array" ref="G1823">PRODUCT( _xlfn._xlws.FILTER($E:$E, ($C:$C=C1823)*($F:$F=F1823)) ) - 1</f>
        <v>-1.2703117406596132E-3</v>
      </c>
    </row>
    <row r="1824" spans="1:7" x14ac:dyDescent="0.2">
      <c r="A1824" s="1">
        <v>41732</v>
      </c>
      <c r="B1824">
        <v>0</v>
      </c>
      <c r="C1824" t="s">
        <v>12</v>
      </c>
      <c r="D1824">
        <v>-1.271E-3</v>
      </c>
      <c r="E1824">
        <f t="shared" si="56"/>
        <v>0.99872899999999998</v>
      </c>
      <c r="F1824" s="1">
        <f t="shared" si="57"/>
        <v>41729</v>
      </c>
      <c r="G1824" cm="1">
        <f t="array" ref="G1824">PRODUCT( _xlfn._xlws.FILTER($E:$E, ($C:$C=C1824)*($F:$F=F1824)) ) - 1</f>
        <v>-1.2703117406596132E-3</v>
      </c>
    </row>
    <row r="1825" spans="1:7" x14ac:dyDescent="0.2">
      <c r="A1825" s="1">
        <v>41733</v>
      </c>
      <c r="B1825">
        <v>0</v>
      </c>
      <c r="C1825" t="s">
        <v>12</v>
      </c>
      <c r="D1825">
        <v>9.5399999999999999E-4</v>
      </c>
      <c r="E1825">
        <f t="shared" si="56"/>
        <v>1.0009539999999999</v>
      </c>
      <c r="F1825" s="1">
        <f t="shared" si="57"/>
        <v>41729</v>
      </c>
      <c r="G1825" cm="1">
        <f t="array" ref="G1825">PRODUCT( _xlfn._xlws.FILTER($E:$E, ($C:$C=C1825)*($F:$F=F1825)) ) - 1</f>
        <v>-1.2703117406596132E-3</v>
      </c>
    </row>
    <row r="1826" spans="1:7" x14ac:dyDescent="0.2">
      <c r="A1826" s="1">
        <v>41736</v>
      </c>
      <c r="B1826">
        <v>0</v>
      </c>
      <c r="C1826" t="s">
        <v>12</v>
      </c>
      <c r="D1826">
        <v>6.9909999999999998E-3</v>
      </c>
      <c r="E1826">
        <f t="shared" si="56"/>
        <v>1.006991</v>
      </c>
      <c r="F1826" s="1">
        <f t="shared" si="57"/>
        <v>41736</v>
      </c>
      <c r="G1826" cm="1">
        <f t="array" ref="G1826">PRODUCT( _xlfn._xlws.FILTER($E:$E, ($C:$C=C1826)*($F:$F=F1826)) ) - 1</f>
        <v>1.8429844326269818E-2</v>
      </c>
    </row>
    <row r="1827" spans="1:7" x14ac:dyDescent="0.2">
      <c r="A1827" s="1">
        <v>41737</v>
      </c>
      <c r="B1827">
        <v>0</v>
      </c>
      <c r="C1827" t="s">
        <v>12</v>
      </c>
      <c r="D1827">
        <v>1.8929999999999999E-3</v>
      </c>
      <c r="E1827">
        <f t="shared" si="56"/>
        <v>1.0018929999999999</v>
      </c>
      <c r="F1827" s="1">
        <f t="shared" si="57"/>
        <v>41736</v>
      </c>
      <c r="G1827" cm="1">
        <f t="array" ref="G1827">PRODUCT( _xlfn._xlws.FILTER($E:$E, ($C:$C=C1827)*($F:$F=F1827)) ) - 1</f>
        <v>1.8429844326269818E-2</v>
      </c>
    </row>
    <row r="1828" spans="1:7" x14ac:dyDescent="0.2">
      <c r="A1828" s="1">
        <v>41738</v>
      </c>
      <c r="B1828">
        <v>0</v>
      </c>
      <c r="C1828" t="s">
        <v>12</v>
      </c>
      <c r="D1828">
        <v>5.9839999999999997E-3</v>
      </c>
      <c r="E1828">
        <f t="shared" si="56"/>
        <v>1.005984</v>
      </c>
      <c r="F1828" s="1">
        <f t="shared" si="57"/>
        <v>41736</v>
      </c>
      <c r="G1828" cm="1">
        <f t="array" ref="G1828">PRODUCT( _xlfn._xlws.FILTER($E:$E, ($C:$C=C1828)*($F:$F=F1828)) ) - 1</f>
        <v>1.8429844326269818E-2</v>
      </c>
    </row>
    <row r="1829" spans="1:7" x14ac:dyDescent="0.2">
      <c r="A1829" s="1">
        <v>41739</v>
      </c>
      <c r="B1829">
        <v>0</v>
      </c>
      <c r="C1829" t="s">
        <v>12</v>
      </c>
      <c r="D1829">
        <v>1.565E-3</v>
      </c>
      <c r="E1829">
        <f t="shared" si="56"/>
        <v>1.001565</v>
      </c>
      <c r="F1829" s="1">
        <f t="shared" si="57"/>
        <v>41736</v>
      </c>
      <c r="G1829" cm="1">
        <f t="array" ref="G1829">PRODUCT( _xlfn._xlws.FILTER($E:$E, ($C:$C=C1829)*($F:$F=F1829)) ) - 1</f>
        <v>1.8429844326269818E-2</v>
      </c>
    </row>
    <row r="1830" spans="1:7" x14ac:dyDescent="0.2">
      <c r="A1830" s="1">
        <v>41740</v>
      </c>
      <c r="B1830">
        <v>0</v>
      </c>
      <c r="C1830" t="s">
        <v>12</v>
      </c>
      <c r="D1830">
        <v>1.8760000000000001E-3</v>
      </c>
      <c r="E1830">
        <f t="shared" si="56"/>
        <v>1.001876</v>
      </c>
      <c r="F1830" s="1">
        <f t="shared" si="57"/>
        <v>41736</v>
      </c>
      <c r="G1830" cm="1">
        <f t="array" ref="G1830">PRODUCT( _xlfn._xlws.FILTER($E:$E, ($C:$C=C1830)*($F:$F=F1830)) ) - 1</f>
        <v>1.8429844326269818E-2</v>
      </c>
    </row>
    <row r="1831" spans="1:7" x14ac:dyDescent="0.2">
      <c r="A1831" s="1">
        <v>41743</v>
      </c>
      <c r="B1831">
        <v>0</v>
      </c>
      <c r="C1831" t="s">
        <v>12</v>
      </c>
      <c r="D1831">
        <v>-3.7439999999999999E-3</v>
      </c>
      <c r="E1831">
        <f t="shared" si="56"/>
        <v>0.99625600000000003</v>
      </c>
      <c r="F1831" s="1">
        <f t="shared" si="57"/>
        <v>41743</v>
      </c>
      <c r="G1831" cm="1">
        <f t="array" ref="G1831">PRODUCT( _xlfn._xlws.FILTER($E:$E, ($C:$C=C1831)*($F:$F=F1831)) ) - 1</f>
        <v>-1.2478203935527565E-3</v>
      </c>
    </row>
    <row r="1832" spans="1:7" x14ac:dyDescent="0.2">
      <c r="A1832" s="1">
        <v>41744</v>
      </c>
      <c r="B1832">
        <v>0</v>
      </c>
      <c r="C1832" t="s">
        <v>12</v>
      </c>
      <c r="D1832">
        <v>3.1300000000000002E-4</v>
      </c>
      <c r="E1832">
        <f t="shared" si="56"/>
        <v>1.000313</v>
      </c>
      <c r="F1832" s="1">
        <f t="shared" si="57"/>
        <v>41743</v>
      </c>
      <c r="G1832" cm="1">
        <f t="array" ref="G1832">PRODUCT( _xlfn._xlws.FILTER($E:$E, ($C:$C=C1832)*($F:$F=F1832)) ) - 1</f>
        <v>-1.2478203935527565E-3</v>
      </c>
    </row>
    <row r="1833" spans="1:7" x14ac:dyDescent="0.2">
      <c r="A1833" s="1">
        <v>41745</v>
      </c>
      <c r="B1833">
        <v>0</v>
      </c>
      <c r="C1833" t="s">
        <v>12</v>
      </c>
      <c r="D1833">
        <v>6.888E-3</v>
      </c>
      <c r="E1833">
        <f t="shared" si="56"/>
        <v>1.006888</v>
      </c>
      <c r="F1833" s="1">
        <f t="shared" si="57"/>
        <v>41743</v>
      </c>
      <c r="G1833" cm="1">
        <f t="array" ref="G1833">PRODUCT( _xlfn._xlws.FILTER($E:$E, ($C:$C=C1833)*($F:$F=F1833)) ) - 1</f>
        <v>-1.2478203935527565E-3</v>
      </c>
    </row>
    <row r="1834" spans="1:7" x14ac:dyDescent="0.2">
      <c r="A1834" s="1">
        <v>41746</v>
      </c>
      <c r="B1834">
        <v>0</v>
      </c>
      <c r="C1834" t="s">
        <v>12</v>
      </c>
      <c r="D1834">
        <v>-4.6639999999999997E-3</v>
      </c>
      <c r="E1834">
        <f t="shared" si="56"/>
        <v>0.995336</v>
      </c>
      <c r="F1834" s="1">
        <f t="shared" si="57"/>
        <v>41743</v>
      </c>
      <c r="G1834" cm="1">
        <f t="array" ref="G1834">PRODUCT( _xlfn._xlws.FILTER($E:$E, ($C:$C=C1834)*($F:$F=F1834)) ) - 1</f>
        <v>-1.2478203935527565E-3</v>
      </c>
    </row>
    <row r="1835" spans="1:7" x14ac:dyDescent="0.2">
      <c r="A1835" s="1">
        <v>41750</v>
      </c>
      <c r="B1835">
        <v>0</v>
      </c>
      <c r="C1835" t="s">
        <v>12</v>
      </c>
      <c r="D1835">
        <v>-3.1199999999999999E-4</v>
      </c>
      <c r="E1835">
        <f t="shared" si="56"/>
        <v>0.99968800000000002</v>
      </c>
      <c r="F1835" s="1">
        <f t="shared" si="57"/>
        <v>41750</v>
      </c>
      <c r="G1835" cm="1">
        <f t="array" ref="G1835">PRODUCT( _xlfn._xlws.FILTER($E:$E, ($C:$C=C1835)*($F:$F=F1835)) ) - 1</f>
        <v>4.6856488552515785E-3</v>
      </c>
    </row>
    <row r="1836" spans="1:7" x14ac:dyDescent="0.2">
      <c r="A1836" s="1">
        <v>41751</v>
      </c>
      <c r="B1836">
        <v>0</v>
      </c>
      <c r="C1836" t="s">
        <v>12</v>
      </c>
      <c r="D1836">
        <v>9.3700000000000001E-4</v>
      </c>
      <c r="E1836">
        <f t="shared" si="56"/>
        <v>1.000937</v>
      </c>
      <c r="F1836" s="1">
        <f t="shared" si="57"/>
        <v>41750</v>
      </c>
      <c r="G1836" cm="1">
        <f t="array" ref="G1836">PRODUCT( _xlfn._xlws.FILTER($E:$E, ($C:$C=C1836)*($F:$F=F1836)) ) - 1</f>
        <v>4.6856488552515785E-3</v>
      </c>
    </row>
    <row r="1837" spans="1:7" x14ac:dyDescent="0.2">
      <c r="A1837" s="1">
        <v>41752</v>
      </c>
      <c r="B1837">
        <v>0</v>
      </c>
      <c r="C1837" t="s">
        <v>12</v>
      </c>
      <c r="D1837">
        <v>-2.81E-3</v>
      </c>
      <c r="E1837">
        <f t="shared" si="56"/>
        <v>0.99719000000000002</v>
      </c>
      <c r="F1837" s="1">
        <f t="shared" si="57"/>
        <v>41750</v>
      </c>
      <c r="G1837" cm="1">
        <f t="array" ref="G1837">PRODUCT( _xlfn._xlws.FILTER($E:$E, ($C:$C=C1837)*($F:$F=F1837)) ) - 1</f>
        <v>4.6856488552515785E-3</v>
      </c>
    </row>
    <row r="1838" spans="1:7" x14ac:dyDescent="0.2">
      <c r="A1838" s="1">
        <v>41753</v>
      </c>
      <c r="B1838">
        <v>0</v>
      </c>
      <c r="C1838" t="s">
        <v>12</v>
      </c>
      <c r="D1838">
        <v>7.2009999999999999E-3</v>
      </c>
      <c r="E1838">
        <f t="shared" si="56"/>
        <v>1.007201</v>
      </c>
      <c r="F1838" s="1">
        <f t="shared" si="57"/>
        <v>41750</v>
      </c>
      <c r="G1838" cm="1">
        <f t="array" ref="G1838">PRODUCT( _xlfn._xlws.FILTER($E:$E, ($C:$C=C1838)*($F:$F=F1838)) ) - 1</f>
        <v>4.6856488552515785E-3</v>
      </c>
    </row>
    <row r="1839" spans="1:7" x14ac:dyDescent="0.2">
      <c r="A1839" s="1">
        <v>41754</v>
      </c>
      <c r="B1839">
        <v>0</v>
      </c>
      <c r="C1839" t="s">
        <v>12</v>
      </c>
      <c r="D1839">
        <v>-3.1100000000000002E-4</v>
      </c>
      <c r="E1839">
        <f t="shared" si="56"/>
        <v>0.99968900000000005</v>
      </c>
      <c r="F1839" s="1">
        <f t="shared" si="57"/>
        <v>41750</v>
      </c>
      <c r="G1839" cm="1">
        <f t="array" ref="G1839">PRODUCT( _xlfn._xlws.FILTER($E:$E, ($C:$C=C1839)*($F:$F=F1839)) ) - 1</f>
        <v>4.6856488552515785E-3</v>
      </c>
    </row>
    <row r="1840" spans="1:7" x14ac:dyDescent="0.2">
      <c r="A1840" s="1">
        <v>41757</v>
      </c>
      <c r="B1840">
        <v>0</v>
      </c>
      <c r="C1840" t="s">
        <v>12</v>
      </c>
      <c r="D1840">
        <v>6.2200000000000005E-4</v>
      </c>
      <c r="E1840">
        <f t="shared" si="56"/>
        <v>1.0006219999999999</v>
      </c>
      <c r="F1840" s="1">
        <f t="shared" si="57"/>
        <v>41757</v>
      </c>
      <c r="G1840" cm="1">
        <f t="array" ref="G1840">PRODUCT( _xlfn._xlws.FILTER($E:$E, ($C:$C=C1840)*($F:$F=F1840)) ) - 1</f>
        <v>1.1505104301352542E-2</v>
      </c>
    </row>
    <row r="1841" spans="1:7" x14ac:dyDescent="0.2">
      <c r="A1841" s="1">
        <v>41758</v>
      </c>
      <c r="B1841">
        <v>0</v>
      </c>
      <c r="C1841" t="s">
        <v>12</v>
      </c>
      <c r="D1841">
        <v>-4.9719999999999999E-3</v>
      </c>
      <c r="E1841">
        <f t="shared" si="56"/>
        <v>0.99502800000000002</v>
      </c>
      <c r="F1841" s="1">
        <f t="shared" si="57"/>
        <v>41757</v>
      </c>
      <c r="G1841" cm="1">
        <f t="array" ref="G1841">PRODUCT( _xlfn._xlws.FILTER($E:$E, ($C:$C=C1841)*($F:$F=F1841)) ) - 1</f>
        <v>1.1505104301352542E-2</v>
      </c>
    </row>
    <row r="1842" spans="1:7" x14ac:dyDescent="0.2">
      <c r="A1842" s="1">
        <v>41759</v>
      </c>
      <c r="B1842">
        <v>0</v>
      </c>
      <c r="C1842" t="s">
        <v>12</v>
      </c>
      <c r="D1842">
        <v>5.6220000000000003E-3</v>
      </c>
      <c r="E1842">
        <f t="shared" si="56"/>
        <v>1.005622</v>
      </c>
      <c r="F1842" s="1">
        <f t="shared" si="57"/>
        <v>41757</v>
      </c>
      <c r="G1842" cm="1">
        <f t="array" ref="G1842">PRODUCT( _xlfn._xlws.FILTER($E:$E, ($C:$C=C1842)*($F:$F=F1842)) ) - 1</f>
        <v>1.1505104301352542E-2</v>
      </c>
    </row>
    <row r="1843" spans="1:7" x14ac:dyDescent="0.2">
      <c r="A1843" s="1">
        <v>41760</v>
      </c>
      <c r="B1843">
        <v>0</v>
      </c>
      <c r="C1843" t="s">
        <v>12</v>
      </c>
      <c r="D1843">
        <v>4.6579999999999998E-3</v>
      </c>
      <c r="E1843">
        <f t="shared" si="56"/>
        <v>1.0046580000000001</v>
      </c>
      <c r="F1843" s="1">
        <f t="shared" si="57"/>
        <v>41757</v>
      </c>
      <c r="G1843" cm="1">
        <f t="array" ref="G1843">PRODUCT( _xlfn._xlws.FILTER($E:$E, ($C:$C=C1843)*($F:$F=F1843)) ) - 1</f>
        <v>1.1505104301352542E-2</v>
      </c>
    </row>
    <row r="1844" spans="1:7" x14ac:dyDescent="0.2">
      <c r="A1844" s="1">
        <v>41761</v>
      </c>
      <c r="B1844">
        <v>0</v>
      </c>
      <c r="C1844" t="s">
        <v>12</v>
      </c>
      <c r="D1844">
        <v>5.5640000000000004E-3</v>
      </c>
      <c r="E1844">
        <f t="shared" si="56"/>
        <v>1.0055639999999999</v>
      </c>
      <c r="F1844" s="1">
        <f t="shared" si="57"/>
        <v>41757</v>
      </c>
      <c r="G1844" cm="1">
        <f t="array" ref="G1844">PRODUCT( _xlfn._xlws.FILTER($E:$E, ($C:$C=C1844)*($F:$F=F1844)) ) - 1</f>
        <v>1.1505104301352542E-2</v>
      </c>
    </row>
    <row r="1845" spans="1:7" x14ac:dyDescent="0.2">
      <c r="A1845" s="1">
        <v>41764</v>
      </c>
      <c r="B1845">
        <v>0</v>
      </c>
      <c r="C1845" t="s">
        <v>12</v>
      </c>
      <c r="D1845">
        <v>-3.0699999999999998E-4</v>
      </c>
      <c r="E1845">
        <f t="shared" si="56"/>
        <v>0.99969300000000005</v>
      </c>
      <c r="F1845" s="1">
        <f t="shared" si="57"/>
        <v>41764</v>
      </c>
      <c r="G1845" cm="1">
        <f t="array" ref="G1845">PRODUCT( _xlfn._xlws.FILTER($E:$E, ($C:$C=C1845)*($F:$F=F1845)) ) - 1</f>
        <v>3.0642155023108408E-4</v>
      </c>
    </row>
    <row r="1846" spans="1:7" x14ac:dyDescent="0.2">
      <c r="A1846" s="1">
        <v>41765</v>
      </c>
      <c r="B1846">
        <v>0</v>
      </c>
      <c r="C1846" t="s">
        <v>12</v>
      </c>
      <c r="D1846">
        <v>-2.153E-3</v>
      </c>
      <c r="E1846">
        <f t="shared" si="56"/>
        <v>0.99784700000000004</v>
      </c>
      <c r="F1846" s="1">
        <f t="shared" si="57"/>
        <v>41764</v>
      </c>
      <c r="G1846" cm="1">
        <f t="array" ref="G1846">PRODUCT( _xlfn._xlws.FILTER($E:$E, ($C:$C=C1846)*($F:$F=F1846)) ) - 1</f>
        <v>3.0642155023108408E-4</v>
      </c>
    </row>
    <row r="1847" spans="1:7" x14ac:dyDescent="0.2">
      <c r="A1847" s="1">
        <v>41766</v>
      </c>
      <c r="B1847">
        <v>0</v>
      </c>
      <c r="C1847" t="s">
        <v>12</v>
      </c>
      <c r="D1847">
        <v>3.0800000000000001E-4</v>
      </c>
      <c r="E1847">
        <f t="shared" si="56"/>
        <v>1.000308</v>
      </c>
      <c r="F1847" s="1">
        <f t="shared" si="57"/>
        <v>41764</v>
      </c>
      <c r="G1847" cm="1">
        <f t="array" ref="G1847">PRODUCT( _xlfn._xlws.FILTER($E:$E, ($C:$C=C1847)*($F:$F=F1847)) ) - 1</f>
        <v>3.0642155023108408E-4</v>
      </c>
    </row>
    <row r="1848" spans="1:7" x14ac:dyDescent="0.2">
      <c r="A1848" s="1">
        <v>41767</v>
      </c>
      <c r="B1848">
        <v>0</v>
      </c>
      <c r="C1848" t="s">
        <v>12</v>
      </c>
      <c r="D1848">
        <v>-2.4650000000000002E-3</v>
      </c>
      <c r="E1848">
        <f t="shared" si="56"/>
        <v>0.99753499999999995</v>
      </c>
      <c r="F1848" s="1">
        <f t="shared" si="57"/>
        <v>41764</v>
      </c>
      <c r="G1848" cm="1">
        <f t="array" ref="G1848">PRODUCT( _xlfn._xlws.FILTER($E:$E, ($C:$C=C1848)*($F:$F=F1848)) ) - 1</f>
        <v>3.0642155023108408E-4</v>
      </c>
    </row>
    <row r="1849" spans="1:7" x14ac:dyDescent="0.2">
      <c r="A1849" s="1">
        <v>41768</v>
      </c>
      <c r="B1849">
        <v>0</v>
      </c>
      <c r="C1849" t="s">
        <v>12</v>
      </c>
      <c r="D1849">
        <v>4.9410000000000001E-3</v>
      </c>
      <c r="E1849">
        <f t="shared" si="56"/>
        <v>1.0049410000000001</v>
      </c>
      <c r="F1849" s="1">
        <f t="shared" si="57"/>
        <v>41764</v>
      </c>
      <c r="G1849" cm="1">
        <f t="array" ref="G1849">PRODUCT( _xlfn._xlws.FILTER($E:$E, ($C:$C=C1849)*($F:$F=F1849)) ) - 1</f>
        <v>3.0642155023108408E-4</v>
      </c>
    </row>
    <row r="1850" spans="1:7" x14ac:dyDescent="0.2">
      <c r="A1850" s="1">
        <v>41771</v>
      </c>
      <c r="B1850">
        <v>0</v>
      </c>
      <c r="C1850" t="s">
        <v>12</v>
      </c>
      <c r="D1850">
        <v>2.7659999999999998E-3</v>
      </c>
      <c r="E1850">
        <f t="shared" si="56"/>
        <v>1.002766</v>
      </c>
      <c r="F1850" s="1">
        <f t="shared" si="57"/>
        <v>41771</v>
      </c>
      <c r="G1850" cm="1">
        <f t="array" ref="G1850">PRODUCT( _xlfn._xlws.FILTER($E:$E, ($C:$C=C1850)*($F:$F=F1850)) ) - 1</f>
        <v>3.3740961830883709E-3</v>
      </c>
    </row>
    <row r="1851" spans="1:7" x14ac:dyDescent="0.2">
      <c r="A1851" s="1">
        <v>41772</v>
      </c>
      <c r="B1851">
        <v>0</v>
      </c>
      <c r="C1851" t="s">
        <v>12</v>
      </c>
      <c r="D1851">
        <v>-3.6779999999999998E-3</v>
      </c>
      <c r="E1851">
        <f t="shared" si="56"/>
        <v>0.99632200000000004</v>
      </c>
      <c r="F1851" s="1">
        <f t="shared" si="57"/>
        <v>41771</v>
      </c>
      <c r="G1851" cm="1">
        <f t="array" ref="G1851">PRODUCT( _xlfn._xlws.FILTER($E:$E, ($C:$C=C1851)*($F:$F=F1851)) ) - 1</f>
        <v>3.3740961830883709E-3</v>
      </c>
    </row>
    <row r="1852" spans="1:7" x14ac:dyDescent="0.2">
      <c r="A1852" s="1">
        <v>41773</v>
      </c>
      <c r="B1852">
        <v>0</v>
      </c>
      <c r="C1852" t="s">
        <v>12</v>
      </c>
      <c r="D1852">
        <v>4.9220000000000002E-3</v>
      </c>
      <c r="E1852">
        <f t="shared" si="56"/>
        <v>1.0049220000000001</v>
      </c>
      <c r="F1852" s="1">
        <f t="shared" si="57"/>
        <v>41771</v>
      </c>
      <c r="G1852" cm="1">
        <f t="array" ref="G1852">PRODUCT( _xlfn._xlws.FILTER($E:$E, ($C:$C=C1852)*($F:$F=F1852)) ) - 1</f>
        <v>3.3740961830883709E-3</v>
      </c>
    </row>
    <row r="1853" spans="1:7" x14ac:dyDescent="0.2">
      <c r="A1853" s="1">
        <v>41774</v>
      </c>
      <c r="B1853">
        <v>0</v>
      </c>
      <c r="C1853" t="s">
        <v>12</v>
      </c>
      <c r="D1853">
        <v>-4.6369999999999996E-3</v>
      </c>
      <c r="E1853">
        <f t="shared" si="56"/>
        <v>0.995363</v>
      </c>
      <c r="F1853" s="1">
        <f t="shared" si="57"/>
        <v>41771</v>
      </c>
      <c r="G1853" cm="1">
        <f t="array" ref="G1853">PRODUCT( _xlfn._xlws.FILTER($E:$E, ($C:$C=C1853)*($F:$F=F1853)) ) - 1</f>
        <v>3.3740961830883709E-3</v>
      </c>
    </row>
    <row r="1854" spans="1:7" x14ac:dyDescent="0.2">
      <c r="A1854" s="1">
        <v>41775</v>
      </c>
      <c r="B1854">
        <v>0</v>
      </c>
      <c r="C1854" t="s">
        <v>12</v>
      </c>
      <c r="D1854">
        <v>4.0369999999999998E-3</v>
      </c>
      <c r="E1854">
        <f t="shared" si="56"/>
        <v>1.0040370000000001</v>
      </c>
      <c r="F1854" s="1">
        <f t="shared" si="57"/>
        <v>41771</v>
      </c>
      <c r="G1854" cm="1">
        <f t="array" ref="G1854">PRODUCT( _xlfn._xlws.FILTER($E:$E, ($C:$C=C1854)*($F:$F=F1854)) ) - 1</f>
        <v>3.3740961830883709E-3</v>
      </c>
    </row>
    <row r="1855" spans="1:7" x14ac:dyDescent="0.2">
      <c r="A1855" s="1">
        <v>41779</v>
      </c>
      <c r="B1855">
        <v>0</v>
      </c>
      <c r="C1855" t="s">
        <v>12</v>
      </c>
      <c r="D1855">
        <v>2.4740000000000001E-3</v>
      </c>
      <c r="E1855">
        <f t="shared" si="56"/>
        <v>1.0024740000000001</v>
      </c>
      <c r="F1855" s="1">
        <f t="shared" si="57"/>
        <v>41778</v>
      </c>
      <c r="G1855" cm="1">
        <f t="array" ref="G1855">PRODUCT( _xlfn._xlws.FILTER($E:$E, ($C:$C=C1855)*($F:$F=F1855)) ) - 1</f>
        <v>1.0515953164312197E-2</v>
      </c>
    </row>
    <row r="1856" spans="1:7" x14ac:dyDescent="0.2">
      <c r="A1856" s="1">
        <v>41780</v>
      </c>
      <c r="B1856">
        <v>0</v>
      </c>
      <c r="C1856" t="s">
        <v>12</v>
      </c>
      <c r="D1856">
        <v>5.862E-3</v>
      </c>
      <c r="E1856">
        <f t="shared" si="56"/>
        <v>1.005862</v>
      </c>
      <c r="F1856" s="1">
        <f t="shared" si="57"/>
        <v>41778</v>
      </c>
      <c r="G1856" cm="1">
        <f t="array" ref="G1856">PRODUCT( _xlfn._xlws.FILTER($E:$E, ($C:$C=C1856)*($F:$F=F1856)) ) - 1</f>
        <v>1.0515953164312197E-2</v>
      </c>
    </row>
    <row r="1857" spans="1:7" x14ac:dyDescent="0.2">
      <c r="A1857" s="1">
        <v>41781</v>
      </c>
      <c r="B1857">
        <v>0</v>
      </c>
      <c r="C1857" t="s">
        <v>12</v>
      </c>
      <c r="D1857">
        <v>4.908E-3</v>
      </c>
      <c r="E1857">
        <f t="shared" si="56"/>
        <v>1.0049079999999999</v>
      </c>
      <c r="F1857" s="1">
        <f t="shared" si="57"/>
        <v>41778</v>
      </c>
      <c r="G1857" cm="1">
        <f t="array" ref="G1857">PRODUCT( _xlfn._xlws.FILTER($E:$E, ($C:$C=C1857)*($F:$F=F1857)) ) - 1</f>
        <v>1.0515953164312197E-2</v>
      </c>
    </row>
    <row r="1858" spans="1:7" x14ac:dyDescent="0.2">
      <c r="A1858" s="1">
        <v>41782</v>
      </c>
      <c r="B1858">
        <v>0</v>
      </c>
      <c r="C1858" t="s">
        <v>12</v>
      </c>
      <c r="D1858">
        <v>-2.7469999999999999E-3</v>
      </c>
      <c r="E1858">
        <f t="shared" si="56"/>
        <v>0.99725299999999995</v>
      </c>
      <c r="F1858" s="1">
        <f t="shared" si="57"/>
        <v>41778</v>
      </c>
      <c r="G1858" cm="1">
        <f t="array" ref="G1858">PRODUCT( _xlfn._xlws.FILTER($E:$E, ($C:$C=C1858)*($F:$F=F1858)) ) - 1</f>
        <v>1.0515953164312197E-2</v>
      </c>
    </row>
    <row r="1859" spans="1:7" x14ac:dyDescent="0.2">
      <c r="A1859" s="1">
        <v>41785</v>
      </c>
      <c r="B1859">
        <v>0</v>
      </c>
      <c r="C1859" t="s">
        <v>12</v>
      </c>
      <c r="D1859">
        <v>-3.9789999999999999E-3</v>
      </c>
      <c r="E1859">
        <f t="shared" si="56"/>
        <v>0.99602100000000005</v>
      </c>
      <c r="F1859" s="1">
        <f t="shared" si="57"/>
        <v>41785</v>
      </c>
      <c r="G1859" cm="1">
        <f t="array" ref="G1859">PRODUCT( _xlfn._xlws.FILTER($E:$E, ($C:$C=C1859)*($F:$F=F1859)) ) - 1</f>
        <v>-3.9791269510618399E-3</v>
      </c>
    </row>
    <row r="1860" spans="1:7" x14ac:dyDescent="0.2">
      <c r="A1860" s="1">
        <v>41786</v>
      </c>
      <c r="B1860">
        <v>0</v>
      </c>
      <c r="C1860" t="s">
        <v>12</v>
      </c>
      <c r="D1860">
        <v>3.6879999999999999E-3</v>
      </c>
      <c r="E1860">
        <f t="shared" ref="E1860:E1923" si="58">D1860+1</f>
        <v>1.0036879999999999</v>
      </c>
      <c r="F1860" s="1">
        <f t="shared" ref="F1860:F1923" si="59">A1860 - (WEEKDAY(A1860, 2) - 1)</f>
        <v>41785</v>
      </c>
      <c r="G1860" cm="1">
        <f t="array" ref="G1860">PRODUCT( _xlfn._xlws.FILTER($E:$E, ($C:$C=C1860)*($F:$F=F1860)) ) - 1</f>
        <v>-3.9791269510618399E-3</v>
      </c>
    </row>
    <row r="1861" spans="1:7" x14ac:dyDescent="0.2">
      <c r="A1861" s="1">
        <v>41787</v>
      </c>
      <c r="B1861">
        <v>0</v>
      </c>
      <c r="C1861" t="s">
        <v>12</v>
      </c>
      <c r="D1861">
        <v>-4.5929999999999999E-3</v>
      </c>
      <c r="E1861">
        <f t="shared" si="58"/>
        <v>0.99540700000000004</v>
      </c>
      <c r="F1861" s="1">
        <f t="shared" si="59"/>
        <v>41785</v>
      </c>
      <c r="G1861" cm="1">
        <f t="array" ref="G1861">PRODUCT( _xlfn._xlws.FILTER($E:$E, ($C:$C=C1861)*($F:$F=F1861)) ) - 1</f>
        <v>-3.9791269510618399E-3</v>
      </c>
    </row>
    <row r="1862" spans="1:7" x14ac:dyDescent="0.2">
      <c r="A1862" s="1">
        <v>41788</v>
      </c>
      <c r="B1862">
        <v>0</v>
      </c>
      <c r="C1862" t="s">
        <v>12</v>
      </c>
      <c r="D1862">
        <v>-3.0760000000000002E-3</v>
      </c>
      <c r="E1862">
        <f t="shared" si="58"/>
        <v>0.99692400000000003</v>
      </c>
      <c r="F1862" s="1">
        <f t="shared" si="59"/>
        <v>41785</v>
      </c>
      <c r="G1862" cm="1">
        <f t="array" ref="G1862">PRODUCT( _xlfn._xlws.FILTER($E:$E, ($C:$C=C1862)*($F:$F=F1862)) ) - 1</f>
        <v>-3.9791269510618399E-3</v>
      </c>
    </row>
    <row r="1863" spans="1:7" x14ac:dyDescent="0.2">
      <c r="A1863" s="1">
        <v>41789</v>
      </c>
      <c r="B1863">
        <v>0</v>
      </c>
      <c r="C1863" t="s">
        <v>12</v>
      </c>
      <c r="D1863">
        <v>4.0109999999999998E-3</v>
      </c>
      <c r="E1863">
        <f t="shared" si="58"/>
        <v>1.004011</v>
      </c>
      <c r="F1863" s="1">
        <f t="shared" si="59"/>
        <v>41785</v>
      </c>
      <c r="G1863" cm="1">
        <f t="array" ref="G1863">PRODUCT( _xlfn._xlws.FILTER($E:$E, ($C:$C=C1863)*($F:$F=F1863)) ) - 1</f>
        <v>-3.9791269510618399E-3</v>
      </c>
    </row>
    <row r="1864" spans="1:7" x14ac:dyDescent="0.2">
      <c r="A1864" s="1">
        <v>41792</v>
      </c>
      <c r="B1864">
        <v>0</v>
      </c>
      <c r="C1864" t="s">
        <v>12</v>
      </c>
      <c r="D1864">
        <v>-1.8439999999999999E-3</v>
      </c>
      <c r="E1864">
        <f t="shared" si="58"/>
        <v>0.99815600000000004</v>
      </c>
      <c r="F1864" s="1">
        <f t="shared" si="59"/>
        <v>41792</v>
      </c>
      <c r="G1864" cm="1">
        <f t="array" ref="G1864">PRODUCT( _xlfn._xlws.FILTER($E:$E, ($C:$C=C1864)*($F:$F=F1864)) ) - 1</f>
        <v>-1.8437587418879464E-2</v>
      </c>
    </row>
    <row r="1865" spans="1:7" x14ac:dyDescent="0.2">
      <c r="A1865" s="1">
        <v>41793</v>
      </c>
      <c r="B1865">
        <v>0</v>
      </c>
      <c r="C1865" t="s">
        <v>12</v>
      </c>
      <c r="D1865">
        <v>-6.4650000000000003E-3</v>
      </c>
      <c r="E1865">
        <f t="shared" si="58"/>
        <v>0.99353499999999995</v>
      </c>
      <c r="F1865" s="1">
        <f t="shared" si="59"/>
        <v>41792</v>
      </c>
      <c r="G1865" cm="1">
        <f t="array" ref="G1865">PRODUCT( _xlfn._xlws.FILTER($E:$E, ($C:$C=C1865)*($F:$F=F1865)) ) - 1</f>
        <v>-1.8437587418879464E-2</v>
      </c>
    </row>
    <row r="1866" spans="1:7" x14ac:dyDescent="0.2">
      <c r="A1866" s="1">
        <v>41794</v>
      </c>
      <c r="B1866">
        <v>0</v>
      </c>
      <c r="C1866" t="s">
        <v>12</v>
      </c>
      <c r="D1866">
        <v>-4.3379999999999998E-3</v>
      </c>
      <c r="E1866">
        <f t="shared" si="58"/>
        <v>0.99566200000000005</v>
      </c>
      <c r="F1866" s="1">
        <f t="shared" si="59"/>
        <v>41792</v>
      </c>
      <c r="G1866" cm="1">
        <f t="array" ref="G1866">PRODUCT( _xlfn._xlws.FILTER($E:$E, ($C:$C=C1866)*($F:$F=F1866)) ) - 1</f>
        <v>-1.8437587418879464E-2</v>
      </c>
    </row>
    <row r="1867" spans="1:7" x14ac:dyDescent="0.2">
      <c r="A1867" s="1">
        <v>41795</v>
      </c>
      <c r="B1867">
        <v>0</v>
      </c>
      <c r="C1867" t="s">
        <v>12</v>
      </c>
      <c r="D1867">
        <v>0</v>
      </c>
      <c r="E1867">
        <f t="shared" si="58"/>
        <v>1</v>
      </c>
      <c r="F1867" s="1">
        <f t="shared" si="59"/>
        <v>41792</v>
      </c>
      <c r="G1867" cm="1">
        <f t="array" ref="G1867">PRODUCT( _xlfn._xlws.FILTER($E:$E, ($C:$C=C1867)*($F:$F=F1867)) ) - 1</f>
        <v>-1.8437587418879464E-2</v>
      </c>
    </row>
    <row r="1868" spans="1:7" x14ac:dyDescent="0.2">
      <c r="A1868" s="1">
        <v>41796</v>
      </c>
      <c r="B1868">
        <v>0</v>
      </c>
      <c r="C1868" t="s">
        <v>12</v>
      </c>
      <c r="D1868">
        <v>-5.9129999999999999E-3</v>
      </c>
      <c r="E1868">
        <f t="shared" si="58"/>
        <v>0.99408700000000005</v>
      </c>
      <c r="F1868" s="1">
        <f t="shared" si="59"/>
        <v>41792</v>
      </c>
      <c r="G1868" cm="1">
        <f t="array" ref="G1868">PRODUCT( _xlfn._xlws.FILTER($E:$E, ($C:$C=C1868)*($F:$F=F1868)) ) - 1</f>
        <v>-1.8437587418879464E-2</v>
      </c>
    </row>
    <row r="1869" spans="1:7" x14ac:dyDescent="0.2">
      <c r="A1869" s="1">
        <v>41799</v>
      </c>
      <c r="B1869">
        <v>0</v>
      </c>
      <c r="C1869" t="s">
        <v>12</v>
      </c>
      <c r="D1869">
        <v>-2.5049999999999998E-3</v>
      </c>
      <c r="E1869">
        <f t="shared" si="58"/>
        <v>0.99749500000000002</v>
      </c>
      <c r="F1869" s="1">
        <f t="shared" si="59"/>
        <v>41799</v>
      </c>
      <c r="G1869" cm="1">
        <f t="array" ref="G1869">PRODUCT( _xlfn._xlws.FILTER($E:$E, ($C:$C=C1869)*($F:$F=F1869)) ) - 1</f>
        <v>-5.9486453224082414E-3</v>
      </c>
    </row>
    <row r="1870" spans="1:7" x14ac:dyDescent="0.2">
      <c r="A1870" s="1">
        <v>41800</v>
      </c>
      <c r="B1870">
        <v>0</v>
      </c>
      <c r="C1870" t="s">
        <v>12</v>
      </c>
      <c r="D1870">
        <v>-2.1970000000000002E-3</v>
      </c>
      <c r="E1870">
        <f t="shared" si="58"/>
        <v>0.997803</v>
      </c>
      <c r="F1870" s="1">
        <f t="shared" si="59"/>
        <v>41799</v>
      </c>
      <c r="G1870" cm="1">
        <f t="array" ref="G1870">PRODUCT( _xlfn._xlws.FILTER($E:$E, ($C:$C=C1870)*($F:$F=F1870)) ) - 1</f>
        <v>-5.9486453224082414E-3</v>
      </c>
    </row>
    <row r="1871" spans="1:7" x14ac:dyDescent="0.2">
      <c r="A1871" s="1">
        <v>41801</v>
      </c>
      <c r="B1871">
        <v>0</v>
      </c>
      <c r="C1871" t="s">
        <v>12</v>
      </c>
      <c r="D1871">
        <v>-2.202E-3</v>
      </c>
      <c r="E1871">
        <f t="shared" si="58"/>
        <v>0.99779799999999996</v>
      </c>
      <c r="F1871" s="1">
        <f t="shared" si="59"/>
        <v>41799</v>
      </c>
      <c r="G1871" cm="1">
        <f t="array" ref="G1871">PRODUCT( _xlfn._xlws.FILTER($E:$E, ($C:$C=C1871)*($F:$F=F1871)) ) - 1</f>
        <v>-5.9486453224082414E-3</v>
      </c>
    </row>
    <row r="1872" spans="1:7" x14ac:dyDescent="0.2">
      <c r="A1872" s="1">
        <v>41802</v>
      </c>
      <c r="B1872">
        <v>0</v>
      </c>
      <c r="C1872" t="s">
        <v>12</v>
      </c>
      <c r="D1872">
        <v>-2.2070000000000002E-3</v>
      </c>
      <c r="E1872">
        <f t="shared" si="58"/>
        <v>0.99779300000000004</v>
      </c>
      <c r="F1872" s="1">
        <f t="shared" si="59"/>
        <v>41799</v>
      </c>
      <c r="G1872" cm="1">
        <f t="array" ref="G1872">PRODUCT( _xlfn._xlws.FILTER($E:$E, ($C:$C=C1872)*($F:$F=F1872)) ) - 1</f>
        <v>-5.9486453224082414E-3</v>
      </c>
    </row>
    <row r="1873" spans="1:7" x14ac:dyDescent="0.2">
      <c r="A1873" s="1">
        <v>41803</v>
      </c>
      <c r="B1873">
        <v>0</v>
      </c>
      <c r="C1873" t="s">
        <v>12</v>
      </c>
      <c r="D1873">
        <v>3.16E-3</v>
      </c>
      <c r="E1873">
        <f t="shared" si="58"/>
        <v>1.0031600000000001</v>
      </c>
      <c r="F1873" s="1">
        <f t="shared" si="59"/>
        <v>41799</v>
      </c>
      <c r="G1873" cm="1">
        <f t="array" ref="G1873">PRODUCT( _xlfn._xlws.FILTER($E:$E, ($C:$C=C1873)*($F:$F=F1873)) ) - 1</f>
        <v>-5.9486453224082414E-3</v>
      </c>
    </row>
    <row r="1874" spans="1:7" x14ac:dyDescent="0.2">
      <c r="A1874" s="1">
        <v>41806</v>
      </c>
      <c r="B1874">
        <v>0</v>
      </c>
      <c r="C1874" t="s">
        <v>12</v>
      </c>
      <c r="D1874">
        <v>5.3540000000000003E-3</v>
      </c>
      <c r="E1874">
        <f t="shared" si="58"/>
        <v>1.0053540000000001</v>
      </c>
      <c r="F1874" s="1">
        <f t="shared" si="59"/>
        <v>41806</v>
      </c>
      <c r="G1874" cm="1">
        <f t="array" ref="G1874">PRODUCT( _xlfn._xlws.FILTER($E:$E, ($C:$C=C1874)*($F:$F=F1874)) ) - 1</f>
        <v>1.5747914879217229E-2</v>
      </c>
    </row>
    <row r="1875" spans="1:7" x14ac:dyDescent="0.2">
      <c r="A1875" s="1">
        <v>41807</v>
      </c>
      <c r="B1875">
        <v>0</v>
      </c>
      <c r="C1875" t="s">
        <v>12</v>
      </c>
      <c r="D1875">
        <v>5.0130000000000001E-3</v>
      </c>
      <c r="E1875">
        <f t="shared" si="58"/>
        <v>1.0050129999999999</v>
      </c>
      <c r="F1875" s="1">
        <f t="shared" si="59"/>
        <v>41806</v>
      </c>
      <c r="G1875" cm="1">
        <f t="array" ref="G1875">PRODUCT( _xlfn._xlws.FILTER($E:$E, ($C:$C=C1875)*($F:$F=F1875)) ) - 1</f>
        <v>1.5747914879217229E-2</v>
      </c>
    </row>
    <row r="1876" spans="1:7" x14ac:dyDescent="0.2">
      <c r="A1876" s="1">
        <v>41808</v>
      </c>
      <c r="B1876">
        <v>0</v>
      </c>
      <c r="C1876" t="s">
        <v>12</v>
      </c>
      <c r="D1876">
        <v>1.0286999999999999E-2</v>
      </c>
      <c r="E1876">
        <f t="shared" si="58"/>
        <v>1.0102869999999999</v>
      </c>
      <c r="F1876" s="1">
        <f t="shared" si="59"/>
        <v>41806</v>
      </c>
      <c r="G1876" cm="1">
        <f t="array" ref="G1876">PRODUCT( _xlfn._xlws.FILTER($E:$E, ($C:$C=C1876)*($F:$F=F1876)) ) - 1</f>
        <v>1.5747914879217229E-2</v>
      </c>
    </row>
    <row r="1877" spans="1:7" x14ac:dyDescent="0.2">
      <c r="A1877" s="1">
        <v>41809</v>
      </c>
      <c r="B1877">
        <v>0</v>
      </c>
      <c r="C1877" t="s">
        <v>12</v>
      </c>
      <c r="D1877">
        <v>-8.9479999999999994E-3</v>
      </c>
      <c r="E1877">
        <f t="shared" si="58"/>
        <v>0.99105200000000004</v>
      </c>
      <c r="F1877" s="1">
        <f t="shared" si="59"/>
        <v>41806</v>
      </c>
      <c r="G1877" cm="1">
        <f t="array" ref="G1877">PRODUCT( _xlfn._xlws.FILTER($E:$E, ($C:$C=C1877)*($F:$F=F1877)) ) - 1</f>
        <v>1.5747914879217229E-2</v>
      </c>
    </row>
    <row r="1878" spans="1:7" x14ac:dyDescent="0.2">
      <c r="A1878" s="1">
        <v>41810</v>
      </c>
      <c r="B1878">
        <v>0</v>
      </c>
      <c r="C1878" t="s">
        <v>12</v>
      </c>
      <c r="D1878">
        <v>4.0470000000000002E-3</v>
      </c>
      <c r="E1878">
        <f t="shared" si="58"/>
        <v>1.0040469999999999</v>
      </c>
      <c r="F1878" s="1">
        <f t="shared" si="59"/>
        <v>41806</v>
      </c>
      <c r="G1878" cm="1">
        <f t="array" ref="G1878">PRODUCT( _xlfn._xlws.FILTER($E:$E, ($C:$C=C1878)*($F:$F=F1878)) ) - 1</f>
        <v>1.5747914879217229E-2</v>
      </c>
    </row>
    <row r="1879" spans="1:7" x14ac:dyDescent="0.2">
      <c r="A1879" s="1">
        <v>41813</v>
      </c>
      <c r="B1879">
        <v>0</v>
      </c>
      <c r="C1879" t="s">
        <v>12</v>
      </c>
      <c r="D1879">
        <v>3.1E-4</v>
      </c>
      <c r="E1879">
        <f t="shared" si="58"/>
        <v>1.00031</v>
      </c>
      <c r="F1879" s="1">
        <f t="shared" si="59"/>
        <v>41813</v>
      </c>
      <c r="G1879" cm="1">
        <f t="array" ref="G1879">PRODUCT( _xlfn._xlws.FILTER($E:$E, ($C:$C=C1879)*($F:$F=F1879)) ) - 1</f>
        <v>3.7204979302707386E-3</v>
      </c>
    </row>
    <row r="1880" spans="1:7" x14ac:dyDescent="0.2">
      <c r="A1880" s="1">
        <v>41814</v>
      </c>
      <c r="B1880">
        <v>0</v>
      </c>
      <c r="C1880" t="s">
        <v>12</v>
      </c>
      <c r="D1880">
        <v>-5.2700000000000004E-3</v>
      </c>
      <c r="E1880">
        <f t="shared" si="58"/>
        <v>0.99473</v>
      </c>
      <c r="F1880" s="1">
        <f t="shared" si="59"/>
        <v>41813</v>
      </c>
      <c r="G1880" cm="1">
        <f t="array" ref="G1880">PRODUCT( _xlfn._xlws.FILTER($E:$E, ($C:$C=C1880)*($F:$F=F1880)) ) - 1</f>
        <v>3.7204979302707386E-3</v>
      </c>
    </row>
    <row r="1881" spans="1:7" x14ac:dyDescent="0.2">
      <c r="A1881" s="1">
        <v>41815</v>
      </c>
      <c r="B1881">
        <v>0</v>
      </c>
      <c r="C1881" t="s">
        <v>12</v>
      </c>
      <c r="D1881">
        <v>5.921E-3</v>
      </c>
      <c r="E1881">
        <f t="shared" si="58"/>
        <v>1.0059210000000001</v>
      </c>
      <c r="F1881" s="1">
        <f t="shared" si="59"/>
        <v>41813</v>
      </c>
      <c r="G1881" cm="1">
        <f t="array" ref="G1881">PRODUCT( _xlfn._xlws.FILTER($E:$E, ($C:$C=C1881)*($F:$F=F1881)) ) - 1</f>
        <v>3.7204979302707386E-3</v>
      </c>
    </row>
    <row r="1882" spans="1:7" x14ac:dyDescent="0.2">
      <c r="A1882" s="1">
        <v>41816</v>
      </c>
      <c r="B1882">
        <v>0</v>
      </c>
      <c r="C1882" t="s">
        <v>12</v>
      </c>
      <c r="D1882">
        <v>1.2390000000000001E-3</v>
      </c>
      <c r="E1882">
        <f t="shared" si="58"/>
        <v>1.001239</v>
      </c>
      <c r="F1882" s="1">
        <f t="shared" si="59"/>
        <v>41813</v>
      </c>
      <c r="G1882" cm="1">
        <f t="array" ref="G1882">PRODUCT( _xlfn._xlws.FILTER($E:$E, ($C:$C=C1882)*($F:$F=F1882)) ) - 1</f>
        <v>3.7204979302707386E-3</v>
      </c>
    </row>
    <row r="1883" spans="1:7" x14ac:dyDescent="0.2">
      <c r="A1883" s="1">
        <v>41817</v>
      </c>
      <c r="B1883">
        <v>0</v>
      </c>
      <c r="C1883" t="s">
        <v>12</v>
      </c>
      <c r="D1883">
        <v>1.547E-3</v>
      </c>
      <c r="E1883">
        <f t="shared" si="58"/>
        <v>1.001547</v>
      </c>
      <c r="F1883" s="1">
        <f t="shared" si="59"/>
        <v>41813</v>
      </c>
      <c r="G1883" cm="1">
        <f t="array" ref="G1883">PRODUCT( _xlfn._xlws.FILTER($E:$E, ($C:$C=C1883)*($F:$F=F1883)) ) - 1</f>
        <v>3.7204979302707386E-3</v>
      </c>
    </row>
    <row r="1884" spans="1:7" x14ac:dyDescent="0.2">
      <c r="A1884" s="1">
        <v>41820</v>
      </c>
      <c r="B1884">
        <v>0</v>
      </c>
      <c r="C1884" t="s">
        <v>12</v>
      </c>
      <c r="D1884">
        <v>3.0890000000000002E-3</v>
      </c>
      <c r="E1884">
        <f t="shared" si="58"/>
        <v>1.0030889999999999</v>
      </c>
      <c r="F1884" s="1">
        <f t="shared" si="59"/>
        <v>41820</v>
      </c>
      <c r="G1884" cm="1">
        <f t="array" ref="G1884">PRODUCT( _xlfn._xlws.FILTER($E:$E, ($C:$C=C1884)*($F:$F=F1884)) ) - 1</f>
        <v>-6.0098570897615389E-8</v>
      </c>
    </row>
    <row r="1885" spans="1:7" x14ac:dyDescent="0.2">
      <c r="A1885" s="1">
        <v>41822</v>
      </c>
      <c r="B1885">
        <v>0</v>
      </c>
      <c r="C1885" t="s">
        <v>12</v>
      </c>
      <c r="D1885">
        <v>-4.0039999999999997E-3</v>
      </c>
      <c r="E1885">
        <f t="shared" si="58"/>
        <v>0.99599599999999999</v>
      </c>
      <c r="F1885" s="1">
        <f t="shared" si="59"/>
        <v>41820</v>
      </c>
      <c r="G1885" cm="1">
        <f t="array" ref="G1885">PRODUCT( _xlfn._xlws.FILTER($E:$E, ($C:$C=C1885)*($F:$F=F1885)) ) - 1</f>
        <v>-6.0098570897615389E-8</v>
      </c>
    </row>
    <row r="1886" spans="1:7" x14ac:dyDescent="0.2">
      <c r="A1886" s="1">
        <v>41823</v>
      </c>
      <c r="B1886">
        <v>0</v>
      </c>
      <c r="C1886" t="s">
        <v>12</v>
      </c>
      <c r="D1886">
        <v>-1.5460000000000001E-3</v>
      </c>
      <c r="E1886">
        <f t="shared" si="58"/>
        <v>0.99845399999999995</v>
      </c>
      <c r="F1886" s="1">
        <f t="shared" si="59"/>
        <v>41820</v>
      </c>
      <c r="G1886" cm="1">
        <f t="array" ref="G1886">PRODUCT( _xlfn._xlws.FILTER($E:$E, ($C:$C=C1886)*($F:$F=F1886)) ) - 1</f>
        <v>-6.0098570897615389E-8</v>
      </c>
    </row>
    <row r="1887" spans="1:7" x14ac:dyDescent="0.2">
      <c r="A1887" s="1">
        <v>41824</v>
      </c>
      <c r="B1887">
        <v>0</v>
      </c>
      <c r="C1887" t="s">
        <v>12</v>
      </c>
      <c r="D1887">
        <v>2.4780000000000002E-3</v>
      </c>
      <c r="E1887">
        <f t="shared" si="58"/>
        <v>1.002478</v>
      </c>
      <c r="F1887" s="1">
        <f t="shared" si="59"/>
        <v>41820</v>
      </c>
      <c r="G1887" cm="1">
        <f t="array" ref="G1887">PRODUCT( _xlfn._xlws.FILTER($E:$E, ($C:$C=C1887)*($F:$F=F1887)) ) - 1</f>
        <v>-6.0098570897615389E-8</v>
      </c>
    </row>
    <row r="1888" spans="1:7" x14ac:dyDescent="0.2">
      <c r="A1888" s="1">
        <v>41827</v>
      </c>
      <c r="B1888">
        <v>0</v>
      </c>
      <c r="C1888" t="s">
        <v>12</v>
      </c>
      <c r="D1888">
        <v>7.4139999999999996E-3</v>
      </c>
      <c r="E1888">
        <f t="shared" si="58"/>
        <v>1.007414</v>
      </c>
      <c r="F1888" s="1">
        <f t="shared" si="59"/>
        <v>41827</v>
      </c>
      <c r="G1888" cm="1">
        <f t="array" ref="G1888">PRODUCT( _xlfn._xlws.FILTER($E:$E, ($C:$C=C1888)*($F:$F=F1888)) ) - 1</f>
        <v>1.3282892080967335E-2</v>
      </c>
    </row>
    <row r="1889" spans="1:7" x14ac:dyDescent="0.2">
      <c r="A1889" s="1">
        <v>41828</v>
      </c>
      <c r="B1889">
        <v>0</v>
      </c>
      <c r="C1889" t="s">
        <v>12</v>
      </c>
      <c r="D1889">
        <v>-3.3730000000000001E-3</v>
      </c>
      <c r="E1889">
        <f t="shared" si="58"/>
        <v>0.99662700000000004</v>
      </c>
      <c r="F1889" s="1">
        <f t="shared" si="59"/>
        <v>41827</v>
      </c>
      <c r="G1889" cm="1">
        <f t="array" ref="G1889">PRODUCT( _xlfn._xlws.FILTER($E:$E, ($C:$C=C1889)*($F:$F=F1889)) ) - 1</f>
        <v>1.3282892080967335E-2</v>
      </c>
    </row>
    <row r="1890" spans="1:7" x14ac:dyDescent="0.2">
      <c r="A1890" s="1">
        <v>41829</v>
      </c>
      <c r="B1890">
        <v>0</v>
      </c>
      <c r="C1890" t="s">
        <v>12</v>
      </c>
      <c r="D1890">
        <v>7.6920000000000001E-3</v>
      </c>
      <c r="E1890">
        <f t="shared" si="58"/>
        <v>1.007692</v>
      </c>
      <c r="F1890" s="1">
        <f t="shared" si="59"/>
        <v>41827</v>
      </c>
      <c r="G1890" cm="1">
        <f t="array" ref="G1890">PRODUCT( _xlfn._xlws.FILTER($E:$E, ($C:$C=C1890)*($F:$F=F1890)) ) - 1</f>
        <v>1.3282892080967335E-2</v>
      </c>
    </row>
    <row r="1891" spans="1:7" x14ac:dyDescent="0.2">
      <c r="A1891" s="1">
        <v>41830</v>
      </c>
      <c r="B1891">
        <v>0</v>
      </c>
      <c r="C1891" t="s">
        <v>12</v>
      </c>
      <c r="D1891">
        <v>-4.2750000000000002E-3</v>
      </c>
      <c r="E1891">
        <f t="shared" si="58"/>
        <v>0.99572499999999997</v>
      </c>
      <c r="F1891" s="1">
        <f t="shared" si="59"/>
        <v>41827</v>
      </c>
      <c r="G1891" cm="1">
        <f t="array" ref="G1891">PRODUCT( _xlfn._xlws.FILTER($E:$E, ($C:$C=C1891)*($F:$F=F1891)) ) - 1</f>
        <v>1.3282892080967335E-2</v>
      </c>
    </row>
    <row r="1892" spans="1:7" x14ac:dyDescent="0.2">
      <c r="A1892" s="1">
        <v>41831</v>
      </c>
      <c r="B1892">
        <v>0</v>
      </c>
      <c r="C1892" t="s">
        <v>12</v>
      </c>
      <c r="D1892">
        <v>5.8259999999999996E-3</v>
      </c>
      <c r="E1892">
        <f t="shared" si="58"/>
        <v>1.0058260000000001</v>
      </c>
      <c r="F1892" s="1">
        <f t="shared" si="59"/>
        <v>41827</v>
      </c>
      <c r="G1892" cm="1">
        <f t="array" ref="G1892">PRODUCT( _xlfn._xlws.FILTER($E:$E, ($C:$C=C1892)*($F:$F=F1892)) ) - 1</f>
        <v>1.3282892080967335E-2</v>
      </c>
    </row>
    <row r="1893" spans="1:7" x14ac:dyDescent="0.2">
      <c r="A1893" s="1">
        <v>41834</v>
      </c>
      <c r="B1893">
        <v>0</v>
      </c>
      <c r="C1893" t="s">
        <v>12</v>
      </c>
      <c r="D1893">
        <v>-4.5729999999999998E-3</v>
      </c>
      <c r="E1893">
        <f t="shared" si="58"/>
        <v>0.99542699999999995</v>
      </c>
      <c r="F1893" s="1">
        <f t="shared" si="59"/>
        <v>41834</v>
      </c>
      <c r="G1893" cm="1">
        <f t="array" ref="G1893">PRODUCT( _xlfn._xlws.FILTER($E:$E, ($C:$C=C1893)*($F:$F=F1893)) ) - 1</f>
        <v>-3.0581495052495189E-4</v>
      </c>
    </row>
    <row r="1894" spans="1:7" x14ac:dyDescent="0.2">
      <c r="A1894" s="1">
        <v>41835</v>
      </c>
      <c r="B1894">
        <v>0</v>
      </c>
      <c r="C1894" t="s">
        <v>12</v>
      </c>
      <c r="D1894">
        <v>3.369E-3</v>
      </c>
      <c r="E1894">
        <f t="shared" si="58"/>
        <v>1.003369</v>
      </c>
      <c r="F1894" s="1">
        <f t="shared" si="59"/>
        <v>41834</v>
      </c>
      <c r="G1894" cm="1">
        <f t="array" ref="G1894">PRODUCT( _xlfn._xlws.FILTER($E:$E, ($C:$C=C1894)*($F:$F=F1894)) ) - 1</f>
        <v>-3.0581495052495189E-4</v>
      </c>
    </row>
    <row r="1895" spans="1:7" x14ac:dyDescent="0.2">
      <c r="A1895" s="1">
        <v>41836</v>
      </c>
      <c r="B1895">
        <v>0</v>
      </c>
      <c r="C1895" t="s">
        <v>12</v>
      </c>
      <c r="D1895">
        <v>5.4939999999999998E-3</v>
      </c>
      <c r="E1895">
        <f t="shared" si="58"/>
        <v>1.0054940000000001</v>
      </c>
      <c r="F1895" s="1">
        <f t="shared" si="59"/>
        <v>41834</v>
      </c>
      <c r="G1895" cm="1">
        <f t="array" ref="G1895">PRODUCT( _xlfn._xlws.FILTER($E:$E, ($C:$C=C1895)*($F:$F=F1895)) ) - 1</f>
        <v>-3.0581495052495189E-4</v>
      </c>
    </row>
    <row r="1896" spans="1:7" x14ac:dyDescent="0.2">
      <c r="A1896" s="1">
        <v>41837</v>
      </c>
      <c r="B1896">
        <v>0</v>
      </c>
      <c r="C1896" t="s">
        <v>12</v>
      </c>
      <c r="D1896">
        <v>-6.0720000000000001E-3</v>
      </c>
      <c r="E1896">
        <f t="shared" si="58"/>
        <v>0.99392800000000003</v>
      </c>
      <c r="F1896" s="1">
        <f t="shared" si="59"/>
        <v>41834</v>
      </c>
      <c r="G1896" cm="1">
        <f t="array" ref="G1896">PRODUCT( _xlfn._xlws.FILTER($E:$E, ($C:$C=C1896)*($F:$F=F1896)) ) - 1</f>
        <v>-3.0581495052495189E-4</v>
      </c>
    </row>
    <row r="1897" spans="1:7" x14ac:dyDescent="0.2">
      <c r="A1897" s="1">
        <v>41838</v>
      </c>
      <c r="B1897">
        <v>0</v>
      </c>
      <c r="C1897" t="s">
        <v>12</v>
      </c>
      <c r="D1897">
        <v>1.5269999999999999E-3</v>
      </c>
      <c r="E1897">
        <f t="shared" si="58"/>
        <v>1.0015270000000001</v>
      </c>
      <c r="F1897" s="1">
        <f t="shared" si="59"/>
        <v>41834</v>
      </c>
      <c r="G1897" cm="1">
        <f t="array" ref="G1897">PRODUCT( _xlfn._xlws.FILTER($E:$E, ($C:$C=C1897)*($F:$F=F1897)) ) - 1</f>
        <v>-3.0581495052495189E-4</v>
      </c>
    </row>
    <row r="1898" spans="1:7" x14ac:dyDescent="0.2">
      <c r="A1898" s="1">
        <v>41841</v>
      </c>
      <c r="B1898">
        <v>0</v>
      </c>
      <c r="C1898" t="s">
        <v>12</v>
      </c>
      <c r="D1898">
        <v>-2.4399999999999999E-3</v>
      </c>
      <c r="E1898">
        <f t="shared" si="58"/>
        <v>0.99756</v>
      </c>
      <c r="F1898" s="1">
        <f t="shared" si="59"/>
        <v>41841</v>
      </c>
      <c r="G1898" cm="1">
        <f t="array" ref="G1898">PRODUCT( _xlfn._xlws.FILTER($E:$E, ($C:$C=C1898)*($F:$F=F1898)) ) - 1</f>
        <v>5.1841043196743097E-3</v>
      </c>
    </row>
    <row r="1899" spans="1:7" x14ac:dyDescent="0.2">
      <c r="A1899" s="1">
        <v>41842</v>
      </c>
      <c r="B1899">
        <v>0</v>
      </c>
      <c r="C1899" t="s">
        <v>12</v>
      </c>
      <c r="D1899">
        <v>5.1970000000000002E-3</v>
      </c>
      <c r="E1899">
        <f t="shared" si="58"/>
        <v>1.0051969999999999</v>
      </c>
      <c r="F1899" s="1">
        <f t="shared" si="59"/>
        <v>41841</v>
      </c>
      <c r="G1899" cm="1">
        <f t="array" ref="G1899">PRODUCT( _xlfn._xlws.FILTER($E:$E, ($C:$C=C1899)*($F:$F=F1899)) ) - 1</f>
        <v>5.1841043196743097E-3</v>
      </c>
    </row>
    <row r="1900" spans="1:7" x14ac:dyDescent="0.2">
      <c r="A1900" s="1">
        <v>41843</v>
      </c>
      <c r="B1900">
        <v>0</v>
      </c>
      <c r="C1900" t="s">
        <v>12</v>
      </c>
      <c r="D1900">
        <v>0</v>
      </c>
      <c r="E1900">
        <f t="shared" si="58"/>
        <v>1</v>
      </c>
      <c r="F1900" s="1">
        <f t="shared" si="59"/>
        <v>41841</v>
      </c>
      <c r="G1900" cm="1">
        <f t="array" ref="G1900">PRODUCT( _xlfn._xlws.FILTER($E:$E, ($C:$C=C1900)*($F:$F=F1900)) ) - 1</f>
        <v>5.1841043196743097E-3</v>
      </c>
    </row>
    <row r="1901" spans="1:7" x14ac:dyDescent="0.2">
      <c r="A1901" s="1">
        <v>41844</v>
      </c>
      <c r="B1901">
        <v>0</v>
      </c>
      <c r="C1901" t="s">
        <v>12</v>
      </c>
      <c r="D1901">
        <v>1.825E-3</v>
      </c>
      <c r="E1901">
        <f t="shared" si="58"/>
        <v>1.001825</v>
      </c>
      <c r="F1901" s="1">
        <f t="shared" si="59"/>
        <v>41841</v>
      </c>
      <c r="G1901" cm="1">
        <f t="array" ref="G1901">PRODUCT( _xlfn._xlws.FILTER($E:$E, ($C:$C=C1901)*($F:$F=F1901)) ) - 1</f>
        <v>5.1841043196743097E-3</v>
      </c>
    </row>
    <row r="1902" spans="1:7" x14ac:dyDescent="0.2">
      <c r="A1902" s="1">
        <v>41845</v>
      </c>
      <c r="B1902">
        <v>0</v>
      </c>
      <c r="C1902" t="s">
        <v>12</v>
      </c>
      <c r="D1902">
        <v>6.0700000000000001E-4</v>
      </c>
      <c r="E1902">
        <f t="shared" si="58"/>
        <v>1.000607</v>
      </c>
      <c r="F1902" s="1">
        <f t="shared" si="59"/>
        <v>41841</v>
      </c>
      <c r="G1902" cm="1">
        <f t="array" ref="G1902">PRODUCT( _xlfn._xlws.FILTER($E:$E, ($C:$C=C1902)*($F:$F=F1902)) ) - 1</f>
        <v>5.1841043196743097E-3</v>
      </c>
    </row>
    <row r="1903" spans="1:7" x14ac:dyDescent="0.2">
      <c r="A1903" s="1">
        <v>41848</v>
      </c>
      <c r="B1903">
        <v>0</v>
      </c>
      <c r="C1903" t="s">
        <v>12</v>
      </c>
      <c r="D1903">
        <v>9.4050000000000002E-3</v>
      </c>
      <c r="E1903">
        <f t="shared" si="58"/>
        <v>1.0094050000000001</v>
      </c>
      <c r="F1903" s="1">
        <f t="shared" si="59"/>
        <v>41848</v>
      </c>
      <c r="G1903" cm="1">
        <f t="array" ref="G1903">PRODUCT( _xlfn._xlws.FILTER($E:$E, ($C:$C=C1903)*($F:$F=F1903)) ) - 1</f>
        <v>3.9441135915554426E-3</v>
      </c>
    </row>
    <row r="1904" spans="1:7" x14ac:dyDescent="0.2">
      <c r="A1904" s="1">
        <v>41849</v>
      </c>
      <c r="B1904">
        <v>0</v>
      </c>
      <c r="C1904" t="s">
        <v>12</v>
      </c>
      <c r="D1904">
        <v>1.4728E-2</v>
      </c>
      <c r="E1904">
        <f t="shared" si="58"/>
        <v>1.0147280000000001</v>
      </c>
      <c r="F1904" s="1">
        <f t="shared" si="59"/>
        <v>41848</v>
      </c>
      <c r="G1904" cm="1">
        <f t="array" ref="G1904">PRODUCT( _xlfn._xlws.FILTER($E:$E, ($C:$C=C1904)*($F:$F=F1904)) ) - 1</f>
        <v>3.9441135915554426E-3</v>
      </c>
    </row>
    <row r="1905" spans="1:7" x14ac:dyDescent="0.2">
      <c r="A1905" s="1">
        <v>41850</v>
      </c>
      <c r="B1905">
        <v>0</v>
      </c>
      <c r="C1905" t="s">
        <v>12</v>
      </c>
      <c r="D1905">
        <v>-6.2199999999999998E-3</v>
      </c>
      <c r="E1905">
        <f t="shared" si="58"/>
        <v>0.99378</v>
      </c>
      <c r="F1905" s="1">
        <f t="shared" si="59"/>
        <v>41848</v>
      </c>
      <c r="G1905" cm="1">
        <f t="array" ref="G1905">PRODUCT( _xlfn._xlws.FILTER($E:$E, ($C:$C=C1905)*($F:$F=F1905)) ) - 1</f>
        <v>3.9441135915554426E-3</v>
      </c>
    </row>
    <row r="1906" spans="1:7" x14ac:dyDescent="0.2">
      <c r="A1906" s="1">
        <v>41851</v>
      </c>
      <c r="B1906">
        <v>0</v>
      </c>
      <c r="C1906" t="s">
        <v>12</v>
      </c>
      <c r="D1906">
        <v>0</v>
      </c>
      <c r="E1906">
        <f t="shared" si="58"/>
        <v>1</v>
      </c>
      <c r="F1906" s="1">
        <f t="shared" si="59"/>
        <v>41848</v>
      </c>
      <c r="G1906" cm="1">
        <f t="array" ref="G1906">PRODUCT( _xlfn._xlws.FILTER($E:$E, ($C:$C=C1906)*($F:$F=F1906)) ) - 1</f>
        <v>3.9441135915554426E-3</v>
      </c>
    </row>
    <row r="1907" spans="1:7" x14ac:dyDescent="0.2">
      <c r="A1907" s="1">
        <v>41852</v>
      </c>
      <c r="B1907">
        <v>0</v>
      </c>
      <c r="C1907" t="s">
        <v>12</v>
      </c>
      <c r="D1907">
        <v>-1.3710999999999999E-2</v>
      </c>
      <c r="E1907">
        <f t="shared" si="58"/>
        <v>0.98628899999999997</v>
      </c>
      <c r="F1907" s="1">
        <f t="shared" si="59"/>
        <v>41848</v>
      </c>
      <c r="G1907" cm="1">
        <f t="array" ref="G1907">PRODUCT( _xlfn._xlws.FILTER($E:$E, ($C:$C=C1907)*($F:$F=F1907)) ) - 1</f>
        <v>3.9441135915554426E-3</v>
      </c>
    </row>
    <row r="1908" spans="1:7" x14ac:dyDescent="0.2">
      <c r="A1908" s="1">
        <v>41856</v>
      </c>
      <c r="B1908">
        <v>0</v>
      </c>
      <c r="C1908" t="s">
        <v>12</v>
      </c>
      <c r="D1908">
        <v>1.5715E-2</v>
      </c>
      <c r="E1908">
        <f t="shared" si="58"/>
        <v>1.0157149999999999</v>
      </c>
      <c r="F1908" s="1">
        <f t="shared" si="59"/>
        <v>41855</v>
      </c>
      <c r="G1908" cm="1">
        <f t="array" ref="G1908">PRODUCT( _xlfn._xlws.FILTER($E:$E, ($C:$C=C1908)*($F:$F=F1908)) ) - 1</f>
        <v>1.1181551457888572E-2</v>
      </c>
    </row>
    <row r="1909" spans="1:7" x14ac:dyDescent="0.2">
      <c r="A1909" s="1">
        <v>41857</v>
      </c>
      <c r="B1909">
        <v>0</v>
      </c>
      <c r="C1909" t="s">
        <v>12</v>
      </c>
      <c r="D1909">
        <v>2.0830000000000002E-3</v>
      </c>
      <c r="E1909">
        <f t="shared" si="58"/>
        <v>1.0020830000000001</v>
      </c>
      <c r="F1909" s="1">
        <f t="shared" si="59"/>
        <v>41855</v>
      </c>
      <c r="G1909" cm="1">
        <f t="array" ref="G1909">PRODUCT( _xlfn._xlws.FILTER($E:$E, ($C:$C=C1909)*($F:$F=F1909)) ) - 1</f>
        <v>1.1181551457888572E-2</v>
      </c>
    </row>
    <row r="1910" spans="1:7" x14ac:dyDescent="0.2">
      <c r="A1910" s="1">
        <v>41858</v>
      </c>
      <c r="B1910">
        <v>0</v>
      </c>
      <c r="C1910" t="s">
        <v>12</v>
      </c>
      <c r="D1910">
        <v>-4.4539999999999996E-3</v>
      </c>
      <c r="E1910">
        <f t="shared" si="58"/>
        <v>0.99554600000000004</v>
      </c>
      <c r="F1910" s="1">
        <f t="shared" si="59"/>
        <v>41855</v>
      </c>
      <c r="G1910" cm="1">
        <f t="array" ref="G1910">PRODUCT( _xlfn._xlws.FILTER($E:$E, ($C:$C=C1910)*($F:$F=F1910)) ) - 1</f>
        <v>1.1181551457888572E-2</v>
      </c>
    </row>
    <row r="1911" spans="1:7" x14ac:dyDescent="0.2">
      <c r="A1911" s="1">
        <v>41859</v>
      </c>
      <c r="B1911">
        <v>0</v>
      </c>
      <c r="C1911" t="s">
        <v>12</v>
      </c>
      <c r="D1911">
        <v>-2.088E-3</v>
      </c>
      <c r="E1911">
        <f t="shared" si="58"/>
        <v>0.99791200000000002</v>
      </c>
      <c r="F1911" s="1">
        <f t="shared" si="59"/>
        <v>41855</v>
      </c>
      <c r="G1911" cm="1">
        <f t="array" ref="G1911">PRODUCT( _xlfn._xlws.FILTER($E:$E, ($C:$C=C1911)*($F:$F=F1911)) ) - 1</f>
        <v>1.1181551457888572E-2</v>
      </c>
    </row>
    <row r="1912" spans="1:7" x14ac:dyDescent="0.2">
      <c r="A1912" s="1">
        <v>41862</v>
      </c>
      <c r="B1912">
        <v>0</v>
      </c>
      <c r="C1912" t="s">
        <v>12</v>
      </c>
      <c r="D1912">
        <v>1.1950000000000001E-3</v>
      </c>
      <c r="E1912">
        <f t="shared" si="58"/>
        <v>1.0011950000000001</v>
      </c>
      <c r="F1912" s="1">
        <f t="shared" si="59"/>
        <v>41862</v>
      </c>
      <c r="G1912" cm="1">
        <f t="array" ref="G1912">PRODUCT( _xlfn._xlws.FILTER($E:$E, ($C:$C=C1912)*($F:$F=F1912)) ) - 1</f>
        <v>1.3586535525891952E-2</v>
      </c>
    </row>
    <row r="1913" spans="1:7" x14ac:dyDescent="0.2">
      <c r="A1913" s="1">
        <v>41863</v>
      </c>
      <c r="B1913">
        <v>0</v>
      </c>
      <c r="C1913" t="s">
        <v>12</v>
      </c>
      <c r="D1913">
        <v>-8.9599999999999999E-4</v>
      </c>
      <c r="E1913">
        <f t="shared" si="58"/>
        <v>0.99910399999999999</v>
      </c>
      <c r="F1913" s="1">
        <f t="shared" si="59"/>
        <v>41862</v>
      </c>
      <c r="G1913" cm="1">
        <f t="array" ref="G1913">PRODUCT( _xlfn._xlws.FILTER($E:$E, ($C:$C=C1913)*($F:$F=F1913)) ) - 1</f>
        <v>1.3586535525891952E-2</v>
      </c>
    </row>
    <row r="1914" spans="1:7" x14ac:dyDescent="0.2">
      <c r="A1914" s="1">
        <v>41864</v>
      </c>
      <c r="B1914">
        <v>0</v>
      </c>
      <c r="C1914" t="s">
        <v>12</v>
      </c>
      <c r="D1914">
        <v>-1.1950000000000001E-3</v>
      </c>
      <c r="E1914">
        <f t="shared" si="58"/>
        <v>0.99880500000000005</v>
      </c>
      <c r="F1914" s="1">
        <f t="shared" si="59"/>
        <v>41862</v>
      </c>
      <c r="G1914" cm="1">
        <f t="array" ref="G1914">PRODUCT( _xlfn._xlws.FILTER($E:$E, ($C:$C=C1914)*($F:$F=F1914)) ) - 1</f>
        <v>1.3586535525891952E-2</v>
      </c>
    </row>
    <row r="1915" spans="1:7" x14ac:dyDescent="0.2">
      <c r="A1915" s="1">
        <v>41865</v>
      </c>
      <c r="B1915">
        <v>0</v>
      </c>
      <c r="C1915" t="s">
        <v>12</v>
      </c>
      <c r="D1915">
        <v>5.738E-3</v>
      </c>
      <c r="E1915">
        <f t="shared" si="58"/>
        <v>1.005738</v>
      </c>
      <c r="F1915" s="1">
        <f t="shared" si="59"/>
        <v>41862</v>
      </c>
      <c r="G1915" cm="1">
        <f t="array" ref="G1915">PRODUCT( _xlfn._xlws.FILTER($E:$E, ($C:$C=C1915)*($F:$F=F1915)) ) - 1</f>
        <v>1.3586535525891952E-2</v>
      </c>
    </row>
    <row r="1916" spans="1:7" x14ac:dyDescent="0.2">
      <c r="A1916" s="1">
        <v>41866</v>
      </c>
      <c r="B1916">
        <v>0</v>
      </c>
      <c r="C1916" t="s">
        <v>12</v>
      </c>
      <c r="D1916">
        <v>8.7089999999999997E-3</v>
      </c>
      <c r="E1916">
        <f t="shared" si="58"/>
        <v>1.0087090000000001</v>
      </c>
      <c r="F1916" s="1">
        <f t="shared" si="59"/>
        <v>41862</v>
      </c>
      <c r="G1916" cm="1">
        <f t="array" ref="G1916">PRODUCT( _xlfn._xlws.FILTER($E:$E, ($C:$C=C1916)*($F:$F=F1916)) ) - 1</f>
        <v>1.3586535525891952E-2</v>
      </c>
    </row>
    <row r="1917" spans="1:7" x14ac:dyDescent="0.2">
      <c r="A1917" s="1">
        <v>41869</v>
      </c>
      <c r="B1917">
        <v>0</v>
      </c>
      <c r="C1917" t="s">
        <v>12</v>
      </c>
      <c r="D1917">
        <v>5.9500000000000004E-4</v>
      </c>
      <c r="E1917">
        <f t="shared" si="58"/>
        <v>1.0005949999999999</v>
      </c>
      <c r="F1917" s="1">
        <f t="shared" si="59"/>
        <v>41869</v>
      </c>
      <c r="G1917" cm="1">
        <f t="array" ref="G1917">PRODUCT( _xlfn._xlws.FILTER($E:$E, ($C:$C=C1917)*($F:$F=F1917)) ) - 1</f>
        <v>-3.2747874044929404E-3</v>
      </c>
    </row>
    <row r="1918" spans="1:7" x14ac:dyDescent="0.2">
      <c r="A1918" s="1">
        <v>41870</v>
      </c>
      <c r="B1918">
        <v>0</v>
      </c>
      <c r="C1918" t="s">
        <v>12</v>
      </c>
      <c r="D1918">
        <v>1.488E-3</v>
      </c>
      <c r="E1918">
        <f t="shared" si="58"/>
        <v>1.0014879999999999</v>
      </c>
      <c r="F1918" s="1">
        <f t="shared" si="59"/>
        <v>41869</v>
      </c>
      <c r="G1918" cm="1">
        <f t="array" ref="G1918">PRODUCT( _xlfn._xlws.FILTER($E:$E, ($C:$C=C1918)*($F:$F=F1918)) ) - 1</f>
        <v>-3.2747874044929404E-3</v>
      </c>
    </row>
    <row r="1919" spans="1:7" x14ac:dyDescent="0.2">
      <c r="A1919" s="1">
        <v>41871</v>
      </c>
      <c r="B1919">
        <v>0</v>
      </c>
      <c r="C1919" t="s">
        <v>12</v>
      </c>
      <c r="D1919">
        <v>-1.485E-3</v>
      </c>
      <c r="E1919">
        <f t="shared" si="58"/>
        <v>0.99851500000000004</v>
      </c>
      <c r="F1919" s="1">
        <f t="shared" si="59"/>
        <v>41869</v>
      </c>
      <c r="G1919" cm="1">
        <f t="array" ref="G1919">PRODUCT( _xlfn._xlws.FILTER($E:$E, ($C:$C=C1919)*($F:$F=F1919)) ) - 1</f>
        <v>-3.2747874044929404E-3</v>
      </c>
    </row>
    <row r="1920" spans="1:7" x14ac:dyDescent="0.2">
      <c r="A1920" s="1">
        <v>41872</v>
      </c>
      <c r="B1920">
        <v>0</v>
      </c>
      <c r="C1920" t="s">
        <v>12</v>
      </c>
      <c r="D1920">
        <v>-2.0830000000000002E-3</v>
      </c>
      <c r="E1920">
        <f t="shared" si="58"/>
        <v>0.99791700000000005</v>
      </c>
      <c r="F1920" s="1">
        <f t="shared" si="59"/>
        <v>41869</v>
      </c>
      <c r="G1920" cm="1">
        <f t="array" ref="G1920">PRODUCT( _xlfn._xlws.FILTER($E:$E, ($C:$C=C1920)*($F:$F=F1920)) ) - 1</f>
        <v>-3.2747874044929404E-3</v>
      </c>
    </row>
    <row r="1921" spans="1:7" x14ac:dyDescent="0.2">
      <c r="A1921" s="1">
        <v>41873</v>
      </c>
      <c r="B1921">
        <v>0</v>
      </c>
      <c r="C1921" t="s">
        <v>12</v>
      </c>
      <c r="D1921">
        <v>-1.789E-3</v>
      </c>
      <c r="E1921">
        <f t="shared" si="58"/>
        <v>0.99821099999999996</v>
      </c>
      <c r="F1921" s="1">
        <f t="shared" si="59"/>
        <v>41869</v>
      </c>
      <c r="G1921" cm="1">
        <f t="array" ref="G1921">PRODUCT( _xlfn._xlws.FILTER($E:$E, ($C:$C=C1921)*($F:$F=F1921)) ) - 1</f>
        <v>-3.2747874044929404E-3</v>
      </c>
    </row>
    <row r="1922" spans="1:7" x14ac:dyDescent="0.2">
      <c r="A1922" s="1">
        <v>41876</v>
      </c>
      <c r="B1922">
        <v>0</v>
      </c>
      <c r="C1922" t="s">
        <v>12</v>
      </c>
      <c r="D1922">
        <v>-1.0155000000000001E-2</v>
      </c>
      <c r="E1922">
        <f t="shared" si="58"/>
        <v>0.98984499999999997</v>
      </c>
      <c r="F1922" s="1">
        <f t="shared" si="59"/>
        <v>41876</v>
      </c>
      <c r="G1922" cm="1">
        <f t="array" ref="G1922">PRODUCT( _xlfn._xlws.FILTER($E:$E, ($C:$C=C1922)*($F:$F=F1922)) ) - 1</f>
        <v>2.0912983748215819E-3</v>
      </c>
    </row>
    <row r="1923" spans="1:7" x14ac:dyDescent="0.2">
      <c r="A1923" s="1">
        <v>41877</v>
      </c>
      <c r="B1923">
        <v>0</v>
      </c>
      <c r="C1923" t="s">
        <v>12</v>
      </c>
      <c r="D1923">
        <v>1.8109999999999999E-3</v>
      </c>
      <c r="E1923">
        <f t="shared" si="58"/>
        <v>1.001811</v>
      </c>
      <c r="F1923" s="1">
        <f t="shared" si="59"/>
        <v>41876</v>
      </c>
      <c r="G1923" cm="1">
        <f t="array" ref="G1923">PRODUCT( _xlfn._xlws.FILTER($E:$E, ($C:$C=C1923)*($F:$F=F1923)) ) - 1</f>
        <v>2.0912983748215819E-3</v>
      </c>
    </row>
    <row r="1924" spans="1:7" x14ac:dyDescent="0.2">
      <c r="A1924" s="1">
        <v>41878</v>
      </c>
      <c r="B1924">
        <v>0</v>
      </c>
      <c r="C1924" t="s">
        <v>12</v>
      </c>
      <c r="D1924">
        <v>3.313E-3</v>
      </c>
      <c r="E1924">
        <f t="shared" ref="E1924:E1987" si="60">D1924+1</f>
        <v>1.0033129999999999</v>
      </c>
      <c r="F1924" s="1">
        <f t="shared" ref="F1924:F1987" si="61">A1924 - (WEEKDAY(A1924, 2) - 1)</f>
        <v>41876</v>
      </c>
      <c r="G1924" cm="1">
        <f t="array" ref="G1924">PRODUCT( _xlfn._xlws.FILTER($E:$E, ($C:$C=C1924)*($F:$F=F1924)) ) - 1</f>
        <v>2.0912983748215819E-3</v>
      </c>
    </row>
    <row r="1925" spans="1:7" x14ac:dyDescent="0.2">
      <c r="A1925" s="1">
        <v>41879</v>
      </c>
      <c r="B1925">
        <v>0</v>
      </c>
      <c r="C1925" t="s">
        <v>12</v>
      </c>
      <c r="D1925">
        <v>1.3509E-2</v>
      </c>
      <c r="E1925">
        <f t="shared" si="60"/>
        <v>1.013509</v>
      </c>
      <c r="F1925" s="1">
        <f t="shared" si="61"/>
        <v>41876</v>
      </c>
      <c r="G1925" cm="1">
        <f t="array" ref="G1925">PRODUCT( _xlfn._xlws.FILTER($E:$E, ($C:$C=C1925)*($F:$F=F1925)) ) - 1</f>
        <v>2.0912983748215819E-3</v>
      </c>
    </row>
    <row r="1926" spans="1:7" x14ac:dyDescent="0.2">
      <c r="A1926" s="1">
        <v>41880</v>
      </c>
      <c r="B1926">
        <v>0</v>
      </c>
      <c r="C1926" t="s">
        <v>12</v>
      </c>
      <c r="D1926">
        <v>-6.2199999999999998E-3</v>
      </c>
      <c r="E1926">
        <f t="shared" si="60"/>
        <v>0.99378</v>
      </c>
      <c r="F1926" s="1">
        <f t="shared" si="61"/>
        <v>41876</v>
      </c>
      <c r="G1926" cm="1">
        <f t="array" ref="G1926">PRODUCT( _xlfn._xlws.FILTER($E:$E, ($C:$C=C1926)*($F:$F=F1926)) ) - 1</f>
        <v>2.0912983748215819E-3</v>
      </c>
    </row>
    <row r="1927" spans="1:7" x14ac:dyDescent="0.2">
      <c r="A1927" s="1">
        <v>41884</v>
      </c>
      <c r="B1927">
        <v>0</v>
      </c>
      <c r="C1927" t="s">
        <v>12</v>
      </c>
      <c r="D1927">
        <v>1.1919999999999999E-3</v>
      </c>
      <c r="E1927">
        <f t="shared" si="60"/>
        <v>1.0011920000000001</v>
      </c>
      <c r="F1927" s="1">
        <f t="shared" si="61"/>
        <v>41883</v>
      </c>
      <c r="G1927" cm="1">
        <f t="array" ref="G1927">PRODUCT( _xlfn._xlws.FILTER($E:$E, ($C:$C=C1927)*($F:$F=F1927)) ) - 1</f>
        <v>1.3412633475451186E-2</v>
      </c>
    </row>
    <row r="1928" spans="1:7" x14ac:dyDescent="0.2">
      <c r="A1928" s="1">
        <v>41885</v>
      </c>
      <c r="B1928">
        <v>0</v>
      </c>
      <c r="C1928" t="s">
        <v>12</v>
      </c>
      <c r="D1928">
        <v>1.0122000000000001E-2</v>
      </c>
      <c r="E1928">
        <f t="shared" si="60"/>
        <v>1.010122</v>
      </c>
      <c r="F1928" s="1">
        <f t="shared" si="61"/>
        <v>41883</v>
      </c>
      <c r="G1928" cm="1">
        <f t="array" ref="G1928">PRODUCT( _xlfn._xlws.FILTER($E:$E, ($C:$C=C1928)*($F:$F=F1928)) ) - 1</f>
        <v>1.3412633475451186E-2</v>
      </c>
    </row>
    <row r="1929" spans="1:7" x14ac:dyDescent="0.2">
      <c r="A1929" s="1">
        <v>41886</v>
      </c>
      <c r="B1929">
        <v>0</v>
      </c>
      <c r="C1929" t="s">
        <v>12</v>
      </c>
      <c r="D1929">
        <v>7.3680000000000004E-3</v>
      </c>
      <c r="E1929">
        <f t="shared" si="60"/>
        <v>1.007368</v>
      </c>
      <c r="F1929" s="1">
        <f t="shared" si="61"/>
        <v>41883</v>
      </c>
      <c r="G1929" cm="1">
        <f t="array" ref="G1929">PRODUCT( _xlfn._xlws.FILTER($E:$E, ($C:$C=C1929)*($F:$F=F1929)) ) - 1</f>
        <v>1.3412633475451186E-2</v>
      </c>
    </row>
    <row r="1930" spans="1:7" x14ac:dyDescent="0.2">
      <c r="A1930" s="1">
        <v>41887</v>
      </c>
      <c r="B1930">
        <v>0</v>
      </c>
      <c r="C1930" t="s">
        <v>12</v>
      </c>
      <c r="D1930">
        <v>-5.2659999999999998E-3</v>
      </c>
      <c r="E1930">
        <f t="shared" si="60"/>
        <v>0.99473400000000001</v>
      </c>
      <c r="F1930" s="1">
        <f t="shared" si="61"/>
        <v>41883</v>
      </c>
      <c r="G1930" cm="1">
        <f t="array" ref="G1930">PRODUCT( _xlfn._xlws.FILTER($E:$E, ($C:$C=C1930)*($F:$F=F1930)) ) - 1</f>
        <v>1.3412633475451186E-2</v>
      </c>
    </row>
    <row r="1931" spans="1:7" x14ac:dyDescent="0.2">
      <c r="A1931" s="1">
        <v>41890</v>
      </c>
      <c r="B1931">
        <v>0</v>
      </c>
      <c r="C1931" t="s">
        <v>12</v>
      </c>
      <c r="D1931">
        <v>-4.4120000000000001E-3</v>
      </c>
      <c r="E1931">
        <f t="shared" si="60"/>
        <v>0.99558800000000003</v>
      </c>
      <c r="F1931" s="1">
        <f t="shared" si="61"/>
        <v>41890</v>
      </c>
      <c r="G1931" cm="1">
        <f t="array" ref="G1931">PRODUCT( _xlfn._xlws.FILTER($E:$E, ($C:$C=C1931)*($F:$F=F1931)) ) - 1</f>
        <v>9.999483128822817E-3</v>
      </c>
    </row>
    <row r="1932" spans="1:7" x14ac:dyDescent="0.2">
      <c r="A1932" s="1">
        <v>41891</v>
      </c>
      <c r="B1932">
        <v>0</v>
      </c>
      <c r="C1932" t="s">
        <v>12</v>
      </c>
      <c r="D1932">
        <v>1.1226E-2</v>
      </c>
      <c r="E1932">
        <f t="shared" si="60"/>
        <v>1.011226</v>
      </c>
      <c r="F1932" s="1">
        <f t="shared" si="61"/>
        <v>41890</v>
      </c>
      <c r="G1932" cm="1">
        <f t="array" ref="G1932">PRODUCT( _xlfn._xlws.FILTER($E:$E, ($C:$C=C1932)*($F:$F=F1932)) ) - 1</f>
        <v>9.999483128822817E-3</v>
      </c>
    </row>
    <row r="1933" spans="1:7" x14ac:dyDescent="0.2">
      <c r="A1933" s="1">
        <v>41892</v>
      </c>
      <c r="B1933">
        <v>0</v>
      </c>
      <c r="C1933" t="s">
        <v>12</v>
      </c>
      <c r="D1933">
        <v>-3.2139999999999998E-3</v>
      </c>
      <c r="E1933">
        <f t="shared" si="60"/>
        <v>0.99678599999999995</v>
      </c>
      <c r="F1933" s="1">
        <f t="shared" si="61"/>
        <v>41890</v>
      </c>
      <c r="G1933" cm="1">
        <f t="array" ref="G1933">PRODUCT( _xlfn._xlws.FILTER($E:$E, ($C:$C=C1933)*($F:$F=F1933)) ) - 1</f>
        <v>9.999483128822817E-3</v>
      </c>
    </row>
    <row r="1934" spans="1:7" x14ac:dyDescent="0.2">
      <c r="A1934" s="1">
        <v>41893</v>
      </c>
      <c r="B1934">
        <v>0</v>
      </c>
      <c r="C1934" t="s">
        <v>12</v>
      </c>
      <c r="D1934">
        <v>6.4479999999999997E-3</v>
      </c>
      <c r="E1934">
        <f t="shared" si="60"/>
        <v>1.006448</v>
      </c>
      <c r="F1934" s="1">
        <f t="shared" si="61"/>
        <v>41890</v>
      </c>
      <c r="G1934" cm="1">
        <f t="array" ref="G1934">PRODUCT( _xlfn._xlws.FILTER($E:$E, ($C:$C=C1934)*($F:$F=F1934)) ) - 1</f>
        <v>9.999483128822817E-3</v>
      </c>
    </row>
    <row r="1935" spans="1:7" x14ac:dyDescent="0.2">
      <c r="A1935" s="1">
        <v>41894</v>
      </c>
      <c r="B1935">
        <v>0</v>
      </c>
      <c r="C1935" t="s">
        <v>12</v>
      </c>
      <c r="D1935">
        <v>0</v>
      </c>
      <c r="E1935">
        <f t="shared" si="60"/>
        <v>1</v>
      </c>
      <c r="F1935" s="1">
        <f t="shared" si="61"/>
        <v>41890</v>
      </c>
      <c r="G1935" cm="1">
        <f t="array" ref="G1935">PRODUCT( _xlfn._xlws.FILTER($E:$E, ($C:$C=C1935)*($F:$F=F1935)) ) - 1</f>
        <v>9.999483128822817E-3</v>
      </c>
    </row>
    <row r="1936" spans="1:7" x14ac:dyDescent="0.2">
      <c r="A1936" s="1">
        <v>41897</v>
      </c>
      <c r="B1936">
        <v>0</v>
      </c>
      <c r="C1936" t="s">
        <v>12</v>
      </c>
      <c r="D1936">
        <v>2.9100000000000003E-4</v>
      </c>
      <c r="E1936">
        <f t="shared" si="60"/>
        <v>1.000291</v>
      </c>
      <c r="F1936" s="1">
        <f t="shared" si="61"/>
        <v>41897</v>
      </c>
      <c r="G1936" cm="1">
        <f t="array" ref="G1936">PRODUCT( _xlfn._xlws.FILTER($E:$E, ($C:$C=C1936)*($F:$F=F1936)) ) - 1</f>
        <v>6.6984109374668144E-3</v>
      </c>
    </row>
    <row r="1937" spans="1:7" x14ac:dyDescent="0.2">
      <c r="A1937" s="1">
        <v>41898</v>
      </c>
      <c r="B1937">
        <v>0</v>
      </c>
      <c r="C1937" t="s">
        <v>12</v>
      </c>
      <c r="D1937">
        <v>3.7850000000000002E-3</v>
      </c>
      <c r="E1937">
        <f t="shared" si="60"/>
        <v>1.0037849999999999</v>
      </c>
      <c r="F1937" s="1">
        <f t="shared" si="61"/>
        <v>41897</v>
      </c>
      <c r="G1937" cm="1">
        <f t="array" ref="G1937">PRODUCT( _xlfn._xlws.FILTER($E:$E, ($C:$C=C1937)*($F:$F=F1937)) ) - 1</f>
        <v>6.6984109374668144E-3</v>
      </c>
    </row>
    <row r="1938" spans="1:7" x14ac:dyDescent="0.2">
      <c r="A1938" s="1">
        <v>41899</v>
      </c>
      <c r="B1938">
        <v>0</v>
      </c>
      <c r="C1938" t="s">
        <v>12</v>
      </c>
      <c r="D1938">
        <v>-4.3499999999999997E-3</v>
      </c>
      <c r="E1938">
        <f t="shared" si="60"/>
        <v>0.99565000000000003</v>
      </c>
      <c r="F1938" s="1">
        <f t="shared" si="61"/>
        <v>41897</v>
      </c>
      <c r="G1938" cm="1">
        <f t="array" ref="G1938">PRODUCT( _xlfn._xlws.FILTER($E:$E, ($C:$C=C1938)*($F:$F=F1938)) ) - 1</f>
        <v>6.6984109374668144E-3</v>
      </c>
    </row>
    <row r="1939" spans="1:7" x14ac:dyDescent="0.2">
      <c r="A1939" s="1">
        <v>41900</v>
      </c>
      <c r="B1939">
        <v>0</v>
      </c>
      <c r="C1939" t="s">
        <v>12</v>
      </c>
      <c r="D1939">
        <v>2.039E-3</v>
      </c>
      <c r="E1939">
        <f t="shared" si="60"/>
        <v>1.0020389999999999</v>
      </c>
      <c r="F1939" s="1">
        <f t="shared" si="61"/>
        <v>41897</v>
      </c>
      <c r="G1939" cm="1">
        <f t="array" ref="G1939">PRODUCT( _xlfn._xlws.FILTER($E:$E, ($C:$C=C1939)*($F:$F=F1939)) ) - 1</f>
        <v>6.6984109374668144E-3</v>
      </c>
    </row>
    <row r="1940" spans="1:7" x14ac:dyDescent="0.2">
      <c r="A1940" s="1">
        <v>41901</v>
      </c>
      <c r="B1940">
        <v>0</v>
      </c>
      <c r="C1940" t="s">
        <v>12</v>
      </c>
      <c r="D1940">
        <v>4.9420000000000002E-3</v>
      </c>
      <c r="E1940">
        <f t="shared" si="60"/>
        <v>1.004942</v>
      </c>
      <c r="F1940" s="1">
        <f t="shared" si="61"/>
        <v>41897</v>
      </c>
      <c r="G1940" cm="1">
        <f t="array" ref="G1940">PRODUCT( _xlfn._xlws.FILTER($E:$E, ($C:$C=C1940)*($F:$F=F1940)) ) - 1</f>
        <v>6.6984109374668144E-3</v>
      </c>
    </row>
    <row r="1941" spans="1:7" x14ac:dyDescent="0.2">
      <c r="A1941" s="1">
        <v>41904</v>
      </c>
      <c r="B1941">
        <v>0</v>
      </c>
      <c r="C1941" t="s">
        <v>12</v>
      </c>
      <c r="D1941">
        <v>-7.5209999999999999E-3</v>
      </c>
      <c r="E1941">
        <f t="shared" si="60"/>
        <v>0.992479</v>
      </c>
      <c r="F1941" s="1">
        <f t="shared" si="61"/>
        <v>41904</v>
      </c>
      <c r="G1941" cm="1">
        <f t="array" ref="G1941">PRODUCT( _xlfn._xlws.FILTER($E:$E, ($C:$C=C1941)*($F:$F=F1941)) ) - 1</f>
        <v>-1.3017069008899984E-2</v>
      </c>
    </row>
    <row r="1942" spans="1:7" x14ac:dyDescent="0.2">
      <c r="A1942" s="1">
        <v>41905</v>
      </c>
      <c r="B1942">
        <v>0</v>
      </c>
      <c r="C1942" t="s">
        <v>12</v>
      </c>
      <c r="D1942">
        <v>0</v>
      </c>
      <c r="E1942">
        <f t="shared" si="60"/>
        <v>1</v>
      </c>
      <c r="F1942" s="1">
        <f t="shared" si="61"/>
        <v>41904</v>
      </c>
      <c r="G1942" cm="1">
        <f t="array" ref="G1942">PRODUCT( _xlfn._xlws.FILTER($E:$E, ($C:$C=C1942)*($F:$F=F1942)) ) - 1</f>
        <v>-1.3017069008899984E-2</v>
      </c>
    </row>
    <row r="1943" spans="1:7" x14ac:dyDescent="0.2">
      <c r="A1943" s="1">
        <v>41906</v>
      </c>
      <c r="B1943">
        <v>0</v>
      </c>
      <c r="C1943" t="s">
        <v>12</v>
      </c>
      <c r="D1943">
        <v>-7.2859999999999999E-3</v>
      </c>
      <c r="E1943">
        <f t="shared" si="60"/>
        <v>0.99271399999999999</v>
      </c>
      <c r="F1943" s="1">
        <f t="shared" si="61"/>
        <v>41904</v>
      </c>
      <c r="G1943" cm="1">
        <f t="array" ref="G1943">PRODUCT( _xlfn._xlws.FILTER($E:$E, ($C:$C=C1943)*($F:$F=F1943)) ) - 1</f>
        <v>-1.3017069008899984E-2</v>
      </c>
    </row>
    <row r="1944" spans="1:7" x14ac:dyDescent="0.2">
      <c r="A1944" s="1">
        <v>41907</v>
      </c>
      <c r="B1944">
        <v>0</v>
      </c>
      <c r="C1944" t="s">
        <v>12</v>
      </c>
      <c r="D1944">
        <v>-6.7530000000000003E-3</v>
      </c>
      <c r="E1944">
        <f t="shared" si="60"/>
        <v>0.99324699999999999</v>
      </c>
      <c r="F1944" s="1">
        <f t="shared" si="61"/>
        <v>41904</v>
      </c>
      <c r="G1944" cm="1">
        <f t="array" ref="G1944">PRODUCT( _xlfn._xlws.FILTER($E:$E, ($C:$C=C1944)*($F:$F=F1944)) ) - 1</f>
        <v>-1.3017069008899984E-2</v>
      </c>
    </row>
    <row r="1945" spans="1:7" x14ac:dyDescent="0.2">
      <c r="A1945" s="1">
        <v>41908</v>
      </c>
      <c r="B1945">
        <v>0</v>
      </c>
      <c r="C1945" t="s">
        <v>12</v>
      </c>
      <c r="D1945">
        <v>8.5719999999999998E-3</v>
      </c>
      <c r="E1945">
        <f t="shared" si="60"/>
        <v>1.008572</v>
      </c>
      <c r="F1945" s="1">
        <f t="shared" si="61"/>
        <v>41904</v>
      </c>
      <c r="G1945" cm="1">
        <f t="array" ref="G1945">PRODUCT( _xlfn._xlws.FILTER($E:$E, ($C:$C=C1945)*($F:$F=F1945)) ) - 1</f>
        <v>-1.3017069008899984E-2</v>
      </c>
    </row>
    <row r="1946" spans="1:7" x14ac:dyDescent="0.2">
      <c r="A1946" s="1">
        <v>41911</v>
      </c>
      <c r="B1946">
        <v>0</v>
      </c>
      <c r="C1946" t="s">
        <v>12</v>
      </c>
      <c r="D1946">
        <v>1.2895999999999999E-2</v>
      </c>
      <c r="E1946">
        <f t="shared" si="60"/>
        <v>1.012896</v>
      </c>
      <c r="F1946" s="1">
        <f t="shared" si="61"/>
        <v>41911</v>
      </c>
      <c r="G1946" cm="1">
        <f t="array" ref="G1946">PRODUCT( _xlfn._xlws.FILTER($E:$E, ($C:$C=C1946)*($F:$F=F1946)) ) - 1</f>
        <v>2.6670986030827626E-2</v>
      </c>
    </row>
    <row r="1947" spans="1:7" x14ac:dyDescent="0.2">
      <c r="A1947" s="1">
        <v>41912</v>
      </c>
      <c r="B1947">
        <v>0</v>
      </c>
      <c r="C1947" t="s">
        <v>12</v>
      </c>
      <c r="D1947">
        <v>1.7359999999999999E-3</v>
      </c>
      <c r="E1947">
        <f t="shared" si="60"/>
        <v>1.001736</v>
      </c>
      <c r="F1947" s="1">
        <f t="shared" si="61"/>
        <v>41911</v>
      </c>
      <c r="G1947" cm="1">
        <f t="array" ref="G1947">PRODUCT( _xlfn._xlws.FILTER($E:$E, ($C:$C=C1947)*($F:$F=F1947)) ) - 1</f>
        <v>2.6670986030827626E-2</v>
      </c>
    </row>
    <row r="1948" spans="1:7" x14ac:dyDescent="0.2">
      <c r="A1948" s="1">
        <v>41913</v>
      </c>
      <c r="B1948">
        <v>0</v>
      </c>
      <c r="C1948" t="s">
        <v>12</v>
      </c>
      <c r="D1948">
        <v>-1.444E-3</v>
      </c>
      <c r="E1948">
        <f t="shared" si="60"/>
        <v>0.998556</v>
      </c>
      <c r="F1948" s="1">
        <f t="shared" si="61"/>
        <v>41911</v>
      </c>
      <c r="G1948" cm="1">
        <f t="array" ref="G1948">PRODUCT( _xlfn._xlws.FILTER($E:$E, ($C:$C=C1948)*($F:$F=F1948)) ) - 1</f>
        <v>2.6670986030827626E-2</v>
      </c>
    </row>
    <row r="1949" spans="1:7" x14ac:dyDescent="0.2">
      <c r="A1949" s="1">
        <v>41914</v>
      </c>
      <c r="B1949">
        <v>0</v>
      </c>
      <c r="C1949" t="s">
        <v>12</v>
      </c>
      <c r="D1949">
        <v>5.7850000000000002E-3</v>
      </c>
      <c r="E1949">
        <f t="shared" si="60"/>
        <v>1.0057849999999999</v>
      </c>
      <c r="F1949" s="1">
        <f t="shared" si="61"/>
        <v>41911</v>
      </c>
      <c r="G1949" cm="1">
        <f t="array" ref="G1949">PRODUCT( _xlfn._xlws.FILTER($E:$E, ($C:$C=C1949)*($F:$F=F1949)) ) - 1</f>
        <v>2.6670986030827626E-2</v>
      </c>
    </row>
    <row r="1950" spans="1:7" x14ac:dyDescent="0.2">
      <c r="A1950" s="1">
        <v>41915</v>
      </c>
      <c r="B1950">
        <v>0</v>
      </c>
      <c r="C1950" t="s">
        <v>12</v>
      </c>
      <c r="D1950">
        <v>7.4780000000000003E-3</v>
      </c>
      <c r="E1950">
        <f t="shared" si="60"/>
        <v>1.0074780000000001</v>
      </c>
      <c r="F1950" s="1">
        <f t="shared" si="61"/>
        <v>41911</v>
      </c>
      <c r="G1950" cm="1">
        <f t="array" ref="G1950">PRODUCT( _xlfn._xlws.FILTER($E:$E, ($C:$C=C1950)*($F:$F=F1950)) ) - 1</f>
        <v>2.6670986030827626E-2</v>
      </c>
    </row>
    <row r="1951" spans="1:7" x14ac:dyDescent="0.2">
      <c r="A1951" s="1">
        <v>41918</v>
      </c>
      <c r="B1951">
        <v>0</v>
      </c>
      <c r="C1951" t="s">
        <v>12</v>
      </c>
      <c r="D1951">
        <v>-1.0848E-2</v>
      </c>
      <c r="E1951">
        <f t="shared" si="60"/>
        <v>0.98915200000000003</v>
      </c>
      <c r="F1951" s="1">
        <f t="shared" si="61"/>
        <v>41918</v>
      </c>
      <c r="G1951" cm="1">
        <f t="array" ref="G1951">PRODUCT( _xlfn._xlws.FILTER($E:$E, ($C:$C=C1951)*($F:$F=F1951)) ) - 1</f>
        <v>-9.7064320047425268E-3</v>
      </c>
    </row>
    <row r="1952" spans="1:7" x14ac:dyDescent="0.2">
      <c r="A1952" s="1">
        <v>41919</v>
      </c>
      <c r="B1952">
        <v>0</v>
      </c>
      <c r="C1952" t="s">
        <v>12</v>
      </c>
      <c r="D1952">
        <v>1.0966999999999999E-2</v>
      </c>
      <c r="E1952">
        <f t="shared" si="60"/>
        <v>1.0109669999999999</v>
      </c>
      <c r="F1952" s="1">
        <f t="shared" si="61"/>
        <v>41918</v>
      </c>
      <c r="G1952" cm="1">
        <f t="array" ref="G1952">PRODUCT( _xlfn._xlws.FILTER($E:$E, ($C:$C=C1952)*($F:$F=F1952)) ) - 1</f>
        <v>-9.7064320047425268E-3</v>
      </c>
    </row>
    <row r="1953" spans="1:7" x14ac:dyDescent="0.2">
      <c r="A1953" s="1">
        <v>41920</v>
      </c>
      <c r="B1953">
        <v>0</v>
      </c>
      <c r="C1953" t="s">
        <v>12</v>
      </c>
      <c r="D1953">
        <v>5.7089999999999997E-3</v>
      </c>
      <c r="E1953">
        <f t="shared" si="60"/>
        <v>1.005709</v>
      </c>
      <c r="F1953" s="1">
        <f t="shared" si="61"/>
        <v>41918</v>
      </c>
      <c r="G1953" cm="1">
        <f t="array" ref="G1953">PRODUCT( _xlfn._xlws.FILTER($E:$E, ($C:$C=C1953)*($F:$F=F1953)) ) - 1</f>
        <v>-9.7064320047425268E-3</v>
      </c>
    </row>
    <row r="1954" spans="1:7" x14ac:dyDescent="0.2">
      <c r="A1954" s="1">
        <v>41921</v>
      </c>
      <c r="B1954">
        <v>0</v>
      </c>
      <c r="C1954" t="s">
        <v>12</v>
      </c>
      <c r="D1954">
        <v>1.7030000000000001E-3</v>
      </c>
      <c r="E1954">
        <f t="shared" si="60"/>
        <v>1.001703</v>
      </c>
      <c r="F1954" s="1">
        <f t="shared" si="61"/>
        <v>41918</v>
      </c>
      <c r="G1954" cm="1">
        <f t="array" ref="G1954">PRODUCT( _xlfn._xlws.FILTER($E:$E, ($C:$C=C1954)*($F:$F=F1954)) ) - 1</f>
        <v>-9.7064320047425268E-3</v>
      </c>
    </row>
    <row r="1955" spans="1:7" x14ac:dyDescent="0.2">
      <c r="A1955" s="1">
        <v>41922</v>
      </c>
      <c r="B1955">
        <v>0</v>
      </c>
      <c r="C1955" t="s">
        <v>12</v>
      </c>
      <c r="D1955">
        <v>-1.7002E-2</v>
      </c>
      <c r="E1955">
        <f t="shared" si="60"/>
        <v>0.98299800000000004</v>
      </c>
      <c r="F1955" s="1">
        <f t="shared" si="61"/>
        <v>41918</v>
      </c>
      <c r="G1955" cm="1">
        <f t="array" ref="G1955">PRODUCT( _xlfn._xlws.FILTER($E:$E, ($C:$C=C1955)*($F:$F=F1955)) ) - 1</f>
        <v>-9.7064320047425268E-3</v>
      </c>
    </row>
    <row r="1956" spans="1:7" x14ac:dyDescent="0.2">
      <c r="A1956" s="1">
        <v>41926</v>
      </c>
      <c r="B1956">
        <v>0</v>
      </c>
      <c r="C1956" t="s">
        <v>12</v>
      </c>
      <c r="D1956">
        <v>-3.4589999999999998E-3</v>
      </c>
      <c r="E1956">
        <f t="shared" si="60"/>
        <v>0.99654100000000001</v>
      </c>
      <c r="F1956" s="1">
        <f t="shared" si="61"/>
        <v>41925</v>
      </c>
      <c r="G1956" cm="1">
        <f t="array" ref="G1956">PRODUCT( _xlfn._xlws.FILTER($E:$E, ($C:$C=C1956)*($F:$F=F1956)) ) - 1</f>
        <v>4.6124169452066432E-3</v>
      </c>
    </row>
    <row r="1957" spans="1:7" x14ac:dyDescent="0.2">
      <c r="A1957" s="1">
        <v>41927</v>
      </c>
      <c r="B1957">
        <v>0</v>
      </c>
      <c r="C1957" t="s">
        <v>12</v>
      </c>
      <c r="D1957">
        <v>-6.9420000000000003E-3</v>
      </c>
      <c r="E1957">
        <f t="shared" si="60"/>
        <v>0.993058</v>
      </c>
      <c r="F1957" s="1">
        <f t="shared" si="61"/>
        <v>41925</v>
      </c>
      <c r="G1957" cm="1">
        <f t="array" ref="G1957">PRODUCT( _xlfn._xlws.FILTER($E:$E, ($C:$C=C1957)*($F:$F=F1957)) ) - 1</f>
        <v>4.6124169452066432E-3</v>
      </c>
    </row>
    <row r="1958" spans="1:7" x14ac:dyDescent="0.2">
      <c r="A1958" s="1">
        <v>41928</v>
      </c>
      <c r="B1958">
        <v>0</v>
      </c>
      <c r="C1958" t="s">
        <v>12</v>
      </c>
      <c r="D1958">
        <v>3.4949999999999998E-3</v>
      </c>
      <c r="E1958">
        <f t="shared" si="60"/>
        <v>1.003495</v>
      </c>
      <c r="F1958" s="1">
        <f t="shared" si="61"/>
        <v>41925</v>
      </c>
      <c r="G1958" cm="1">
        <f t="array" ref="G1958">PRODUCT( _xlfn._xlws.FILTER($E:$E, ($C:$C=C1958)*($F:$F=F1958)) ) - 1</f>
        <v>4.6124169452066432E-3</v>
      </c>
    </row>
    <row r="1959" spans="1:7" x14ac:dyDescent="0.2">
      <c r="A1959" s="1">
        <v>41929</v>
      </c>
      <c r="B1959">
        <v>0</v>
      </c>
      <c r="C1959" t="s">
        <v>12</v>
      </c>
      <c r="D1959">
        <v>1.1611E-2</v>
      </c>
      <c r="E1959">
        <f t="shared" si="60"/>
        <v>1.011611</v>
      </c>
      <c r="F1959" s="1">
        <f t="shared" si="61"/>
        <v>41925</v>
      </c>
      <c r="G1959" cm="1">
        <f t="array" ref="G1959">PRODUCT( _xlfn._xlws.FILTER($E:$E, ($C:$C=C1959)*($F:$F=F1959)) ) - 1</f>
        <v>4.6124169452066432E-3</v>
      </c>
    </row>
    <row r="1960" spans="1:7" x14ac:dyDescent="0.2">
      <c r="A1960" s="1">
        <v>41932</v>
      </c>
      <c r="B1960">
        <v>0</v>
      </c>
      <c r="C1960" t="s">
        <v>12</v>
      </c>
      <c r="D1960">
        <v>-3.7299999999999998E-3</v>
      </c>
      <c r="E1960">
        <f t="shared" si="60"/>
        <v>0.99626999999999999</v>
      </c>
      <c r="F1960" s="1">
        <f t="shared" si="61"/>
        <v>41932</v>
      </c>
      <c r="G1960" cm="1">
        <f t="array" ref="G1960">PRODUCT( _xlfn._xlws.FILTER($E:$E, ($C:$C=C1960)*($F:$F=F1960)) ) - 1</f>
        <v>1.4821180707182524E-2</v>
      </c>
    </row>
    <row r="1961" spans="1:7" x14ac:dyDescent="0.2">
      <c r="A1961" s="1">
        <v>41933</v>
      </c>
      <c r="B1961">
        <v>0</v>
      </c>
      <c r="C1961" t="s">
        <v>12</v>
      </c>
      <c r="D1961">
        <v>3.7439999999999999E-3</v>
      </c>
      <c r="E1961">
        <f t="shared" si="60"/>
        <v>1.003744</v>
      </c>
      <c r="F1961" s="1">
        <f t="shared" si="61"/>
        <v>41932</v>
      </c>
      <c r="G1961" cm="1">
        <f t="array" ref="G1961">PRODUCT( _xlfn._xlws.FILTER($E:$E, ($C:$C=C1961)*($F:$F=F1961)) ) - 1</f>
        <v>1.4821180707182524E-2</v>
      </c>
    </row>
    <row r="1962" spans="1:7" x14ac:dyDescent="0.2">
      <c r="A1962" s="1">
        <v>41934</v>
      </c>
      <c r="B1962">
        <v>0</v>
      </c>
      <c r="C1962" t="s">
        <v>12</v>
      </c>
      <c r="D1962">
        <v>-5.4520000000000002E-3</v>
      </c>
      <c r="E1962">
        <f t="shared" si="60"/>
        <v>0.99454799999999999</v>
      </c>
      <c r="F1962" s="1">
        <f t="shared" si="61"/>
        <v>41932</v>
      </c>
      <c r="G1962" cm="1">
        <f t="array" ref="G1962">PRODUCT( _xlfn._xlws.FILTER($E:$E, ($C:$C=C1962)*($F:$F=F1962)) ) - 1</f>
        <v>1.4821180707182524E-2</v>
      </c>
    </row>
    <row r="1963" spans="1:7" x14ac:dyDescent="0.2">
      <c r="A1963" s="1">
        <v>41935</v>
      </c>
      <c r="B1963">
        <v>0</v>
      </c>
      <c r="C1963" t="s">
        <v>12</v>
      </c>
      <c r="D1963">
        <v>7.5709999999999996E-3</v>
      </c>
      <c r="E1963">
        <f t="shared" si="60"/>
        <v>1.007571</v>
      </c>
      <c r="F1963" s="1">
        <f t="shared" si="61"/>
        <v>41932</v>
      </c>
      <c r="G1963" cm="1">
        <f t="array" ref="G1963">PRODUCT( _xlfn._xlws.FILTER($E:$E, ($C:$C=C1963)*($F:$F=F1963)) ) - 1</f>
        <v>1.4821180707182524E-2</v>
      </c>
    </row>
    <row r="1964" spans="1:7" x14ac:dyDescent="0.2">
      <c r="A1964" s="1">
        <v>41936</v>
      </c>
      <c r="B1964">
        <v>0</v>
      </c>
      <c r="C1964" t="s">
        <v>12</v>
      </c>
      <c r="D1964">
        <v>1.2716999999999999E-2</v>
      </c>
      <c r="E1964">
        <f t="shared" si="60"/>
        <v>1.0127170000000001</v>
      </c>
      <c r="F1964" s="1">
        <f t="shared" si="61"/>
        <v>41932</v>
      </c>
      <c r="G1964" cm="1">
        <f t="array" ref="G1964">PRODUCT( _xlfn._xlws.FILTER($E:$E, ($C:$C=C1964)*($F:$F=F1964)) ) - 1</f>
        <v>1.4821180707182524E-2</v>
      </c>
    </row>
    <row r="1965" spans="1:7" x14ac:dyDescent="0.2">
      <c r="A1965" s="1">
        <v>41939</v>
      </c>
      <c r="B1965">
        <v>0</v>
      </c>
      <c r="C1965" t="s">
        <v>12</v>
      </c>
      <c r="D1965">
        <v>2.0261999999999999E-2</v>
      </c>
      <c r="E1965">
        <f t="shared" si="60"/>
        <v>1.020262</v>
      </c>
      <c r="F1965" s="1">
        <f t="shared" si="61"/>
        <v>41939</v>
      </c>
      <c r="G1965" cm="1">
        <f t="array" ref="G1965">PRODUCT( _xlfn._xlws.FILTER($E:$E, ($C:$C=C1965)*($F:$F=F1965)) ) - 1</f>
        <v>4.7944636064285895E-2</v>
      </c>
    </row>
    <row r="1966" spans="1:7" x14ac:dyDescent="0.2">
      <c r="A1966" s="1">
        <v>41940</v>
      </c>
      <c r="B1966">
        <v>0</v>
      </c>
      <c r="C1966" t="s">
        <v>12</v>
      </c>
      <c r="D1966">
        <v>1.2586999999999999E-2</v>
      </c>
      <c r="E1966">
        <f t="shared" si="60"/>
        <v>1.0125869999999999</v>
      </c>
      <c r="F1966" s="1">
        <f t="shared" si="61"/>
        <v>41939</v>
      </c>
      <c r="G1966" cm="1">
        <f t="array" ref="G1966">PRODUCT( _xlfn._xlws.FILTER($E:$E, ($C:$C=C1966)*($F:$F=F1966)) ) - 1</f>
        <v>4.7944636064285895E-2</v>
      </c>
    </row>
    <row r="1967" spans="1:7" x14ac:dyDescent="0.2">
      <c r="A1967" s="1">
        <v>41941</v>
      </c>
      <c r="B1967">
        <v>0</v>
      </c>
      <c r="C1967" t="s">
        <v>12</v>
      </c>
      <c r="D1967">
        <v>8.8400000000000006E-3</v>
      </c>
      <c r="E1967">
        <f t="shared" si="60"/>
        <v>1.00884</v>
      </c>
      <c r="F1967" s="1">
        <f t="shared" si="61"/>
        <v>41939</v>
      </c>
      <c r="G1967" cm="1">
        <f t="array" ref="G1967">PRODUCT( _xlfn._xlws.FILTER($E:$E, ($C:$C=C1967)*($F:$F=F1967)) ) - 1</f>
        <v>4.7944636064285895E-2</v>
      </c>
    </row>
    <row r="1968" spans="1:7" x14ac:dyDescent="0.2">
      <c r="A1968" s="1">
        <v>41942</v>
      </c>
      <c r="B1968">
        <v>0</v>
      </c>
      <c r="C1968" t="s">
        <v>12</v>
      </c>
      <c r="D1968">
        <v>8.489E-3</v>
      </c>
      <c r="E1968">
        <f t="shared" si="60"/>
        <v>1.008489</v>
      </c>
      <c r="F1968" s="1">
        <f t="shared" si="61"/>
        <v>41939</v>
      </c>
      <c r="G1968" cm="1">
        <f t="array" ref="G1968">PRODUCT( _xlfn._xlws.FILTER($E:$E, ($C:$C=C1968)*($F:$F=F1968)) ) - 1</f>
        <v>4.7944636064285895E-2</v>
      </c>
    </row>
    <row r="1969" spans="1:7" x14ac:dyDescent="0.2">
      <c r="A1969" s="1">
        <v>41943</v>
      </c>
      <c r="B1969">
        <v>0</v>
      </c>
      <c r="C1969" t="s">
        <v>12</v>
      </c>
      <c r="D1969">
        <v>-2.9870000000000001E-3</v>
      </c>
      <c r="E1969">
        <f t="shared" si="60"/>
        <v>0.99701300000000004</v>
      </c>
      <c r="F1969" s="1">
        <f t="shared" si="61"/>
        <v>41939</v>
      </c>
      <c r="G1969" cm="1">
        <f t="array" ref="G1969">PRODUCT( _xlfn._xlws.FILTER($E:$E, ($C:$C=C1969)*($F:$F=F1969)) ) - 1</f>
        <v>4.7944636064285895E-2</v>
      </c>
    </row>
    <row r="1970" spans="1:7" x14ac:dyDescent="0.2">
      <c r="A1970" s="1">
        <v>41946</v>
      </c>
      <c r="B1970">
        <v>0</v>
      </c>
      <c r="C1970" t="s">
        <v>12</v>
      </c>
      <c r="D1970">
        <v>1.3889E-2</v>
      </c>
      <c r="E1970">
        <f t="shared" si="60"/>
        <v>1.013889</v>
      </c>
      <c r="F1970" s="1">
        <f t="shared" si="61"/>
        <v>41946</v>
      </c>
      <c r="G1970" cm="1">
        <f t="array" ref="G1970">PRODUCT( _xlfn._xlws.FILTER($E:$E, ($C:$C=C1970)*($F:$F=F1970)) ) - 1</f>
        <v>2.7777823925019041E-2</v>
      </c>
    </row>
    <row r="1971" spans="1:7" x14ac:dyDescent="0.2">
      <c r="A1971" s="1">
        <v>41947</v>
      </c>
      <c r="B1971">
        <v>0</v>
      </c>
      <c r="C1971" t="s">
        <v>12</v>
      </c>
      <c r="D1971">
        <v>1.3967E-2</v>
      </c>
      <c r="E1971">
        <f t="shared" si="60"/>
        <v>1.0139670000000001</v>
      </c>
      <c r="F1971" s="1">
        <f t="shared" si="61"/>
        <v>41946</v>
      </c>
      <c r="G1971" cm="1">
        <f t="array" ref="G1971">PRODUCT( _xlfn._xlws.FILTER($E:$E, ($C:$C=C1971)*($F:$F=F1971)) ) - 1</f>
        <v>2.7777823925019041E-2</v>
      </c>
    </row>
    <row r="1972" spans="1:7" x14ac:dyDescent="0.2">
      <c r="A1972" s="1">
        <v>41948</v>
      </c>
      <c r="B1972">
        <v>0</v>
      </c>
      <c r="C1972" t="s">
        <v>12</v>
      </c>
      <c r="D1972">
        <v>-3.9740000000000001E-3</v>
      </c>
      <c r="E1972">
        <f t="shared" si="60"/>
        <v>0.99602599999999997</v>
      </c>
      <c r="F1972" s="1">
        <f t="shared" si="61"/>
        <v>41946</v>
      </c>
      <c r="G1972" cm="1">
        <f t="array" ref="G1972">PRODUCT( _xlfn._xlws.FILTER($E:$E, ($C:$C=C1972)*($F:$F=F1972)) ) - 1</f>
        <v>2.7777823925019041E-2</v>
      </c>
    </row>
    <row r="1973" spans="1:7" x14ac:dyDescent="0.2">
      <c r="A1973" s="1">
        <v>41949</v>
      </c>
      <c r="B1973">
        <v>0</v>
      </c>
      <c r="C1973" t="s">
        <v>12</v>
      </c>
      <c r="D1973">
        <v>-4.7869999999999996E-3</v>
      </c>
      <c r="E1973">
        <f t="shared" si="60"/>
        <v>0.99521300000000001</v>
      </c>
      <c r="F1973" s="1">
        <f t="shared" si="61"/>
        <v>41946</v>
      </c>
      <c r="G1973" cm="1">
        <f t="array" ref="G1973">PRODUCT( _xlfn._xlws.FILTER($E:$E, ($C:$C=C1973)*($F:$F=F1973)) ) - 1</f>
        <v>2.7777823925019041E-2</v>
      </c>
    </row>
    <row r="1974" spans="1:7" x14ac:dyDescent="0.2">
      <c r="A1974" s="1">
        <v>41950</v>
      </c>
      <c r="B1974">
        <v>0</v>
      </c>
      <c r="C1974" t="s">
        <v>12</v>
      </c>
      <c r="D1974">
        <v>8.5520000000000006E-3</v>
      </c>
      <c r="E1974">
        <f t="shared" si="60"/>
        <v>1.0085519999999999</v>
      </c>
      <c r="F1974" s="1">
        <f t="shared" si="61"/>
        <v>41946</v>
      </c>
      <c r="G1974" cm="1">
        <f t="array" ref="G1974">PRODUCT( _xlfn._xlws.FILTER($E:$E, ($C:$C=C1974)*($F:$F=F1974)) ) - 1</f>
        <v>2.7777823925019041E-2</v>
      </c>
    </row>
    <row r="1975" spans="1:7" x14ac:dyDescent="0.2">
      <c r="A1975" s="1">
        <v>41953</v>
      </c>
      <c r="B1975">
        <v>0</v>
      </c>
      <c r="C1975" t="s">
        <v>12</v>
      </c>
      <c r="D1975">
        <v>5.2989999999999999E-3</v>
      </c>
      <c r="E1975">
        <f t="shared" si="60"/>
        <v>1.0052989999999999</v>
      </c>
      <c r="F1975" s="1">
        <f t="shared" si="61"/>
        <v>41953</v>
      </c>
      <c r="G1975" cm="1">
        <f t="array" ref="G1975">PRODUCT( _xlfn._xlws.FILTER($E:$E, ($C:$C=C1975)*($F:$F=F1975)) ) - 1</f>
        <v>2.3845639531179241E-3</v>
      </c>
    </row>
    <row r="1976" spans="1:7" x14ac:dyDescent="0.2">
      <c r="A1976" s="1">
        <v>41954</v>
      </c>
      <c r="B1976">
        <v>0</v>
      </c>
      <c r="C1976" t="s">
        <v>12</v>
      </c>
      <c r="D1976">
        <v>-4.744E-3</v>
      </c>
      <c r="E1976">
        <f t="shared" si="60"/>
        <v>0.99525600000000003</v>
      </c>
      <c r="F1976" s="1">
        <f t="shared" si="61"/>
        <v>41953</v>
      </c>
      <c r="G1976" cm="1">
        <f t="array" ref="G1976">PRODUCT( _xlfn._xlws.FILTER($E:$E, ($C:$C=C1976)*($F:$F=F1976)) ) - 1</f>
        <v>2.3845639531179241E-3</v>
      </c>
    </row>
    <row r="1977" spans="1:7" x14ac:dyDescent="0.2">
      <c r="A1977" s="1">
        <v>41955</v>
      </c>
      <c r="B1977">
        <v>0</v>
      </c>
      <c r="C1977" t="s">
        <v>12</v>
      </c>
      <c r="D1977">
        <v>5.2969999999999996E-3</v>
      </c>
      <c r="E1977">
        <f t="shared" si="60"/>
        <v>1.0052970000000001</v>
      </c>
      <c r="F1977" s="1">
        <f t="shared" si="61"/>
        <v>41953</v>
      </c>
      <c r="G1977" cm="1">
        <f t="array" ref="G1977">PRODUCT( _xlfn._xlws.FILTER($E:$E, ($C:$C=C1977)*($F:$F=F1977)) ) - 1</f>
        <v>2.3845639531179241E-3</v>
      </c>
    </row>
    <row r="1978" spans="1:7" x14ac:dyDescent="0.2">
      <c r="A1978" s="1">
        <v>41956</v>
      </c>
      <c r="B1978">
        <v>0</v>
      </c>
      <c r="C1978" t="s">
        <v>12</v>
      </c>
      <c r="D1978">
        <v>3.6879999999999999E-3</v>
      </c>
      <c r="E1978">
        <f t="shared" si="60"/>
        <v>1.0036879999999999</v>
      </c>
      <c r="F1978" s="1">
        <f t="shared" si="61"/>
        <v>41953</v>
      </c>
      <c r="G1978" cm="1">
        <f t="array" ref="G1978">PRODUCT( _xlfn._xlws.FILTER($E:$E, ($C:$C=C1978)*($F:$F=F1978)) ) - 1</f>
        <v>2.3845639531179241E-3</v>
      </c>
    </row>
    <row r="1979" spans="1:7" x14ac:dyDescent="0.2">
      <c r="A1979" s="1">
        <v>41957</v>
      </c>
      <c r="B1979">
        <v>0</v>
      </c>
      <c r="C1979" t="s">
        <v>12</v>
      </c>
      <c r="D1979">
        <v>-7.0870000000000004E-3</v>
      </c>
      <c r="E1979">
        <f t="shared" si="60"/>
        <v>0.99291300000000005</v>
      </c>
      <c r="F1979" s="1">
        <f t="shared" si="61"/>
        <v>41953</v>
      </c>
      <c r="G1979" cm="1">
        <f t="array" ref="G1979">PRODUCT( _xlfn._xlws.FILTER($E:$E, ($C:$C=C1979)*($F:$F=F1979)) ) - 1</f>
        <v>2.3845639531179241E-3</v>
      </c>
    </row>
    <row r="1980" spans="1:7" x14ac:dyDescent="0.2">
      <c r="A1980" s="1">
        <v>41960</v>
      </c>
      <c r="B1980">
        <v>0</v>
      </c>
      <c r="C1980" t="s">
        <v>12</v>
      </c>
      <c r="D1980">
        <v>4.2290000000000001E-3</v>
      </c>
      <c r="E1980">
        <f t="shared" si="60"/>
        <v>1.004229</v>
      </c>
      <c r="F1980" s="1">
        <f t="shared" si="61"/>
        <v>41960</v>
      </c>
      <c r="G1980" cm="1">
        <f t="array" ref="G1980">PRODUCT( _xlfn._xlws.FILTER($E:$E, ($C:$C=C1980)*($F:$F=F1980)) ) - 1</f>
        <v>2.7754342772482898E-2</v>
      </c>
    </row>
    <row r="1981" spans="1:7" x14ac:dyDescent="0.2">
      <c r="A1981" s="1">
        <v>41961</v>
      </c>
      <c r="B1981">
        <v>0</v>
      </c>
      <c r="C1981" t="s">
        <v>12</v>
      </c>
      <c r="D1981">
        <v>4.738E-3</v>
      </c>
      <c r="E1981">
        <f t="shared" si="60"/>
        <v>1.0047379999999999</v>
      </c>
      <c r="F1981" s="1">
        <f t="shared" si="61"/>
        <v>41960</v>
      </c>
      <c r="G1981" cm="1">
        <f t="array" ref="G1981">PRODUCT( _xlfn._xlws.FILTER($E:$E, ($C:$C=C1981)*($F:$F=F1981)) ) - 1</f>
        <v>2.7754342772482898E-2</v>
      </c>
    </row>
    <row r="1982" spans="1:7" x14ac:dyDescent="0.2">
      <c r="A1982" s="1">
        <v>41962</v>
      </c>
      <c r="B1982">
        <v>0</v>
      </c>
      <c r="C1982" t="s">
        <v>12</v>
      </c>
      <c r="D1982">
        <v>1.6243E-2</v>
      </c>
      <c r="E1982">
        <f t="shared" si="60"/>
        <v>1.016243</v>
      </c>
      <c r="F1982" s="1">
        <f t="shared" si="61"/>
        <v>41960</v>
      </c>
      <c r="G1982" cm="1">
        <f t="array" ref="G1982">PRODUCT( _xlfn._xlws.FILTER($E:$E, ($C:$C=C1982)*($F:$F=F1982)) ) - 1</f>
        <v>2.7754342772482898E-2</v>
      </c>
    </row>
    <row r="1983" spans="1:7" x14ac:dyDescent="0.2">
      <c r="A1983" s="1">
        <v>41963</v>
      </c>
      <c r="B1983">
        <v>0</v>
      </c>
      <c r="C1983" t="s">
        <v>12</v>
      </c>
      <c r="D1983">
        <v>9.7959999999999992E-3</v>
      </c>
      <c r="E1983">
        <f t="shared" si="60"/>
        <v>1.0097959999999999</v>
      </c>
      <c r="F1983" s="1">
        <f t="shared" si="61"/>
        <v>41960</v>
      </c>
      <c r="G1983" cm="1">
        <f t="array" ref="G1983">PRODUCT( _xlfn._xlws.FILTER($E:$E, ($C:$C=C1983)*($F:$F=F1983)) ) - 1</f>
        <v>2.7754342772482898E-2</v>
      </c>
    </row>
    <row r="1984" spans="1:7" x14ac:dyDescent="0.2">
      <c r="A1984" s="1">
        <v>41964</v>
      </c>
      <c r="B1984">
        <v>0</v>
      </c>
      <c r="C1984" t="s">
        <v>12</v>
      </c>
      <c r="D1984">
        <v>-7.404E-3</v>
      </c>
      <c r="E1984">
        <f t="shared" si="60"/>
        <v>0.99259600000000003</v>
      </c>
      <c r="F1984" s="1">
        <f t="shared" si="61"/>
        <v>41960</v>
      </c>
      <c r="G1984" cm="1">
        <f t="array" ref="G1984">PRODUCT( _xlfn._xlws.FILTER($E:$E, ($C:$C=C1984)*($F:$F=F1984)) ) - 1</f>
        <v>2.7754342772482898E-2</v>
      </c>
    </row>
    <row r="1985" spans="1:7" x14ac:dyDescent="0.2">
      <c r="A1985" s="1">
        <v>41967</v>
      </c>
      <c r="B1985">
        <v>0</v>
      </c>
      <c r="C1985" t="s">
        <v>12</v>
      </c>
      <c r="D1985">
        <v>-4.8869999999999999E-3</v>
      </c>
      <c r="E1985">
        <f t="shared" si="60"/>
        <v>0.99511300000000003</v>
      </c>
      <c r="F1985" s="1">
        <f t="shared" si="61"/>
        <v>41967</v>
      </c>
      <c r="G1985" cm="1">
        <f t="array" ref="G1985">PRODUCT( _xlfn._xlws.FILTER($E:$E, ($C:$C=C1985)*($F:$F=F1985)) ) - 1</f>
        <v>4.4496187723430225E-2</v>
      </c>
    </row>
    <row r="1986" spans="1:7" x14ac:dyDescent="0.2">
      <c r="A1986" s="1">
        <v>41968</v>
      </c>
      <c r="B1986">
        <v>0</v>
      </c>
      <c r="C1986" t="s">
        <v>12</v>
      </c>
      <c r="D1986">
        <v>1.2664999999999999E-2</v>
      </c>
      <c r="E1986">
        <f t="shared" si="60"/>
        <v>1.0126649999999999</v>
      </c>
      <c r="F1986" s="1">
        <f t="shared" si="61"/>
        <v>41967</v>
      </c>
      <c r="G1986" cm="1">
        <f t="array" ref="G1986">PRODUCT( _xlfn._xlws.FILTER($E:$E, ($C:$C=C1986)*($F:$F=F1986)) ) - 1</f>
        <v>4.4496187723430225E-2</v>
      </c>
    </row>
    <row r="1987" spans="1:7" x14ac:dyDescent="0.2">
      <c r="A1987" s="1">
        <v>41969</v>
      </c>
      <c r="B1987">
        <v>0</v>
      </c>
      <c r="C1987" t="s">
        <v>12</v>
      </c>
      <c r="D1987">
        <v>5.1050000000000002E-3</v>
      </c>
      <c r="E1987">
        <f t="shared" si="60"/>
        <v>1.0051049999999999</v>
      </c>
      <c r="F1987" s="1">
        <f t="shared" si="61"/>
        <v>41967</v>
      </c>
      <c r="G1987" cm="1">
        <f t="array" ref="G1987">PRODUCT( _xlfn._xlws.FILTER($E:$E, ($C:$C=C1987)*($F:$F=F1987)) ) - 1</f>
        <v>4.4496187723430225E-2</v>
      </c>
    </row>
    <row r="1988" spans="1:7" x14ac:dyDescent="0.2">
      <c r="A1988" s="1">
        <v>41970</v>
      </c>
      <c r="B1988">
        <v>0</v>
      </c>
      <c r="C1988" t="s">
        <v>12</v>
      </c>
      <c r="D1988">
        <v>1.2700000000000001E-3</v>
      </c>
      <c r="E1988">
        <f t="shared" ref="E1988:E2051" si="62">D1988+1</f>
        <v>1.0012700000000001</v>
      </c>
      <c r="F1988" s="1">
        <f t="shared" ref="F1988:F2051" si="63">A1988 - (WEEKDAY(A1988, 2) - 1)</f>
        <v>41967</v>
      </c>
      <c r="G1988" cm="1">
        <f t="array" ref="G1988">PRODUCT( _xlfn._xlws.FILTER($E:$E, ($C:$C=C1988)*($F:$F=F1988)) ) - 1</f>
        <v>4.4496187723430225E-2</v>
      </c>
    </row>
    <row r="1989" spans="1:7" x14ac:dyDescent="0.2">
      <c r="A1989" s="1">
        <v>41971</v>
      </c>
      <c r="B1989">
        <v>0</v>
      </c>
      <c r="C1989" t="s">
        <v>12</v>
      </c>
      <c r="D1989">
        <v>2.9926000000000001E-2</v>
      </c>
      <c r="E1989">
        <f t="shared" si="62"/>
        <v>1.0299259999999999</v>
      </c>
      <c r="F1989" s="1">
        <f t="shared" si="63"/>
        <v>41967</v>
      </c>
      <c r="G1989" cm="1">
        <f t="array" ref="G1989">PRODUCT( _xlfn._xlws.FILTER($E:$E, ($C:$C=C1989)*($F:$F=F1989)) ) - 1</f>
        <v>4.4496187723430225E-2</v>
      </c>
    </row>
    <row r="1990" spans="1:7" x14ac:dyDescent="0.2">
      <c r="A1990" s="1">
        <v>41974</v>
      </c>
      <c r="B1990">
        <v>0</v>
      </c>
      <c r="C1990" t="s">
        <v>12</v>
      </c>
      <c r="D1990">
        <v>-8.3719999999999992E-3</v>
      </c>
      <c r="E1990">
        <f t="shared" si="62"/>
        <v>0.99162799999999995</v>
      </c>
      <c r="F1990" s="1">
        <f t="shared" si="63"/>
        <v>41974</v>
      </c>
      <c r="G1990" cm="1">
        <f t="array" ref="G1990">PRODUCT( _xlfn._xlws.FILTER($E:$E, ($C:$C=C1990)*($F:$F=F1990)) ) - 1</f>
        <v>-2.4871402352068306E-2</v>
      </c>
    </row>
    <row r="1991" spans="1:7" x14ac:dyDescent="0.2">
      <c r="A1991" s="1">
        <v>41975</v>
      </c>
      <c r="B1991">
        <v>0</v>
      </c>
      <c r="C1991" t="s">
        <v>12</v>
      </c>
      <c r="D1991">
        <v>-2.235E-3</v>
      </c>
      <c r="E1991">
        <f t="shared" si="62"/>
        <v>0.99776500000000001</v>
      </c>
      <c r="F1991" s="1">
        <f t="shared" si="63"/>
        <v>41974</v>
      </c>
      <c r="G1991" cm="1">
        <f t="array" ref="G1991">PRODUCT( _xlfn._xlws.FILTER($E:$E, ($C:$C=C1991)*($F:$F=F1991)) ) - 1</f>
        <v>-2.4871402352068306E-2</v>
      </c>
    </row>
    <row r="1992" spans="1:7" x14ac:dyDescent="0.2">
      <c r="A1992" s="1">
        <v>41976</v>
      </c>
      <c r="B1992">
        <v>0</v>
      </c>
      <c r="C1992" t="s">
        <v>12</v>
      </c>
      <c r="D1992">
        <v>-4.7289999999999997E-3</v>
      </c>
      <c r="E1992">
        <f t="shared" si="62"/>
        <v>0.99527100000000002</v>
      </c>
      <c r="F1992" s="1">
        <f t="shared" si="63"/>
        <v>41974</v>
      </c>
      <c r="G1992" cm="1">
        <f t="array" ref="G1992">PRODUCT( _xlfn._xlws.FILTER($E:$E, ($C:$C=C1992)*($F:$F=F1992)) ) - 1</f>
        <v>-2.4871402352068306E-2</v>
      </c>
    </row>
    <row r="1993" spans="1:7" x14ac:dyDescent="0.2">
      <c r="A1993" s="1">
        <v>41977</v>
      </c>
      <c r="B1993">
        <v>0</v>
      </c>
      <c r="C1993" t="s">
        <v>12</v>
      </c>
      <c r="D1993">
        <v>-1.8255E-2</v>
      </c>
      <c r="E1993">
        <f t="shared" si="62"/>
        <v>0.98174499999999998</v>
      </c>
      <c r="F1993" s="1">
        <f t="shared" si="63"/>
        <v>41974</v>
      </c>
      <c r="G1993" cm="1">
        <f t="array" ref="G1993">PRODUCT( _xlfn._xlws.FILTER($E:$E, ($C:$C=C1993)*($F:$F=F1993)) ) - 1</f>
        <v>-2.4871402352068306E-2</v>
      </c>
    </row>
    <row r="1994" spans="1:7" x14ac:dyDescent="0.2">
      <c r="A1994" s="1">
        <v>41978</v>
      </c>
      <c r="B1994">
        <v>0</v>
      </c>
      <c r="C1994" t="s">
        <v>12</v>
      </c>
      <c r="D1994">
        <v>8.6599999999999993E-3</v>
      </c>
      <c r="E1994">
        <f t="shared" si="62"/>
        <v>1.0086599999999999</v>
      </c>
      <c r="F1994" s="1">
        <f t="shared" si="63"/>
        <v>41974</v>
      </c>
      <c r="G1994" cm="1">
        <f t="array" ref="G1994">PRODUCT( _xlfn._xlws.FILTER($E:$E, ($C:$C=C1994)*($F:$F=F1994)) ) - 1</f>
        <v>-2.4871402352068306E-2</v>
      </c>
    </row>
    <row r="1995" spans="1:7" x14ac:dyDescent="0.2">
      <c r="A1995" s="1">
        <v>41981</v>
      </c>
      <c r="B1995">
        <v>0</v>
      </c>
      <c r="C1995" t="s">
        <v>12</v>
      </c>
      <c r="D1995">
        <v>-7.8279999999999999E-3</v>
      </c>
      <c r="E1995">
        <f t="shared" si="62"/>
        <v>0.99217200000000005</v>
      </c>
      <c r="F1995" s="1">
        <f t="shared" si="63"/>
        <v>41981</v>
      </c>
      <c r="G1995" cm="1">
        <f t="array" ref="G1995">PRODUCT( _xlfn._xlws.FILTER($E:$E, ($C:$C=C1995)*($F:$F=F1995)) ) - 1</f>
        <v>-3.8383467201878685E-2</v>
      </c>
    </row>
    <row r="1996" spans="1:7" x14ac:dyDescent="0.2">
      <c r="A1996" s="1">
        <v>41982</v>
      </c>
      <c r="B1996">
        <v>0</v>
      </c>
      <c r="C1996" t="s">
        <v>12</v>
      </c>
      <c r="D1996">
        <v>-5.3449999999999999E-3</v>
      </c>
      <c r="E1996">
        <f t="shared" si="62"/>
        <v>0.99465499999999996</v>
      </c>
      <c r="F1996" s="1">
        <f t="shared" si="63"/>
        <v>41981</v>
      </c>
      <c r="G1996" cm="1">
        <f t="array" ref="G1996">PRODUCT( _xlfn._xlws.FILTER($E:$E, ($C:$C=C1996)*($F:$F=F1996)) ) - 1</f>
        <v>-3.8383467201878685E-2</v>
      </c>
    </row>
    <row r="1997" spans="1:7" x14ac:dyDescent="0.2">
      <c r="A1997" s="1">
        <v>41983</v>
      </c>
      <c r="B1997">
        <v>0</v>
      </c>
      <c r="C1997" t="s">
        <v>12</v>
      </c>
      <c r="D1997">
        <v>-1.7912000000000001E-2</v>
      </c>
      <c r="E1997">
        <f t="shared" si="62"/>
        <v>0.98208799999999996</v>
      </c>
      <c r="F1997" s="1">
        <f t="shared" si="63"/>
        <v>41981</v>
      </c>
      <c r="G1997" cm="1">
        <f t="array" ref="G1997">PRODUCT( _xlfn._xlws.FILTER($E:$E, ($C:$C=C1997)*($F:$F=F1997)) ) - 1</f>
        <v>-3.8383467201878685E-2</v>
      </c>
    </row>
    <row r="1998" spans="1:7" x14ac:dyDescent="0.2">
      <c r="A1998" s="1">
        <v>41984</v>
      </c>
      <c r="B1998">
        <v>0</v>
      </c>
      <c r="C1998" t="s">
        <v>12</v>
      </c>
      <c r="D1998">
        <v>5.4720000000000003E-3</v>
      </c>
      <c r="E1998">
        <f t="shared" si="62"/>
        <v>1.0054719999999999</v>
      </c>
      <c r="F1998" s="1">
        <f t="shared" si="63"/>
        <v>41981</v>
      </c>
      <c r="G1998" cm="1">
        <f t="array" ref="G1998">PRODUCT( _xlfn._xlws.FILTER($E:$E, ($C:$C=C1998)*($F:$F=F1998)) ) - 1</f>
        <v>-3.8383467201878685E-2</v>
      </c>
    </row>
    <row r="1999" spans="1:7" x14ac:dyDescent="0.2">
      <c r="A1999" s="1">
        <v>41985</v>
      </c>
      <c r="B1999">
        <v>0</v>
      </c>
      <c r="C1999" t="s">
        <v>12</v>
      </c>
      <c r="D1999">
        <v>-1.3216E-2</v>
      </c>
      <c r="E1999">
        <f t="shared" si="62"/>
        <v>0.98678399999999999</v>
      </c>
      <c r="F1999" s="1">
        <f t="shared" si="63"/>
        <v>41981</v>
      </c>
      <c r="G1999" cm="1">
        <f t="array" ref="G1999">PRODUCT( _xlfn._xlws.FILTER($E:$E, ($C:$C=C1999)*($F:$F=F1999)) ) - 1</f>
        <v>-3.8383467201878685E-2</v>
      </c>
    </row>
    <row r="2000" spans="1:7" x14ac:dyDescent="0.2">
      <c r="A2000" s="1">
        <v>41988</v>
      </c>
      <c r="B2000">
        <v>0</v>
      </c>
      <c r="C2000" t="s">
        <v>12</v>
      </c>
      <c r="D2000">
        <v>5.777E-3</v>
      </c>
      <c r="E2000">
        <f t="shared" si="62"/>
        <v>1.0057769999999999</v>
      </c>
      <c r="F2000" s="1">
        <f t="shared" si="63"/>
        <v>41988</v>
      </c>
      <c r="G2000" cm="1">
        <f t="array" ref="G2000">PRODUCT( _xlfn._xlws.FILTER($E:$E, ($C:$C=C2000)*($F:$F=F2000)) ) - 1</f>
        <v>-3.1519648375448739E-3</v>
      </c>
    </row>
    <row r="2001" spans="1:7" x14ac:dyDescent="0.2">
      <c r="A2001" s="1">
        <v>41989</v>
      </c>
      <c r="B2001">
        <v>0</v>
      </c>
      <c r="C2001" t="s">
        <v>12</v>
      </c>
      <c r="D2001">
        <v>-3.9160000000000002E-3</v>
      </c>
      <c r="E2001">
        <f t="shared" si="62"/>
        <v>0.99608399999999997</v>
      </c>
      <c r="F2001" s="1">
        <f t="shared" si="63"/>
        <v>41988</v>
      </c>
      <c r="G2001" cm="1">
        <f t="array" ref="G2001">PRODUCT( _xlfn._xlws.FILTER($E:$E, ($C:$C=C2001)*($F:$F=F2001)) ) - 1</f>
        <v>-3.1519648375448739E-3</v>
      </c>
    </row>
    <row r="2002" spans="1:7" x14ac:dyDescent="0.2">
      <c r="A2002" s="1">
        <v>41990</v>
      </c>
      <c r="B2002">
        <v>0</v>
      </c>
      <c r="C2002" t="s">
        <v>12</v>
      </c>
      <c r="D2002">
        <v>2.6210000000000001E-3</v>
      </c>
      <c r="E2002">
        <f t="shared" si="62"/>
        <v>1.002621</v>
      </c>
      <c r="F2002" s="1">
        <f t="shared" si="63"/>
        <v>41988</v>
      </c>
      <c r="G2002" cm="1">
        <f t="array" ref="G2002">PRODUCT( _xlfn._xlws.FILTER($E:$E, ($C:$C=C2002)*($F:$F=F2002)) ) - 1</f>
        <v>-3.1519648375448739E-3</v>
      </c>
    </row>
    <row r="2003" spans="1:7" x14ac:dyDescent="0.2">
      <c r="A2003" s="1">
        <v>41991</v>
      </c>
      <c r="B2003">
        <v>0</v>
      </c>
      <c r="C2003" t="s">
        <v>12</v>
      </c>
      <c r="D2003">
        <v>9.6729999999999993E-3</v>
      </c>
      <c r="E2003">
        <f t="shared" si="62"/>
        <v>1.009673</v>
      </c>
      <c r="F2003" s="1">
        <f t="shared" si="63"/>
        <v>41988</v>
      </c>
      <c r="G2003" cm="1">
        <f t="array" ref="G2003">PRODUCT( _xlfn._xlws.FILTER($E:$E, ($C:$C=C2003)*($F:$F=F2003)) ) - 1</f>
        <v>-3.1519648375448739E-3</v>
      </c>
    </row>
    <row r="2004" spans="1:7" x14ac:dyDescent="0.2">
      <c r="A2004" s="1">
        <v>41992</v>
      </c>
      <c r="B2004">
        <v>0</v>
      </c>
      <c r="C2004" t="s">
        <v>12</v>
      </c>
      <c r="D2004">
        <v>-1.7090000000000001E-2</v>
      </c>
      <c r="E2004">
        <f t="shared" si="62"/>
        <v>0.98290999999999995</v>
      </c>
      <c r="F2004" s="1">
        <f t="shared" si="63"/>
        <v>41988</v>
      </c>
      <c r="G2004" cm="1">
        <f t="array" ref="G2004">PRODUCT( _xlfn._xlws.FILTER($E:$E, ($C:$C=C2004)*($F:$F=F2004)) ) - 1</f>
        <v>-3.1519648375448739E-3</v>
      </c>
    </row>
    <row r="2005" spans="1:7" x14ac:dyDescent="0.2">
      <c r="A2005" s="1">
        <v>41995</v>
      </c>
      <c r="B2005">
        <v>0</v>
      </c>
      <c r="C2005" t="s">
        <v>12</v>
      </c>
      <c r="D2005">
        <v>1.9758000000000001E-2</v>
      </c>
      <c r="E2005">
        <f t="shared" si="62"/>
        <v>1.0197579999999999</v>
      </c>
      <c r="F2005" s="1">
        <f t="shared" si="63"/>
        <v>41995</v>
      </c>
      <c r="G2005" cm="1">
        <f t="array" ref="G2005">PRODUCT( _xlfn._xlws.FILTER($E:$E, ($C:$C=C2005)*($F:$F=F2005)) ) - 1</f>
        <v>2.7134684196682857E-2</v>
      </c>
    </row>
    <row r="2006" spans="1:7" x14ac:dyDescent="0.2">
      <c r="A2006" s="1">
        <v>41996</v>
      </c>
      <c r="B2006">
        <v>0</v>
      </c>
      <c r="C2006" t="s">
        <v>12</v>
      </c>
      <c r="D2006">
        <v>5.4250000000000001E-3</v>
      </c>
      <c r="E2006">
        <f t="shared" si="62"/>
        <v>1.005425</v>
      </c>
      <c r="F2006" s="1">
        <f t="shared" si="63"/>
        <v>41995</v>
      </c>
      <c r="G2006" cm="1">
        <f t="array" ref="G2006">PRODUCT( _xlfn._xlws.FILTER($E:$E, ($C:$C=C2006)*($F:$F=F2006)) ) - 1</f>
        <v>2.7134684196682857E-2</v>
      </c>
    </row>
    <row r="2007" spans="1:7" x14ac:dyDescent="0.2">
      <c r="A2007" s="1">
        <v>41997</v>
      </c>
      <c r="B2007">
        <v>0</v>
      </c>
      <c r="C2007" t="s">
        <v>12</v>
      </c>
      <c r="D2007">
        <v>1.799E-3</v>
      </c>
      <c r="E2007">
        <f t="shared" si="62"/>
        <v>1.0017990000000001</v>
      </c>
      <c r="F2007" s="1">
        <f t="shared" si="63"/>
        <v>41995</v>
      </c>
      <c r="G2007" cm="1">
        <f t="array" ref="G2007">PRODUCT( _xlfn._xlws.FILTER($E:$E, ($C:$C=C2007)*($F:$F=F2007)) ) - 1</f>
        <v>2.7134684196682857E-2</v>
      </c>
    </row>
    <row r="2008" spans="1:7" x14ac:dyDescent="0.2">
      <c r="A2008" s="1">
        <v>42002</v>
      </c>
      <c r="B2008">
        <v>0</v>
      </c>
      <c r="C2008" t="s">
        <v>12</v>
      </c>
      <c r="D2008">
        <v>-3.078E-3</v>
      </c>
      <c r="E2008">
        <f t="shared" si="62"/>
        <v>0.99692199999999997</v>
      </c>
      <c r="F2008" s="1">
        <f t="shared" si="63"/>
        <v>42002</v>
      </c>
      <c r="G2008" cm="1">
        <f t="array" ref="G2008">PRODUCT( _xlfn._xlws.FILTER($E:$E, ($C:$C=C2008)*($F:$F=F2008)) ) - 1</f>
        <v>5.8993590225455694E-3</v>
      </c>
    </row>
    <row r="2009" spans="1:7" x14ac:dyDescent="0.2">
      <c r="A2009" s="1">
        <v>42003</v>
      </c>
      <c r="B2009">
        <v>0</v>
      </c>
      <c r="C2009" t="s">
        <v>12</v>
      </c>
      <c r="D2009">
        <v>-4.3730000000000002E-3</v>
      </c>
      <c r="E2009">
        <f t="shared" si="62"/>
        <v>0.99562700000000004</v>
      </c>
      <c r="F2009" s="1">
        <f t="shared" si="63"/>
        <v>42002</v>
      </c>
      <c r="G2009" cm="1">
        <f t="array" ref="G2009">PRODUCT( _xlfn._xlws.FILTER($E:$E, ($C:$C=C2009)*($F:$F=F2009)) ) - 1</f>
        <v>5.8993590225455694E-3</v>
      </c>
    </row>
    <row r="2010" spans="1:7" x14ac:dyDescent="0.2">
      <c r="A2010" s="1">
        <v>42004</v>
      </c>
      <c r="B2010">
        <v>0</v>
      </c>
      <c r="C2010" t="s">
        <v>12</v>
      </c>
      <c r="D2010">
        <v>6.718E-3</v>
      </c>
      <c r="E2010">
        <f t="shared" si="62"/>
        <v>1.006718</v>
      </c>
      <c r="F2010" s="1">
        <f t="shared" si="63"/>
        <v>42002</v>
      </c>
      <c r="G2010" cm="1">
        <f t="array" ref="G2010">PRODUCT( _xlfn._xlws.FILTER($E:$E, ($C:$C=C2010)*($F:$F=F2010)) ) - 1</f>
        <v>5.8993590225455694E-3</v>
      </c>
    </row>
    <row r="2011" spans="1:7" x14ac:dyDescent="0.2">
      <c r="A2011" s="1">
        <v>42006</v>
      </c>
      <c r="B2011">
        <v>0</v>
      </c>
      <c r="C2011" t="s">
        <v>12</v>
      </c>
      <c r="D2011">
        <v>6.6740000000000002E-3</v>
      </c>
      <c r="E2011">
        <f t="shared" si="62"/>
        <v>1.0066740000000001</v>
      </c>
      <c r="F2011" s="1">
        <f t="shared" si="63"/>
        <v>42002</v>
      </c>
      <c r="G2011" cm="1">
        <f t="array" ref="G2011">PRODUCT( _xlfn._xlws.FILTER($E:$E, ($C:$C=C2011)*($F:$F=F2011)) ) - 1</f>
        <v>5.8993590225455694E-3</v>
      </c>
    </row>
    <row r="2012" spans="1:7" x14ac:dyDescent="0.2">
      <c r="A2012" s="1">
        <v>42009</v>
      </c>
      <c r="B2012">
        <v>0</v>
      </c>
      <c r="C2012" t="s">
        <v>12</v>
      </c>
      <c r="D2012">
        <v>-1.0200000000000001E-3</v>
      </c>
      <c r="E2012">
        <f t="shared" si="62"/>
        <v>0.99897999999999998</v>
      </c>
      <c r="F2012" s="1">
        <f t="shared" si="63"/>
        <v>42009</v>
      </c>
      <c r="G2012" cm="1">
        <f t="array" ref="G2012">PRODUCT( _xlfn._xlws.FILTER($E:$E, ($C:$C=C2012)*($F:$F=F2012)) ) - 1</f>
        <v>4.334626168809752E-3</v>
      </c>
    </row>
    <row r="2013" spans="1:7" x14ac:dyDescent="0.2">
      <c r="A2013" s="1">
        <v>42010</v>
      </c>
      <c r="B2013">
        <v>0</v>
      </c>
      <c r="C2013" t="s">
        <v>12</v>
      </c>
      <c r="D2013">
        <v>-7.6599999999999997E-4</v>
      </c>
      <c r="E2013">
        <f t="shared" si="62"/>
        <v>0.99923399999999996</v>
      </c>
      <c r="F2013" s="1">
        <f t="shared" si="63"/>
        <v>42009</v>
      </c>
      <c r="G2013" cm="1">
        <f t="array" ref="G2013">PRODUCT( _xlfn._xlws.FILTER($E:$E, ($C:$C=C2013)*($F:$F=F2013)) ) - 1</f>
        <v>4.334626168809752E-3</v>
      </c>
    </row>
    <row r="2014" spans="1:7" x14ac:dyDescent="0.2">
      <c r="A2014" s="1">
        <v>42011</v>
      </c>
      <c r="B2014">
        <v>0</v>
      </c>
      <c r="C2014" t="s">
        <v>12</v>
      </c>
      <c r="D2014">
        <v>5.875E-3</v>
      </c>
      <c r="E2014">
        <f t="shared" si="62"/>
        <v>1.0058750000000001</v>
      </c>
      <c r="F2014" s="1">
        <f t="shared" si="63"/>
        <v>42009</v>
      </c>
      <c r="G2014" cm="1">
        <f t="array" ref="G2014">PRODUCT( _xlfn._xlws.FILTER($E:$E, ($C:$C=C2014)*($F:$F=F2014)) ) - 1</f>
        <v>4.334626168809752E-3</v>
      </c>
    </row>
    <row r="2015" spans="1:7" x14ac:dyDescent="0.2">
      <c r="A2015" s="1">
        <v>42012</v>
      </c>
      <c r="B2015">
        <v>0</v>
      </c>
      <c r="C2015" t="s">
        <v>12</v>
      </c>
      <c r="D2015">
        <v>1.7780000000000001E-3</v>
      </c>
      <c r="E2015">
        <f t="shared" si="62"/>
        <v>1.0017780000000001</v>
      </c>
      <c r="F2015" s="1">
        <f t="shared" si="63"/>
        <v>42009</v>
      </c>
      <c r="G2015" cm="1">
        <f t="array" ref="G2015">PRODUCT( _xlfn._xlws.FILTER($E:$E, ($C:$C=C2015)*($F:$F=F2015)) ) - 1</f>
        <v>4.334626168809752E-3</v>
      </c>
    </row>
    <row r="2016" spans="1:7" x14ac:dyDescent="0.2">
      <c r="A2016" s="1">
        <v>42013</v>
      </c>
      <c r="B2016">
        <v>0</v>
      </c>
      <c r="C2016" t="s">
        <v>12</v>
      </c>
      <c r="D2016">
        <v>-1.521E-3</v>
      </c>
      <c r="E2016">
        <f t="shared" si="62"/>
        <v>0.99847900000000001</v>
      </c>
      <c r="F2016" s="1">
        <f t="shared" si="63"/>
        <v>42009</v>
      </c>
      <c r="G2016" cm="1">
        <f t="array" ref="G2016">PRODUCT( _xlfn._xlws.FILTER($E:$E, ($C:$C=C2016)*($F:$F=F2016)) ) - 1</f>
        <v>4.334626168809752E-3</v>
      </c>
    </row>
    <row r="2017" spans="1:7" x14ac:dyDescent="0.2">
      <c r="A2017" s="1">
        <v>42016</v>
      </c>
      <c r="B2017">
        <v>0</v>
      </c>
      <c r="C2017" t="s">
        <v>12</v>
      </c>
      <c r="D2017">
        <v>2.539E-3</v>
      </c>
      <c r="E2017">
        <f t="shared" si="62"/>
        <v>1.0025390000000001</v>
      </c>
      <c r="F2017" s="1">
        <f t="shared" si="63"/>
        <v>42016</v>
      </c>
      <c r="G2017" cm="1">
        <f t="array" ref="G2017">PRODUCT( _xlfn._xlws.FILTER($E:$E, ($C:$C=C2017)*($F:$F=F2017)) ) - 1</f>
        <v>2.4879329178096654E-2</v>
      </c>
    </row>
    <row r="2018" spans="1:7" x14ac:dyDescent="0.2">
      <c r="A2018" s="1">
        <v>42017</v>
      </c>
      <c r="B2018">
        <v>0</v>
      </c>
      <c r="C2018" t="s">
        <v>12</v>
      </c>
      <c r="D2018">
        <v>-5.0650000000000001E-3</v>
      </c>
      <c r="E2018">
        <f t="shared" si="62"/>
        <v>0.99493500000000001</v>
      </c>
      <c r="F2018" s="1">
        <f t="shared" si="63"/>
        <v>42016</v>
      </c>
      <c r="G2018" cm="1">
        <f t="array" ref="G2018">PRODUCT( _xlfn._xlws.FILTER($E:$E, ($C:$C=C2018)*($F:$F=F2018)) ) - 1</f>
        <v>2.4879329178096654E-2</v>
      </c>
    </row>
    <row r="2019" spans="1:7" x14ac:dyDescent="0.2">
      <c r="A2019" s="1">
        <v>42018</v>
      </c>
      <c r="B2019">
        <v>0</v>
      </c>
      <c r="C2019" t="s">
        <v>12</v>
      </c>
      <c r="D2019">
        <v>6.8719999999999996E-3</v>
      </c>
      <c r="E2019">
        <f t="shared" si="62"/>
        <v>1.006872</v>
      </c>
      <c r="F2019" s="1">
        <f t="shared" si="63"/>
        <v>42016</v>
      </c>
      <c r="G2019" cm="1">
        <f t="array" ref="G2019">PRODUCT( _xlfn._xlws.FILTER($E:$E, ($C:$C=C2019)*($F:$F=F2019)) ) - 1</f>
        <v>2.4879329178096654E-2</v>
      </c>
    </row>
    <row r="2020" spans="1:7" x14ac:dyDescent="0.2">
      <c r="A2020" s="1">
        <v>42019</v>
      </c>
      <c r="B2020">
        <v>0</v>
      </c>
      <c r="C2020" t="s">
        <v>12</v>
      </c>
      <c r="D2020">
        <v>7.8359999999999992E-3</v>
      </c>
      <c r="E2020">
        <f t="shared" si="62"/>
        <v>1.007836</v>
      </c>
      <c r="F2020" s="1">
        <f t="shared" si="63"/>
        <v>42016</v>
      </c>
      <c r="G2020" cm="1">
        <f t="array" ref="G2020">PRODUCT( _xlfn._xlws.FILTER($E:$E, ($C:$C=C2020)*($F:$F=F2020)) ) - 1</f>
        <v>2.4879329178096654E-2</v>
      </c>
    </row>
    <row r="2021" spans="1:7" x14ac:dyDescent="0.2">
      <c r="A2021" s="1">
        <v>42020</v>
      </c>
      <c r="B2021">
        <v>0</v>
      </c>
      <c r="C2021" t="s">
        <v>12</v>
      </c>
      <c r="D2021">
        <v>1.2541E-2</v>
      </c>
      <c r="E2021">
        <f t="shared" si="62"/>
        <v>1.0125409999999999</v>
      </c>
      <c r="F2021" s="1">
        <f t="shared" si="63"/>
        <v>42016</v>
      </c>
      <c r="G2021" cm="1">
        <f t="array" ref="G2021">PRODUCT( _xlfn._xlws.FILTER($E:$E, ($C:$C=C2021)*($F:$F=F2021)) ) - 1</f>
        <v>2.4879329178096654E-2</v>
      </c>
    </row>
    <row r="2022" spans="1:7" x14ac:dyDescent="0.2">
      <c r="A2022" s="1">
        <v>42023</v>
      </c>
      <c r="B2022">
        <v>0</v>
      </c>
      <c r="C2022" t="s">
        <v>12</v>
      </c>
      <c r="D2022">
        <v>-5.45E-3</v>
      </c>
      <c r="E2022">
        <f t="shared" si="62"/>
        <v>0.99455000000000005</v>
      </c>
      <c r="F2022" s="1">
        <f t="shared" si="63"/>
        <v>42023</v>
      </c>
      <c r="G2022" cm="1">
        <f t="array" ref="G2022">PRODUCT( _xlfn._xlws.FILTER($E:$E, ($C:$C=C2022)*($F:$F=F2022)) ) - 1</f>
        <v>1.0155408436617552E-2</v>
      </c>
    </row>
    <row r="2023" spans="1:7" x14ac:dyDescent="0.2">
      <c r="A2023" s="1">
        <v>42024</v>
      </c>
      <c r="B2023">
        <v>0</v>
      </c>
      <c r="C2023" t="s">
        <v>12</v>
      </c>
      <c r="D2023">
        <v>-3.7360000000000002E-3</v>
      </c>
      <c r="E2023">
        <f t="shared" si="62"/>
        <v>0.99626400000000004</v>
      </c>
      <c r="F2023" s="1">
        <f t="shared" si="63"/>
        <v>42023</v>
      </c>
      <c r="G2023" cm="1">
        <f t="array" ref="G2023">PRODUCT( _xlfn._xlws.FILTER($E:$E, ($C:$C=C2023)*($F:$F=F2023)) ) - 1</f>
        <v>1.0155408436617552E-2</v>
      </c>
    </row>
    <row r="2024" spans="1:7" x14ac:dyDescent="0.2">
      <c r="A2024" s="1">
        <v>42025</v>
      </c>
      <c r="B2024">
        <v>0</v>
      </c>
      <c r="C2024" t="s">
        <v>12</v>
      </c>
      <c r="D2024">
        <v>4.0000000000000001E-3</v>
      </c>
      <c r="E2024">
        <f t="shared" si="62"/>
        <v>1.004</v>
      </c>
      <c r="F2024" s="1">
        <f t="shared" si="63"/>
        <v>42023</v>
      </c>
      <c r="G2024" cm="1">
        <f t="array" ref="G2024">PRODUCT( _xlfn._xlws.FILTER($E:$E, ($C:$C=C2024)*($F:$F=F2024)) ) - 1</f>
        <v>1.0155408436617552E-2</v>
      </c>
    </row>
    <row r="2025" spans="1:7" x14ac:dyDescent="0.2">
      <c r="A2025" s="1">
        <v>42026</v>
      </c>
      <c r="B2025">
        <v>0</v>
      </c>
      <c r="C2025" t="s">
        <v>12</v>
      </c>
      <c r="D2025">
        <v>9.9600000000000001E-3</v>
      </c>
      <c r="E2025">
        <f t="shared" si="62"/>
        <v>1.00996</v>
      </c>
      <c r="F2025" s="1">
        <f t="shared" si="63"/>
        <v>42023</v>
      </c>
      <c r="G2025" cm="1">
        <f t="array" ref="G2025">PRODUCT( _xlfn._xlws.FILTER($E:$E, ($C:$C=C2025)*($F:$F=F2025)) ) - 1</f>
        <v>1.0155408436617552E-2</v>
      </c>
    </row>
    <row r="2026" spans="1:7" x14ac:dyDescent="0.2">
      <c r="A2026" s="1">
        <v>42027</v>
      </c>
      <c r="B2026">
        <v>0</v>
      </c>
      <c r="C2026" t="s">
        <v>12</v>
      </c>
      <c r="D2026">
        <v>5.424E-3</v>
      </c>
      <c r="E2026">
        <f t="shared" si="62"/>
        <v>1.0054240000000001</v>
      </c>
      <c r="F2026" s="1">
        <f t="shared" si="63"/>
        <v>42023</v>
      </c>
      <c r="G2026" cm="1">
        <f t="array" ref="G2026">PRODUCT( _xlfn._xlws.FILTER($E:$E, ($C:$C=C2026)*($F:$F=F2026)) ) - 1</f>
        <v>1.0155408436617552E-2</v>
      </c>
    </row>
    <row r="2027" spans="1:7" x14ac:dyDescent="0.2">
      <c r="A2027" s="1">
        <v>42030</v>
      </c>
      <c r="B2027">
        <v>0</v>
      </c>
      <c r="C2027" t="s">
        <v>12</v>
      </c>
      <c r="D2027">
        <v>-6.3759999999999997E-3</v>
      </c>
      <c r="E2027">
        <f t="shared" si="62"/>
        <v>0.99362399999999995</v>
      </c>
      <c r="F2027" s="1">
        <f t="shared" si="63"/>
        <v>42030</v>
      </c>
      <c r="G2027" cm="1">
        <f t="array" ref="G2027">PRODUCT( _xlfn._xlws.FILTER($E:$E, ($C:$C=C2027)*($F:$F=F2027)) ) - 1</f>
        <v>2.7709277110875785E-2</v>
      </c>
    </row>
    <row r="2028" spans="1:7" x14ac:dyDescent="0.2">
      <c r="A2028" s="1">
        <v>42031</v>
      </c>
      <c r="B2028">
        <v>0</v>
      </c>
      <c r="C2028" t="s">
        <v>12</v>
      </c>
      <c r="D2028">
        <v>8.6379999999999998E-3</v>
      </c>
      <c r="E2028">
        <f t="shared" si="62"/>
        <v>1.0086379999999999</v>
      </c>
      <c r="F2028" s="1">
        <f t="shared" si="63"/>
        <v>42030</v>
      </c>
      <c r="G2028" cm="1">
        <f t="array" ref="G2028">PRODUCT( _xlfn._xlws.FILTER($E:$E, ($C:$C=C2028)*($F:$F=F2028)) ) - 1</f>
        <v>2.7709277110875785E-2</v>
      </c>
    </row>
    <row r="2029" spans="1:7" x14ac:dyDescent="0.2">
      <c r="A2029" s="1">
        <v>42032</v>
      </c>
      <c r="B2029">
        <v>0</v>
      </c>
      <c r="C2029" t="s">
        <v>12</v>
      </c>
      <c r="D2029">
        <v>1.5658999999999999E-2</v>
      </c>
      <c r="E2029">
        <f t="shared" si="62"/>
        <v>1.0156590000000001</v>
      </c>
      <c r="F2029" s="1">
        <f t="shared" si="63"/>
        <v>42030</v>
      </c>
      <c r="G2029" cm="1">
        <f t="array" ref="G2029">PRODUCT( _xlfn._xlws.FILTER($E:$E, ($C:$C=C2029)*($F:$F=F2029)) ) - 1</f>
        <v>2.7709277110875785E-2</v>
      </c>
    </row>
    <row r="2030" spans="1:7" x14ac:dyDescent="0.2">
      <c r="A2030" s="1">
        <v>42033</v>
      </c>
      <c r="B2030">
        <v>0</v>
      </c>
      <c r="C2030" t="s">
        <v>12</v>
      </c>
      <c r="D2030">
        <v>7.9500000000000005E-3</v>
      </c>
      <c r="E2030">
        <f t="shared" si="62"/>
        <v>1.0079499999999999</v>
      </c>
      <c r="F2030" s="1">
        <f t="shared" si="63"/>
        <v>42030</v>
      </c>
      <c r="G2030" cm="1">
        <f t="array" ref="G2030">PRODUCT( _xlfn._xlws.FILTER($E:$E, ($C:$C=C2030)*($F:$F=F2030)) ) - 1</f>
        <v>2.7709277110875785E-2</v>
      </c>
    </row>
    <row r="2031" spans="1:7" x14ac:dyDescent="0.2">
      <c r="A2031" s="1">
        <v>42034</v>
      </c>
      <c r="B2031">
        <v>0</v>
      </c>
      <c r="C2031" t="s">
        <v>12</v>
      </c>
      <c r="D2031">
        <v>1.673E-3</v>
      </c>
      <c r="E2031">
        <f t="shared" si="62"/>
        <v>1.001673</v>
      </c>
      <c r="F2031" s="1">
        <f t="shared" si="63"/>
        <v>42030</v>
      </c>
      <c r="G2031" cm="1">
        <f t="array" ref="G2031">PRODUCT( _xlfn._xlws.FILTER($E:$E, ($C:$C=C2031)*($F:$F=F2031)) ) - 1</f>
        <v>2.7709277110875785E-2</v>
      </c>
    </row>
    <row r="2032" spans="1:7" x14ac:dyDescent="0.2">
      <c r="A2032" s="1">
        <v>42037</v>
      </c>
      <c r="B2032">
        <v>0</v>
      </c>
      <c r="C2032" t="s">
        <v>12</v>
      </c>
      <c r="D2032">
        <v>-7.3969999999999999E-3</v>
      </c>
      <c r="E2032">
        <f t="shared" si="62"/>
        <v>0.99260300000000001</v>
      </c>
      <c r="F2032" s="1">
        <f t="shared" si="63"/>
        <v>42037</v>
      </c>
      <c r="G2032" cm="1">
        <f t="array" ref="G2032">PRODUCT( _xlfn._xlws.FILTER($E:$E, ($C:$C=C2032)*($F:$F=F2032)) ) - 1</f>
        <v>-4.5573641264623488E-2</v>
      </c>
    </row>
    <row r="2033" spans="1:7" x14ac:dyDescent="0.2">
      <c r="A2033" s="1">
        <v>42038</v>
      </c>
      <c r="B2033">
        <v>0</v>
      </c>
      <c r="C2033" t="s">
        <v>12</v>
      </c>
      <c r="D2033">
        <v>-2.4038E-2</v>
      </c>
      <c r="E2033">
        <f t="shared" si="62"/>
        <v>0.975962</v>
      </c>
      <c r="F2033" s="1">
        <f t="shared" si="63"/>
        <v>42037</v>
      </c>
      <c r="G2033" cm="1">
        <f t="array" ref="G2033">PRODUCT( _xlfn._xlws.FILTER($E:$E, ($C:$C=C2033)*($F:$F=F2033)) ) - 1</f>
        <v>-4.5573641264623488E-2</v>
      </c>
    </row>
    <row r="2034" spans="1:7" x14ac:dyDescent="0.2">
      <c r="A2034" s="1">
        <v>42039</v>
      </c>
      <c r="B2034">
        <v>0</v>
      </c>
      <c r="C2034" t="s">
        <v>12</v>
      </c>
      <c r="D2034">
        <v>-9.8499999999999998E-4</v>
      </c>
      <c r="E2034">
        <f t="shared" si="62"/>
        <v>0.99901499999999999</v>
      </c>
      <c r="F2034" s="1">
        <f t="shared" si="63"/>
        <v>42037</v>
      </c>
      <c r="G2034" cm="1">
        <f t="array" ref="G2034">PRODUCT( _xlfn._xlws.FILTER($E:$E, ($C:$C=C2034)*($F:$F=F2034)) ) - 1</f>
        <v>-4.5573641264623488E-2</v>
      </c>
    </row>
    <row r="2035" spans="1:7" x14ac:dyDescent="0.2">
      <c r="A2035" s="1">
        <v>42040</v>
      </c>
      <c r="B2035">
        <v>0</v>
      </c>
      <c r="C2035" t="s">
        <v>12</v>
      </c>
      <c r="D2035">
        <v>6.9030000000000003E-3</v>
      </c>
      <c r="E2035">
        <f t="shared" si="62"/>
        <v>1.0069030000000001</v>
      </c>
      <c r="F2035" s="1">
        <f t="shared" si="63"/>
        <v>42037</v>
      </c>
      <c r="G2035" cm="1">
        <f t="array" ref="G2035">PRODUCT( _xlfn._xlws.FILTER($E:$E, ($C:$C=C2035)*($F:$F=F2035)) ) - 1</f>
        <v>-4.5573641264623488E-2</v>
      </c>
    </row>
    <row r="2036" spans="1:7" x14ac:dyDescent="0.2">
      <c r="A2036" s="1">
        <v>42041</v>
      </c>
      <c r="B2036">
        <v>0</v>
      </c>
      <c r="C2036" t="s">
        <v>12</v>
      </c>
      <c r="D2036">
        <v>-2.0567999999999999E-2</v>
      </c>
      <c r="E2036">
        <f t="shared" si="62"/>
        <v>0.97943199999999997</v>
      </c>
      <c r="F2036" s="1">
        <f t="shared" si="63"/>
        <v>42037</v>
      </c>
      <c r="G2036" cm="1">
        <f t="array" ref="G2036">PRODUCT( _xlfn._xlws.FILTER($E:$E, ($C:$C=C2036)*($F:$F=F2036)) ) - 1</f>
        <v>-4.5573641264623488E-2</v>
      </c>
    </row>
    <row r="2037" spans="1:7" x14ac:dyDescent="0.2">
      <c r="A2037" s="1">
        <v>42044</v>
      </c>
      <c r="B2037">
        <v>0</v>
      </c>
      <c r="C2037" t="s">
        <v>12</v>
      </c>
      <c r="D2037">
        <v>-1.75E-3</v>
      </c>
      <c r="E2037">
        <f t="shared" si="62"/>
        <v>0.99824999999999997</v>
      </c>
      <c r="F2037" s="1">
        <f t="shared" si="63"/>
        <v>42044</v>
      </c>
      <c r="G2037" cm="1">
        <f t="array" ref="G2037">PRODUCT( _xlfn._xlws.FILTER($E:$E, ($C:$C=C2037)*($F:$F=F2037)) ) - 1</f>
        <v>-8.6402211971935428E-3</v>
      </c>
    </row>
    <row r="2038" spans="1:7" x14ac:dyDescent="0.2">
      <c r="A2038" s="1">
        <v>42045</v>
      </c>
      <c r="B2038">
        <v>0</v>
      </c>
      <c r="C2038" t="s">
        <v>12</v>
      </c>
      <c r="D2038">
        <v>1.1520000000000001E-2</v>
      </c>
      <c r="E2038">
        <f t="shared" si="62"/>
        <v>1.01152</v>
      </c>
      <c r="F2038" s="1">
        <f t="shared" si="63"/>
        <v>42044</v>
      </c>
      <c r="G2038" cm="1">
        <f t="array" ref="G2038">PRODUCT( _xlfn._xlws.FILTER($E:$E, ($C:$C=C2038)*($F:$F=F2038)) ) - 1</f>
        <v>-8.6402211971935428E-3</v>
      </c>
    </row>
    <row r="2039" spans="1:7" x14ac:dyDescent="0.2">
      <c r="A2039" s="1">
        <v>42046</v>
      </c>
      <c r="B2039">
        <v>0</v>
      </c>
      <c r="C2039" t="s">
        <v>12</v>
      </c>
      <c r="D2039">
        <v>4.95E-4</v>
      </c>
      <c r="E2039">
        <f t="shared" si="62"/>
        <v>1.0004949999999999</v>
      </c>
      <c r="F2039" s="1">
        <f t="shared" si="63"/>
        <v>42044</v>
      </c>
      <c r="G2039" cm="1">
        <f t="array" ref="G2039">PRODUCT( _xlfn._xlws.FILTER($E:$E, ($C:$C=C2039)*($F:$F=F2039)) ) - 1</f>
        <v>-8.6402211971935428E-3</v>
      </c>
    </row>
    <row r="2040" spans="1:7" x14ac:dyDescent="0.2">
      <c r="A2040" s="1">
        <v>42047</v>
      </c>
      <c r="B2040">
        <v>0</v>
      </c>
      <c r="C2040" t="s">
        <v>12</v>
      </c>
      <c r="D2040">
        <v>-2.2269999999999998E-3</v>
      </c>
      <c r="E2040">
        <f t="shared" si="62"/>
        <v>0.99777300000000002</v>
      </c>
      <c r="F2040" s="1">
        <f t="shared" si="63"/>
        <v>42044</v>
      </c>
      <c r="G2040" cm="1">
        <f t="array" ref="G2040">PRODUCT( _xlfn._xlws.FILTER($E:$E, ($C:$C=C2040)*($F:$F=F2040)) ) - 1</f>
        <v>-8.6402211971935428E-3</v>
      </c>
    </row>
    <row r="2041" spans="1:7" x14ac:dyDescent="0.2">
      <c r="A2041" s="1">
        <v>42048</v>
      </c>
      <c r="B2041">
        <v>0</v>
      </c>
      <c r="C2041" t="s">
        <v>12</v>
      </c>
      <c r="D2041">
        <v>-1.6507999999999998E-2</v>
      </c>
      <c r="E2041">
        <f t="shared" si="62"/>
        <v>0.98349200000000003</v>
      </c>
      <c r="F2041" s="1">
        <f t="shared" si="63"/>
        <v>42044</v>
      </c>
      <c r="G2041" cm="1">
        <f t="array" ref="G2041">PRODUCT( _xlfn._xlws.FILTER($E:$E, ($C:$C=C2041)*($F:$F=F2041)) ) - 1</f>
        <v>-8.6402211971935428E-3</v>
      </c>
    </row>
    <row r="2042" spans="1:7" x14ac:dyDescent="0.2">
      <c r="A2042" s="1">
        <v>42052</v>
      </c>
      <c r="B2042">
        <v>0</v>
      </c>
      <c r="C2042" t="s">
        <v>12</v>
      </c>
      <c r="D2042">
        <v>-7.3749999999999996E-3</v>
      </c>
      <c r="E2042">
        <f t="shared" si="62"/>
        <v>0.99262499999999998</v>
      </c>
      <c r="F2042" s="1">
        <f t="shared" si="63"/>
        <v>42051</v>
      </c>
      <c r="G2042" cm="1">
        <f t="array" ref="G2042">PRODUCT( _xlfn._xlws.FILTER($E:$E, ($C:$C=C2042)*($F:$F=F2042)) ) - 1</f>
        <v>9.918985915303935E-3</v>
      </c>
    </row>
    <row r="2043" spans="1:7" x14ac:dyDescent="0.2">
      <c r="A2043" s="1">
        <v>42053</v>
      </c>
      <c r="B2043">
        <v>0</v>
      </c>
      <c r="C2043" t="s">
        <v>12</v>
      </c>
      <c r="D2043">
        <v>6.9179999999999997E-3</v>
      </c>
      <c r="E2043">
        <f t="shared" si="62"/>
        <v>1.006918</v>
      </c>
      <c r="F2043" s="1">
        <f t="shared" si="63"/>
        <v>42051</v>
      </c>
      <c r="G2043" cm="1">
        <f t="array" ref="G2043">PRODUCT( _xlfn._xlws.FILTER($E:$E, ($C:$C=C2043)*($F:$F=F2043)) ) - 1</f>
        <v>9.918985915303935E-3</v>
      </c>
    </row>
    <row r="2044" spans="1:7" x14ac:dyDescent="0.2">
      <c r="A2044" s="1">
        <v>42054</v>
      </c>
      <c r="B2044">
        <v>0</v>
      </c>
      <c r="C2044" t="s">
        <v>12</v>
      </c>
      <c r="D2044">
        <v>2.7989999999999998E-3</v>
      </c>
      <c r="E2044">
        <f t="shared" si="62"/>
        <v>1.002799</v>
      </c>
      <c r="F2044" s="1">
        <f t="shared" si="63"/>
        <v>42051</v>
      </c>
      <c r="G2044" cm="1">
        <f t="array" ref="G2044">PRODUCT( _xlfn._xlws.FILTER($E:$E, ($C:$C=C2044)*($F:$F=F2044)) ) - 1</f>
        <v>9.918985915303935E-3</v>
      </c>
    </row>
    <row r="2045" spans="1:7" x14ac:dyDescent="0.2">
      <c r="A2045" s="1">
        <v>42055</v>
      </c>
      <c r="B2045">
        <v>0</v>
      </c>
      <c r="C2045" t="s">
        <v>12</v>
      </c>
      <c r="D2045">
        <v>7.6119999999999998E-3</v>
      </c>
      <c r="E2045">
        <f t="shared" si="62"/>
        <v>1.007612</v>
      </c>
      <c r="F2045" s="1">
        <f t="shared" si="63"/>
        <v>42051</v>
      </c>
      <c r="G2045" cm="1">
        <f t="array" ref="G2045">PRODUCT( _xlfn._xlws.FILTER($E:$E, ($C:$C=C2045)*($F:$F=F2045)) ) - 1</f>
        <v>9.918985915303935E-3</v>
      </c>
    </row>
    <row r="2046" spans="1:7" x14ac:dyDescent="0.2">
      <c r="A2046" s="1">
        <v>42058</v>
      </c>
      <c r="B2046">
        <v>0</v>
      </c>
      <c r="C2046" t="s">
        <v>12</v>
      </c>
      <c r="D2046">
        <v>6.0439999999999999E-3</v>
      </c>
      <c r="E2046">
        <f t="shared" si="62"/>
        <v>1.0060439999999999</v>
      </c>
      <c r="F2046" s="1">
        <f t="shared" si="63"/>
        <v>42058</v>
      </c>
      <c r="G2046" cm="1">
        <f t="array" ref="G2046">PRODUCT( _xlfn._xlws.FILTER($E:$E, ($C:$C=C2046)*($F:$F=F2046)) ) - 1</f>
        <v>-3.2739825841486825E-3</v>
      </c>
    </row>
    <row r="2047" spans="1:7" x14ac:dyDescent="0.2">
      <c r="A2047" s="1">
        <v>42059</v>
      </c>
      <c r="B2047">
        <v>0</v>
      </c>
      <c r="C2047" t="s">
        <v>12</v>
      </c>
      <c r="D2047">
        <v>-1.3016E-2</v>
      </c>
      <c r="E2047">
        <f t="shared" si="62"/>
        <v>0.98698399999999997</v>
      </c>
      <c r="F2047" s="1">
        <f t="shared" si="63"/>
        <v>42058</v>
      </c>
      <c r="G2047" cm="1">
        <f t="array" ref="G2047">PRODUCT( _xlfn._xlws.FILTER($E:$E, ($C:$C=C2047)*($F:$F=F2047)) ) - 1</f>
        <v>-3.2739825841486825E-3</v>
      </c>
    </row>
    <row r="2048" spans="1:7" x14ac:dyDescent="0.2">
      <c r="A2048" s="1">
        <v>42060</v>
      </c>
      <c r="B2048">
        <v>0</v>
      </c>
      <c r="C2048" t="s">
        <v>12</v>
      </c>
      <c r="D2048">
        <v>-2.2318000000000001E-2</v>
      </c>
      <c r="E2048">
        <f t="shared" si="62"/>
        <v>0.97768200000000005</v>
      </c>
      <c r="F2048" s="1">
        <f t="shared" si="63"/>
        <v>42058</v>
      </c>
      <c r="G2048" cm="1">
        <f t="array" ref="G2048">PRODUCT( _xlfn._xlws.FILTER($E:$E, ($C:$C=C2048)*($F:$F=F2048)) ) - 1</f>
        <v>-3.2739825841486825E-3</v>
      </c>
    </row>
    <row r="2049" spans="1:7" x14ac:dyDescent="0.2">
      <c r="A2049" s="1">
        <v>42061</v>
      </c>
      <c r="B2049">
        <v>0</v>
      </c>
      <c r="C2049" t="s">
        <v>12</v>
      </c>
      <c r="D2049">
        <v>9.3380000000000008E-3</v>
      </c>
      <c r="E2049">
        <f t="shared" si="62"/>
        <v>1.0093380000000001</v>
      </c>
      <c r="F2049" s="1">
        <f t="shared" si="63"/>
        <v>42058</v>
      </c>
      <c r="G2049" cm="1">
        <f t="array" ref="G2049">PRODUCT( _xlfn._xlws.FILTER($E:$E, ($C:$C=C2049)*($F:$F=F2049)) ) - 1</f>
        <v>-3.2739825841486825E-3</v>
      </c>
    </row>
    <row r="2050" spans="1:7" x14ac:dyDescent="0.2">
      <c r="A2050" s="1">
        <v>42062</v>
      </c>
      <c r="B2050">
        <v>0</v>
      </c>
      <c r="C2050" t="s">
        <v>12</v>
      </c>
      <c r="D2050">
        <v>1.7219000000000002E-2</v>
      </c>
      <c r="E2050">
        <f t="shared" si="62"/>
        <v>1.0172190000000001</v>
      </c>
      <c r="F2050" s="1">
        <f t="shared" si="63"/>
        <v>42058</v>
      </c>
      <c r="G2050" cm="1">
        <f t="array" ref="G2050">PRODUCT( _xlfn._xlws.FILTER($E:$E, ($C:$C=C2050)*($F:$F=F2050)) ) - 1</f>
        <v>-3.2739825841486825E-3</v>
      </c>
    </row>
    <row r="2051" spans="1:7" x14ac:dyDescent="0.2">
      <c r="A2051" s="1">
        <v>42065</v>
      </c>
      <c r="B2051">
        <v>0</v>
      </c>
      <c r="C2051" t="s">
        <v>12</v>
      </c>
      <c r="D2051">
        <v>-1.3138E-2</v>
      </c>
      <c r="E2051">
        <f t="shared" si="62"/>
        <v>0.98686200000000002</v>
      </c>
      <c r="F2051" s="1">
        <f t="shared" si="63"/>
        <v>42065</v>
      </c>
      <c r="G2051" cm="1">
        <f t="array" ref="G2051">PRODUCT( _xlfn._xlws.FILTER($E:$E, ($C:$C=C2051)*($F:$F=F2051)) ) - 1</f>
        <v>-2.2234300474362922E-2</v>
      </c>
    </row>
    <row r="2052" spans="1:7" x14ac:dyDescent="0.2">
      <c r="A2052" s="1">
        <v>42066</v>
      </c>
      <c r="B2052">
        <v>0</v>
      </c>
      <c r="C2052" t="s">
        <v>12</v>
      </c>
      <c r="D2052">
        <v>4.8640000000000003E-3</v>
      </c>
      <c r="E2052">
        <f t="shared" ref="E2052:E2115" si="64">D2052+1</f>
        <v>1.004864</v>
      </c>
      <c r="F2052" s="1">
        <f t="shared" ref="F2052:F2115" si="65">A2052 - (WEEKDAY(A2052, 2) - 1)</f>
        <v>42065</v>
      </c>
      <c r="G2052" cm="1">
        <f t="array" ref="G2052">PRODUCT( _xlfn._xlws.FILTER($E:$E, ($C:$C=C2052)*($F:$F=F2052)) ) - 1</f>
        <v>-2.2234300474362922E-2</v>
      </c>
    </row>
    <row r="2053" spans="1:7" x14ac:dyDescent="0.2">
      <c r="A2053" s="1">
        <v>42067</v>
      </c>
      <c r="B2053">
        <v>0</v>
      </c>
      <c r="C2053" t="s">
        <v>12</v>
      </c>
      <c r="D2053">
        <v>0</v>
      </c>
      <c r="E2053">
        <f t="shared" si="64"/>
        <v>1</v>
      </c>
      <c r="F2053" s="1">
        <f t="shared" si="65"/>
        <v>42065</v>
      </c>
      <c r="G2053" cm="1">
        <f t="array" ref="G2053">PRODUCT( _xlfn._xlws.FILTER($E:$E, ($C:$C=C2053)*($F:$F=F2053)) ) - 1</f>
        <v>-2.2234300474362922E-2</v>
      </c>
    </row>
    <row r="2054" spans="1:7" x14ac:dyDescent="0.2">
      <c r="A2054" s="1">
        <v>42068</v>
      </c>
      <c r="B2054">
        <v>0</v>
      </c>
      <c r="C2054" t="s">
        <v>12</v>
      </c>
      <c r="D2054">
        <v>1.4777E-2</v>
      </c>
      <c r="E2054">
        <f t="shared" si="64"/>
        <v>1.014777</v>
      </c>
      <c r="F2054" s="1">
        <f t="shared" si="65"/>
        <v>42065</v>
      </c>
      <c r="G2054" cm="1">
        <f t="array" ref="G2054">PRODUCT( _xlfn._xlws.FILTER($E:$E, ($C:$C=C2054)*($F:$F=F2054)) ) - 1</f>
        <v>-2.2234300474362922E-2</v>
      </c>
    </row>
    <row r="2055" spans="1:7" x14ac:dyDescent="0.2">
      <c r="A2055" s="1">
        <v>42069</v>
      </c>
      <c r="B2055">
        <v>0</v>
      </c>
      <c r="C2055" t="s">
        <v>12</v>
      </c>
      <c r="D2055">
        <v>-2.8371E-2</v>
      </c>
      <c r="E2055">
        <f t="shared" si="64"/>
        <v>0.97162899999999996</v>
      </c>
      <c r="F2055" s="1">
        <f t="shared" si="65"/>
        <v>42065</v>
      </c>
      <c r="G2055" cm="1">
        <f t="array" ref="G2055">PRODUCT( _xlfn._xlws.FILTER($E:$E, ($C:$C=C2055)*($F:$F=F2055)) ) - 1</f>
        <v>-2.2234300474362922E-2</v>
      </c>
    </row>
    <row r="2056" spans="1:7" x14ac:dyDescent="0.2">
      <c r="A2056" s="1">
        <v>42072</v>
      </c>
      <c r="B2056">
        <v>0</v>
      </c>
      <c r="C2056" t="s">
        <v>12</v>
      </c>
      <c r="D2056">
        <v>-5.1699999999999999E-4</v>
      </c>
      <c r="E2056">
        <f t="shared" si="64"/>
        <v>0.99948300000000001</v>
      </c>
      <c r="F2056" s="1">
        <f t="shared" si="65"/>
        <v>42072</v>
      </c>
      <c r="G2056" cm="1">
        <f t="array" ref="G2056">PRODUCT( _xlfn._xlws.FILTER($E:$E, ($C:$C=C2056)*($F:$F=F2056)) ) - 1</f>
        <v>1.7054035255388733E-2</v>
      </c>
    </row>
    <row r="2057" spans="1:7" x14ac:dyDescent="0.2">
      <c r="A2057" s="1">
        <v>42073</v>
      </c>
      <c r="B2057">
        <v>0</v>
      </c>
      <c r="C2057" t="s">
        <v>12</v>
      </c>
      <c r="D2057">
        <v>2.068E-3</v>
      </c>
      <c r="E2057">
        <f t="shared" si="64"/>
        <v>1.002068</v>
      </c>
      <c r="F2057" s="1">
        <f t="shared" si="65"/>
        <v>42072</v>
      </c>
      <c r="G2057" cm="1">
        <f t="array" ref="G2057">PRODUCT( _xlfn._xlws.FILTER($E:$E, ($C:$C=C2057)*($F:$F=F2057)) ) - 1</f>
        <v>1.7054035255388733E-2</v>
      </c>
    </row>
    <row r="2058" spans="1:7" x14ac:dyDescent="0.2">
      <c r="A2058" s="1">
        <v>42074</v>
      </c>
      <c r="B2058">
        <v>0</v>
      </c>
      <c r="C2058" t="s">
        <v>12</v>
      </c>
      <c r="D2058">
        <v>2.8379999999999998E-3</v>
      </c>
      <c r="E2058">
        <f t="shared" si="64"/>
        <v>1.0028379999999999</v>
      </c>
      <c r="F2058" s="1">
        <f t="shared" si="65"/>
        <v>42072</v>
      </c>
      <c r="G2058" cm="1">
        <f t="array" ref="G2058">PRODUCT( _xlfn._xlws.FILTER($E:$E, ($C:$C=C2058)*($F:$F=F2058)) ) - 1</f>
        <v>1.7054035255388733E-2</v>
      </c>
    </row>
    <row r="2059" spans="1:7" x14ac:dyDescent="0.2">
      <c r="A2059" s="1">
        <v>42075</v>
      </c>
      <c r="B2059">
        <v>0</v>
      </c>
      <c r="C2059" t="s">
        <v>12</v>
      </c>
      <c r="D2059">
        <v>1.3121000000000001E-2</v>
      </c>
      <c r="E2059">
        <f t="shared" si="64"/>
        <v>1.0131209999999999</v>
      </c>
      <c r="F2059" s="1">
        <f t="shared" si="65"/>
        <v>42072</v>
      </c>
      <c r="G2059" cm="1">
        <f t="array" ref="G2059">PRODUCT( _xlfn._xlws.FILTER($E:$E, ($C:$C=C2059)*($F:$F=F2059)) ) - 1</f>
        <v>1.7054035255388733E-2</v>
      </c>
    </row>
    <row r="2060" spans="1:7" x14ac:dyDescent="0.2">
      <c r="A2060" s="1">
        <v>42076</v>
      </c>
      <c r="B2060">
        <v>0</v>
      </c>
      <c r="C2060" t="s">
        <v>12</v>
      </c>
      <c r="D2060">
        <v>-5.0799999999999999E-4</v>
      </c>
      <c r="E2060">
        <f t="shared" si="64"/>
        <v>0.99949200000000005</v>
      </c>
      <c r="F2060" s="1">
        <f t="shared" si="65"/>
        <v>42072</v>
      </c>
      <c r="G2060" cm="1">
        <f t="array" ref="G2060">PRODUCT( _xlfn._xlws.FILTER($E:$E, ($C:$C=C2060)*($F:$F=F2060)) ) - 1</f>
        <v>1.7054035255388733E-2</v>
      </c>
    </row>
    <row r="2061" spans="1:7" x14ac:dyDescent="0.2">
      <c r="A2061" s="1">
        <v>42079</v>
      </c>
      <c r="B2061">
        <v>0</v>
      </c>
      <c r="C2061" t="s">
        <v>12</v>
      </c>
      <c r="D2061">
        <v>5.0809999999999996E-3</v>
      </c>
      <c r="E2061">
        <f t="shared" si="64"/>
        <v>1.0050809999999999</v>
      </c>
      <c r="F2061" s="1">
        <f t="shared" si="65"/>
        <v>42079</v>
      </c>
      <c r="G2061" cm="1">
        <f t="array" ref="G2061">PRODUCT( _xlfn._xlws.FILTER($E:$E, ($C:$C=C2061)*($F:$F=F2061)) ) - 1</f>
        <v>-1.0924010401505702E-2</v>
      </c>
    </row>
    <row r="2062" spans="1:7" x14ac:dyDescent="0.2">
      <c r="A2062" s="1">
        <v>42080</v>
      </c>
      <c r="B2062">
        <v>0</v>
      </c>
      <c r="C2062" t="s">
        <v>12</v>
      </c>
      <c r="D2062">
        <v>1.2639999999999999E-3</v>
      </c>
      <c r="E2062">
        <f t="shared" si="64"/>
        <v>1.0012639999999999</v>
      </c>
      <c r="F2062" s="1">
        <f t="shared" si="65"/>
        <v>42079</v>
      </c>
      <c r="G2062" cm="1">
        <f t="array" ref="G2062">PRODUCT( _xlfn._xlws.FILTER($E:$E, ($C:$C=C2062)*($F:$F=F2062)) ) - 1</f>
        <v>-1.0924010401505702E-2</v>
      </c>
    </row>
    <row r="2063" spans="1:7" x14ac:dyDescent="0.2">
      <c r="A2063" s="1">
        <v>42081</v>
      </c>
      <c r="B2063">
        <v>0</v>
      </c>
      <c r="C2063" t="s">
        <v>12</v>
      </c>
      <c r="D2063">
        <v>-7.5699999999999997E-4</v>
      </c>
      <c r="E2063">
        <f t="shared" si="64"/>
        <v>0.99924299999999999</v>
      </c>
      <c r="F2063" s="1">
        <f t="shared" si="65"/>
        <v>42079</v>
      </c>
      <c r="G2063" cm="1">
        <f t="array" ref="G2063">PRODUCT( _xlfn._xlws.FILTER($E:$E, ($C:$C=C2063)*($F:$F=F2063)) ) - 1</f>
        <v>-1.0924010401505702E-2</v>
      </c>
    </row>
    <row r="2064" spans="1:7" x14ac:dyDescent="0.2">
      <c r="A2064" s="1">
        <v>42082</v>
      </c>
      <c r="B2064">
        <v>0</v>
      </c>
      <c r="C2064" t="s">
        <v>12</v>
      </c>
      <c r="D2064">
        <v>-1.2885000000000001E-2</v>
      </c>
      <c r="E2064">
        <f t="shared" si="64"/>
        <v>0.98711499999999996</v>
      </c>
      <c r="F2064" s="1">
        <f t="shared" si="65"/>
        <v>42079</v>
      </c>
      <c r="G2064" cm="1">
        <f t="array" ref="G2064">PRODUCT( _xlfn._xlws.FILTER($E:$E, ($C:$C=C2064)*($F:$F=F2064)) ) - 1</f>
        <v>-1.0924010401505702E-2</v>
      </c>
    </row>
    <row r="2065" spans="1:7" x14ac:dyDescent="0.2">
      <c r="A2065" s="1">
        <v>42083</v>
      </c>
      <c r="B2065">
        <v>0</v>
      </c>
      <c r="C2065" t="s">
        <v>12</v>
      </c>
      <c r="D2065">
        <v>-3.5829999999999998E-3</v>
      </c>
      <c r="E2065">
        <f t="shared" si="64"/>
        <v>0.996417</v>
      </c>
      <c r="F2065" s="1">
        <f t="shared" si="65"/>
        <v>42079</v>
      </c>
      <c r="G2065" cm="1">
        <f t="array" ref="G2065">PRODUCT( _xlfn._xlws.FILTER($E:$E, ($C:$C=C2065)*($F:$F=F2065)) ) - 1</f>
        <v>-1.0924010401505702E-2</v>
      </c>
    </row>
    <row r="2066" spans="1:7" x14ac:dyDescent="0.2">
      <c r="A2066" s="1">
        <v>42086</v>
      </c>
      <c r="B2066">
        <v>0</v>
      </c>
      <c r="C2066" t="s">
        <v>12</v>
      </c>
      <c r="D2066">
        <v>7.4489999999999999E-3</v>
      </c>
      <c r="E2066">
        <f t="shared" si="64"/>
        <v>1.007449</v>
      </c>
      <c r="F2066" s="1">
        <f t="shared" si="65"/>
        <v>42086</v>
      </c>
      <c r="G2066" cm="1">
        <f t="array" ref="G2066">PRODUCT( _xlfn._xlws.FILTER($E:$E, ($C:$C=C2066)*($F:$F=F2066)) ) - 1</f>
        <v>-2.3120003471699402E-3</v>
      </c>
    </row>
    <row r="2067" spans="1:7" x14ac:dyDescent="0.2">
      <c r="A2067" s="1">
        <v>42087</v>
      </c>
      <c r="B2067">
        <v>0</v>
      </c>
      <c r="C2067" t="s">
        <v>12</v>
      </c>
      <c r="D2067">
        <v>2.4476999999999999E-2</v>
      </c>
      <c r="E2067">
        <f t="shared" si="64"/>
        <v>1.0244770000000001</v>
      </c>
      <c r="F2067" s="1">
        <f t="shared" si="65"/>
        <v>42086</v>
      </c>
      <c r="G2067" cm="1">
        <f t="array" ref="G2067">PRODUCT( _xlfn._xlws.FILTER($E:$E, ($C:$C=C2067)*($F:$F=F2067)) ) - 1</f>
        <v>-2.3120003471699402E-3</v>
      </c>
    </row>
    <row r="2068" spans="1:7" x14ac:dyDescent="0.2">
      <c r="A2068" s="1">
        <v>42088</v>
      </c>
      <c r="B2068">
        <v>0</v>
      </c>
      <c r="C2068" t="s">
        <v>12</v>
      </c>
      <c r="D2068">
        <v>-9.4570000000000001E-3</v>
      </c>
      <c r="E2068">
        <f t="shared" si="64"/>
        <v>0.99054299999999995</v>
      </c>
      <c r="F2068" s="1">
        <f t="shared" si="65"/>
        <v>42086</v>
      </c>
      <c r="G2068" cm="1">
        <f t="array" ref="G2068">PRODUCT( _xlfn._xlws.FILTER($E:$E, ($C:$C=C2068)*($F:$F=F2068)) ) - 1</f>
        <v>-2.3120003471699402E-3</v>
      </c>
    </row>
    <row r="2069" spans="1:7" x14ac:dyDescent="0.2">
      <c r="A2069" s="1">
        <v>42089</v>
      </c>
      <c r="B2069">
        <v>0</v>
      </c>
      <c r="C2069" t="s">
        <v>12</v>
      </c>
      <c r="D2069">
        <v>-1.5828999999999999E-2</v>
      </c>
      <c r="E2069">
        <f t="shared" si="64"/>
        <v>0.98417100000000002</v>
      </c>
      <c r="F2069" s="1">
        <f t="shared" si="65"/>
        <v>42086</v>
      </c>
      <c r="G2069" cm="1">
        <f t="array" ref="G2069">PRODUCT( _xlfn._xlws.FILTER($E:$E, ($C:$C=C2069)*($F:$F=F2069)) ) - 1</f>
        <v>-2.3120003471699402E-3</v>
      </c>
    </row>
    <row r="2070" spans="1:7" x14ac:dyDescent="0.2">
      <c r="A2070" s="1">
        <v>42090</v>
      </c>
      <c r="B2070">
        <v>0</v>
      </c>
      <c r="C2070" t="s">
        <v>12</v>
      </c>
      <c r="D2070">
        <v>-8.4250000000000002E-3</v>
      </c>
      <c r="E2070">
        <f t="shared" si="64"/>
        <v>0.99157499999999998</v>
      </c>
      <c r="F2070" s="1">
        <f t="shared" si="65"/>
        <v>42086</v>
      </c>
      <c r="G2070" cm="1">
        <f t="array" ref="G2070">PRODUCT( _xlfn._xlws.FILTER($E:$E, ($C:$C=C2070)*($F:$F=F2070)) ) - 1</f>
        <v>-2.3120003471699402E-3</v>
      </c>
    </row>
    <row r="2071" spans="1:7" x14ac:dyDescent="0.2">
      <c r="A2071" s="1">
        <v>42093</v>
      </c>
      <c r="B2071">
        <v>0</v>
      </c>
      <c r="C2071" t="s">
        <v>12</v>
      </c>
      <c r="D2071">
        <v>3.6050000000000001E-3</v>
      </c>
      <c r="E2071">
        <f t="shared" si="64"/>
        <v>1.0036050000000001</v>
      </c>
      <c r="F2071" s="1">
        <f t="shared" si="65"/>
        <v>42093</v>
      </c>
      <c r="G2071" cm="1">
        <f t="array" ref="G2071">PRODUCT( _xlfn._xlws.FILTER($E:$E, ($C:$C=C2071)*($F:$F=F2071)) ) - 1</f>
        <v>2.0599914880090608E-3</v>
      </c>
    </row>
    <row r="2072" spans="1:7" x14ac:dyDescent="0.2">
      <c r="A2072" s="1">
        <v>42094</v>
      </c>
      <c r="B2072">
        <v>0</v>
      </c>
      <c r="C2072" t="s">
        <v>12</v>
      </c>
      <c r="D2072">
        <v>-1.0262E-2</v>
      </c>
      <c r="E2072">
        <f t="shared" si="64"/>
        <v>0.98973800000000001</v>
      </c>
      <c r="F2072" s="1">
        <f t="shared" si="65"/>
        <v>42093</v>
      </c>
      <c r="G2072" cm="1">
        <f t="array" ref="G2072">PRODUCT( _xlfn._xlws.FILTER($E:$E, ($C:$C=C2072)*($F:$F=F2072)) ) - 1</f>
        <v>2.0599914880090608E-3</v>
      </c>
    </row>
    <row r="2073" spans="1:7" x14ac:dyDescent="0.2">
      <c r="A2073" s="1">
        <v>42095</v>
      </c>
      <c r="B2073">
        <v>0</v>
      </c>
      <c r="C2073" t="s">
        <v>12</v>
      </c>
      <c r="D2073">
        <v>-5.4429999999999999E-3</v>
      </c>
      <c r="E2073">
        <f t="shared" si="64"/>
        <v>0.99455700000000002</v>
      </c>
      <c r="F2073" s="1">
        <f t="shared" si="65"/>
        <v>42093</v>
      </c>
      <c r="G2073" cm="1">
        <f t="array" ref="G2073">PRODUCT( _xlfn._xlws.FILTER($E:$E, ($C:$C=C2073)*($F:$F=F2073)) ) - 1</f>
        <v>2.0599914880090608E-3</v>
      </c>
    </row>
    <row r="2074" spans="1:7" x14ac:dyDescent="0.2">
      <c r="A2074" s="1">
        <v>42096</v>
      </c>
      <c r="B2074">
        <v>0</v>
      </c>
      <c r="C2074" t="s">
        <v>12</v>
      </c>
      <c r="D2074">
        <v>1.4334E-2</v>
      </c>
      <c r="E2074">
        <f t="shared" si="64"/>
        <v>1.0143340000000001</v>
      </c>
      <c r="F2074" s="1">
        <f t="shared" si="65"/>
        <v>42093</v>
      </c>
      <c r="G2074" cm="1">
        <f t="array" ref="G2074">PRODUCT( _xlfn._xlws.FILTER($E:$E, ($C:$C=C2074)*($F:$F=F2074)) ) - 1</f>
        <v>2.0599914880090608E-3</v>
      </c>
    </row>
    <row r="2075" spans="1:7" x14ac:dyDescent="0.2">
      <c r="A2075" s="1">
        <v>42100</v>
      </c>
      <c r="B2075">
        <v>0</v>
      </c>
      <c r="C2075" t="s">
        <v>12</v>
      </c>
      <c r="D2075">
        <v>2.0560000000000001E-3</v>
      </c>
      <c r="E2075">
        <f t="shared" si="64"/>
        <v>1.0020560000000001</v>
      </c>
      <c r="F2075" s="1">
        <f t="shared" si="65"/>
        <v>42100</v>
      </c>
      <c r="G2075" cm="1">
        <f t="array" ref="G2075">PRODUCT( _xlfn._xlws.FILTER($E:$E, ($C:$C=C2075)*($F:$F=F2075)) ) - 1</f>
        <v>1.4902122706401677E-2</v>
      </c>
    </row>
    <row r="2076" spans="1:7" x14ac:dyDescent="0.2">
      <c r="A2076" s="1">
        <v>42101</v>
      </c>
      <c r="B2076">
        <v>0</v>
      </c>
      <c r="C2076" t="s">
        <v>12</v>
      </c>
      <c r="D2076">
        <v>5.8970000000000003E-3</v>
      </c>
      <c r="E2076">
        <f t="shared" si="64"/>
        <v>1.005897</v>
      </c>
      <c r="F2076" s="1">
        <f t="shared" si="65"/>
        <v>42100</v>
      </c>
      <c r="G2076" cm="1">
        <f t="array" ref="G2076">PRODUCT( _xlfn._xlws.FILTER($E:$E, ($C:$C=C2076)*($F:$F=F2076)) ) - 1</f>
        <v>1.4902122706401677E-2</v>
      </c>
    </row>
    <row r="2077" spans="1:7" x14ac:dyDescent="0.2">
      <c r="A2077" s="1">
        <v>42102</v>
      </c>
      <c r="B2077">
        <v>0</v>
      </c>
      <c r="C2077" t="s">
        <v>12</v>
      </c>
      <c r="D2077">
        <v>4.333E-3</v>
      </c>
      <c r="E2077">
        <f t="shared" si="64"/>
        <v>1.0043329999999999</v>
      </c>
      <c r="F2077" s="1">
        <f t="shared" si="65"/>
        <v>42100</v>
      </c>
      <c r="G2077" cm="1">
        <f t="array" ref="G2077">PRODUCT( _xlfn._xlws.FILTER($E:$E, ($C:$C=C2077)*($F:$F=F2077)) ) - 1</f>
        <v>1.4902122706401677E-2</v>
      </c>
    </row>
    <row r="2078" spans="1:7" x14ac:dyDescent="0.2">
      <c r="A2078" s="1">
        <v>42103</v>
      </c>
      <c r="B2078">
        <v>0</v>
      </c>
      <c r="C2078" t="s">
        <v>12</v>
      </c>
      <c r="D2078">
        <v>5.0759999999999998E-3</v>
      </c>
      <c r="E2078">
        <f t="shared" si="64"/>
        <v>1.0050760000000001</v>
      </c>
      <c r="F2078" s="1">
        <f t="shared" si="65"/>
        <v>42100</v>
      </c>
      <c r="G2078" cm="1">
        <f t="array" ref="G2078">PRODUCT( _xlfn._xlws.FILTER($E:$E, ($C:$C=C2078)*($F:$F=F2078)) ) - 1</f>
        <v>1.4902122706401677E-2</v>
      </c>
    </row>
    <row r="2079" spans="1:7" x14ac:dyDescent="0.2">
      <c r="A2079" s="1">
        <v>42104</v>
      </c>
      <c r="B2079">
        <v>0</v>
      </c>
      <c r="C2079" t="s">
        <v>12</v>
      </c>
      <c r="D2079">
        <v>-2.5249999999999999E-3</v>
      </c>
      <c r="E2079">
        <f t="shared" si="64"/>
        <v>0.997475</v>
      </c>
      <c r="F2079" s="1">
        <f t="shared" si="65"/>
        <v>42100</v>
      </c>
      <c r="G2079" cm="1">
        <f t="array" ref="G2079">PRODUCT( _xlfn._xlws.FILTER($E:$E, ($C:$C=C2079)*($F:$F=F2079)) ) - 1</f>
        <v>1.4902122706401677E-2</v>
      </c>
    </row>
    <row r="2080" spans="1:7" x14ac:dyDescent="0.2">
      <c r="A2080" s="1">
        <v>42107</v>
      </c>
      <c r="B2080">
        <v>0</v>
      </c>
      <c r="C2080" t="s">
        <v>12</v>
      </c>
      <c r="D2080">
        <v>-3.0379999999999999E-3</v>
      </c>
      <c r="E2080">
        <f t="shared" si="64"/>
        <v>0.99696200000000001</v>
      </c>
      <c r="F2080" s="1">
        <f t="shared" si="65"/>
        <v>42107</v>
      </c>
      <c r="G2080" cm="1">
        <f t="array" ref="G2080">PRODUCT( _xlfn._xlws.FILTER($E:$E, ($C:$C=C2080)*($F:$F=F2080)) ) - 1</f>
        <v>-5.8225540268865839E-3</v>
      </c>
    </row>
    <row r="2081" spans="1:7" x14ac:dyDescent="0.2">
      <c r="A2081" s="1">
        <v>42108</v>
      </c>
      <c r="B2081">
        <v>0</v>
      </c>
      <c r="C2081" t="s">
        <v>12</v>
      </c>
      <c r="D2081">
        <v>-7.3639999999999999E-3</v>
      </c>
      <c r="E2081">
        <f t="shared" si="64"/>
        <v>0.99263599999999996</v>
      </c>
      <c r="F2081" s="1">
        <f t="shared" si="65"/>
        <v>42107</v>
      </c>
      <c r="G2081" cm="1">
        <f t="array" ref="G2081">PRODUCT( _xlfn._xlws.FILTER($E:$E, ($C:$C=C2081)*($F:$F=F2081)) ) - 1</f>
        <v>-5.8225540268865839E-3</v>
      </c>
    </row>
    <row r="2082" spans="1:7" x14ac:dyDescent="0.2">
      <c r="A2082" s="1">
        <v>42109</v>
      </c>
      <c r="B2082">
        <v>0</v>
      </c>
      <c r="C2082" t="s">
        <v>12</v>
      </c>
      <c r="D2082">
        <v>1.5349999999999999E-3</v>
      </c>
      <c r="E2082">
        <f t="shared" si="64"/>
        <v>1.0015350000000001</v>
      </c>
      <c r="F2082" s="1">
        <f t="shared" si="65"/>
        <v>42107</v>
      </c>
      <c r="G2082" cm="1">
        <f t="array" ref="G2082">PRODUCT( _xlfn._xlws.FILTER($E:$E, ($C:$C=C2082)*($F:$F=F2082)) ) - 1</f>
        <v>-5.8225540268865839E-3</v>
      </c>
    </row>
    <row r="2083" spans="1:7" x14ac:dyDescent="0.2">
      <c r="A2083" s="1">
        <v>42110</v>
      </c>
      <c r="B2083">
        <v>0</v>
      </c>
      <c r="C2083" t="s">
        <v>12</v>
      </c>
      <c r="D2083">
        <v>-3.5760000000000002E-3</v>
      </c>
      <c r="E2083">
        <f t="shared" si="64"/>
        <v>0.99642399999999998</v>
      </c>
      <c r="F2083" s="1">
        <f t="shared" si="65"/>
        <v>42107</v>
      </c>
      <c r="G2083" cm="1">
        <f t="array" ref="G2083">PRODUCT( _xlfn._xlws.FILTER($E:$E, ($C:$C=C2083)*($F:$F=F2083)) ) - 1</f>
        <v>-5.8225540268865839E-3</v>
      </c>
    </row>
    <row r="2084" spans="1:7" x14ac:dyDescent="0.2">
      <c r="A2084" s="1">
        <v>42111</v>
      </c>
      <c r="B2084">
        <v>0</v>
      </c>
      <c r="C2084" t="s">
        <v>12</v>
      </c>
      <c r="D2084">
        <v>6.6649999999999999E-3</v>
      </c>
      <c r="E2084">
        <f t="shared" si="64"/>
        <v>1.0066649999999999</v>
      </c>
      <c r="F2084" s="1">
        <f t="shared" si="65"/>
        <v>42107</v>
      </c>
      <c r="G2084" cm="1">
        <f t="array" ref="G2084">PRODUCT( _xlfn._xlws.FILTER($E:$E, ($C:$C=C2084)*($F:$F=F2084)) ) - 1</f>
        <v>-5.8225540268865839E-3</v>
      </c>
    </row>
    <row r="2085" spans="1:7" x14ac:dyDescent="0.2">
      <c r="A2085" s="1">
        <v>42114</v>
      </c>
      <c r="B2085">
        <v>0</v>
      </c>
      <c r="C2085" t="s">
        <v>12</v>
      </c>
      <c r="D2085">
        <v>6.3660000000000001E-3</v>
      </c>
      <c r="E2085">
        <f t="shared" si="64"/>
        <v>1.0063660000000001</v>
      </c>
      <c r="F2085" s="1">
        <f t="shared" si="65"/>
        <v>42114</v>
      </c>
      <c r="G2085" cm="1">
        <f t="array" ref="G2085">PRODUCT( _xlfn._xlws.FILTER($E:$E, ($C:$C=C2085)*($F:$F=F2085)) ) - 1</f>
        <v>9.9308228731680437E-3</v>
      </c>
    </row>
    <row r="2086" spans="1:7" x14ac:dyDescent="0.2">
      <c r="A2086" s="1">
        <v>42115</v>
      </c>
      <c r="B2086">
        <v>0</v>
      </c>
      <c r="C2086" t="s">
        <v>12</v>
      </c>
      <c r="D2086">
        <v>-4.555E-3</v>
      </c>
      <c r="E2086">
        <f t="shared" si="64"/>
        <v>0.99544500000000002</v>
      </c>
      <c r="F2086" s="1">
        <f t="shared" si="65"/>
        <v>42114</v>
      </c>
      <c r="G2086" cm="1">
        <f t="array" ref="G2086">PRODUCT( _xlfn._xlws.FILTER($E:$E, ($C:$C=C2086)*($F:$F=F2086)) ) - 1</f>
        <v>9.9308228731680437E-3</v>
      </c>
    </row>
    <row r="2087" spans="1:7" x14ac:dyDescent="0.2">
      <c r="A2087" s="1">
        <v>42116</v>
      </c>
      <c r="B2087">
        <v>0</v>
      </c>
      <c r="C2087" t="s">
        <v>12</v>
      </c>
      <c r="D2087">
        <v>1.271E-3</v>
      </c>
      <c r="E2087">
        <f t="shared" si="64"/>
        <v>1.001271</v>
      </c>
      <c r="F2087" s="1">
        <f t="shared" si="65"/>
        <v>42114</v>
      </c>
      <c r="G2087" cm="1">
        <f t="array" ref="G2087">PRODUCT( _xlfn._xlws.FILTER($E:$E, ($C:$C=C2087)*($F:$F=F2087)) ) - 1</f>
        <v>9.9308228731680437E-3</v>
      </c>
    </row>
    <row r="2088" spans="1:7" x14ac:dyDescent="0.2">
      <c r="A2088" s="1">
        <v>42117</v>
      </c>
      <c r="B2088">
        <v>0</v>
      </c>
      <c r="C2088" t="s">
        <v>12</v>
      </c>
      <c r="D2088">
        <v>6.0930000000000003E-3</v>
      </c>
      <c r="E2088">
        <f t="shared" si="64"/>
        <v>1.0060929999999999</v>
      </c>
      <c r="F2088" s="1">
        <f t="shared" si="65"/>
        <v>42114</v>
      </c>
      <c r="G2088" cm="1">
        <f t="array" ref="G2088">PRODUCT( _xlfn._xlws.FILTER($E:$E, ($C:$C=C2088)*($F:$F=F2088)) ) - 1</f>
        <v>9.9308228731680437E-3</v>
      </c>
    </row>
    <row r="2089" spans="1:7" x14ac:dyDescent="0.2">
      <c r="A2089" s="1">
        <v>42118</v>
      </c>
      <c r="B2089">
        <v>0</v>
      </c>
      <c r="C2089" t="s">
        <v>12</v>
      </c>
      <c r="D2089">
        <v>7.5699999999999997E-4</v>
      </c>
      <c r="E2089">
        <f t="shared" si="64"/>
        <v>1.0007569999999999</v>
      </c>
      <c r="F2089" s="1">
        <f t="shared" si="65"/>
        <v>42114</v>
      </c>
      <c r="G2089" cm="1">
        <f t="array" ref="G2089">PRODUCT( _xlfn._xlws.FILTER($E:$E, ($C:$C=C2089)*($F:$F=F2089)) ) - 1</f>
        <v>9.9308228731680437E-3</v>
      </c>
    </row>
    <row r="2090" spans="1:7" x14ac:dyDescent="0.2">
      <c r="A2090" s="1">
        <v>42121</v>
      </c>
      <c r="B2090">
        <v>0</v>
      </c>
      <c r="C2090" t="s">
        <v>12</v>
      </c>
      <c r="D2090">
        <v>1.0089999999999999E-3</v>
      </c>
      <c r="E2090">
        <f t="shared" si="64"/>
        <v>1.001009</v>
      </c>
      <c r="F2090" s="1">
        <f t="shared" si="65"/>
        <v>42121</v>
      </c>
      <c r="G2090" cm="1">
        <f t="array" ref="G2090">PRODUCT( _xlfn._xlws.FILTER($E:$E, ($C:$C=C2090)*($F:$F=F2090)) ) - 1</f>
        <v>-1.4876364847274948E-2</v>
      </c>
    </row>
    <row r="2091" spans="1:7" x14ac:dyDescent="0.2">
      <c r="A2091" s="1">
        <v>42122</v>
      </c>
      <c r="B2091">
        <v>0</v>
      </c>
      <c r="C2091" t="s">
        <v>12</v>
      </c>
      <c r="D2091">
        <v>1.763E-3</v>
      </c>
      <c r="E2091">
        <f t="shared" si="64"/>
        <v>1.001763</v>
      </c>
      <c r="F2091" s="1">
        <f t="shared" si="65"/>
        <v>42121</v>
      </c>
      <c r="G2091" cm="1">
        <f t="array" ref="G2091">PRODUCT( _xlfn._xlws.FILTER($E:$E, ($C:$C=C2091)*($F:$F=F2091)) ) - 1</f>
        <v>-1.4876364847274948E-2</v>
      </c>
    </row>
    <row r="2092" spans="1:7" x14ac:dyDescent="0.2">
      <c r="A2092" s="1">
        <v>42123</v>
      </c>
      <c r="B2092">
        <v>0</v>
      </c>
      <c r="C2092" t="s">
        <v>12</v>
      </c>
      <c r="D2092">
        <v>-1.0059999999999999E-3</v>
      </c>
      <c r="E2092">
        <f t="shared" si="64"/>
        <v>0.99899400000000005</v>
      </c>
      <c r="F2092" s="1">
        <f t="shared" si="65"/>
        <v>42121</v>
      </c>
      <c r="G2092" cm="1">
        <f t="array" ref="G2092">PRODUCT( _xlfn._xlws.FILTER($E:$E, ($C:$C=C2092)*($F:$F=F2092)) ) - 1</f>
        <v>-1.4876364847274948E-2</v>
      </c>
    </row>
    <row r="2093" spans="1:7" x14ac:dyDescent="0.2">
      <c r="A2093" s="1">
        <v>42124</v>
      </c>
      <c r="B2093">
        <v>0</v>
      </c>
      <c r="C2093" t="s">
        <v>12</v>
      </c>
      <c r="D2093">
        <v>-1.1578E-2</v>
      </c>
      <c r="E2093">
        <f t="shared" si="64"/>
        <v>0.98842200000000002</v>
      </c>
      <c r="F2093" s="1">
        <f t="shared" si="65"/>
        <v>42121</v>
      </c>
      <c r="G2093" cm="1">
        <f t="array" ref="G2093">PRODUCT( _xlfn._xlws.FILTER($E:$E, ($C:$C=C2093)*($F:$F=F2093)) ) - 1</f>
        <v>-1.4876364847274948E-2</v>
      </c>
    </row>
    <row r="2094" spans="1:7" x14ac:dyDescent="0.2">
      <c r="A2094" s="1">
        <v>42125</v>
      </c>
      <c r="B2094">
        <v>0</v>
      </c>
      <c r="C2094" t="s">
        <v>12</v>
      </c>
      <c r="D2094">
        <v>-5.0930000000000003E-3</v>
      </c>
      <c r="E2094">
        <f t="shared" si="64"/>
        <v>0.99490699999999999</v>
      </c>
      <c r="F2094" s="1">
        <f t="shared" si="65"/>
        <v>42121</v>
      </c>
      <c r="G2094" cm="1">
        <f t="array" ref="G2094">PRODUCT( _xlfn._xlws.FILTER($E:$E, ($C:$C=C2094)*($F:$F=F2094)) ) - 1</f>
        <v>-1.4876364847274948E-2</v>
      </c>
    </row>
    <row r="2095" spans="1:7" x14ac:dyDescent="0.2">
      <c r="A2095" s="1">
        <v>42128</v>
      </c>
      <c r="B2095">
        <v>0</v>
      </c>
      <c r="C2095" t="s">
        <v>12</v>
      </c>
      <c r="D2095">
        <v>2.8149999999999998E-3</v>
      </c>
      <c r="E2095">
        <f t="shared" si="64"/>
        <v>1.002815</v>
      </c>
      <c r="F2095" s="1">
        <f t="shared" si="65"/>
        <v>42128</v>
      </c>
      <c r="G2095" cm="1">
        <f t="array" ref="G2095">PRODUCT( _xlfn._xlws.FILTER($E:$E, ($C:$C=C2095)*($F:$F=F2095)) ) - 1</f>
        <v>-7.684223893070774E-4</v>
      </c>
    </row>
    <row r="2096" spans="1:7" x14ac:dyDescent="0.2">
      <c r="A2096" s="1">
        <v>42129</v>
      </c>
      <c r="B2096">
        <v>0</v>
      </c>
      <c r="C2096" t="s">
        <v>12</v>
      </c>
      <c r="D2096">
        <v>-7.4019999999999997E-3</v>
      </c>
      <c r="E2096">
        <f t="shared" si="64"/>
        <v>0.99259799999999998</v>
      </c>
      <c r="F2096" s="1">
        <f t="shared" si="65"/>
        <v>42128</v>
      </c>
      <c r="G2096" cm="1">
        <f t="array" ref="G2096">PRODUCT( _xlfn._xlws.FILTER($E:$E, ($C:$C=C2096)*($F:$F=F2096)) ) - 1</f>
        <v>-7.684223893070774E-4</v>
      </c>
    </row>
    <row r="2097" spans="1:7" x14ac:dyDescent="0.2">
      <c r="A2097" s="1">
        <v>42130</v>
      </c>
      <c r="B2097">
        <v>0</v>
      </c>
      <c r="C2097" t="s">
        <v>12</v>
      </c>
      <c r="D2097">
        <v>-2.8279999999999998E-3</v>
      </c>
      <c r="E2097">
        <f t="shared" si="64"/>
        <v>0.99717199999999995</v>
      </c>
      <c r="F2097" s="1">
        <f t="shared" si="65"/>
        <v>42128</v>
      </c>
      <c r="G2097" cm="1">
        <f t="array" ref="G2097">PRODUCT( _xlfn._xlws.FILTER($E:$E, ($C:$C=C2097)*($F:$F=F2097)) ) - 1</f>
        <v>-7.684223893070774E-4</v>
      </c>
    </row>
    <row r="2098" spans="1:7" x14ac:dyDescent="0.2">
      <c r="A2098" s="1">
        <v>42131</v>
      </c>
      <c r="B2098">
        <v>0</v>
      </c>
      <c r="C2098" t="s">
        <v>12</v>
      </c>
      <c r="D2098">
        <v>-7.4780000000000003E-3</v>
      </c>
      <c r="E2098">
        <f t="shared" si="64"/>
        <v>0.99252200000000002</v>
      </c>
      <c r="F2098" s="1">
        <f t="shared" si="65"/>
        <v>42128</v>
      </c>
      <c r="G2098" cm="1">
        <f t="array" ref="G2098">PRODUCT( _xlfn._xlws.FILTER($E:$E, ($C:$C=C2098)*($F:$F=F2098)) ) - 1</f>
        <v>-7.684223893070774E-4</v>
      </c>
    </row>
    <row r="2099" spans="1:7" x14ac:dyDescent="0.2">
      <c r="A2099" s="1">
        <v>42132</v>
      </c>
      <c r="B2099">
        <v>0</v>
      </c>
      <c r="C2099" t="s">
        <v>12</v>
      </c>
      <c r="D2099">
        <v>1.4289E-2</v>
      </c>
      <c r="E2099">
        <f t="shared" si="64"/>
        <v>1.014289</v>
      </c>
      <c r="F2099" s="1">
        <f t="shared" si="65"/>
        <v>42128</v>
      </c>
      <c r="G2099" cm="1">
        <f t="array" ref="G2099">PRODUCT( _xlfn._xlws.FILTER($E:$E, ($C:$C=C2099)*($F:$F=F2099)) ) - 1</f>
        <v>-7.684223893070774E-4</v>
      </c>
    </row>
    <row r="2100" spans="1:7" x14ac:dyDescent="0.2">
      <c r="A2100" s="1">
        <v>42135</v>
      </c>
      <c r="B2100">
        <v>0</v>
      </c>
      <c r="C2100" t="s">
        <v>12</v>
      </c>
      <c r="D2100">
        <v>8.1969999999999994E-3</v>
      </c>
      <c r="E2100">
        <f t="shared" si="64"/>
        <v>1.008197</v>
      </c>
      <c r="F2100" s="1">
        <f t="shared" si="65"/>
        <v>42135</v>
      </c>
      <c r="G2100" cm="1">
        <f t="array" ref="G2100">PRODUCT( _xlfn._xlws.FILTER($E:$E, ($C:$C=C2100)*($F:$F=F2100)) ) - 1</f>
        <v>4.734094899972785E-3</v>
      </c>
    </row>
    <row r="2101" spans="1:7" x14ac:dyDescent="0.2">
      <c r="A2101" s="1">
        <v>42136</v>
      </c>
      <c r="B2101">
        <v>0</v>
      </c>
      <c r="C2101" t="s">
        <v>12</v>
      </c>
      <c r="D2101">
        <v>-2.8201E-2</v>
      </c>
      <c r="E2101">
        <f t="shared" si="64"/>
        <v>0.97179899999999997</v>
      </c>
      <c r="F2101" s="1">
        <f t="shared" si="65"/>
        <v>42135</v>
      </c>
      <c r="G2101" cm="1">
        <f t="array" ref="G2101">PRODUCT( _xlfn._xlws.FILTER($E:$E, ($C:$C=C2101)*($F:$F=F2101)) ) - 1</f>
        <v>4.734094899972785E-3</v>
      </c>
    </row>
    <row r="2102" spans="1:7" x14ac:dyDescent="0.2">
      <c r="A2102" s="1">
        <v>42137</v>
      </c>
      <c r="B2102">
        <v>0</v>
      </c>
      <c r="C2102" t="s">
        <v>12</v>
      </c>
      <c r="D2102">
        <v>4.7060000000000001E-3</v>
      </c>
      <c r="E2102">
        <f t="shared" si="64"/>
        <v>1.0047060000000001</v>
      </c>
      <c r="F2102" s="1">
        <f t="shared" si="65"/>
        <v>42135</v>
      </c>
      <c r="G2102" cm="1">
        <f t="array" ref="G2102">PRODUCT( _xlfn._xlws.FILTER($E:$E, ($C:$C=C2102)*($F:$F=F2102)) ) - 1</f>
        <v>4.734094899972785E-3</v>
      </c>
    </row>
    <row r="2103" spans="1:7" x14ac:dyDescent="0.2">
      <c r="A2103" s="1">
        <v>42138</v>
      </c>
      <c r="B2103">
        <v>0</v>
      </c>
      <c r="C2103" t="s">
        <v>12</v>
      </c>
      <c r="D2103">
        <v>6.5050000000000004E-3</v>
      </c>
      <c r="E2103">
        <f t="shared" si="64"/>
        <v>1.006505</v>
      </c>
      <c r="F2103" s="1">
        <f t="shared" si="65"/>
        <v>42135</v>
      </c>
      <c r="G2103" cm="1">
        <f t="array" ref="G2103">PRODUCT( _xlfn._xlws.FILTER($E:$E, ($C:$C=C2103)*($F:$F=F2103)) ) - 1</f>
        <v>4.734094899972785E-3</v>
      </c>
    </row>
    <row r="2104" spans="1:7" x14ac:dyDescent="0.2">
      <c r="A2104" s="1">
        <v>42139</v>
      </c>
      <c r="B2104">
        <v>0</v>
      </c>
      <c r="C2104" t="s">
        <v>12</v>
      </c>
      <c r="D2104">
        <v>1.4085E-2</v>
      </c>
      <c r="E2104">
        <f t="shared" si="64"/>
        <v>1.0140849999999999</v>
      </c>
      <c r="F2104" s="1">
        <f t="shared" si="65"/>
        <v>42135</v>
      </c>
      <c r="G2104" cm="1">
        <f t="array" ref="G2104">PRODUCT( _xlfn._xlws.FILTER($E:$E, ($C:$C=C2104)*($F:$F=F2104)) ) - 1</f>
        <v>4.734094899972785E-3</v>
      </c>
    </row>
    <row r="2105" spans="1:7" x14ac:dyDescent="0.2">
      <c r="A2105" s="1">
        <v>42143</v>
      </c>
      <c r="B2105">
        <v>0</v>
      </c>
      <c r="C2105" t="s">
        <v>12</v>
      </c>
      <c r="D2105">
        <v>-5.4010000000000004E-3</v>
      </c>
      <c r="E2105">
        <f t="shared" si="64"/>
        <v>0.99459900000000001</v>
      </c>
      <c r="F2105" s="1">
        <f t="shared" si="65"/>
        <v>42142</v>
      </c>
      <c r="G2105" cm="1">
        <f t="array" ref="G2105">PRODUCT( _xlfn._xlws.FILTER($E:$E, ($C:$C=C2105)*($F:$F=F2105)) ) - 1</f>
        <v>-1.8518475541899448E-2</v>
      </c>
    </row>
    <row r="2106" spans="1:7" x14ac:dyDescent="0.2">
      <c r="A2106" s="1">
        <v>42144</v>
      </c>
      <c r="B2106">
        <v>0</v>
      </c>
      <c r="C2106" t="s">
        <v>12</v>
      </c>
      <c r="D2106">
        <v>-4.6550000000000003E-3</v>
      </c>
      <c r="E2106">
        <f t="shared" si="64"/>
        <v>0.99534500000000004</v>
      </c>
      <c r="F2106" s="1">
        <f t="shared" si="65"/>
        <v>42142</v>
      </c>
      <c r="G2106" cm="1">
        <f t="array" ref="G2106">PRODUCT( _xlfn._xlws.FILTER($E:$E, ($C:$C=C2106)*($F:$F=F2106)) ) - 1</f>
        <v>-1.8518475541899448E-2</v>
      </c>
    </row>
    <row r="2107" spans="1:7" x14ac:dyDescent="0.2">
      <c r="A2107" s="1">
        <v>42145</v>
      </c>
      <c r="B2107">
        <v>0</v>
      </c>
      <c r="C2107" t="s">
        <v>12</v>
      </c>
      <c r="D2107">
        <v>-2.8579999999999999E-3</v>
      </c>
      <c r="E2107">
        <f t="shared" si="64"/>
        <v>0.99714199999999997</v>
      </c>
      <c r="F2107" s="1">
        <f t="shared" si="65"/>
        <v>42142</v>
      </c>
      <c r="G2107" cm="1">
        <f t="array" ref="G2107">PRODUCT( _xlfn._xlws.FILTER($E:$E, ($C:$C=C2107)*($F:$F=F2107)) ) - 1</f>
        <v>-1.8518475541899448E-2</v>
      </c>
    </row>
    <row r="2108" spans="1:7" x14ac:dyDescent="0.2">
      <c r="A2108" s="1">
        <v>42146</v>
      </c>
      <c r="B2108">
        <v>0</v>
      </c>
      <c r="C2108" t="s">
        <v>12</v>
      </c>
      <c r="D2108">
        <v>-5.7320000000000001E-3</v>
      </c>
      <c r="E2108">
        <f t="shared" si="64"/>
        <v>0.99426800000000004</v>
      </c>
      <c r="F2108" s="1">
        <f t="shared" si="65"/>
        <v>42142</v>
      </c>
      <c r="G2108" cm="1">
        <f t="array" ref="G2108">PRODUCT( _xlfn._xlws.FILTER($E:$E, ($C:$C=C2108)*($F:$F=F2108)) ) - 1</f>
        <v>-1.8518475541899448E-2</v>
      </c>
    </row>
    <row r="2109" spans="1:7" x14ac:dyDescent="0.2">
      <c r="A2109" s="1">
        <v>42149</v>
      </c>
      <c r="B2109">
        <v>0</v>
      </c>
      <c r="C2109" t="s">
        <v>12</v>
      </c>
      <c r="D2109">
        <v>1.31E-3</v>
      </c>
      <c r="E2109">
        <f t="shared" si="64"/>
        <v>1.0013099999999999</v>
      </c>
      <c r="F2109" s="1">
        <f t="shared" si="65"/>
        <v>42149</v>
      </c>
      <c r="G2109" cm="1">
        <f t="array" ref="G2109">PRODUCT( _xlfn._xlws.FILTER($E:$E, ($C:$C=C2109)*($F:$F=F2109)) ) - 1</f>
        <v>-4.7171287323960476E-3</v>
      </c>
    </row>
    <row r="2110" spans="1:7" x14ac:dyDescent="0.2">
      <c r="A2110" s="1">
        <v>42150</v>
      </c>
      <c r="B2110">
        <v>0</v>
      </c>
      <c r="C2110" t="s">
        <v>12</v>
      </c>
      <c r="D2110">
        <v>-2.2245000000000001E-2</v>
      </c>
      <c r="E2110">
        <f t="shared" si="64"/>
        <v>0.97775500000000004</v>
      </c>
      <c r="F2110" s="1">
        <f t="shared" si="65"/>
        <v>42149</v>
      </c>
      <c r="G2110" cm="1">
        <f t="array" ref="G2110">PRODUCT( _xlfn._xlws.FILTER($E:$E, ($C:$C=C2110)*($F:$F=F2110)) ) - 1</f>
        <v>-4.7171287323960476E-3</v>
      </c>
    </row>
    <row r="2111" spans="1:7" x14ac:dyDescent="0.2">
      <c r="A2111" s="1">
        <v>42151</v>
      </c>
      <c r="B2111">
        <v>0</v>
      </c>
      <c r="C2111" t="s">
        <v>12</v>
      </c>
      <c r="D2111">
        <v>5.3530000000000001E-3</v>
      </c>
      <c r="E2111">
        <f t="shared" si="64"/>
        <v>1.0053529999999999</v>
      </c>
      <c r="F2111" s="1">
        <f t="shared" si="65"/>
        <v>42149</v>
      </c>
      <c r="G2111" cm="1">
        <f t="array" ref="G2111">PRODUCT( _xlfn._xlws.FILTER($E:$E, ($C:$C=C2111)*($F:$F=F2111)) ) - 1</f>
        <v>-4.7171287323960476E-3</v>
      </c>
    </row>
    <row r="2112" spans="1:7" x14ac:dyDescent="0.2">
      <c r="A2112" s="1">
        <v>42152</v>
      </c>
      <c r="B2112">
        <v>0</v>
      </c>
      <c r="C2112" t="s">
        <v>12</v>
      </c>
      <c r="D2112">
        <v>1.4643E-2</v>
      </c>
      <c r="E2112">
        <f t="shared" si="64"/>
        <v>1.014643</v>
      </c>
      <c r="F2112" s="1">
        <f t="shared" si="65"/>
        <v>42149</v>
      </c>
      <c r="G2112" cm="1">
        <f t="array" ref="G2112">PRODUCT( _xlfn._xlws.FILTER($E:$E, ($C:$C=C2112)*($F:$F=F2112)) ) - 1</f>
        <v>-4.7171287323960476E-3</v>
      </c>
    </row>
    <row r="2113" spans="1:7" x14ac:dyDescent="0.2">
      <c r="A2113" s="1">
        <v>42153</v>
      </c>
      <c r="B2113">
        <v>0</v>
      </c>
      <c r="C2113" t="s">
        <v>12</v>
      </c>
      <c r="D2113">
        <v>-3.411E-3</v>
      </c>
      <c r="E2113">
        <f t="shared" si="64"/>
        <v>0.99658899999999995</v>
      </c>
      <c r="F2113" s="1">
        <f t="shared" si="65"/>
        <v>42149</v>
      </c>
      <c r="G2113" cm="1">
        <f t="array" ref="G2113">PRODUCT( _xlfn._xlws.FILTER($E:$E, ($C:$C=C2113)*($F:$F=F2113)) ) - 1</f>
        <v>-4.7171287323960476E-3</v>
      </c>
    </row>
    <row r="2114" spans="1:7" x14ac:dyDescent="0.2">
      <c r="A2114" s="1">
        <v>42156</v>
      </c>
      <c r="B2114">
        <v>0</v>
      </c>
      <c r="C2114" t="s">
        <v>12</v>
      </c>
      <c r="D2114">
        <v>8.4250000000000002E-3</v>
      </c>
      <c r="E2114">
        <f t="shared" si="64"/>
        <v>1.0084249999999999</v>
      </c>
      <c r="F2114" s="1">
        <f t="shared" si="65"/>
        <v>42156</v>
      </c>
      <c r="G2114" cm="1">
        <f t="array" ref="G2114">PRODUCT( _xlfn._xlws.FILTER($E:$E, ($C:$C=C2114)*($F:$F=F2114)) ) - 1</f>
        <v>-4.3970732039855132E-2</v>
      </c>
    </row>
    <row r="2115" spans="1:7" x14ac:dyDescent="0.2">
      <c r="A2115" s="1">
        <v>42157</v>
      </c>
      <c r="B2115">
        <v>0</v>
      </c>
      <c r="C2115" t="s">
        <v>12</v>
      </c>
      <c r="D2115">
        <v>-1.1488E-2</v>
      </c>
      <c r="E2115">
        <f t="shared" si="64"/>
        <v>0.98851199999999995</v>
      </c>
      <c r="F2115" s="1">
        <f t="shared" si="65"/>
        <v>42156</v>
      </c>
      <c r="G2115" cm="1">
        <f t="array" ref="G2115">PRODUCT( _xlfn._xlws.FILTER($E:$E, ($C:$C=C2115)*($F:$F=F2115)) ) - 1</f>
        <v>-4.3970732039855132E-2</v>
      </c>
    </row>
    <row r="2116" spans="1:7" x14ac:dyDescent="0.2">
      <c r="A2116" s="1">
        <v>42158</v>
      </c>
      <c r="B2116">
        <v>0</v>
      </c>
      <c r="C2116" t="s">
        <v>12</v>
      </c>
      <c r="D2116">
        <v>-7.6600000000000001E-3</v>
      </c>
      <c r="E2116">
        <f t="shared" ref="E2116:E2179" si="66">D2116+1</f>
        <v>0.99234</v>
      </c>
      <c r="F2116" s="1">
        <f t="shared" ref="F2116:F2179" si="67">A2116 - (WEEKDAY(A2116, 2) - 1)</f>
        <v>42156</v>
      </c>
      <c r="G2116" cm="1">
        <f t="array" ref="G2116">PRODUCT( _xlfn._xlws.FILTER($E:$E, ($C:$C=C2116)*($F:$F=F2116)) ) - 1</f>
        <v>-4.3970732039855132E-2</v>
      </c>
    </row>
    <row r="2117" spans="1:7" x14ac:dyDescent="0.2">
      <c r="A2117" s="1">
        <v>42159</v>
      </c>
      <c r="B2117">
        <v>0</v>
      </c>
      <c r="C2117" t="s">
        <v>12</v>
      </c>
      <c r="D2117">
        <v>-1.5438E-2</v>
      </c>
      <c r="E2117">
        <f t="shared" si="66"/>
        <v>0.98456200000000005</v>
      </c>
      <c r="F2117" s="1">
        <f t="shared" si="67"/>
        <v>42156</v>
      </c>
      <c r="G2117" cm="1">
        <f t="array" ref="G2117">PRODUCT( _xlfn._xlws.FILTER($E:$E, ($C:$C=C2117)*($F:$F=F2117)) ) - 1</f>
        <v>-4.3970732039855132E-2</v>
      </c>
    </row>
    <row r="2118" spans="1:7" x14ac:dyDescent="0.2">
      <c r="A2118" s="1">
        <v>42160</v>
      </c>
      <c r="B2118">
        <v>0</v>
      </c>
      <c r="C2118" t="s">
        <v>12</v>
      </c>
      <c r="D2118">
        <v>-1.8383E-2</v>
      </c>
      <c r="E2118">
        <f t="shared" si="66"/>
        <v>0.98161699999999996</v>
      </c>
      <c r="F2118" s="1">
        <f t="shared" si="67"/>
        <v>42156</v>
      </c>
      <c r="G2118" cm="1">
        <f t="array" ref="G2118">PRODUCT( _xlfn._xlws.FILTER($E:$E, ($C:$C=C2118)*($F:$F=F2118)) ) - 1</f>
        <v>-4.3970732039855132E-2</v>
      </c>
    </row>
    <row r="2119" spans="1:7" x14ac:dyDescent="0.2">
      <c r="A2119" s="1">
        <v>42163</v>
      </c>
      <c r="B2119">
        <v>0</v>
      </c>
      <c r="C2119" t="s">
        <v>12</v>
      </c>
      <c r="D2119">
        <v>-2.3959999999999999E-2</v>
      </c>
      <c r="E2119">
        <f t="shared" si="66"/>
        <v>0.97604000000000002</v>
      </c>
      <c r="F2119" s="1">
        <f t="shared" si="67"/>
        <v>42163</v>
      </c>
      <c r="G2119" cm="1">
        <f t="array" ref="G2119">PRODUCT( _xlfn._xlws.FILTER($E:$E, ($C:$C=C2119)*($F:$F=F2119)) ) - 1</f>
        <v>-1.6249019077149485E-2</v>
      </c>
    </row>
    <row r="2120" spans="1:7" x14ac:dyDescent="0.2">
      <c r="A2120" s="1">
        <v>42164</v>
      </c>
      <c r="B2120">
        <v>0</v>
      </c>
      <c r="C2120" t="s">
        <v>12</v>
      </c>
      <c r="D2120">
        <v>1.7493999999999999E-2</v>
      </c>
      <c r="E2120">
        <f t="shared" si="66"/>
        <v>1.0174939999999999</v>
      </c>
      <c r="F2120" s="1">
        <f t="shared" si="67"/>
        <v>42163</v>
      </c>
      <c r="G2120" cm="1">
        <f t="array" ref="G2120">PRODUCT( _xlfn._xlws.FILTER($E:$E, ($C:$C=C2120)*($F:$F=F2120)) ) - 1</f>
        <v>-1.6249019077149485E-2</v>
      </c>
    </row>
    <row r="2121" spans="1:7" x14ac:dyDescent="0.2">
      <c r="A2121" s="1">
        <v>42165</v>
      </c>
      <c r="B2121">
        <v>0</v>
      </c>
      <c r="C2121" t="s">
        <v>12</v>
      </c>
      <c r="D2121">
        <v>-6.6559999999999996E-3</v>
      </c>
      <c r="E2121">
        <f t="shared" si="66"/>
        <v>0.993344</v>
      </c>
      <c r="F2121" s="1">
        <f t="shared" si="67"/>
        <v>42163</v>
      </c>
      <c r="G2121" cm="1">
        <f t="array" ref="G2121">PRODUCT( _xlfn._xlws.FILTER($E:$E, ($C:$C=C2121)*($F:$F=F2121)) ) - 1</f>
        <v>-1.6249019077149485E-2</v>
      </c>
    </row>
    <row r="2122" spans="1:7" x14ac:dyDescent="0.2">
      <c r="A2122" s="1">
        <v>42166</v>
      </c>
      <c r="B2122">
        <v>0</v>
      </c>
      <c r="C2122" t="s">
        <v>12</v>
      </c>
      <c r="D2122">
        <v>1.1169999999999999E-3</v>
      </c>
      <c r="E2122">
        <f t="shared" si="66"/>
        <v>1.001117</v>
      </c>
      <c r="F2122" s="1">
        <f t="shared" si="67"/>
        <v>42163</v>
      </c>
      <c r="G2122" cm="1">
        <f t="array" ref="G2122">PRODUCT( _xlfn._xlws.FILTER($E:$E, ($C:$C=C2122)*($F:$F=F2122)) ) - 1</f>
        <v>-1.6249019077149485E-2</v>
      </c>
    </row>
    <row r="2123" spans="1:7" x14ac:dyDescent="0.2">
      <c r="A2123" s="1">
        <v>42167</v>
      </c>
      <c r="B2123">
        <v>0</v>
      </c>
      <c r="C2123" t="s">
        <v>12</v>
      </c>
      <c r="D2123">
        <v>-3.9039999999999999E-3</v>
      </c>
      <c r="E2123">
        <f t="shared" si="66"/>
        <v>0.99609599999999998</v>
      </c>
      <c r="F2123" s="1">
        <f t="shared" si="67"/>
        <v>42163</v>
      </c>
      <c r="G2123" cm="1">
        <f t="array" ref="G2123">PRODUCT( _xlfn._xlws.FILTER($E:$E, ($C:$C=C2123)*($F:$F=F2123)) ) - 1</f>
        <v>-1.6249019077149485E-2</v>
      </c>
    </row>
    <row r="2124" spans="1:7" x14ac:dyDescent="0.2">
      <c r="A2124" s="1">
        <v>42170</v>
      </c>
      <c r="B2124">
        <v>0</v>
      </c>
      <c r="C2124" t="s">
        <v>12</v>
      </c>
      <c r="D2124">
        <v>-3.3600000000000001E-3</v>
      </c>
      <c r="E2124">
        <f t="shared" si="66"/>
        <v>0.99663999999999997</v>
      </c>
      <c r="F2124" s="1">
        <f t="shared" si="67"/>
        <v>42170</v>
      </c>
      <c r="G2124" cm="1">
        <f t="array" ref="G2124">PRODUCT( _xlfn._xlws.FILTER($E:$E, ($C:$C=C2124)*($F:$F=F2124)) ) - 1</f>
        <v>7.8388336529944258E-3</v>
      </c>
    </row>
    <row r="2125" spans="1:7" x14ac:dyDescent="0.2">
      <c r="A2125" s="1">
        <v>42171</v>
      </c>
      <c r="B2125">
        <v>0</v>
      </c>
      <c r="C2125" t="s">
        <v>12</v>
      </c>
      <c r="D2125">
        <v>0</v>
      </c>
      <c r="E2125">
        <f t="shared" si="66"/>
        <v>1</v>
      </c>
      <c r="F2125" s="1">
        <f t="shared" si="67"/>
        <v>42170</v>
      </c>
      <c r="G2125" cm="1">
        <f t="array" ref="G2125">PRODUCT( _xlfn._xlws.FILTER($E:$E, ($C:$C=C2125)*($F:$F=F2125)) ) - 1</f>
        <v>7.8388336529944258E-3</v>
      </c>
    </row>
    <row r="2126" spans="1:7" x14ac:dyDescent="0.2">
      <c r="A2126" s="1">
        <v>42172</v>
      </c>
      <c r="B2126">
        <v>0</v>
      </c>
      <c r="C2126" t="s">
        <v>12</v>
      </c>
      <c r="D2126">
        <v>-4.7749999999999997E-3</v>
      </c>
      <c r="E2126">
        <f t="shared" si="66"/>
        <v>0.99522500000000003</v>
      </c>
      <c r="F2126" s="1">
        <f t="shared" si="67"/>
        <v>42170</v>
      </c>
      <c r="G2126" cm="1">
        <f t="array" ref="G2126">PRODUCT( _xlfn._xlws.FILTER($E:$E, ($C:$C=C2126)*($F:$F=F2126)) ) - 1</f>
        <v>7.8388336529944258E-3</v>
      </c>
    </row>
    <row r="2127" spans="1:7" x14ac:dyDescent="0.2">
      <c r="A2127" s="1">
        <v>42173</v>
      </c>
      <c r="B2127">
        <v>0</v>
      </c>
      <c r="C2127" t="s">
        <v>12</v>
      </c>
      <c r="D2127">
        <v>1.7781999999999999E-2</v>
      </c>
      <c r="E2127">
        <f t="shared" si="66"/>
        <v>1.017782</v>
      </c>
      <c r="F2127" s="1">
        <f t="shared" si="67"/>
        <v>42170</v>
      </c>
      <c r="G2127" cm="1">
        <f t="array" ref="G2127">PRODUCT( _xlfn._xlws.FILTER($E:$E, ($C:$C=C2127)*($F:$F=F2127)) ) - 1</f>
        <v>7.8388336529944258E-3</v>
      </c>
    </row>
    <row r="2128" spans="1:7" x14ac:dyDescent="0.2">
      <c r="A2128" s="1">
        <v>42174</v>
      </c>
      <c r="B2128">
        <v>0</v>
      </c>
      <c r="C2128" t="s">
        <v>12</v>
      </c>
      <c r="D2128">
        <v>-1.6639999999999999E-3</v>
      </c>
      <c r="E2128">
        <f t="shared" si="66"/>
        <v>0.998336</v>
      </c>
      <c r="F2128" s="1">
        <f t="shared" si="67"/>
        <v>42170</v>
      </c>
      <c r="G2128" cm="1">
        <f t="array" ref="G2128">PRODUCT( _xlfn._xlws.FILTER($E:$E, ($C:$C=C2128)*($F:$F=F2128)) ) - 1</f>
        <v>7.8388336529944258E-3</v>
      </c>
    </row>
    <row r="2129" spans="1:7" x14ac:dyDescent="0.2">
      <c r="A2129" s="1">
        <v>42177</v>
      </c>
      <c r="B2129">
        <v>0</v>
      </c>
      <c r="C2129" t="s">
        <v>12</v>
      </c>
      <c r="D2129">
        <v>1.1110999999999999E-2</v>
      </c>
      <c r="E2129">
        <f t="shared" si="66"/>
        <v>1.0111110000000001</v>
      </c>
      <c r="F2129" s="1">
        <f t="shared" si="67"/>
        <v>42177</v>
      </c>
      <c r="G2129" cm="1">
        <f t="array" ref="G2129">PRODUCT( _xlfn._xlws.FILTER($E:$E, ($C:$C=C2129)*($F:$F=F2129)) ) - 1</f>
        <v>-1.2500545495388815E-2</v>
      </c>
    </row>
    <row r="2130" spans="1:7" x14ac:dyDescent="0.2">
      <c r="A2130" s="1">
        <v>42178</v>
      </c>
      <c r="B2130">
        <v>0</v>
      </c>
      <c r="C2130" t="s">
        <v>12</v>
      </c>
      <c r="D2130">
        <v>1.511E-2</v>
      </c>
      <c r="E2130">
        <f t="shared" si="66"/>
        <v>1.01511</v>
      </c>
      <c r="F2130" s="1">
        <f t="shared" si="67"/>
        <v>42177</v>
      </c>
      <c r="G2130" cm="1">
        <f t="array" ref="G2130">PRODUCT( _xlfn._xlws.FILTER($E:$E, ($C:$C=C2130)*($F:$F=F2130)) ) - 1</f>
        <v>-1.2500545495388815E-2</v>
      </c>
    </row>
    <row r="2131" spans="1:7" x14ac:dyDescent="0.2">
      <c r="A2131" s="1">
        <v>42179</v>
      </c>
      <c r="B2131">
        <v>0</v>
      </c>
      <c r="C2131" t="s">
        <v>12</v>
      </c>
      <c r="D2131">
        <v>-2.4359999999999998E-3</v>
      </c>
      <c r="E2131">
        <f t="shared" si="66"/>
        <v>0.99756400000000001</v>
      </c>
      <c r="F2131" s="1">
        <f t="shared" si="67"/>
        <v>42177</v>
      </c>
      <c r="G2131" cm="1">
        <f t="array" ref="G2131">PRODUCT( _xlfn._xlws.FILTER($E:$E, ($C:$C=C2131)*($F:$F=F2131)) ) - 1</f>
        <v>-1.2500545495388815E-2</v>
      </c>
    </row>
    <row r="2132" spans="1:7" x14ac:dyDescent="0.2">
      <c r="A2132" s="1">
        <v>42180</v>
      </c>
      <c r="B2132">
        <v>0</v>
      </c>
      <c r="C2132" t="s">
        <v>12</v>
      </c>
      <c r="D2132">
        <v>-1.0852000000000001E-2</v>
      </c>
      <c r="E2132">
        <f t="shared" si="66"/>
        <v>0.98914800000000003</v>
      </c>
      <c r="F2132" s="1">
        <f t="shared" si="67"/>
        <v>42177</v>
      </c>
      <c r="G2132" cm="1">
        <f t="array" ref="G2132">PRODUCT( _xlfn._xlws.FILTER($E:$E, ($C:$C=C2132)*($F:$F=F2132)) ) - 1</f>
        <v>-1.2500545495388815E-2</v>
      </c>
    </row>
    <row r="2133" spans="1:7" x14ac:dyDescent="0.2">
      <c r="A2133" s="1">
        <v>42181</v>
      </c>
      <c r="B2133">
        <v>0</v>
      </c>
      <c r="C2133" t="s">
        <v>12</v>
      </c>
      <c r="D2133">
        <v>-2.4958999999999999E-2</v>
      </c>
      <c r="E2133">
        <f t="shared" si="66"/>
        <v>0.97504100000000005</v>
      </c>
      <c r="F2133" s="1">
        <f t="shared" si="67"/>
        <v>42177</v>
      </c>
      <c r="G2133" cm="1">
        <f t="array" ref="G2133">PRODUCT( _xlfn._xlws.FILTER($E:$E, ($C:$C=C2133)*($F:$F=F2133)) ) - 1</f>
        <v>-1.2500545495388815E-2</v>
      </c>
    </row>
    <row r="2134" spans="1:7" x14ac:dyDescent="0.2">
      <c r="A2134" s="1">
        <v>42184</v>
      </c>
      <c r="B2134">
        <v>0</v>
      </c>
      <c r="C2134" t="s">
        <v>12</v>
      </c>
      <c r="D2134">
        <v>-2.0253E-2</v>
      </c>
      <c r="E2134">
        <f t="shared" si="66"/>
        <v>0.97974700000000003</v>
      </c>
      <c r="F2134" s="1">
        <f t="shared" si="67"/>
        <v>42184</v>
      </c>
      <c r="G2134" cm="1">
        <f t="array" ref="G2134">PRODUCT( _xlfn._xlws.FILTER($E:$E, ($C:$C=C2134)*($F:$F=F2134)) ) - 1</f>
        <v>1.6315233312845123E-2</v>
      </c>
    </row>
    <row r="2135" spans="1:7" x14ac:dyDescent="0.2">
      <c r="A2135" s="1">
        <v>42185</v>
      </c>
      <c r="B2135">
        <v>0</v>
      </c>
      <c r="C2135" t="s">
        <v>12</v>
      </c>
      <c r="D2135">
        <v>7.1780000000000004E-3</v>
      </c>
      <c r="E2135">
        <f t="shared" si="66"/>
        <v>1.0071779999999999</v>
      </c>
      <c r="F2135" s="1">
        <f t="shared" si="67"/>
        <v>42184</v>
      </c>
      <c r="G2135" cm="1">
        <f t="array" ref="G2135">PRODUCT( _xlfn._xlws.FILTER($E:$E, ($C:$C=C2135)*($F:$F=F2135)) ) - 1</f>
        <v>1.6315233312845123E-2</v>
      </c>
    </row>
    <row r="2136" spans="1:7" x14ac:dyDescent="0.2">
      <c r="A2136" s="1">
        <v>42187</v>
      </c>
      <c r="B2136">
        <v>0</v>
      </c>
      <c r="C2136" t="s">
        <v>12</v>
      </c>
      <c r="D2136">
        <v>1.0547000000000001E-2</v>
      </c>
      <c r="E2136">
        <f t="shared" si="66"/>
        <v>1.0105470000000001</v>
      </c>
      <c r="F2136" s="1">
        <f t="shared" si="67"/>
        <v>42184</v>
      </c>
      <c r="G2136" cm="1">
        <f t="array" ref="G2136">PRODUCT( _xlfn._xlws.FILTER($E:$E, ($C:$C=C2136)*($F:$F=F2136)) ) - 1</f>
        <v>1.6315233312845123E-2</v>
      </c>
    </row>
    <row r="2137" spans="1:7" x14ac:dyDescent="0.2">
      <c r="A2137" s="1">
        <v>42188</v>
      </c>
      <c r="B2137">
        <v>0</v>
      </c>
      <c r="C2137" t="s">
        <v>12</v>
      </c>
      <c r="D2137">
        <v>1.9182000000000001E-2</v>
      </c>
      <c r="E2137">
        <f t="shared" si="66"/>
        <v>1.019182</v>
      </c>
      <c r="F2137" s="1">
        <f t="shared" si="67"/>
        <v>42184</v>
      </c>
      <c r="G2137" cm="1">
        <f t="array" ref="G2137">PRODUCT( _xlfn._xlws.FILTER($E:$E, ($C:$C=C2137)*($F:$F=F2137)) ) - 1</f>
        <v>1.6315233312845123E-2</v>
      </c>
    </row>
    <row r="2138" spans="1:7" x14ac:dyDescent="0.2">
      <c r="A2138" s="1">
        <v>42191</v>
      </c>
      <c r="B2138">
        <v>0</v>
      </c>
      <c r="C2138" t="s">
        <v>12</v>
      </c>
      <c r="D2138">
        <v>-1.3009E-2</v>
      </c>
      <c r="E2138">
        <f t="shared" si="66"/>
        <v>0.98699099999999995</v>
      </c>
      <c r="F2138" s="1">
        <f t="shared" si="67"/>
        <v>42191</v>
      </c>
      <c r="G2138" cm="1">
        <f t="array" ref="G2138">PRODUCT( _xlfn._xlws.FILTER($E:$E, ($C:$C=C2138)*($F:$F=F2138)) ) - 1</f>
        <v>4.1513069532044256E-3</v>
      </c>
    </row>
    <row r="2139" spans="1:7" x14ac:dyDescent="0.2">
      <c r="A2139" s="1">
        <v>42192</v>
      </c>
      <c r="B2139">
        <v>0</v>
      </c>
      <c r="C2139" t="s">
        <v>12</v>
      </c>
      <c r="D2139">
        <v>4.0100999999999998E-2</v>
      </c>
      <c r="E2139">
        <f t="shared" si="66"/>
        <v>1.0401009999999999</v>
      </c>
      <c r="F2139" s="1">
        <f t="shared" si="67"/>
        <v>42191</v>
      </c>
      <c r="G2139" cm="1">
        <f t="array" ref="G2139">PRODUCT( _xlfn._xlws.FILTER($E:$E, ($C:$C=C2139)*($F:$F=F2139)) ) - 1</f>
        <v>4.1513069532044256E-3</v>
      </c>
    </row>
    <row r="2140" spans="1:7" x14ac:dyDescent="0.2">
      <c r="A2140" s="1">
        <v>42193</v>
      </c>
      <c r="B2140">
        <v>0</v>
      </c>
      <c r="C2140" t="s">
        <v>12</v>
      </c>
      <c r="D2140">
        <v>-2.7501000000000001E-2</v>
      </c>
      <c r="E2140">
        <f t="shared" si="66"/>
        <v>0.972499</v>
      </c>
      <c r="F2140" s="1">
        <f t="shared" si="67"/>
        <v>42191</v>
      </c>
      <c r="G2140" cm="1">
        <f t="array" ref="G2140">PRODUCT( _xlfn._xlws.FILTER($E:$E, ($C:$C=C2140)*($F:$F=F2140)) ) - 1</f>
        <v>4.1513069532044256E-3</v>
      </c>
    </row>
    <row r="2141" spans="1:7" x14ac:dyDescent="0.2">
      <c r="A2141" s="1">
        <v>42194</v>
      </c>
      <c r="B2141">
        <v>0</v>
      </c>
      <c r="C2141" t="s">
        <v>12</v>
      </c>
      <c r="D2141">
        <v>-2.1347000000000001E-2</v>
      </c>
      <c r="E2141">
        <f t="shared" si="66"/>
        <v>0.978653</v>
      </c>
      <c r="F2141" s="1">
        <f t="shared" si="67"/>
        <v>42191</v>
      </c>
      <c r="G2141" cm="1">
        <f t="array" ref="G2141">PRODUCT( _xlfn._xlws.FILTER($E:$E, ($C:$C=C2141)*($F:$F=F2141)) ) - 1</f>
        <v>4.1513069532044256E-3</v>
      </c>
    </row>
    <row r="2142" spans="1:7" x14ac:dyDescent="0.2">
      <c r="A2142" s="1">
        <v>42195</v>
      </c>
      <c r="B2142">
        <v>0</v>
      </c>
      <c r="C2142" t="s">
        <v>12</v>
      </c>
      <c r="D2142">
        <v>2.7761999999999998E-2</v>
      </c>
      <c r="E2142">
        <f t="shared" si="66"/>
        <v>1.0277620000000001</v>
      </c>
      <c r="F2142" s="1">
        <f t="shared" si="67"/>
        <v>42191</v>
      </c>
      <c r="G2142" cm="1">
        <f t="array" ref="G2142">PRODUCT( _xlfn._xlws.FILTER($E:$E, ($C:$C=C2142)*($F:$F=F2142)) ) - 1</f>
        <v>4.1513069532044256E-3</v>
      </c>
    </row>
    <row r="2143" spans="1:7" x14ac:dyDescent="0.2">
      <c r="A2143" s="1">
        <v>42198</v>
      </c>
      <c r="B2143">
        <v>0</v>
      </c>
      <c r="C2143" t="s">
        <v>12</v>
      </c>
      <c r="D2143">
        <v>-7.718E-3</v>
      </c>
      <c r="E2143">
        <f t="shared" si="66"/>
        <v>0.992282</v>
      </c>
      <c r="F2143" s="1">
        <f t="shared" si="67"/>
        <v>42198</v>
      </c>
      <c r="G2143" cm="1">
        <f t="array" ref="G2143">PRODUCT( _xlfn._xlws.FILTER($E:$E, ($C:$C=C2143)*($F:$F=F2143)) ) - 1</f>
        <v>5.3748190240989091E-2</v>
      </c>
    </row>
    <row r="2144" spans="1:7" x14ac:dyDescent="0.2">
      <c r="A2144" s="1">
        <v>42199</v>
      </c>
      <c r="B2144">
        <v>0</v>
      </c>
      <c r="C2144" t="s">
        <v>12</v>
      </c>
      <c r="D2144">
        <v>0.01</v>
      </c>
      <c r="E2144">
        <f t="shared" si="66"/>
        <v>1.01</v>
      </c>
      <c r="F2144" s="1">
        <f t="shared" si="67"/>
        <v>42198</v>
      </c>
      <c r="G2144" cm="1">
        <f t="array" ref="G2144">PRODUCT( _xlfn._xlws.FILTER($E:$E, ($C:$C=C2144)*($F:$F=F2144)) ) - 1</f>
        <v>5.3748190240989091E-2</v>
      </c>
    </row>
    <row r="2145" spans="1:7" x14ac:dyDescent="0.2">
      <c r="A2145" s="1">
        <v>42200</v>
      </c>
      <c r="B2145">
        <v>0</v>
      </c>
      <c r="C2145" t="s">
        <v>12</v>
      </c>
      <c r="D2145">
        <v>2.3102000000000001E-2</v>
      </c>
      <c r="E2145">
        <f t="shared" si="66"/>
        <v>1.023102</v>
      </c>
      <c r="F2145" s="1">
        <f t="shared" si="67"/>
        <v>42198</v>
      </c>
      <c r="G2145" cm="1">
        <f t="array" ref="G2145">PRODUCT( _xlfn._xlws.FILTER($E:$E, ($C:$C=C2145)*($F:$F=F2145)) ) - 1</f>
        <v>5.3748190240989091E-2</v>
      </c>
    </row>
    <row r="2146" spans="1:7" x14ac:dyDescent="0.2">
      <c r="A2146" s="1">
        <v>42201</v>
      </c>
      <c r="B2146">
        <v>0</v>
      </c>
      <c r="C2146" t="s">
        <v>12</v>
      </c>
      <c r="D2146">
        <v>3.1182999999999999E-2</v>
      </c>
      <c r="E2146">
        <f t="shared" si="66"/>
        <v>1.031183</v>
      </c>
      <c r="F2146" s="1">
        <f t="shared" si="67"/>
        <v>42198</v>
      </c>
      <c r="G2146" cm="1">
        <f t="array" ref="G2146">PRODUCT( _xlfn._xlws.FILTER($E:$E, ($C:$C=C2146)*($F:$F=F2146)) ) - 1</f>
        <v>5.3748190240989091E-2</v>
      </c>
    </row>
    <row r="2147" spans="1:7" x14ac:dyDescent="0.2">
      <c r="A2147" s="1">
        <v>42202</v>
      </c>
      <c r="B2147">
        <v>0</v>
      </c>
      <c r="C2147" t="s">
        <v>12</v>
      </c>
      <c r="D2147">
        <v>-3.3890000000000001E-3</v>
      </c>
      <c r="E2147">
        <f t="shared" si="66"/>
        <v>0.99661100000000002</v>
      </c>
      <c r="F2147" s="1">
        <f t="shared" si="67"/>
        <v>42198</v>
      </c>
      <c r="G2147" cm="1">
        <f t="array" ref="G2147">PRODUCT( _xlfn._xlws.FILTER($E:$E, ($C:$C=C2147)*($F:$F=F2147)) ) - 1</f>
        <v>5.3748190240989091E-2</v>
      </c>
    </row>
    <row r="2148" spans="1:7" x14ac:dyDescent="0.2">
      <c r="A2148" s="1">
        <v>42205</v>
      </c>
      <c r="B2148">
        <v>0</v>
      </c>
      <c r="C2148" t="s">
        <v>12</v>
      </c>
      <c r="D2148">
        <v>-1.4125E-2</v>
      </c>
      <c r="E2148">
        <f t="shared" si="66"/>
        <v>0.98587499999999995</v>
      </c>
      <c r="F2148" s="1">
        <f t="shared" si="67"/>
        <v>42205</v>
      </c>
      <c r="G2148" cm="1">
        <f t="array" ref="G2148">PRODUCT( _xlfn._xlws.FILTER($E:$E, ($C:$C=C2148)*($F:$F=F2148)) ) - 1</f>
        <v>-4.1591194340291349E-2</v>
      </c>
    </row>
    <row r="2149" spans="1:7" x14ac:dyDescent="0.2">
      <c r="A2149" s="1">
        <v>42206</v>
      </c>
      <c r="B2149">
        <v>0</v>
      </c>
      <c r="C2149" t="s">
        <v>12</v>
      </c>
      <c r="D2149">
        <v>-2.4410000000000001E-2</v>
      </c>
      <c r="E2149">
        <f t="shared" si="66"/>
        <v>0.97558999999999996</v>
      </c>
      <c r="F2149" s="1">
        <f t="shared" si="67"/>
        <v>42205</v>
      </c>
      <c r="G2149" cm="1">
        <f t="array" ref="G2149">PRODUCT( _xlfn._xlws.FILTER($E:$E, ($C:$C=C2149)*($F:$F=F2149)) ) - 1</f>
        <v>-4.1591194340291349E-2</v>
      </c>
    </row>
    <row r="2150" spans="1:7" x14ac:dyDescent="0.2">
      <c r="A2150" s="1">
        <v>42207</v>
      </c>
      <c r="B2150">
        <v>0</v>
      </c>
      <c r="C2150" t="s">
        <v>12</v>
      </c>
      <c r="D2150">
        <v>5.9829999999999996E-3</v>
      </c>
      <c r="E2150">
        <f t="shared" si="66"/>
        <v>1.0059830000000001</v>
      </c>
      <c r="F2150" s="1">
        <f t="shared" si="67"/>
        <v>42205</v>
      </c>
      <c r="G2150" cm="1">
        <f t="array" ref="G2150">PRODUCT( _xlfn._xlws.FILTER($E:$E, ($C:$C=C2150)*($F:$F=F2150)) ) - 1</f>
        <v>-4.1591194340291349E-2</v>
      </c>
    </row>
    <row r="2151" spans="1:7" x14ac:dyDescent="0.2">
      <c r="A2151" s="1">
        <v>42208</v>
      </c>
      <c r="B2151">
        <v>0</v>
      </c>
      <c r="C2151" t="s">
        <v>12</v>
      </c>
      <c r="D2151">
        <v>-1.0272999999999999E-2</v>
      </c>
      <c r="E2151">
        <f t="shared" si="66"/>
        <v>0.98972700000000002</v>
      </c>
      <c r="F2151" s="1">
        <f t="shared" si="67"/>
        <v>42205</v>
      </c>
      <c r="G2151" cm="1">
        <f t="array" ref="G2151">PRODUCT( _xlfn._xlws.FILTER($E:$E, ($C:$C=C2151)*($F:$F=F2151)) ) - 1</f>
        <v>-4.1591194340291349E-2</v>
      </c>
    </row>
    <row r="2152" spans="1:7" x14ac:dyDescent="0.2">
      <c r="A2152" s="1">
        <v>42209</v>
      </c>
      <c r="B2152">
        <v>0</v>
      </c>
      <c r="C2152" t="s">
        <v>12</v>
      </c>
      <c r="D2152">
        <v>8.1899999999999996E-4</v>
      </c>
      <c r="E2152">
        <f t="shared" si="66"/>
        <v>1.0008189999999999</v>
      </c>
      <c r="F2152" s="1">
        <f t="shared" si="67"/>
        <v>42205</v>
      </c>
      <c r="G2152" cm="1">
        <f t="array" ref="G2152">PRODUCT( _xlfn._xlws.FILTER($E:$E, ($C:$C=C2152)*($F:$F=F2152)) ) - 1</f>
        <v>-4.1591194340291349E-2</v>
      </c>
    </row>
    <row r="2153" spans="1:7" x14ac:dyDescent="0.2">
      <c r="A2153" s="1">
        <v>42212</v>
      </c>
      <c r="B2153">
        <v>0</v>
      </c>
      <c r="C2153" t="s">
        <v>12</v>
      </c>
      <c r="D2153">
        <v>-7.0959999999999999E-3</v>
      </c>
      <c r="E2153">
        <f t="shared" si="66"/>
        <v>0.99290400000000001</v>
      </c>
      <c r="F2153" s="1">
        <f t="shared" si="67"/>
        <v>42212</v>
      </c>
      <c r="G2153" cm="1">
        <f t="array" ref="G2153">PRODUCT( _xlfn._xlws.FILTER($E:$E, ($C:$C=C2153)*($F:$F=F2153)) ) - 1</f>
        <v>2.2107046663815799E-2</v>
      </c>
    </row>
    <row r="2154" spans="1:7" x14ac:dyDescent="0.2">
      <c r="A2154" s="1">
        <v>42213</v>
      </c>
      <c r="B2154">
        <v>0</v>
      </c>
      <c r="C2154" t="s">
        <v>12</v>
      </c>
      <c r="D2154">
        <v>-8.25E-4</v>
      </c>
      <c r="E2154">
        <f t="shared" si="66"/>
        <v>0.99917500000000004</v>
      </c>
      <c r="F2154" s="1">
        <f t="shared" si="67"/>
        <v>42212</v>
      </c>
      <c r="G2154" cm="1">
        <f t="array" ref="G2154">PRODUCT( _xlfn._xlws.FILTER($E:$E, ($C:$C=C2154)*($F:$F=F2154)) ) - 1</f>
        <v>2.2107046663815799E-2</v>
      </c>
    </row>
    <row r="2155" spans="1:7" x14ac:dyDescent="0.2">
      <c r="A2155" s="1">
        <v>42214</v>
      </c>
      <c r="B2155">
        <v>0</v>
      </c>
      <c r="C2155" t="s">
        <v>12</v>
      </c>
      <c r="D2155">
        <v>7.1529999999999996E-3</v>
      </c>
      <c r="E2155">
        <f t="shared" si="66"/>
        <v>1.007153</v>
      </c>
      <c r="F2155" s="1">
        <f t="shared" si="67"/>
        <v>42212</v>
      </c>
      <c r="G2155" cm="1">
        <f t="array" ref="G2155">PRODUCT( _xlfn._xlws.FILTER($E:$E, ($C:$C=C2155)*($F:$F=F2155)) ) - 1</f>
        <v>2.2107046663815799E-2</v>
      </c>
    </row>
    <row r="2156" spans="1:7" x14ac:dyDescent="0.2">
      <c r="A2156" s="1">
        <v>42215</v>
      </c>
      <c r="B2156">
        <v>0</v>
      </c>
      <c r="C2156" t="s">
        <v>12</v>
      </c>
      <c r="D2156">
        <v>-1.5842999999999999E-2</v>
      </c>
      <c r="E2156">
        <f t="shared" si="66"/>
        <v>0.98415699999999995</v>
      </c>
      <c r="F2156" s="1">
        <f t="shared" si="67"/>
        <v>42212</v>
      </c>
      <c r="G2156" cm="1">
        <f t="array" ref="G2156">PRODUCT( _xlfn._xlws.FILTER($E:$E, ($C:$C=C2156)*($F:$F=F2156)) ) - 1</f>
        <v>2.2107046663815799E-2</v>
      </c>
    </row>
    <row r="2157" spans="1:7" x14ac:dyDescent="0.2">
      <c r="A2157" s="1">
        <v>42216</v>
      </c>
      <c r="B2157">
        <v>0</v>
      </c>
      <c r="C2157" t="s">
        <v>12</v>
      </c>
      <c r="D2157">
        <v>3.9412000000000003E-2</v>
      </c>
      <c r="E2157">
        <f t="shared" si="66"/>
        <v>1.039412</v>
      </c>
      <c r="F2157" s="1">
        <f t="shared" si="67"/>
        <v>42212</v>
      </c>
      <c r="G2157" cm="1">
        <f t="array" ref="G2157">PRODUCT( _xlfn._xlws.FILTER($E:$E, ($C:$C=C2157)*($F:$F=F2157)) ) - 1</f>
        <v>2.2107046663815799E-2</v>
      </c>
    </row>
    <row r="2158" spans="1:7" x14ac:dyDescent="0.2">
      <c r="A2158" s="1">
        <v>42220</v>
      </c>
      <c r="B2158">
        <v>0</v>
      </c>
      <c r="C2158" t="s">
        <v>12</v>
      </c>
      <c r="D2158">
        <v>3.4710000000000001E-3</v>
      </c>
      <c r="E2158">
        <f t="shared" si="66"/>
        <v>1.003471</v>
      </c>
      <c r="F2158" s="1">
        <f t="shared" si="67"/>
        <v>42219</v>
      </c>
      <c r="G2158" cm="1">
        <f t="array" ref="G2158">PRODUCT( _xlfn._xlws.FILTER($E:$E, ($C:$C=C2158)*($F:$F=F2158)) ) - 1</f>
        <v>-5.8756210539947507E-3</v>
      </c>
    </row>
    <row r="2159" spans="1:7" x14ac:dyDescent="0.2">
      <c r="A2159" s="1">
        <v>42221</v>
      </c>
      <c r="B2159">
        <v>0</v>
      </c>
      <c r="C2159" t="s">
        <v>12</v>
      </c>
      <c r="D2159">
        <v>-3.9919999999999999E-3</v>
      </c>
      <c r="E2159">
        <f t="shared" si="66"/>
        <v>0.996008</v>
      </c>
      <c r="F2159" s="1">
        <f t="shared" si="67"/>
        <v>42219</v>
      </c>
      <c r="G2159" cm="1">
        <f t="array" ref="G2159">PRODUCT( _xlfn._xlws.FILTER($E:$E, ($C:$C=C2159)*($F:$F=F2159)) ) - 1</f>
        <v>-5.8756210539947507E-3</v>
      </c>
    </row>
    <row r="2160" spans="1:7" x14ac:dyDescent="0.2">
      <c r="A2160" s="1">
        <v>42222</v>
      </c>
      <c r="B2160">
        <v>0</v>
      </c>
      <c r="C2160" t="s">
        <v>12</v>
      </c>
      <c r="D2160">
        <v>5.0759999999999998E-3</v>
      </c>
      <c r="E2160">
        <f t="shared" si="66"/>
        <v>1.0050760000000001</v>
      </c>
      <c r="F2160" s="1">
        <f t="shared" si="67"/>
        <v>42219</v>
      </c>
      <c r="G2160" cm="1">
        <f t="array" ref="G2160">PRODUCT( _xlfn._xlws.FILTER($E:$E, ($C:$C=C2160)*($F:$F=F2160)) ) - 1</f>
        <v>-5.8756210539947507E-3</v>
      </c>
    </row>
    <row r="2161" spans="1:7" x14ac:dyDescent="0.2">
      <c r="A2161" s="1">
        <v>42223</v>
      </c>
      <c r="B2161">
        <v>0</v>
      </c>
      <c r="C2161" t="s">
        <v>12</v>
      </c>
      <c r="D2161">
        <v>-1.0366999999999999E-2</v>
      </c>
      <c r="E2161">
        <f t="shared" si="66"/>
        <v>0.98963299999999998</v>
      </c>
      <c r="F2161" s="1">
        <f t="shared" si="67"/>
        <v>42219</v>
      </c>
      <c r="G2161" cm="1">
        <f t="array" ref="G2161">PRODUCT( _xlfn._xlws.FILTER($E:$E, ($C:$C=C2161)*($F:$F=F2161)) ) - 1</f>
        <v>-5.8756210539947507E-3</v>
      </c>
    </row>
    <row r="2162" spans="1:7" x14ac:dyDescent="0.2">
      <c r="A2162" s="1">
        <v>42226</v>
      </c>
      <c r="B2162">
        <v>0</v>
      </c>
      <c r="C2162" t="s">
        <v>12</v>
      </c>
      <c r="D2162">
        <v>1.3698999999999999E-2</v>
      </c>
      <c r="E2162">
        <f t="shared" si="66"/>
        <v>1.0136989999999999</v>
      </c>
      <c r="F2162" s="1">
        <f t="shared" si="67"/>
        <v>42226</v>
      </c>
      <c r="G2162" cm="1">
        <f t="array" ref="G2162">PRODUCT( _xlfn._xlws.FILTER($E:$E, ($C:$C=C2162)*($F:$F=F2162)) ) - 1</f>
        <v>3.9485712419708996E-2</v>
      </c>
    </row>
    <row r="2163" spans="1:7" x14ac:dyDescent="0.2">
      <c r="A2163" s="1">
        <v>42227</v>
      </c>
      <c r="B2163">
        <v>0</v>
      </c>
      <c r="C2163" t="s">
        <v>12</v>
      </c>
      <c r="D2163">
        <v>1.1394E-2</v>
      </c>
      <c r="E2163">
        <f t="shared" si="66"/>
        <v>1.0113939999999999</v>
      </c>
      <c r="F2163" s="1">
        <f t="shared" si="67"/>
        <v>42226</v>
      </c>
      <c r="G2163" cm="1">
        <f t="array" ref="G2163">PRODUCT( _xlfn._xlws.FILTER($E:$E, ($C:$C=C2163)*($F:$F=F2163)) ) - 1</f>
        <v>3.9485712419708996E-2</v>
      </c>
    </row>
    <row r="2164" spans="1:7" x14ac:dyDescent="0.2">
      <c r="A2164" s="1">
        <v>42228</v>
      </c>
      <c r="B2164">
        <v>0</v>
      </c>
      <c r="C2164" t="s">
        <v>12</v>
      </c>
      <c r="D2164">
        <v>9.9559999999999996E-3</v>
      </c>
      <c r="E2164">
        <f t="shared" si="66"/>
        <v>1.0099560000000001</v>
      </c>
      <c r="F2164" s="1">
        <f t="shared" si="67"/>
        <v>42226</v>
      </c>
      <c r="G2164" cm="1">
        <f t="array" ref="G2164">PRODUCT( _xlfn._xlws.FILTER($E:$E, ($C:$C=C2164)*($F:$F=F2164)) ) - 1</f>
        <v>3.9485712419708996E-2</v>
      </c>
    </row>
    <row r="2165" spans="1:7" x14ac:dyDescent="0.2">
      <c r="A2165" s="1">
        <v>42229</v>
      </c>
      <c r="B2165">
        <v>0</v>
      </c>
      <c r="C2165" t="s">
        <v>12</v>
      </c>
      <c r="D2165">
        <v>-9.5980000000000006E-3</v>
      </c>
      <c r="E2165">
        <f t="shared" si="66"/>
        <v>0.990402</v>
      </c>
      <c r="F2165" s="1">
        <f t="shared" si="67"/>
        <v>42226</v>
      </c>
      <c r="G2165" cm="1">
        <f t="array" ref="G2165">PRODUCT( _xlfn._xlws.FILTER($E:$E, ($C:$C=C2165)*($F:$F=F2165)) ) - 1</f>
        <v>3.9485712419708996E-2</v>
      </c>
    </row>
    <row r="2166" spans="1:7" x14ac:dyDescent="0.2">
      <c r="A2166" s="1">
        <v>42230</v>
      </c>
      <c r="B2166">
        <v>0</v>
      </c>
      <c r="C2166" t="s">
        <v>12</v>
      </c>
      <c r="D2166">
        <v>1.362E-2</v>
      </c>
      <c r="E2166">
        <f t="shared" si="66"/>
        <v>1.01362</v>
      </c>
      <c r="F2166" s="1">
        <f t="shared" si="67"/>
        <v>42226</v>
      </c>
      <c r="G2166" cm="1">
        <f t="array" ref="G2166">PRODUCT( _xlfn._xlws.FILTER($E:$E, ($C:$C=C2166)*($F:$F=F2166)) ) - 1</f>
        <v>3.9485712419708996E-2</v>
      </c>
    </row>
    <row r="2167" spans="1:7" x14ac:dyDescent="0.2">
      <c r="A2167" s="1">
        <v>42233</v>
      </c>
      <c r="B2167">
        <v>0</v>
      </c>
      <c r="C2167" t="s">
        <v>12</v>
      </c>
      <c r="D2167">
        <v>3.359E-3</v>
      </c>
      <c r="E2167">
        <f t="shared" si="66"/>
        <v>1.0033589999999999</v>
      </c>
      <c r="F2167" s="1">
        <f t="shared" si="67"/>
        <v>42233</v>
      </c>
      <c r="G2167" cm="1">
        <f t="array" ref="G2167">PRODUCT( _xlfn._xlws.FILTER($E:$E, ($C:$C=C2167)*($F:$F=F2167)) ) - 1</f>
        <v>-5.3469123774323446E-2</v>
      </c>
    </row>
    <row r="2168" spans="1:7" x14ac:dyDescent="0.2">
      <c r="A2168" s="1">
        <v>42234</v>
      </c>
      <c r="B2168">
        <v>0</v>
      </c>
      <c r="C2168" t="s">
        <v>12</v>
      </c>
      <c r="D2168">
        <v>-5.1960000000000001E-3</v>
      </c>
      <c r="E2168">
        <f t="shared" si="66"/>
        <v>0.99480400000000002</v>
      </c>
      <c r="F2168" s="1">
        <f t="shared" si="67"/>
        <v>42233</v>
      </c>
      <c r="G2168" cm="1">
        <f t="array" ref="G2168">PRODUCT( _xlfn._xlws.FILTER($E:$E, ($C:$C=C2168)*($F:$F=F2168)) ) - 1</f>
        <v>-5.3469123774323446E-2</v>
      </c>
    </row>
    <row r="2169" spans="1:7" x14ac:dyDescent="0.2">
      <c r="A2169" s="1">
        <v>42235</v>
      </c>
      <c r="B2169">
        <v>0</v>
      </c>
      <c r="C2169" t="s">
        <v>12</v>
      </c>
      <c r="D2169">
        <v>6.79E-3</v>
      </c>
      <c r="E2169">
        <f t="shared" si="66"/>
        <v>1.0067900000000001</v>
      </c>
      <c r="F2169" s="1">
        <f t="shared" si="67"/>
        <v>42233</v>
      </c>
      <c r="G2169" cm="1">
        <f t="array" ref="G2169">PRODUCT( _xlfn._xlws.FILTER($E:$E, ($C:$C=C2169)*($F:$F=F2169)) ) - 1</f>
        <v>-5.3469123774323446E-2</v>
      </c>
    </row>
    <row r="2170" spans="1:7" x14ac:dyDescent="0.2">
      <c r="A2170" s="1">
        <v>42236</v>
      </c>
      <c r="B2170">
        <v>0</v>
      </c>
      <c r="C2170" t="s">
        <v>12</v>
      </c>
      <c r="D2170">
        <v>-3.3722000000000002E-2</v>
      </c>
      <c r="E2170">
        <f t="shared" si="66"/>
        <v>0.96627799999999997</v>
      </c>
      <c r="F2170" s="1">
        <f t="shared" si="67"/>
        <v>42233</v>
      </c>
      <c r="G2170" cm="1">
        <f t="array" ref="G2170">PRODUCT( _xlfn._xlws.FILTER($E:$E, ($C:$C=C2170)*($F:$F=F2170)) ) - 1</f>
        <v>-5.3469123774323446E-2</v>
      </c>
    </row>
    <row r="2171" spans="1:7" x14ac:dyDescent="0.2">
      <c r="A2171" s="1">
        <v>42237</v>
      </c>
      <c r="B2171">
        <v>0</v>
      </c>
      <c r="C2171" t="s">
        <v>12</v>
      </c>
      <c r="D2171">
        <v>-2.5235E-2</v>
      </c>
      <c r="E2171">
        <f t="shared" si="66"/>
        <v>0.97476499999999999</v>
      </c>
      <c r="F2171" s="1">
        <f t="shared" si="67"/>
        <v>42233</v>
      </c>
      <c r="G2171" cm="1">
        <f t="array" ref="G2171">PRODUCT( _xlfn._xlws.FILTER($E:$E, ($C:$C=C2171)*($F:$F=F2171)) ) - 1</f>
        <v>-5.3469123774323446E-2</v>
      </c>
    </row>
    <row r="2172" spans="1:7" x14ac:dyDescent="0.2">
      <c r="A2172" s="1">
        <v>42240</v>
      </c>
      <c r="B2172">
        <v>0</v>
      </c>
      <c r="C2172" t="s">
        <v>12</v>
      </c>
      <c r="D2172">
        <v>-4.0759999999999998E-2</v>
      </c>
      <c r="E2172">
        <f t="shared" si="66"/>
        <v>0.95923999999999998</v>
      </c>
      <c r="F2172" s="1">
        <f t="shared" si="67"/>
        <v>42240</v>
      </c>
      <c r="G2172" cm="1">
        <f t="array" ref="G2172">PRODUCT( _xlfn._xlws.FILTER($E:$E, ($C:$C=C2172)*($F:$F=F2172)) ) - 1</f>
        <v>2.7540874213445976E-2</v>
      </c>
    </row>
    <row r="2173" spans="1:7" x14ac:dyDescent="0.2">
      <c r="A2173" s="1">
        <v>42241</v>
      </c>
      <c r="B2173">
        <v>0</v>
      </c>
      <c r="C2173" t="s">
        <v>12</v>
      </c>
      <c r="D2173">
        <v>8.3260000000000001E-3</v>
      </c>
      <c r="E2173">
        <f t="shared" si="66"/>
        <v>1.0083260000000001</v>
      </c>
      <c r="F2173" s="1">
        <f t="shared" si="67"/>
        <v>42240</v>
      </c>
      <c r="G2173" cm="1">
        <f t="array" ref="G2173">PRODUCT( _xlfn._xlws.FILTER($E:$E, ($C:$C=C2173)*($F:$F=F2173)) ) - 1</f>
        <v>2.7540874213445976E-2</v>
      </c>
    </row>
    <row r="2174" spans="1:7" x14ac:dyDescent="0.2">
      <c r="A2174" s="1">
        <v>42242</v>
      </c>
      <c r="B2174">
        <v>0</v>
      </c>
      <c r="C2174" t="s">
        <v>12</v>
      </c>
      <c r="D2174">
        <v>3.0752000000000002E-2</v>
      </c>
      <c r="E2174">
        <f t="shared" si="66"/>
        <v>1.0307520000000001</v>
      </c>
      <c r="F2174" s="1">
        <f t="shared" si="67"/>
        <v>42240</v>
      </c>
      <c r="G2174" cm="1">
        <f t="array" ref="G2174">PRODUCT( _xlfn._xlws.FILTER($E:$E, ($C:$C=C2174)*($F:$F=F2174)) ) - 1</f>
        <v>2.7540874213445976E-2</v>
      </c>
    </row>
    <row r="2175" spans="1:7" x14ac:dyDescent="0.2">
      <c r="A2175" s="1">
        <v>42243</v>
      </c>
      <c r="B2175">
        <v>0</v>
      </c>
      <c r="C2175" t="s">
        <v>12</v>
      </c>
      <c r="D2175">
        <v>3.8398000000000002E-2</v>
      </c>
      <c r="E2175">
        <f t="shared" si="66"/>
        <v>1.0383979999999999</v>
      </c>
      <c r="F2175" s="1">
        <f t="shared" si="67"/>
        <v>42240</v>
      </c>
      <c r="G2175" cm="1">
        <f t="array" ref="G2175">PRODUCT( _xlfn._xlws.FILTER($E:$E, ($C:$C=C2175)*($F:$F=F2175)) ) - 1</f>
        <v>2.7540874213445976E-2</v>
      </c>
    </row>
    <row r="2176" spans="1:7" x14ac:dyDescent="0.2">
      <c r="A2176" s="1">
        <v>42244</v>
      </c>
      <c r="B2176">
        <v>0</v>
      </c>
      <c r="C2176" t="s">
        <v>12</v>
      </c>
      <c r="D2176">
        <v>-7.4489999999999999E-3</v>
      </c>
      <c r="E2176">
        <f t="shared" si="66"/>
        <v>0.99255099999999996</v>
      </c>
      <c r="F2176" s="1">
        <f t="shared" si="67"/>
        <v>42240</v>
      </c>
      <c r="G2176" cm="1">
        <f t="array" ref="G2176">PRODUCT( _xlfn._xlws.FILTER($E:$E, ($C:$C=C2176)*($F:$F=F2176)) ) - 1</f>
        <v>2.7540874213445976E-2</v>
      </c>
    </row>
    <row r="2177" spans="1:7" x14ac:dyDescent="0.2">
      <c r="A2177" s="1">
        <v>42247</v>
      </c>
      <c r="B2177">
        <v>0</v>
      </c>
      <c r="C2177" t="s">
        <v>12</v>
      </c>
      <c r="D2177">
        <v>-4.342E-2</v>
      </c>
      <c r="E2177">
        <f t="shared" si="66"/>
        <v>0.95657999999999999</v>
      </c>
      <c r="F2177" s="1">
        <f t="shared" si="67"/>
        <v>42247</v>
      </c>
      <c r="G2177" cm="1">
        <f t="array" ref="G2177">PRODUCT( _xlfn._xlws.FILTER($E:$E, ($C:$C=C2177)*($F:$F=F2177)) ) - 1</f>
        <v>-6.3522627942458443E-2</v>
      </c>
    </row>
    <row r="2178" spans="1:7" x14ac:dyDescent="0.2">
      <c r="A2178" s="1">
        <v>42248</v>
      </c>
      <c r="B2178">
        <v>0</v>
      </c>
      <c r="C2178" t="s">
        <v>12</v>
      </c>
      <c r="D2178">
        <v>-1.1488E-2</v>
      </c>
      <c r="E2178">
        <f t="shared" si="66"/>
        <v>0.98851199999999995</v>
      </c>
      <c r="F2178" s="1">
        <f t="shared" si="67"/>
        <v>42247</v>
      </c>
      <c r="G2178" cm="1">
        <f t="array" ref="G2178">PRODUCT( _xlfn._xlws.FILTER($E:$E, ($C:$C=C2178)*($F:$F=F2178)) ) - 1</f>
        <v>-6.3522627942458443E-2</v>
      </c>
    </row>
    <row r="2179" spans="1:7" x14ac:dyDescent="0.2">
      <c r="A2179" s="1">
        <v>42249</v>
      </c>
      <c r="B2179">
        <v>0</v>
      </c>
      <c r="C2179" t="s">
        <v>12</v>
      </c>
      <c r="D2179">
        <v>-2.8912E-2</v>
      </c>
      <c r="E2179">
        <f t="shared" si="66"/>
        <v>0.97108799999999995</v>
      </c>
      <c r="F2179" s="1">
        <f t="shared" si="67"/>
        <v>42247</v>
      </c>
      <c r="G2179" cm="1">
        <f t="array" ref="G2179">PRODUCT( _xlfn._xlws.FILTER($E:$E, ($C:$C=C2179)*($F:$F=F2179)) ) - 1</f>
        <v>-6.3522627942458443E-2</v>
      </c>
    </row>
    <row r="2180" spans="1:7" x14ac:dyDescent="0.2">
      <c r="A2180" s="1">
        <v>42250</v>
      </c>
      <c r="B2180">
        <v>0</v>
      </c>
      <c r="C2180" t="s">
        <v>12</v>
      </c>
      <c r="D2180">
        <v>2.2766999999999999E-2</v>
      </c>
      <c r="E2180">
        <f t="shared" ref="E2180:E2243" si="68">D2180+1</f>
        <v>1.022767</v>
      </c>
      <c r="F2180" s="1">
        <f t="shared" ref="F2180:F2243" si="69">A2180 - (WEEKDAY(A2180, 2) - 1)</f>
        <v>42247</v>
      </c>
      <c r="G2180" cm="1">
        <f t="array" ref="G2180">PRODUCT( _xlfn._xlws.FILTER($E:$E, ($C:$C=C2180)*($F:$F=F2180)) ) - 1</f>
        <v>-6.3522627942458443E-2</v>
      </c>
    </row>
    <row r="2181" spans="1:7" x14ac:dyDescent="0.2">
      <c r="A2181" s="1">
        <v>42251</v>
      </c>
      <c r="B2181">
        <v>0</v>
      </c>
      <c r="C2181" t="s">
        <v>12</v>
      </c>
      <c r="D2181">
        <v>-2.8540000000000002E-3</v>
      </c>
      <c r="E2181">
        <f t="shared" si="68"/>
        <v>0.99714599999999998</v>
      </c>
      <c r="F2181" s="1">
        <f t="shared" si="69"/>
        <v>42247</v>
      </c>
      <c r="G2181" cm="1">
        <f t="array" ref="G2181">PRODUCT( _xlfn._xlws.FILTER($E:$E, ($C:$C=C2181)*($F:$F=F2181)) ) - 1</f>
        <v>-6.3522627942458443E-2</v>
      </c>
    </row>
    <row r="2182" spans="1:7" x14ac:dyDescent="0.2">
      <c r="A2182" s="1">
        <v>42255</v>
      </c>
      <c r="B2182">
        <v>0</v>
      </c>
      <c r="C2182" t="s">
        <v>12</v>
      </c>
      <c r="D2182">
        <v>8.8719999999999997E-3</v>
      </c>
      <c r="E2182">
        <f t="shared" si="68"/>
        <v>1.008872</v>
      </c>
      <c r="F2182" s="1">
        <f t="shared" si="69"/>
        <v>42254</v>
      </c>
      <c r="G2182" cm="1">
        <f t="array" ref="G2182">PRODUCT( _xlfn._xlws.FILTER($E:$E, ($C:$C=C2182)*($F:$F=F2182)) ) - 1</f>
        <v>8.0136985625101076E-3</v>
      </c>
    </row>
    <row r="2183" spans="1:7" x14ac:dyDescent="0.2">
      <c r="A2183" s="1">
        <v>42256</v>
      </c>
      <c r="B2183">
        <v>0</v>
      </c>
      <c r="C2183" t="s">
        <v>12</v>
      </c>
      <c r="D2183">
        <v>-4.2550000000000001E-3</v>
      </c>
      <c r="E2183">
        <f t="shared" si="68"/>
        <v>0.99574499999999999</v>
      </c>
      <c r="F2183" s="1">
        <f t="shared" si="69"/>
        <v>42254</v>
      </c>
      <c r="G2183" cm="1">
        <f t="array" ref="G2183">PRODUCT( _xlfn._xlws.FILTER($E:$E, ($C:$C=C2183)*($F:$F=F2183)) ) - 1</f>
        <v>8.0136985625101076E-3</v>
      </c>
    </row>
    <row r="2184" spans="1:7" x14ac:dyDescent="0.2">
      <c r="A2184" s="1">
        <v>42257</v>
      </c>
      <c r="B2184">
        <v>0</v>
      </c>
      <c r="C2184" t="s">
        <v>12</v>
      </c>
      <c r="D2184">
        <v>-4.8430000000000001E-3</v>
      </c>
      <c r="E2184">
        <f t="shared" si="68"/>
        <v>0.99515699999999996</v>
      </c>
      <c r="F2184" s="1">
        <f t="shared" si="69"/>
        <v>42254</v>
      </c>
      <c r="G2184" cm="1">
        <f t="array" ref="G2184">PRODUCT( _xlfn._xlws.FILTER($E:$E, ($C:$C=C2184)*($F:$F=F2184)) ) - 1</f>
        <v>8.0136985625101076E-3</v>
      </c>
    </row>
    <row r="2185" spans="1:7" x14ac:dyDescent="0.2">
      <c r="A2185" s="1">
        <v>42258</v>
      </c>
      <c r="B2185">
        <v>0</v>
      </c>
      <c r="C2185" t="s">
        <v>12</v>
      </c>
      <c r="D2185">
        <v>8.3020000000000004E-3</v>
      </c>
      <c r="E2185">
        <f t="shared" si="68"/>
        <v>1.008302</v>
      </c>
      <c r="F2185" s="1">
        <f t="shared" si="69"/>
        <v>42254</v>
      </c>
      <c r="G2185" cm="1">
        <f t="array" ref="G2185">PRODUCT( _xlfn._xlws.FILTER($E:$E, ($C:$C=C2185)*($F:$F=F2185)) ) - 1</f>
        <v>8.0136985625101076E-3</v>
      </c>
    </row>
    <row r="2186" spans="1:7" x14ac:dyDescent="0.2">
      <c r="A2186" s="1">
        <v>42261</v>
      </c>
      <c r="B2186">
        <v>0</v>
      </c>
      <c r="C2186" t="s">
        <v>12</v>
      </c>
      <c r="D2186">
        <v>-5.1110000000000001E-3</v>
      </c>
      <c r="E2186">
        <f t="shared" si="68"/>
        <v>0.99488900000000002</v>
      </c>
      <c r="F2186" s="1">
        <f t="shared" si="69"/>
        <v>42261</v>
      </c>
      <c r="G2186" cm="1">
        <f t="array" ref="G2186">PRODUCT( _xlfn._xlws.FILTER($E:$E, ($C:$C=C2186)*($F:$F=F2186)) ) - 1</f>
        <v>3.946594790096003E-2</v>
      </c>
    </row>
    <row r="2187" spans="1:7" x14ac:dyDescent="0.2">
      <c r="A2187" s="1">
        <v>42262</v>
      </c>
      <c r="B2187">
        <v>0</v>
      </c>
      <c r="C2187" t="s">
        <v>12</v>
      </c>
      <c r="D2187">
        <v>3.3675999999999998E-2</v>
      </c>
      <c r="E2187">
        <f t="shared" si="68"/>
        <v>1.033676</v>
      </c>
      <c r="F2187" s="1">
        <f t="shared" si="69"/>
        <v>42261</v>
      </c>
      <c r="G2187" cm="1">
        <f t="array" ref="G2187">PRODUCT( _xlfn._xlws.FILTER($E:$E, ($C:$C=C2187)*($F:$F=F2187)) ) - 1</f>
        <v>3.946594790096003E-2</v>
      </c>
    </row>
    <row r="2188" spans="1:7" x14ac:dyDescent="0.2">
      <c r="A2188" s="1">
        <v>42263</v>
      </c>
      <c r="B2188">
        <v>0</v>
      </c>
      <c r="C2188" t="s">
        <v>12</v>
      </c>
      <c r="D2188">
        <v>1.1596E-2</v>
      </c>
      <c r="E2188">
        <f t="shared" si="68"/>
        <v>1.0115959999999999</v>
      </c>
      <c r="F2188" s="1">
        <f t="shared" si="69"/>
        <v>42261</v>
      </c>
      <c r="G2188" cm="1">
        <f t="array" ref="G2188">PRODUCT( _xlfn._xlws.FILTER($E:$E, ($C:$C=C2188)*($F:$F=F2188)) ) - 1</f>
        <v>3.946594790096003E-2</v>
      </c>
    </row>
    <row r="2189" spans="1:7" x14ac:dyDescent="0.2">
      <c r="A2189" s="1">
        <v>42264</v>
      </c>
      <c r="B2189">
        <v>0</v>
      </c>
      <c r="C2189" t="s">
        <v>12</v>
      </c>
      <c r="D2189">
        <v>2.7838000000000002E-2</v>
      </c>
      <c r="E2189">
        <f t="shared" si="68"/>
        <v>1.027838</v>
      </c>
      <c r="F2189" s="1">
        <f t="shared" si="69"/>
        <v>42261</v>
      </c>
      <c r="G2189" cm="1">
        <f t="array" ref="G2189">PRODUCT( _xlfn._xlws.FILTER($E:$E, ($C:$C=C2189)*($F:$F=F2189)) ) - 1</f>
        <v>3.946594790096003E-2</v>
      </c>
    </row>
    <row r="2190" spans="1:7" x14ac:dyDescent="0.2">
      <c r="A2190" s="1">
        <v>42265</v>
      </c>
      <c r="B2190">
        <v>0</v>
      </c>
      <c r="C2190" t="s">
        <v>12</v>
      </c>
      <c r="D2190">
        <v>-2.7881E-2</v>
      </c>
      <c r="E2190">
        <f t="shared" si="68"/>
        <v>0.97211899999999996</v>
      </c>
      <c r="F2190" s="1">
        <f t="shared" si="69"/>
        <v>42261</v>
      </c>
      <c r="G2190" cm="1">
        <f t="array" ref="G2190">PRODUCT( _xlfn._xlws.FILTER($E:$E, ($C:$C=C2190)*($F:$F=F2190)) ) - 1</f>
        <v>3.946594790096003E-2</v>
      </c>
    </row>
    <row r="2191" spans="1:7" x14ac:dyDescent="0.2">
      <c r="A2191" s="1">
        <v>42268</v>
      </c>
      <c r="B2191">
        <v>0</v>
      </c>
      <c r="C2191" t="s">
        <v>12</v>
      </c>
      <c r="D2191">
        <v>5.7359999999999998E-3</v>
      </c>
      <c r="E2191">
        <f t="shared" si="68"/>
        <v>1.005736</v>
      </c>
      <c r="F2191" s="1">
        <f t="shared" si="69"/>
        <v>42268</v>
      </c>
      <c r="G2191" cm="1">
        <f t="array" ref="G2191">PRODUCT( _xlfn._xlws.FILTER($E:$E, ($C:$C=C2191)*($F:$F=F2191)) ) - 1</f>
        <v>-1.0935994168282948E-3</v>
      </c>
    </row>
    <row r="2192" spans="1:7" x14ac:dyDescent="0.2">
      <c r="A2192" s="1">
        <v>42269</v>
      </c>
      <c r="B2192">
        <v>0</v>
      </c>
      <c r="C2192" t="s">
        <v>12</v>
      </c>
      <c r="D2192">
        <v>-1.0049000000000001E-2</v>
      </c>
      <c r="E2192">
        <f t="shared" si="68"/>
        <v>0.98995100000000003</v>
      </c>
      <c r="F2192" s="1">
        <f t="shared" si="69"/>
        <v>42268</v>
      </c>
      <c r="G2192" cm="1">
        <f t="array" ref="G2192">PRODUCT( _xlfn._xlws.FILTER($E:$E, ($C:$C=C2192)*($F:$F=F2192)) ) - 1</f>
        <v>-1.0935994168282948E-3</v>
      </c>
    </row>
    <row r="2193" spans="1:7" x14ac:dyDescent="0.2">
      <c r="A2193" s="1">
        <v>42270</v>
      </c>
      <c r="B2193">
        <v>0</v>
      </c>
      <c r="C2193" t="s">
        <v>12</v>
      </c>
      <c r="D2193">
        <v>1.92E-3</v>
      </c>
      <c r="E2193">
        <f t="shared" si="68"/>
        <v>1.0019199999999999</v>
      </c>
      <c r="F2193" s="1">
        <f t="shared" si="69"/>
        <v>42268</v>
      </c>
      <c r="G2193" cm="1">
        <f t="array" ref="G2193">PRODUCT( _xlfn._xlws.FILTER($E:$E, ($C:$C=C2193)*($F:$F=F2193)) ) - 1</f>
        <v>-1.0935994168282948E-3</v>
      </c>
    </row>
    <row r="2194" spans="1:7" x14ac:dyDescent="0.2">
      <c r="A2194" s="1">
        <v>42271</v>
      </c>
      <c r="B2194">
        <v>0</v>
      </c>
      <c r="C2194" t="s">
        <v>12</v>
      </c>
      <c r="D2194">
        <v>-1.506E-2</v>
      </c>
      <c r="E2194">
        <f t="shared" si="68"/>
        <v>0.98494000000000004</v>
      </c>
      <c r="F2194" s="1">
        <f t="shared" si="69"/>
        <v>42268</v>
      </c>
      <c r="G2194" cm="1">
        <f t="array" ref="G2194">PRODUCT( _xlfn._xlws.FILTER($E:$E, ($C:$C=C2194)*($F:$F=F2194)) ) - 1</f>
        <v>-1.0935994168282948E-3</v>
      </c>
    </row>
    <row r="2195" spans="1:7" x14ac:dyDescent="0.2">
      <c r="A2195" s="1">
        <v>42272</v>
      </c>
      <c r="B2195">
        <v>0</v>
      </c>
      <c r="C2195" t="s">
        <v>12</v>
      </c>
      <c r="D2195">
        <v>1.668E-2</v>
      </c>
      <c r="E2195">
        <f t="shared" si="68"/>
        <v>1.01668</v>
      </c>
      <c r="F2195" s="1">
        <f t="shared" si="69"/>
        <v>42268</v>
      </c>
      <c r="G2195" cm="1">
        <f t="array" ref="G2195">PRODUCT( _xlfn._xlws.FILTER($E:$E, ($C:$C=C2195)*($F:$F=F2195)) ) - 1</f>
        <v>-1.0935994168282948E-3</v>
      </c>
    </row>
    <row r="2196" spans="1:7" x14ac:dyDescent="0.2">
      <c r="A2196" s="1">
        <v>42275</v>
      </c>
      <c r="B2196">
        <v>0</v>
      </c>
      <c r="C2196" t="s">
        <v>12</v>
      </c>
      <c r="D2196">
        <v>-1.5587E-2</v>
      </c>
      <c r="E2196">
        <f t="shared" si="68"/>
        <v>0.98441299999999998</v>
      </c>
      <c r="F2196" s="1">
        <f t="shared" si="69"/>
        <v>42275</v>
      </c>
      <c r="G2196" cm="1">
        <f t="array" ref="G2196">PRODUCT( _xlfn._xlws.FILTER($E:$E, ($C:$C=C2196)*($F:$F=F2196)) ) - 1</f>
        <v>2.8984865080184274E-2</v>
      </c>
    </row>
    <row r="2197" spans="1:7" x14ac:dyDescent="0.2">
      <c r="A2197" s="1">
        <v>42276</v>
      </c>
      <c r="B2197">
        <v>0</v>
      </c>
      <c r="C2197" t="s">
        <v>12</v>
      </c>
      <c r="D2197">
        <v>8.3330000000000001E-3</v>
      </c>
      <c r="E2197">
        <f t="shared" si="68"/>
        <v>1.0083329999999999</v>
      </c>
      <c r="F2197" s="1">
        <f t="shared" si="69"/>
        <v>42275</v>
      </c>
      <c r="G2197" cm="1">
        <f t="array" ref="G2197">PRODUCT( _xlfn._xlws.FILTER($E:$E, ($C:$C=C2197)*($F:$F=F2197)) ) - 1</f>
        <v>2.8984865080184274E-2</v>
      </c>
    </row>
    <row r="2198" spans="1:7" x14ac:dyDescent="0.2">
      <c r="A2198" s="1">
        <v>42277</v>
      </c>
      <c r="B2198">
        <v>0</v>
      </c>
      <c r="C2198" t="s">
        <v>12</v>
      </c>
      <c r="D2198">
        <v>5.1514999999999998E-2</v>
      </c>
      <c r="E2198">
        <f t="shared" si="68"/>
        <v>1.051515</v>
      </c>
      <c r="F2198" s="1">
        <f t="shared" si="69"/>
        <v>42275</v>
      </c>
      <c r="G2198" cm="1">
        <f t="array" ref="G2198">PRODUCT( _xlfn._xlws.FILTER($E:$E, ($C:$C=C2198)*($F:$F=F2198)) ) - 1</f>
        <v>2.8984865080184274E-2</v>
      </c>
    </row>
    <row r="2199" spans="1:7" x14ac:dyDescent="0.2">
      <c r="A2199" s="1">
        <v>42278</v>
      </c>
      <c r="B2199">
        <v>0</v>
      </c>
      <c r="C2199" t="s">
        <v>12</v>
      </c>
      <c r="D2199">
        <v>-1.7028999999999999E-2</v>
      </c>
      <c r="E2199">
        <f t="shared" si="68"/>
        <v>0.98297100000000004</v>
      </c>
      <c r="F2199" s="1">
        <f t="shared" si="69"/>
        <v>42275</v>
      </c>
      <c r="G2199" cm="1">
        <f t="array" ref="G2199">PRODUCT( _xlfn._xlws.FILTER($E:$E, ($C:$C=C2199)*($F:$F=F2199)) ) - 1</f>
        <v>2.8984865080184274E-2</v>
      </c>
    </row>
    <row r="2200" spans="1:7" x14ac:dyDescent="0.2">
      <c r="A2200" s="1">
        <v>42279</v>
      </c>
      <c r="B2200">
        <v>0</v>
      </c>
      <c r="C2200" t="s">
        <v>12</v>
      </c>
      <c r="D2200">
        <v>2.9320000000000001E-3</v>
      </c>
      <c r="E2200">
        <f t="shared" si="68"/>
        <v>1.0029319999999999</v>
      </c>
      <c r="F2200" s="1">
        <f t="shared" si="69"/>
        <v>42275</v>
      </c>
      <c r="G2200" cm="1">
        <f t="array" ref="G2200">PRODUCT( _xlfn._xlws.FILTER($E:$E, ($C:$C=C2200)*($F:$F=F2200)) ) - 1</f>
        <v>2.8984865080184274E-2</v>
      </c>
    </row>
    <row r="2201" spans="1:7" x14ac:dyDescent="0.2">
      <c r="A2201" s="1">
        <v>42282</v>
      </c>
      <c r="B2201">
        <v>0</v>
      </c>
      <c r="C2201" t="s">
        <v>12</v>
      </c>
      <c r="D2201">
        <v>1.7805000000000001E-2</v>
      </c>
      <c r="E2201">
        <f t="shared" si="68"/>
        <v>1.0178050000000001</v>
      </c>
      <c r="F2201" s="1">
        <f t="shared" si="69"/>
        <v>42282</v>
      </c>
      <c r="G2201" cm="1">
        <f t="array" ref="G2201">PRODUCT( _xlfn._xlws.FILTER($E:$E, ($C:$C=C2201)*($F:$F=F2201)) ) - 1</f>
        <v>3.1890858428085256E-2</v>
      </c>
    </row>
    <row r="2202" spans="1:7" x14ac:dyDescent="0.2">
      <c r="A2202" s="1">
        <v>42283</v>
      </c>
      <c r="B2202">
        <v>0</v>
      </c>
      <c r="C2202" t="s">
        <v>12</v>
      </c>
      <c r="D2202">
        <v>-2.2714999999999999E-2</v>
      </c>
      <c r="E2202">
        <f t="shared" si="68"/>
        <v>0.97728499999999996</v>
      </c>
      <c r="F2202" s="1">
        <f t="shared" si="69"/>
        <v>42282</v>
      </c>
      <c r="G2202" cm="1">
        <f t="array" ref="G2202">PRODUCT( _xlfn._xlws.FILTER($E:$E, ($C:$C=C2202)*($F:$F=F2202)) ) - 1</f>
        <v>3.1890858428085256E-2</v>
      </c>
    </row>
    <row r="2203" spans="1:7" x14ac:dyDescent="0.2">
      <c r="A2203" s="1">
        <v>42284</v>
      </c>
      <c r="B2203">
        <v>0</v>
      </c>
      <c r="C2203" t="s">
        <v>12</v>
      </c>
      <c r="D2203">
        <v>3.0457000000000001E-2</v>
      </c>
      <c r="E2203">
        <f t="shared" si="68"/>
        <v>1.030457</v>
      </c>
      <c r="F2203" s="1">
        <f t="shared" si="69"/>
        <v>42282</v>
      </c>
      <c r="G2203" cm="1">
        <f t="array" ref="G2203">PRODUCT( _xlfn._xlws.FILTER($E:$E, ($C:$C=C2203)*($F:$F=F2203)) ) - 1</f>
        <v>3.1890858428085256E-2</v>
      </c>
    </row>
    <row r="2204" spans="1:7" x14ac:dyDescent="0.2">
      <c r="A2204" s="1">
        <v>42285</v>
      </c>
      <c r="B2204">
        <v>0</v>
      </c>
      <c r="C2204" t="s">
        <v>12</v>
      </c>
      <c r="D2204">
        <v>1.0371E-2</v>
      </c>
      <c r="E2204">
        <f t="shared" si="68"/>
        <v>1.0103709999999999</v>
      </c>
      <c r="F2204" s="1">
        <f t="shared" si="69"/>
        <v>42282</v>
      </c>
      <c r="G2204" cm="1">
        <f t="array" ref="G2204">PRODUCT( _xlfn._xlws.FILTER($E:$E, ($C:$C=C2204)*($F:$F=F2204)) ) - 1</f>
        <v>3.1890858428085256E-2</v>
      </c>
    </row>
    <row r="2205" spans="1:7" x14ac:dyDescent="0.2">
      <c r="A2205" s="1">
        <v>42286</v>
      </c>
      <c r="B2205">
        <v>0</v>
      </c>
      <c r="C2205" t="s">
        <v>12</v>
      </c>
      <c r="D2205">
        <v>-3.5920000000000001E-3</v>
      </c>
      <c r="E2205">
        <f t="shared" si="68"/>
        <v>0.99640799999999996</v>
      </c>
      <c r="F2205" s="1">
        <f t="shared" si="69"/>
        <v>42282</v>
      </c>
      <c r="G2205" cm="1">
        <f t="array" ref="G2205">PRODUCT( _xlfn._xlws.FILTER($E:$E, ($C:$C=C2205)*($F:$F=F2205)) ) - 1</f>
        <v>3.1890858428085256E-2</v>
      </c>
    </row>
    <row r="2206" spans="1:7" x14ac:dyDescent="0.2">
      <c r="A2206" s="1">
        <v>42290</v>
      </c>
      <c r="B2206">
        <v>0</v>
      </c>
      <c r="C2206" t="s">
        <v>12</v>
      </c>
      <c r="D2206">
        <v>2.0600000000000002E-3</v>
      </c>
      <c r="E2206">
        <f t="shared" si="68"/>
        <v>1.00206</v>
      </c>
      <c r="F2206" s="1">
        <f t="shared" si="69"/>
        <v>42289</v>
      </c>
      <c r="G2206" cm="1">
        <f t="array" ref="G2206">PRODUCT( _xlfn._xlws.FILTER($E:$E, ($C:$C=C2206)*($F:$F=F2206)) ) - 1</f>
        <v>-9.7858813176604498E-3</v>
      </c>
    </row>
    <row r="2207" spans="1:7" x14ac:dyDescent="0.2">
      <c r="A2207" s="1">
        <v>42291</v>
      </c>
      <c r="B2207">
        <v>0</v>
      </c>
      <c r="C2207" t="s">
        <v>12</v>
      </c>
      <c r="D2207">
        <v>-1.7989999999999999E-2</v>
      </c>
      <c r="E2207">
        <f t="shared" si="68"/>
        <v>0.98201000000000005</v>
      </c>
      <c r="F2207" s="1">
        <f t="shared" si="69"/>
        <v>42289</v>
      </c>
      <c r="G2207" cm="1">
        <f t="array" ref="G2207">PRODUCT( _xlfn._xlws.FILTER($E:$E, ($C:$C=C2207)*($F:$F=F2207)) ) - 1</f>
        <v>-9.7858813176604498E-3</v>
      </c>
    </row>
    <row r="2208" spans="1:7" x14ac:dyDescent="0.2">
      <c r="A2208" s="1">
        <v>42292</v>
      </c>
      <c r="B2208">
        <v>0</v>
      </c>
      <c r="C2208" t="s">
        <v>12</v>
      </c>
      <c r="D2208">
        <v>1.047E-3</v>
      </c>
      <c r="E2208">
        <f t="shared" si="68"/>
        <v>1.001047</v>
      </c>
      <c r="F2208" s="1">
        <f t="shared" si="69"/>
        <v>42289</v>
      </c>
      <c r="G2208" cm="1">
        <f t="array" ref="G2208">PRODUCT( _xlfn._xlws.FILTER($E:$E, ($C:$C=C2208)*($F:$F=F2208)) ) - 1</f>
        <v>-9.7858813176604498E-3</v>
      </c>
    </row>
    <row r="2209" spans="1:7" x14ac:dyDescent="0.2">
      <c r="A2209" s="1">
        <v>42293</v>
      </c>
      <c r="B2209">
        <v>0</v>
      </c>
      <c r="C2209" t="s">
        <v>12</v>
      </c>
      <c r="D2209">
        <v>5.2290000000000001E-3</v>
      </c>
      <c r="E2209">
        <f t="shared" si="68"/>
        <v>1.0052289999999999</v>
      </c>
      <c r="F2209" s="1">
        <f t="shared" si="69"/>
        <v>42289</v>
      </c>
      <c r="G2209" cm="1">
        <f t="array" ref="G2209">PRODUCT( _xlfn._xlws.FILTER($E:$E, ($C:$C=C2209)*($F:$F=F2209)) ) - 1</f>
        <v>-9.7858813176604498E-3</v>
      </c>
    </row>
    <row r="2210" spans="1:7" x14ac:dyDescent="0.2">
      <c r="A2210" s="1">
        <v>42296</v>
      </c>
      <c r="B2210">
        <v>0</v>
      </c>
      <c r="C2210" t="s">
        <v>12</v>
      </c>
      <c r="D2210">
        <v>9.8829999999999994E-3</v>
      </c>
      <c r="E2210">
        <f t="shared" si="68"/>
        <v>1.0098830000000001</v>
      </c>
      <c r="F2210" s="1">
        <f t="shared" si="69"/>
        <v>42296</v>
      </c>
      <c r="G2210" cm="1">
        <f t="array" ref="G2210">PRODUCT( _xlfn._xlws.FILTER($E:$E, ($C:$C=C2210)*($F:$F=F2210)) ) - 1</f>
        <v>2.5747795435408838E-2</v>
      </c>
    </row>
    <row r="2211" spans="1:7" x14ac:dyDescent="0.2">
      <c r="A2211" s="1">
        <v>42297</v>
      </c>
      <c r="B2211">
        <v>0</v>
      </c>
      <c r="C2211" t="s">
        <v>12</v>
      </c>
      <c r="D2211">
        <v>1.9057000000000001E-2</v>
      </c>
      <c r="E2211">
        <f t="shared" si="68"/>
        <v>1.0190570000000001</v>
      </c>
      <c r="F2211" s="1">
        <f t="shared" si="69"/>
        <v>42296</v>
      </c>
      <c r="G2211" cm="1">
        <f t="array" ref="G2211">PRODUCT( _xlfn._xlws.FILTER($E:$E, ($C:$C=C2211)*($F:$F=F2211)) ) - 1</f>
        <v>2.5747795435408838E-2</v>
      </c>
    </row>
    <row r="2212" spans="1:7" x14ac:dyDescent="0.2">
      <c r="A2212" s="1">
        <v>42298</v>
      </c>
      <c r="B2212">
        <v>0</v>
      </c>
      <c r="C2212" t="s">
        <v>12</v>
      </c>
      <c r="D2212">
        <v>-6.0650000000000001E-3</v>
      </c>
      <c r="E2212">
        <f t="shared" si="68"/>
        <v>0.99393500000000001</v>
      </c>
      <c r="F2212" s="1">
        <f t="shared" si="69"/>
        <v>42296</v>
      </c>
      <c r="G2212" cm="1">
        <f t="array" ref="G2212">PRODUCT( _xlfn._xlws.FILTER($E:$E, ($C:$C=C2212)*($F:$F=F2212)) ) - 1</f>
        <v>2.5747795435408838E-2</v>
      </c>
    </row>
    <row r="2213" spans="1:7" x14ac:dyDescent="0.2">
      <c r="A2213" s="1">
        <v>42299</v>
      </c>
      <c r="B2213">
        <v>0</v>
      </c>
      <c r="C2213" t="s">
        <v>12</v>
      </c>
      <c r="D2213">
        <v>9.9159999999999995E-3</v>
      </c>
      <c r="E2213">
        <f t="shared" si="68"/>
        <v>1.009916</v>
      </c>
      <c r="F2213" s="1">
        <f t="shared" si="69"/>
        <v>42296</v>
      </c>
      <c r="G2213" cm="1">
        <f t="array" ref="G2213">PRODUCT( _xlfn._xlws.FILTER($E:$E, ($C:$C=C2213)*($F:$F=F2213)) ) - 1</f>
        <v>2.5747795435408838E-2</v>
      </c>
    </row>
    <row r="2214" spans="1:7" x14ac:dyDescent="0.2">
      <c r="A2214" s="1">
        <v>42300</v>
      </c>
      <c r="B2214">
        <v>0</v>
      </c>
      <c r="C2214" t="s">
        <v>12</v>
      </c>
      <c r="D2214">
        <v>-7.0489999999999997E-3</v>
      </c>
      <c r="E2214">
        <f t="shared" si="68"/>
        <v>0.99295100000000003</v>
      </c>
      <c r="F2214" s="1">
        <f t="shared" si="69"/>
        <v>42296</v>
      </c>
      <c r="G2214" cm="1">
        <f t="array" ref="G2214">PRODUCT( _xlfn._xlws.FILTER($E:$E, ($C:$C=C2214)*($F:$F=F2214)) ) - 1</f>
        <v>2.5747795435408838E-2</v>
      </c>
    </row>
    <row r="2215" spans="1:7" x14ac:dyDescent="0.2">
      <c r="A2215" s="1">
        <v>42303</v>
      </c>
      <c r="B2215">
        <v>0</v>
      </c>
      <c r="C2215" t="s">
        <v>12</v>
      </c>
      <c r="D2215">
        <v>-3.0430000000000001E-3</v>
      </c>
      <c r="E2215">
        <f t="shared" si="68"/>
        <v>0.99695699999999998</v>
      </c>
      <c r="F2215" s="1">
        <f t="shared" si="69"/>
        <v>42303</v>
      </c>
      <c r="G2215" cm="1">
        <f t="array" ref="G2215">PRODUCT( _xlfn._xlws.FILTER($E:$E, ($C:$C=C2215)*($F:$F=F2215)) ) - 1</f>
        <v>-4.0314238285187209E-2</v>
      </c>
    </row>
    <row r="2216" spans="1:7" x14ac:dyDescent="0.2">
      <c r="A2216" s="1">
        <v>42304</v>
      </c>
      <c r="B2216">
        <v>0</v>
      </c>
      <c r="C2216" t="s">
        <v>12</v>
      </c>
      <c r="D2216">
        <v>-1.4241999999999999E-2</v>
      </c>
      <c r="E2216">
        <f t="shared" si="68"/>
        <v>0.98575800000000002</v>
      </c>
      <c r="F2216" s="1">
        <f t="shared" si="69"/>
        <v>42303</v>
      </c>
      <c r="G2216" cm="1">
        <f t="array" ref="G2216">PRODUCT( _xlfn._xlws.FILTER($E:$E, ($C:$C=C2216)*($F:$F=F2216)) ) - 1</f>
        <v>-4.0314238285187209E-2</v>
      </c>
    </row>
    <row r="2217" spans="1:7" x14ac:dyDescent="0.2">
      <c r="A2217" s="1">
        <v>42305</v>
      </c>
      <c r="B2217">
        <v>0</v>
      </c>
      <c r="C2217" t="s">
        <v>12</v>
      </c>
      <c r="D2217">
        <v>8.2559999999999995E-3</v>
      </c>
      <c r="E2217">
        <f t="shared" si="68"/>
        <v>1.008256</v>
      </c>
      <c r="F2217" s="1">
        <f t="shared" si="69"/>
        <v>42303</v>
      </c>
      <c r="G2217" cm="1">
        <f t="array" ref="G2217">PRODUCT( _xlfn._xlws.FILTER($E:$E, ($C:$C=C2217)*($F:$F=F2217)) ) - 1</f>
        <v>-4.0314238285187209E-2</v>
      </c>
    </row>
    <row r="2218" spans="1:7" x14ac:dyDescent="0.2">
      <c r="A2218" s="1">
        <v>42306</v>
      </c>
      <c r="B2218">
        <v>0</v>
      </c>
      <c r="C2218" t="s">
        <v>12</v>
      </c>
      <c r="D2218">
        <v>-5.8849999999999996E-3</v>
      </c>
      <c r="E2218">
        <f t="shared" si="68"/>
        <v>0.99411499999999997</v>
      </c>
      <c r="F2218" s="1">
        <f t="shared" si="69"/>
        <v>42303</v>
      </c>
      <c r="G2218" cm="1">
        <f t="array" ref="G2218">PRODUCT( _xlfn._xlws.FILTER($E:$E, ($C:$C=C2218)*($F:$F=F2218)) ) - 1</f>
        <v>-4.0314238285187209E-2</v>
      </c>
    </row>
    <row r="2219" spans="1:7" x14ac:dyDescent="0.2">
      <c r="A2219" s="1">
        <v>42307</v>
      </c>
      <c r="B2219">
        <v>0</v>
      </c>
      <c r="C2219" t="s">
        <v>12</v>
      </c>
      <c r="D2219">
        <v>-2.5739999999999999E-2</v>
      </c>
      <c r="E2219">
        <f t="shared" si="68"/>
        <v>0.97426000000000001</v>
      </c>
      <c r="F2219" s="1">
        <f t="shared" si="69"/>
        <v>42303</v>
      </c>
      <c r="G2219" cm="1">
        <f t="array" ref="G2219">PRODUCT( _xlfn._xlws.FILTER($E:$E, ($C:$C=C2219)*($F:$F=F2219)) ) - 1</f>
        <v>-4.0314238285187209E-2</v>
      </c>
    </row>
    <row r="2220" spans="1:7" x14ac:dyDescent="0.2">
      <c r="A2220" s="1">
        <v>42310</v>
      </c>
      <c r="B2220">
        <v>0</v>
      </c>
      <c r="C2220" t="s">
        <v>12</v>
      </c>
      <c r="D2220">
        <v>-5.2800000000000004E-4</v>
      </c>
      <c r="E2220">
        <f t="shared" si="68"/>
        <v>0.99947200000000003</v>
      </c>
      <c r="F2220" s="1">
        <f t="shared" si="69"/>
        <v>42310</v>
      </c>
      <c r="G2220" cm="1">
        <f t="array" ref="G2220">PRODUCT( _xlfn._xlws.FILTER($E:$E, ($C:$C=C2220)*($F:$F=F2220)) ) - 1</f>
        <v>-6.6052449940700031E-3</v>
      </c>
    </row>
    <row r="2221" spans="1:7" x14ac:dyDescent="0.2">
      <c r="A2221" s="1">
        <v>42311</v>
      </c>
      <c r="B2221">
        <v>0</v>
      </c>
      <c r="C2221" t="s">
        <v>12</v>
      </c>
      <c r="D2221">
        <v>-2.379E-3</v>
      </c>
      <c r="E2221">
        <f t="shared" si="68"/>
        <v>0.99762099999999998</v>
      </c>
      <c r="F2221" s="1">
        <f t="shared" si="69"/>
        <v>42310</v>
      </c>
      <c r="G2221" cm="1">
        <f t="array" ref="G2221">PRODUCT( _xlfn._xlws.FILTER($E:$E, ($C:$C=C2221)*($F:$F=F2221)) ) - 1</f>
        <v>-6.6052449940700031E-3</v>
      </c>
    </row>
    <row r="2222" spans="1:7" x14ac:dyDescent="0.2">
      <c r="A2222" s="1">
        <v>42312</v>
      </c>
      <c r="B2222">
        <v>0</v>
      </c>
      <c r="C2222" t="s">
        <v>12</v>
      </c>
      <c r="D2222">
        <v>5.829E-3</v>
      </c>
      <c r="E2222">
        <f t="shared" si="68"/>
        <v>1.0058290000000001</v>
      </c>
      <c r="F2222" s="1">
        <f t="shared" si="69"/>
        <v>42310</v>
      </c>
      <c r="G2222" cm="1">
        <f t="array" ref="G2222">PRODUCT( _xlfn._xlws.FILTER($E:$E, ($C:$C=C2222)*($F:$F=F2222)) ) - 1</f>
        <v>-6.6052449940700031E-3</v>
      </c>
    </row>
    <row r="2223" spans="1:7" x14ac:dyDescent="0.2">
      <c r="A2223" s="1">
        <v>42313</v>
      </c>
      <c r="B2223">
        <v>0</v>
      </c>
      <c r="C2223" t="s">
        <v>12</v>
      </c>
      <c r="D2223">
        <v>0</v>
      </c>
      <c r="E2223">
        <f t="shared" si="68"/>
        <v>1</v>
      </c>
      <c r="F2223" s="1">
        <f t="shared" si="69"/>
        <v>42310</v>
      </c>
      <c r="G2223" cm="1">
        <f t="array" ref="G2223">PRODUCT( _xlfn._xlws.FILTER($E:$E, ($C:$C=C2223)*($F:$F=F2223)) ) - 1</f>
        <v>-6.6052449940700031E-3</v>
      </c>
    </row>
    <row r="2224" spans="1:7" x14ac:dyDescent="0.2">
      <c r="A2224" s="1">
        <v>42314</v>
      </c>
      <c r="B2224">
        <v>0</v>
      </c>
      <c r="C2224" t="s">
        <v>12</v>
      </c>
      <c r="D2224">
        <v>-9.4839999999999994E-3</v>
      </c>
      <c r="E2224">
        <f t="shared" si="68"/>
        <v>0.99051599999999995</v>
      </c>
      <c r="F2224" s="1">
        <f t="shared" si="69"/>
        <v>42310</v>
      </c>
      <c r="G2224" cm="1">
        <f t="array" ref="G2224">PRODUCT( _xlfn._xlws.FILTER($E:$E, ($C:$C=C2224)*($F:$F=F2224)) ) - 1</f>
        <v>-6.6052449940700031E-3</v>
      </c>
    </row>
    <row r="2225" spans="1:7" x14ac:dyDescent="0.2">
      <c r="A2225" s="1">
        <v>42317</v>
      </c>
      <c r="B2225">
        <v>0</v>
      </c>
      <c r="C2225" t="s">
        <v>12</v>
      </c>
      <c r="D2225">
        <v>8.5109999999999995E-3</v>
      </c>
      <c r="E2225">
        <f t="shared" si="68"/>
        <v>1.0085109999999999</v>
      </c>
      <c r="F2225" s="1">
        <f t="shared" si="69"/>
        <v>42317</v>
      </c>
      <c r="G2225" cm="1">
        <f t="array" ref="G2225">PRODUCT( _xlfn._xlws.FILTER($E:$E, ($C:$C=C2225)*($F:$F=F2225)) ) - 1</f>
        <v>-2.6590654747342679E-3</v>
      </c>
    </row>
    <row r="2226" spans="1:7" x14ac:dyDescent="0.2">
      <c r="A2226" s="1">
        <v>42318</v>
      </c>
      <c r="B2226">
        <v>0</v>
      </c>
      <c r="C2226" t="s">
        <v>12</v>
      </c>
      <c r="D2226">
        <v>1.0021E-2</v>
      </c>
      <c r="E2226">
        <f t="shared" si="68"/>
        <v>1.0100210000000001</v>
      </c>
      <c r="F2226" s="1">
        <f t="shared" si="69"/>
        <v>42317</v>
      </c>
      <c r="G2226" cm="1">
        <f t="array" ref="G2226">PRODUCT( _xlfn._xlws.FILTER($E:$E, ($C:$C=C2226)*($F:$F=F2226)) ) - 1</f>
        <v>-2.6590654747342679E-3</v>
      </c>
    </row>
    <row r="2227" spans="1:7" x14ac:dyDescent="0.2">
      <c r="A2227" s="1">
        <v>42319</v>
      </c>
      <c r="B2227">
        <v>0</v>
      </c>
      <c r="C2227" t="s">
        <v>12</v>
      </c>
      <c r="D2227">
        <v>-6.7879999999999998E-3</v>
      </c>
      <c r="E2227">
        <f t="shared" si="68"/>
        <v>0.99321199999999998</v>
      </c>
      <c r="F2227" s="1">
        <f t="shared" si="69"/>
        <v>42317</v>
      </c>
      <c r="G2227" cm="1">
        <f t="array" ref="G2227">PRODUCT( _xlfn._xlws.FILTER($E:$E, ($C:$C=C2227)*($F:$F=F2227)) ) - 1</f>
        <v>-2.6590654747342679E-3</v>
      </c>
    </row>
    <row r="2228" spans="1:7" x14ac:dyDescent="0.2">
      <c r="A2228" s="1">
        <v>42320</v>
      </c>
      <c r="B2228">
        <v>0</v>
      </c>
      <c r="C2228" t="s">
        <v>12</v>
      </c>
      <c r="D2228">
        <v>-1.6299000000000001E-2</v>
      </c>
      <c r="E2228">
        <f t="shared" si="68"/>
        <v>0.98370100000000005</v>
      </c>
      <c r="F2228" s="1">
        <f t="shared" si="69"/>
        <v>42317</v>
      </c>
      <c r="G2228" cm="1">
        <f t="array" ref="G2228">PRODUCT( _xlfn._xlws.FILTER($E:$E, ($C:$C=C2228)*($F:$F=F2228)) ) - 1</f>
        <v>-2.6590654747342679E-3</v>
      </c>
    </row>
    <row r="2229" spans="1:7" x14ac:dyDescent="0.2">
      <c r="A2229" s="1">
        <v>42321</v>
      </c>
      <c r="B2229">
        <v>0</v>
      </c>
      <c r="C2229" t="s">
        <v>12</v>
      </c>
      <c r="D2229">
        <v>2.1380000000000001E-3</v>
      </c>
      <c r="E2229">
        <f t="shared" si="68"/>
        <v>1.002138</v>
      </c>
      <c r="F2229" s="1">
        <f t="shared" si="69"/>
        <v>42317</v>
      </c>
      <c r="G2229" cm="1">
        <f t="array" ref="G2229">PRODUCT( _xlfn._xlws.FILTER($E:$E, ($C:$C=C2229)*($F:$F=F2229)) ) - 1</f>
        <v>-2.6590654747342679E-3</v>
      </c>
    </row>
    <row r="2230" spans="1:7" x14ac:dyDescent="0.2">
      <c r="A2230" s="1">
        <v>42324</v>
      </c>
      <c r="B2230">
        <v>0</v>
      </c>
      <c r="C2230" t="s">
        <v>12</v>
      </c>
      <c r="D2230">
        <v>1.7999999999999999E-2</v>
      </c>
      <c r="E2230">
        <f t="shared" si="68"/>
        <v>1.018</v>
      </c>
      <c r="F2230" s="1">
        <f t="shared" si="69"/>
        <v>42324</v>
      </c>
      <c r="G2230" cm="1">
        <f t="array" ref="G2230">PRODUCT( _xlfn._xlws.FILTER($E:$E, ($C:$C=C2230)*($F:$F=F2230)) ) - 1</f>
        <v>2.3386511772641505E-2</v>
      </c>
    </row>
    <row r="2231" spans="1:7" x14ac:dyDescent="0.2">
      <c r="A2231" s="1">
        <v>42325</v>
      </c>
      <c r="B2231">
        <v>0</v>
      </c>
      <c r="C2231" t="s">
        <v>12</v>
      </c>
      <c r="D2231">
        <v>-2.9099999999999998E-3</v>
      </c>
      <c r="E2231">
        <f t="shared" si="68"/>
        <v>0.99709000000000003</v>
      </c>
      <c r="F2231" s="1">
        <f t="shared" si="69"/>
        <v>42324</v>
      </c>
      <c r="G2231" cm="1">
        <f t="array" ref="G2231">PRODUCT( _xlfn._xlws.FILTER($E:$E, ($C:$C=C2231)*($F:$F=F2231)) ) - 1</f>
        <v>2.3386511772641505E-2</v>
      </c>
    </row>
    <row r="2232" spans="1:7" x14ac:dyDescent="0.2">
      <c r="A2232" s="1">
        <v>42326</v>
      </c>
      <c r="B2232">
        <v>0</v>
      </c>
      <c r="C2232" t="s">
        <v>12</v>
      </c>
      <c r="D2232">
        <v>1.5920000000000001E-3</v>
      </c>
      <c r="E2232">
        <f t="shared" si="68"/>
        <v>1.001592</v>
      </c>
      <c r="F2232" s="1">
        <f t="shared" si="69"/>
        <v>42324</v>
      </c>
      <c r="G2232" cm="1">
        <f t="array" ref="G2232">PRODUCT( _xlfn._xlws.FILTER($E:$E, ($C:$C=C2232)*($F:$F=F2232)) ) - 1</f>
        <v>2.3386511772641505E-2</v>
      </c>
    </row>
    <row r="2233" spans="1:7" x14ac:dyDescent="0.2">
      <c r="A2233" s="1">
        <v>42327</v>
      </c>
      <c r="B2233">
        <v>0</v>
      </c>
      <c r="C2233" t="s">
        <v>12</v>
      </c>
      <c r="D2233">
        <v>9.2720000000000007E-3</v>
      </c>
      <c r="E2233">
        <f t="shared" si="68"/>
        <v>1.0092719999999999</v>
      </c>
      <c r="F2233" s="1">
        <f t="shared" si="69"/>
        <v>42324</v>
      </c>
      <c r="G2233" cm="1">
        <f t="array" ref="G2233">PRODUCT( _xlfn._xlws.FILTER($E:$E, ($C:$C=C2233)*($F:$F=F2233)) ) - 1</f>
        <v>2.3386511772641505E-2</v>
      </c>
    </row>
    <row r="2234" spans="1:7" x14ac:dyDescent="0.2">
      <c r="A2234" s="1">
        <v>42328</v>
      </c>
      <c r="B2234">
        <v>0</v>
      </c>
      <c r="C2234" t="s">
        <v>12</v>
      </c>
      <c r="D2234">
        <v>-2.6250000000000002E-3</v>
      </c>
      <c r="E2234">
        <f t="shared" si="68"/>
        <v>0.99737500000000001</v>
      </c>
      <c r="F2234" s="1">
        <f t="shared" si="69"/>
        <v>42324</v>
      </c>
      <c r="G2234" cm="1">
        <f t="array" ref="G2234">PRODUCT( _xlfn._xlws.FILTER($E:$E, ($C:$C=C2234)*($F:$F=F2234)) ) - 1</f>
        <v>2.3386511772641505E-2</v>
      </c>
    </row>
    <row r="2235" spans="1:7" x14ac:dyDescent="0.2">
      <c r="A2235" s="1">
        <v>42331</v>
      </c>
      <c r="B2235">
        <v>0</v>
      </c>
      <c r="C2235" t="s">
        <v>12</v>
      </c>
      <c r="D2235">
        <v>-6.0530000000000002E-3</v>
      </c>
      <c r="E2235">
        <f t="shared" si="68"/>
        <v>0.99394700000000002</v>
      </c>
      <c r="F2235" s="1">
        <f t="shared" si="69"/>
        <v>42331</v>
      </c>
      <c r="G2235" cm="1">
        <f t="array" ref="G2235">PRODUCT( _xlfn._xlws.FILTER($E:$E, ($C:$C=C2235)*($F:$F=F2235)) ) - 1</f>
        <v>-3.0527424137004489E-2</v>
      </c>
    </row>
    <row r="2236" spans="1:7" x14ac:dyDescent="0.2">
      <c r="A2236" s="1">
        <v>42332</v>
      </c>
      <c r="B2236">
        <v>0</v>
      </c>
      <c r="C2236" t="s">
        <v>12</v>
      </c>
      <c r="D2236">
        <v>-2.4622999999999999E-2</v>
      </c>
      <c r="E2236">
        <f t="shared" si="68"/>
        <v>0.97537700000000005</v>
      </c>
      <c r="F2236" s="1">
        <f t="shared" si="69"/>
        <v>42331</v>
      </c>
      <c r="G2236" cm="1">
        <f t="array" ref="G2236">PRODUCT( _xlfn._xlws.FILTER($E:$E, ($C:$C=C2236)*($F:$F=F2236)) ) - 1</f>
        <v>-3.0527424137004489E-2</v>
      </c>
    </row>
    <row r="2237" spans="1:7" x14ac:dyDescent="0.2">
      <c r="A2237" s="1">
        <v>42333</v>
      </c>
      <c r="B2237">
        <v>0</v>
      </c>
      <c r="C2237" t="s">
        <v>12</v>
      </c>
      <c r="D2237">
        <v>-4.6150000000000002E-3</v>
      </c>
      <c r="E2237">
        <f t="shared" si="68"/>
        <v>0.99538499999999996</v>
      </c>
      <c r="F2237" s="1">
        <f t="shared" si="69"/>
        <v>42331</v>
      </c>
      <c r="G2237" cm="1">
        <f t="array" ref="G2237">PRODUCT( _xlfn._xlws.FILTER($E:$E, ($C:$C=C2237)*($F:$F=F2237)) ) - 1</f>
        <v>-3.0527424137004489E-2</v>
      </c>
    </row>
    <row r="2238" spans="1:7" x14ac:dyDescent="0.2">
      <c r="A2238" s="1">
        <v>42334</v>
      </c>
      <c r="B2238">
        <v>0</v>
      </c>
      <c r="C2238" t="s">
        <v>12</v>
      </c>
      <c r="D2238">
        <v>-4.9090000000000002E-3</v>
      </c>
      <c r="E2238">
        <f t="shared" si="68"/>
        <v>0.99509099999999995</v>
      </c>
      <c r="F2238" s="1">
        <f t="shared" si="69"/>
        <v>42331</v>
      </c>
      <c r="G2238" cm="1">
        <f t="array" ref="G2238">PRODUCT( _xlfn._xlws.FILTER($E:$E, ($C:$C=C2238)*($F:$F=F2238)) ) - 1</f>
        <v>-3.0527424137004489E-2</v>
      </c>
    </row>
    <row r="2239" spans="1:7" x14ac:dyDescent="0.2">
      <c r="A2239" s="1">
        <v>42335</v>
      </c>
      <c r="B2239">
        <v>0</v>
      </c>
      <c r="C2239" t="s">
        <v>12</v>
      </c>
      <c r="D2239">
        <v>9.5919999999999998E-3</v>
      </c>
      <c r="E2239">
        <f t="shared" si="68"/>
        <v>1.009592</v>
      </c>
      <c r="F2239" s="1">
        <f t="shared" si="69"/>
        <v>42331</v>
      </c>
      <c r="G2239" cm="1">
        <f t="array" ref="G2239">PRODUCT( _xlfn._xlws.FILTER($E:$E, ($C:$C=C2239)*($F:$F=F2239)) ) - 1</f>
        <v>-3.0527424137004489E-2</v>
      </c>
    </row>
    <row r="2240" spans="1:7" x14ac:dyDescent="0.2">
      <c r="A2240" s="1">
        <v>42338</v>
      </c>
      <c r="B2240">
        <v>0</v>
      </c>
      <c r="C2240" t="s">
        <v>12</v>
      </c>
      <c r="D2240">
        <v>1.0859999999999999E-3</v>
      </c>
      <c r="E2240">
        <f t="shared" si="68"/>
        <v>1.0010859999999999</v>
      </c>
      <c r="F2240" s="1">
        <f t="shared" si="69"/>
        <v>42338</v>
      </c>
      <c r="G2240" cm="1">
        <f t="array" ref="G2240">PRODUCT( _xlfn._xlws.FILTER($E:$E, ($C:$C=C2240)*($F:$F=F2240)) ) - 1</f>
        <v>2.2801180764337348E-2</v>
      </c>
    </row>
    <row r="2241" spans="1:7" x14ac:dyDescent="0.2">
      <c r="A2241" s="1">
        <v>42339</v>
      </c>
      <c r="B2241">
        <v>0</v>
      </c>
      <c r="C2241" t="s">
        <v>12</v>
      </c>
      <c r="D2241">
        <v>3.2808999999999998E-2</v>
      </c>
      <c r="E2241">
        <f t="shared" si="68"/>
        <v>1.0328090000000001</v>
      </c>
      <c r="F2241" s="1">
        <f t="shared" si="69"/>
        <v>42338</v>
      </c>
      <c r="G2241" cm="1">
        <f t="array" ref="G2241">PRODUCT( _xlfn._xlws.FILTER($E:$E, ($C:$C=C2241)*($F:$F=F2241)) ) - 1</f>
        <v>2.2801180764337348E-2</v>
      </c>
    </row>
    <row r="2242" spans="1:7" x14ac:dyDescent="0.2">
      <c r="A2242" s="1">
        <v>42340</v>
      </c>
      <c r="B2242">
        <v>0</v>
      </c>
      <c r="C2242" t="s">
        <v>12</v>
      </c>
      <c r="D2242">
        <v>-2.8879999999999999E-3</v>
      </c>
      <c r="E2242">
        <f t="shared" si="68"/>
        <v>0.997112</v>
      </c>
      <c r="F2242" s="1">
        <f t="shared" si="69"/>
        <v>42338</v>
      </c>
      <c r="G2242" cm="1">
        <f t="array" ref="G2242">PRODUCT( _xlfn._xlws.FILTER($E:$E, ($C:$C=C2242)*($F:$F=F2242)) ) - 1</f>
        <v>2.2801180764337348E-2</v>
      </c>
    </row>
    <row r="2243" spans="1:7" x14ac:dyDescent="0.2">
      <c r="A2243" s="1">
        <v>42341</v>
      </c>
      <c r="B2243">
        <v>0</v>
      </c>
      <c r="C2243" t="s">
        <v>12</v>
      </c>
      <c r="D2243">
        <v>-1.0532E-2</v>
      </c>
      <c r="E2243">
        <f t="shared" si="68"/>
        <v>0.98946800000000001</v>
      </c>
      <c r="F2243" s="1">
        <f t="shared" si="69"/>
        <v>42338</v>
      </c>
      <c r="G2243" cm="1">
        <f t="array" ref="G2243">PRODUCT( _xlfn._xlws.FILTER($E:$E, ($C:$C=C2243)*($F:$F=F2243)) ) - 1</f>
        <v>2.2801180764337348E-2</v>
      </c>
    </row>
    <row r="2244" spans="1:7" x14ac:dyDescent="0.2">
      <c r="A2244" s="1">
        <v>42342</v>
      </c>
      <c r="B2244">
        <v>0</v>
      </c>
      <c r="C2244" t="s">
        <v>12</v>
      </c>
      <c r="D2244">
        <v>2.6610000000000002E-3</v>
      </c>
      <c r="E2244">
        <f t="shared" ref="E2244:E2307" si="70">D2244+1</f>
        <v>1.002661</v>
      </c>
      <c r="F2244" s="1">
        <f t="shared" ref="F2244:F2307" si="71">A2244 - (WEEKDAY(A2244, 2) - 1)</f>
        <v>42338</v>
      </c>
      <c r="G2244" cm="1">
        <f t="array" ref="G2244">PRODUCT( _xlfn._xlws.FILTER($E:$E, ($C:$C=C2244)*($F:$F=F2244)) ) - 1</f>
        <v>2.2801180764337348E-2</v>
      </c>
    </row>
    <row r="2245" spans="1:7" x14ac:dyDescent="0.2">
      <c r="A2245" s="1">
        <v>42345</v>
      </c>
      <c r="B2245">
        <v>0</v>
      </c>
      <c r="C2245" t="s">
        <v>12</v>
      </c>
      <c r="D2245">
        <v>-2.0701000000000001E-2</v>
      </c>
      <c r="E2245">
        <f t="shared" si="70"/>
        <v>0.97929900000000003</v>
      </c>
      <c r="F2245" s="1">
        <f t="shared" si="71"/>
        <v>42345</v>
      </c>
      <c r="G2245" cm="1">
        <f t="array" ref="G2245">PRODUCT( _xlfn._xlws.FILTER($E:$E, ($C:$C=C2245)*($F:$F=F2245)) ) - 1</f>
        <v>-3.4767076356747251E-2</v>
      </c>
    </row>
    <row r="2246" spans="1:7" x14ac:dyDescent="0.2">
      <c r="A2246" s="1">
        <v>42346</v>
      </c>
      <c r="B2246">
        <v>0</v>
      </c>
      <c r="C2246" t="s">
        <v>12</v>
      </c>
      <c r="D2246">
        <v>-2.6287000000000001E-2</v>
      </c>
      <c r="E2246">
        <f t="shared" si="70"/>
        <v>0.97371300000000005</v>
      </c>
      <c r="F2246" s="1">
        <f t="shared" si="71"/>
        <v>42345</v>
      </c>
      <c r="G2246" cm="1">
        <f t="array" ref="G2246">PRODUCT( _xlfn._xlws.FILTER($E:$E, ($C:$C=C2246)*($F:$F=F2246)) ) - 1</f>
        <v>-3.4767076356747251E-2</v>
      </c>
    </row>
    <row r="2247" spans="1:7" x14ac:dyDescent="0.2">
      <c r="A2247" s="1">
        <v>42347</v>
      </c>
      <c r="B2247">
        <v>0</v>
      </c>
      <c r="C2247" t="s">
        <v>12</v>
      </c>
      <c r="D2247">
        <v>9.4629999999999992E-3</v>
      </c>
      <c r="E2247">
        <f t="shared" si="70"/>
        <v>1.009463</v>
      </c>
      <c r="F2247" s="1">
        <f t="shared" si="71"/>
        <v>42345</v>
      </c>
      <c r="G2247" cm="1">
        <f t="array" ref="G2247">PRODUCT( _xlfn._xlws.FILTER($E:$E, ($C:$C=C2247)*($F:$F=F2247)) ) - 1</f>
        <v>-3.4767076356747251E-2</v>
      </c>
    </row>
    <row r="2248" spans="1:7" x14ac:dyDescent="0.2">
      <c r="A2248" s="1">
        <v>42348</v>
      </c>
      <c r="B2248">
        <v>0</v>
      </c>
      <c r="C2248" t="s">
        <v>12</v>
      </c>
      <c r="D2248">
        <v>1.1854999999999999E-2</v>
      </c>
      <c r="E2248">
        <f t="shared" si="70"/>
        <v>1.0118549999999999</v>
      </c>
      <c r="F2248" s="1">
        <f t="shared" si="71"/>
        <v>42345</v>
      </c>
      <c r="G2248" cm="1">
        <f t="array" ref="G2248">PRODUCT( _xlfn._xlws.FILTER($E:$E, ($C:$C=C2248)*($F:$F=F2248)) ) - 1</f>
        <v>-3.4767076356747251E-2</v>
      </c>
    </row>
    <row r="2249" spans="1:7" x14ac:dyDescent="0.2">
      <c r="A2249" s="1">
        <v>42349</v>
      </c>
      <c r="B2249">
        <v>0</v>
      </c>
      <c r="C2249" t="s">
        <v>12</v>
      </c>
      <c r="D2249">
        <v>-8.992E-3</v>
      </c>
      <c r="E2249">
        <f t="shared" si="70"/>
        <v>0.991008</v>
      </c>
      <c r="F2249" s="1">
        <f t="shared" si="71"/>
        <v>42345</v>
      </c>
      <c r="G2249" cm="1">
        <f t="array" ref="G2249">PRODUCT( _xlfn._xlws.FILTER($E:$E, ($C:$C=C2249)*($F:$F=F2249)) ) - 1</f>
        <v>-3.4767076356747251E-2</v>
      </c>
    </row>
    <row r="2250" spans="1:7" x14ac:dyDescent="0.2">
      <c r="A2250" s="1">
        <v>42352</v>
      </c>
      <c r="B2250">
        <v>0</v>
      </c>
      <c r="C2250" t="s">
        <v>12</v>
      </c>
      <c r="D2250">
        <v>-5.4990000000000004E-3</v>
      </c>
      <c r="E2250">
        <f t="shared" si="70"/>
        <v>0.99450099999999997</v>
      </c>
      <c r="F2250" s="1">
        <f t="shared" si="71"/>
        <v>42352</v>
      </c>
      <c r="G2250" cm="1">
        <f t="array" ref="G2250">PRODUCT( _xlfn._xlws.FILTER($E:$E, ($C:$C=C2250)*($F:$F=F2250)) ) - 1</f>
        <v>3.9044324469805991E-2</v>
      </c>
    </row>
    <row r="2251" spans="1:7" x14ac:dyDescent="0.2">
      <c r="A2251" s="1">
        <v>42353</v>
      </c>
      <c r="B2251">
        <v>0</v>
      </c>
      <c r="C2251" t="s">
        <v>12</v>
      </c>
      <c r="D2251">
        <v>1.7417999999999999E-2</v>
      </c>
      <c r="E2251">
        <f t="shared" si="70"/>
        <v>1.0174179999999999</v>
      </c>
      <c r="F2251" s="1">
        <f t="shared" si="71"/>
        <v>42352</v>
      </c>
      <c r="G2251" cm="1">
        <f t="array" ref="G2251">PRODUCT( _xlfn._xlws.FILTER($E:$E, ($C:$C=C2251)*($F:$F=F2251)) ) - 1</f>
        <v>3.9044324469805991E-2</v>
      </c>
    </row>
    <row r="2252" spans="1:7" x14ac:dyDescent="0.2">
      <c r="A2252" s="1">
        <v>42354</v>
      </c>
      <c r="B2252">
        <v>0</v>
      </c>
      <c r="C2252" t="s">
        <v>12</v>
      </c>
      <c r="D2252">
        <v>3.1522000000000001E-2</v>
      </c>
      <c r="E2252">
        <f t="shared" si="70"/>
        <v>1.031522</v>
      </c>
      <c r="F2252" s="1">
        <f t="shared" si="71"/>
        <v>42352</v>
      </c>
      <c r="G2252" cm="1">
        <f t="array" ref="G2252">PRODUCT( _xlfn._xlws.FILTER($E:$E, ($C:$C=C2252)*($F:$F=F2252)) ) - 1</f>
        <v>3.9044324469805991E-2</v>
      </c>
    </row>
    <row r="2253" spans="1:7" x14ac:dyDescent="0.2">
      <c r="A2253" s="1">
        <v>42355</v>
      </c>
      <c r="B2253">
        <v>0</v>
      </c>
      <c r="C2253" t="s">
        <v>12</v>
      </c>
      <c r="D2253">
        <v>-3.1610000000000002E-3</v>
      </c>
      <c r="E2253">
        <f t="shared" si="70"/>
        <v>0.99683900000000003</v>
      </c>
      <c r="F2253" s="1">
        <f t="shared" si="71"/>
        <v>42352</v>
      </c>
      <c r="G2253" cm="1">
        <f t="array" ref="G2253">PRODUCT( _xlfn._xlws.FILTER($E:$E, ($C:$C=C2253)*($F:$F=F2253)) ) - 1</f>
        <v>3.9044324469805991E-2</v>
      </c>
    </row>
    <row r="2254" spans="1:7" x14ac:dyDescent="0.2">
      <c r="A2254" s="1">
        <v>42356</v>
      </c>
      <c r="B2254">
        <v>0</v>
      </c>
      <c r="C2254" t="s">
        <v>12</v>
      </c>
      <c r="D2254">
        <v>-1.3209999999999999E-3</v>
      </c>
      <c r="E2254">
        <f t="shared" si="70"/>
        <v>0.99867899999999998</v>
      </c>
      <c r="F2254" s="1">
        <f t="shared" si="71"/>
        <v>42352</v>
      </c>
      <c r="G2254" cm="1">
        <f t="array" ref="G2254">PRODUCT( _xlfn._xlws.FILTER($E:$E, ($C:$C=C2254)*($F:$F=F2254)) ) - 1</f>
        <v>3.9044324469805991E-2</v>
      </c>
    </row>
    <row r="2255" spans="1:7" x14ac:dyDescent="0.2">
      <c r="A2255" s="1">
        <v>42359</v>
      </c>
      <c r="B2255">
        <v>0</v>
      </c>
      <c r="C2255" t="s">
        <v>12</v>
      </c>
      <c r="D2255">
        <v>-5.2919999999999998E-3</v>
      </c>
      <c r="E2255">
        <f t="shared" si="70"/>
        <v>0.99470800000000004</v>
      </c>
      <c r="F2255" s="1">
        <f t="shared" si="71"/>
        <v>42359</v>
      </c>
      <c r="G2255" cm="1">
        <f t="array" ref="G2255">PRODUCT( _xlfn._xlws.FILTER($E:$E, ($C:$C=C2255)*($F:$F=F2255)) ) - 1</f>
        <v>6.0867118973650935E-3</v>
      </c>
    </row>
    <row r="2256" spans="1:7" x14ac:dyDescent="0.2">
      <c r="A2256" s="1">
        <v>42360</v>
      </c>
      <c r="B2256">
        <v>0</v>
      </c>
      <c r="C2256" t="s">
        <v>12</v>
      </c>
      <c r="D2256">
        <v>-5.3200000000000003E-4</v>
      </c>
      <c r="E2256">
        <f t="shared" si="70"/>
        <v>0.99946800000000002</v>
      </c>
      <c r="F2256" s="1">
        <f t="shared" si="71"/>
        <v>42359</v>
      </c>
      <c r="G2256" cm="1">
        <f t="array" ref="G2256">PRODUCT( _xlfn._xlws.FILTER($E:$E, ($C:$C=C2256)*($F:$F=F2256)) ) - 1</f>
        <v>6.0867118973650935E-3</v>
      </c>
    </row>
    <row r="2257" spans="1:7" x14ac:dyDescent="0.2">
      <c r="A2257" s="1">
        <v>42361</v>
      </c>
      <c r="B2257">
        <v>0</v>
      </c>
      <c r="C2257" t="s">
        <v>12</v>
      </c>
      <c r="D2257">
        <v>7.7190000000000002E-3</v>
      </c>
      <c r="E2257">
        <f t="shared" si="70"/>
        <v>1.007719</v>
      </c>
      <c r="F2257" s="1">
        <f t="shared" si="71"/>
        <v>42359</v>
      </c>
      <c r="G2257" cm="1">
        <f t="array" ref="G2257">PRODUCT( _xlfn._xlws.FILTER($E:$E, ($C:$C=C2257)*($F:$F=F2257)) ) - 1</f>
        <v>6.0867118973650935E-3</v>
      </c>
    </row>
    <row r="2258" spans="1:7" x14ac:dyDescent="0.2">
      <c r="A2258" s="1">
        <v>42362</v>
      </c>
      <c r="B2258">
        <v>0</v>
      </c>
      <c r="C2258" t="s">
        <v>12</v>
      </c>
      <c r="D2258">
        <v>4.2259999999999997E-3</v>
      </c>
      <c r="E2258">
        <f t="shared" si="70"/>
        <v>1.0042260000000001</v>
      </c>
      <c r="F2258" s="1">
        <f t="shared" si="71"/>
        <v>42359</v>
      </c>
      <c r="G2258" cm="1">
        <f t="array" ref="G2258">PRODUCT( _xlfn._xlws.FILTER($E:$E, ($C:$C=C2258)*($F:$F=F2258)) ) - 1</f>
        <v>6.0867118973650935E-3</v>
      </c>
    </row>
    <row r="2259" spans="1:7" x14ac:dyDescent="0.2">
      <c r="A2259" s="1">
        <v>42367</v>
      </c>
      <c r="B2259">
        <v>0</v>
      </c>
      <c r="C2259" t="s">
        <v>12</v>
      </c>
      <c r="D2259">
        <v>-2.8930000000000002E-3</v>
      </c>
      <c r="E2259">
        <f t="shared" si="70"/>
        <v>0.99710699999999997</v>
      </c>
      <c r="F2259" s="1">
        <f t="shared" si="71"/>
        <v>42366</v>
      </c>
      <c r="G2259" cm="1">
        <f t="array" ref="G2259">PRODUCT( _xlfn._xlws.FILTER($E:$E, ($C:$C=C2259)*($F:$F=F2259)) ) - 1</f>
        <v>-1.6044106926792923E-2</v>
      </c>
    </row>
    <row r="2260" spans="1:7" x14ac:dyDescent="0.2">
      <c r="A2260" s="1">
        <v>42368</v>
      </c>
      <c r="B2260">
        <v>0</v>
      </c>
      <c r="C2260" t="s">
        <v>12</v>
      </c>
      <c r="D2260">
        <v>-2.3739999999999998E-3</v>
      </c>
      <c r="E2260">
        <f t="shared" si="70"/>
        <v>0.99762600000000001</v>
      </c>
      <c r="F2260" s="1">
        <f t="shared" si="71"/>
        <v>42366</v>
      </c>
      <c r="G2260" cm="1">
        <f t="array" ref="G2260">PRODUCT( _xlfn._xlws.FILTER($E:$E, ($C:$C=C2260)*($F:$F=F2260)) ) - 1</f>
        <v>-1.6044106926792923E-2</v>
      </c>
    </row>
    <row r="2261" spans="1:7" x14ac:dyDescent="0.2">
      <c r="A2261" s="1">
        <v>42369</v>
      </c>
      <c r="B2261">
        <v>0</v>
      </c>
      <c r="C2261" t="s">
        <v>12</v>
      </c>
      <c r="D2261">
        <v>-1.0841E-2</v>
      </c>
      <c r="E2261">
        <f t="shared" si="70"/>
        <v>0.98915900000000001</v>
      </c>
      <c r="F2261" s="1">
        <f t="shared" si="71"/>
        <v>42366</v>
      </c>
      <c r="G2261" cm="1">
        <f t="array" ref="G2261">PRODUCT( _xlfn._xlws.FILTER($E:$E, ($C:$C=C2261)*($F:$F=F2261)) ) - 1</f>
        <v>-1.6044106926792923E-2</v>
      </c>
    </row>
    <row r="2262" spans="1:7" x14ac:dyDescent="0.2">
      <c r="A2262" s="1">
        <v>42373</v>
      </c>
      <c r="B2262">
        <v>0</v>
      </c>
      <c r="C2262" t="s">
        <v>12</v>
      </c>
      <c r="D2262">
        <v>-7.4850000000000003E-3</v>
      </c>
      <c r="E2262">
        <f t="shared" si="70"/>
        <v>0.99251500000000004</v>
      </c>
      <c r="F2262" s="1">
        <f t="shared" si="71"/>
        <v>42373</v>
      </c>
      <c r="G2262" cm="1">
        <f t="array" ref="G2262">PRODUCT( _xlfn._xlws.FILTER($E:$E, ($C:$C=C2262)*($F:$F=F2262)) ) - 1</f>
        <v>-4.8120873605227432E-3</v>
      </c>
    </row>
    <row r="2263" spans="1:7" x14ac:dyDescent="0.2">
      <c r="A2263" s="1">
        <v>42374</v>
      </c>
      <c r="B2263">
        <v>0</v>
      </c>
      <c r="C2263" t="s">
        <v>12</v>
      </c>
      <c r="D2263">
        <v>8.3490000000000005E-3</v>
      </c>
      <c r="E2263">
        <f t="shared" si="70"/>
        <v>1.0083489999999999</v>
      </c>
      <c r="F2263" s="1">
        <f t="shared" si="71"/>
        <v>42373</v>
      </c>
      <c r="G2263" cm="1">
        <f t="array" ref="G2263">PRODUCT( _xlfn._xlws.FILTER($E:$E, ($C:$C=C2263)*($F:$F=F2263)) ) - 1</f>
        <v>-4.8120873605227432E-3</v>
      </c>
    </row>
    <row r="2264" spans="1:7" x14ac:dyDescent="0.2">
      <c r="A2264" s="1">
        <v>42375</v>
      </c>
      <c r="B2264">
        <v>0</v>
      </c>
      <c r="C2264" t="s">
        <v>12</v>
      </c>
      <c r="D2264">
        <v>0</v>
      </c>
      <c r="E2264">
        <f t="shared" si="70"/>
        <v>1</v>
      </c>
      <c r="F2264" s="1">
        <f t="shared" si="71"/>
        <v>42373</v>
      </c>
      <c r="G2264" cm="1">
        <f t="array" ref="G2264">PRODUCT( _xlfn._xlws.FILTER($E:$E, ($C:$C=C2264)*($F:$F=F2264)) ) - 1</f>
        <v>-4.8120873605227432E-3</v>
      </c>
    </row>
    <row r="2265" spans="1:7" x14ac:dyDescent="0.2">
      <c r="A2265" s="1">
        <v>42376</v>
      </c>
      <c r="B2265">
        <v>0</v>
      </c>
      <c r="C2265" t="s">
        <v>12</v>
      </c>
      <c r="D2265">
        <v>-1.9231000000000002E-2</v>
      </c>
      <c r="E2265">
        <f t="shared" si="70"/>
        <v>0.980769</v>
      </c>
      <c r="F2265" s="1">
        <f t="shared" si="71"/>
        <v>42373</v>
      </c>
      <c r="G2265" cm="1">
        <f t="array" ref="G2265">PRODUCT( _xlfn._xlws.FILTER($E:$E, ($C:$C=C2265)*($F:$F=F2265)) ) - 1</f>
        <v>-4.8120873605227432E-3</v>
      </c>
    </row>
    <row r="2266" spans="1:7" x14ac:dyDescent="0.2">
      <c r="A2266" s="1">
        <v>42377</v>
      </c>
      <c r="B2266">
        <v>0</v>
      </c>
      <c r="C2266" t="s">
        <v>12</v>
      </c>
      <c r="D2266">
        <v>1.3889E-2</v>
      </c>
      <c r="E2266">
        <f t="shared" si="70"/>
        <v>1.013889</v>
      </c>
      <c r="F2266" s="1">
        <f t="shared" si="71"/>
        <v>42373</v>
      </c>
      <c r="G2266" cm="1">
        <f t="array" ref="G2266">PRODUCT( _xlfn._xlws.FILTER($E:$E, ($C:$C=C2266)*($F:$F=F2266)) ) - 1</f>
        <v>-4.8120873605227432E-3</v>
      </c>
    </row>
    <row r="2267" spans="1:7" x14ac:dyDescent="0.2">
      <c r="A2267" s="1">
        <v>42380</v>
      </c>
      <c r="B2267">
        <v>0</v>
      </c>
      <c r="C2267" t="s">
        <v>12</v>
      </c>
      <c r="D2267">
        <v>4.2979999999999997E-3</v>
      </c>
      <c r="E2267">
        <f t="shared" si="70"/>
        <v>1.0042979999999999</v>
      </c>
      <c r="F2267" s="1">
        <f t="shared" si="71"/>
        <v>42380</v>
      </c>
      <c r="G2267" cm="1">
        <f t="array" ref="G2267">PRODUCT( _xlfn._xlws.FILTER($E:$E, ($C:$C=C2267)*($F:$F=F2267)) ) - 1</f>
        <v>-1.9070168078737959E-2</v>
      </c>
    </row>
    <row r="2268" spans="1:7" x14ac:dyDescent="0.2">
      <c r="A2268" s="1">
        <v>42381</v>
      </c>
      <c r="B2268">
        <v>0</v>
      </c>
      <c r="C2268" t="s">
        <v>12</v>
      </c>
      <c r="D2268">
        <v>8.8260000000000005E-3</v>
      </c>
      <c r="E2268">
        <f t="shared" si="70"/>
        <v>1.008826</v>
      </c>
      <c r="F2268" s="1">
        <f t="shared" si="71"/>
        <v>42380</v>
      </c>
      <c r="G2268" cm="1">
        <f t="array" ref="G2268">PRODUCT( _xlfn._xlws.FILTER($E:$E, ($C:$C=C2268)*($F:$F=F2268)) ) - 1</f>
        <v>-1.9070168078737959E-2</v>
      </c>
    </row>
    <row r="2269" spans="1:7" x14ac:dyDescent="0.2">
      <c r="A2269" s="1">
        <v>42382</v>
      </c>
      <c r="B2269">
        <v>0</v>
      </c>
      <c r="C2269" t="s">
        <v>12</v>
      </c>
      <c r="D2269">
        <v>-1.299E-2</v>
      </c>
      <c r="E2269">
        <f t="shared" si="70"/>
        <v>0.98701000000000005</v>
      </c>
      <c r="F2269" s="1">
        <f t="shared" si="71"/>
        <v>42380</v>
      </c>
      <c r="G2269" cm="1">
        <f t="array" ref="G2269">PRODUCT( _xlfn._xlws.FILTER($E:$E, ($C:$C=C2269)*($F:$F=F2269)) ) - 1</f>
        <v>-1.9070168078737959E-2</v>
      </c>
    </row>
    <row r="2270" spans="1:7" x14ac:dyDescent="0.2">
      <c r="A2270" s="1">
        <v>42383</v>
      </c>
      <c r="B2270">
        <v>0</v>
      </c>
      <c r="C2270" t="s">
        <v>12</v>
      </c>
      <c r="D2270">
        <v>1.2087000000000001E-2</v>
      </c>
      <c r="E2270">
        <f t="shared" si="70"/>
        <v>1.012087</v>
      </c>
      <c r="F2270" s="1">
        <f t="shared" si="71"/>
        <v>42380</v>
      </c>
      <c r="G2270" cm="1">
        <f t="array" ref="G2270">PRODUCT( _xlfn._xlws.FILTER($E:$E, ($C:$C=C2270)*($F:$F=F2270)) ) - 1</f>
        <v>-1.9070168078737959E-2</v>
      </c>
    </row>
    <row r="2271" spans="1:7" x14ac:dyDescent="0.2">
      <c r="A2271" s="1">
        <v>42384</v>
      </c>
      <c r="B2271">
        <v>0</v>
      </c>
      <c r="C2271" t="s">
        <v>12</v>
      </c>
      <c r="D2271">
        <v>-3.0786000000000001E-2</v>
      </c>
      <c r="E2271">
        <f t="shared" si="70"/>
        <v>0.96921400000000002</v>
      </c>
      <c r="F2271" s="1">
        <f t="shared" si="71"/>
        <v>42380</v>
      </c>
      <c r="G2271" cm="1">
        <f t="array" ref="G2271">PRODUCT( _xlfn._xlws.FILTER($E:$E, ($C:$C=C2271)*($F:$F=F2271)) ) - 1</f>
        <v>-1.9070168078737959E-2</v>
      </c>
    </row>
    <row r="2272" spans="1:7" x14ac:dyDescent="0.2">
      <c r="A2272" s="1">
        <v>42387</v>
      </c>
      <c r="B2272">
        <v>0</v>
      </c>
      <c r="C2272" t="s">
        <v>12</v>
      </c>
      <c r="D2272">
        <v>-6.0239999999999998E-3</v>
      </c>
      <c r="E2272">
        <f t="shared" si="70"/>
        <v>0.99397599999999997</v>
      </c>
      <c r="F2272" s="1">
        <f t="shared" si="71"/>
        <v>42387</v>
      </c>
      <c r="G2272" cm="1">
        <f t="array" ref="G2272">PRODUCT( _xlfn._xlws.FILTER($E:$E, ($C:$C=C2272)*($F:$F=F2272)) ) - 1</f>
        <v>5.3942886818211022E-2</v>
      </c>
    </row>
    <row r="2273" spans="1:7" x14ac:dyDescent="0.2">
      <c r="A2273" s="1">
        <v>42388</v>
      </c>
      <c r="B2273">
        <v>0</v>
      </c>
      <c r="C2273" t="s">
        <v>12</v>
      </c>
      <c r="D2273">
        <v>1.3223E-2</v>
      </c>
      <c r="E2273">
        <f t="shared" si="70"/>
        <v>1.013223</v>
      </c>
      <c r="F2273" s="1">
        <f t="shared" si="71"/>
        <v>42387</v>
      </c>
      <c r="G2273" cm="1">
        <f t="array" ref="G2273">PRODUCT( _xlfn._xlws.FILTER($E:$E, ($C:$C=C2273)*($F:$F=F2273)) ) - 1</f>
        <v>5.3942886818211022E-2</v>
      </c>
    </row>
    <row r="2274" spans="1:7" x14ac:dyDescent="0.2">
      <c r="A2274" s="1">
        <v>42389</v>
      </c>
      <c r="B2274">
        <v>0</v>
      </c>
      <c r="C2274" t="s">
        <v>12</v>
      </c>
      <c r="D2274">
        <v>-5.4380000000000001E-3</v>
      </c>
      <c r="E2274">
        <f t="shared" si="70"/>
        <v>0.99456199999999995</v>
      </c>
      <c r="F2274" s="1">
        <f t="shared" si="71"/>
        <v>42387</v>
      </c>
      <c r="G2274" cm="1">
        <f t="array" ref="G2274">PRODUCT( _xlfn._xlws.FILTER($E:$E, ($C:$C=C2274)*($F:$F=F2274)) ) - 1</f>
        <v>5.3942886818211022E-2</v>
      </c>
    </row>
    <row r="2275" spans="1:7" x14ac:dyDescent="0.2">
      <c r="A2275" s="1">
        <v>42390</v>
      </c>
      <c r="B2275">
        <v>0</v>
      </c>
      <c r="C2275" t="s">
        <v>12</v>
      </c>
      <c r="D2275">
        <v>2.1049999999999999E-2</v>
      </c>
      <c r="E2275">
        <f t="shared" si="70"/>
        <v>1.02105</v>
      </c>
      <c r="F2275" s="1">
        <f t="shared" si="71"/>
        <v>42387</v>
      </c>
      <c r="G2275" cm="1">
        <f t="array" ref="G2275">PRODUCT( _xlfn._xlws.FILTER($E:$E, ($C:$C=C2275)*($F:$F=F2275)) ) - 1</f>
        <v>5.3942886818211022E-2</v>
      </c>
    </row>
    <row r="2276" spans="1:7" x14ac:dyDescent="0.2">
      <c r="A2276" s="1">
        <v>42391</v>
      </c>
      <c r="B2276">
        <v>0</v>
      </c>
      <c r="C2276" t="s">
        <v>12</v>
      </c>
      <c r="D2276">
        <v>3.0522000000000001E-2</v>
      </c>
      <c r="E2276">
        <f t="shared" si="70"/>
        <v>1.0305219999999999</v>
      </c>
      <c r="F2276" s="1">
        <f t="shared" si="71"/>
        <v>42387</v>
      </c>
      <c r="G2276" cm="1">
        <f t="array" ref="G2276">PRODUCT( _xlfn._xlws.FILTER($E:$E, ($C:$C=C2276)*($F:$F=F2276)) ) - 1</f>
        <v>5.3942886818211022E-2</v>
      </c>
    </row>
    <row r="2277" spans="1:7" x14ac:dyDescent="0.2">
      <c r="A2277" s="1">
        <v>42394</v>
      </c>
      <c r="B2277">
        <v>0</v>
      </c>
      <c r="C2277" t="s">
        <v>12</v>
      </c>
      <c r="D2277">
        <v>-9.0930000000000004E-3</v>
      </c>
      <c r="E2277">
        <f t="shared" si="70"/>
        <v>0.99090699999999998</v>
      </c>
      <c r="F2277" s="1">
        <f t="shared" si="71"/>
        <v>42394</v>
      </c>
      <c r="G2277" cm="1">
        <f t="array" ref="G2277">PRODUCT( _xlfn._xlws.FILTER($E:$E, ($C:$C=C2277)*($F:$F=F2277)) ) - 1</f>
        <v>5.7677248020107319E-2</v>
      </c>
    </row>
    <row r="2278" spans="1:7" x14ac:dyDescent="0.2">
      <c r="A2278" s="1">
        <v>42395</v>
      </c>
      <c r="B2278">
        <v>0</v>
      </c>
      <c r="C2278" t="s">
        <v>12</v>
      </c>
      <c r="D2278">
        <v>8.1279999999999998E-3</v>
      </c>
      <c r="E2278">
        <f t="shared" si="70"/>
        <v>1.0081279999999999</v>
      </c>
      <c r="F2278" s="1">
        <f t="shared" si="71"/>
        <v>42394</v>
      </c>
      <c r="G2278" cm="1">
        <f t="array" ref="G2278">PRODUCT( _xlfn._xlws.FILTER($E:$E, ($C:$C=C2278)*($F:$F=F2278)) ) - 1</f>
        <v>5.7677248020107319E-2</v>
      </c>
    </row>
    <row r="2279" spans="1:7" x14ac:dyDescent="0.2">
      <c r="A2279" s="1">
        <v>42396</v>
      </c>
      <c r="B2279">
        <v>0</v>
      </c>
      <c r="C2279" t="s">
        <v>12</v>
      </c>
      <c r="D2279">
        <v>1.3004E-2</v>
      </c>
      <c r="E2279">
        <f t="shared" si="70"/>
        <v>1.013004</v>
      </c>
      <c r="F2279" s="1">
        <f t="shared" si="71"/>
        <v>42394</v>
      </c>
      <c r="G2279" cm="1">
        <f t="array" ref="G2279">PRODUCT( _xlfn._xlws.FILTER($E:$E, ($C:$C=C2279)*($F:$F=F2279)) ) - 1</f>
        <v>5.7677248020107319E-2</v>
      </c>
    </row>
    <row r="2280" spans="1:7" x14ac:dyDescent="0.2">
      <c r="A2280" s="1">
        <v>42397</v>
      </c>
      <c r="B2280">
        <v>0</v>
      </c>
      <c r="C2280" t="s">
        <v>12</v>
      </c>
      <c r="D2280">
        <v>2.3619999999999999E-2</v>
      </c>
      <c r="E2280">
        <f t="shared" si="70"/>
        <v>1.02362</v>
      </c>
      <c r="F2280" s="1">
        <f t="shared" si="71"/>
        <v>42394</v>
      </c>
      <c r="G2280" cm="1">
        <f t="array" ref="G2280">PRODUCT( _xlfn._xlws.FILTER($E:$E, ($C:$C=C2280)*($F:$F=F2280)) ) - 1</f>
        <v>5.7677248020107319E-2</v>
      </c>
    </row>
    <row r="2281" spans="1:7" x14ac:dyDescent="0.2">
      <c r="A2281" s="1">
        <v>42398</v>
      </c>
      <c r="B2281">
        <v>0</v>
      </c>
      <c r="C2281" t="s">
        <v>12</v>
      </c>
      <c r="D2281">
        <v>2.1068E-2</v>
      </c>
      <c r="E2281">
        <f t="shared" si="70"/>
        <v>1.0210680000000001</v>
      </c>
      <c r="F2281" s="1">
        <f t="shared" si="71"/>
        <v>42394</v>
      </c>
      <c r="G2281" cm="1">
        <f t="array" ref="G2281">PRODUCT( _xlfn._xlws.FILTER($E:$E, ($C:$C=C2281)*($F:$F=F2281)) ) - 1</f>
        <v>5.7677248020107319E-2</v>
      </c>
    </row>
    <row r="2282" spans="1:7" x14ac:dyDescent="0.2">
      <c r="A2282" s="1">
        <v>42401</v>
      </c>
      <c r="B2282">
        <v>0</v>
      </c>
      <c r="C2282" t="s">
        <v>12</v>
      </c>
      <c r="D2282">
        <v>-2.4559999999999998E-3</v>
      </c>
      <c r="E2282">
        <f t="shared" si="70"/>
        <v>0.99754399999999999</v>
      </c>
      <c r="F2282" s="1">
        <f t="shared" si="71"/>
        <v>42401</v>
      </c>
      <c r="G2282" cm="1">
        <f t="array" ref="G2282">PRODUCT( _xlfn._xlws.FILTER($E:$E, ($C:$C=C2282)*($F:$F=F2282)) ) - 1</f>
        <v>1.8668261566480826E-2</v>
      </c>
    </row>
    <row r="2283" spans="1:7" x14ac:dyDescent="0.2">
      <c r="A2283" s="1">
        <v>42402</v>
      </c>
      <c r="B2283">
        <v>0</v>
      </c>
      <c r="C2283" t="s">
        <v>12</v>
      </c>
      <c r="D2283">
        <v>6.156E-3</v>
      </c>
      <c r="E2283">
        <f t="shared" si="70"/>
        <v>1.0061560000000001</v>
      </c>
      <c r="F2283" s="1">
        <f t="shared" si="71"/>
        <v>42401</v>
      </c>
      <c r="G2283" cm="1">
        <f t="array" ref="G2283">PRODUCT( _xlfn._xlws.FILTER($E:$E, ($C:$C=C2283)*($F:$F=F2283)) ) - 1</f>
        <v>1.8668261566480826E-2</v>
      </c>
    </row>
    <row r="2284" spans="1:7" x14ac:dyDescent="0.2">
      <c r="A2284" s="1">
        <v>42403</v>
      </c>
      <c r="B2284">
        <v>0</v>
      </c>
      <c r="C2284" t="s">
        <v>12</v>
      </c>
      <c r="D2284">
        <v>2.447E-3</v>
      </c>
      <c r="E2284">
        <f t="shared" si="70"/>
        <v>1.0024470000000001</v>
      </c>
      <c r="F2284" s="1">
        <f t="shared" si="71"/>
        <v>42401</v>
      </c>
      <c r="G2284" cm="1">
        <f t="array" ref="G2284">PRODUCT( _xlfn._xlws.FILTER($E:$E, ($C:$C=C2284)*($F:$F=F2284)) ) - 1</f>
        <v>1.8668261566480826E-2</v>
      </c>
    </row>
    <row r="2285" spans="1:7" x14ac:dyDescent="0.2">
      <c r="A2285" s="1">
        <v>42404</v>
      </c>
      <c r="B2285">
        <v>0</v>
      </c>
      <c r="C2285" t="s">
        <v>12</v>
      </c>
      <c r="D2285">
        <v>8.7889999999999999E-3</v>
      </c>
      <c r="E2285">
        <f t="shared" si="70"/>
        <v>1.0087889999999999</v>
      </c>
      <c r="F2285" s="1">
        <f t="shared" si="71"/>
        <v>42401</v>
      </c>
      <c r="G2285" cm="1">
        <f t="array" ref="G2285">PRODUCT( _xlfn._xlws.FILTER($E:$E, ($C:$C=C2285)*($F:$F=F2285)) ) - 1</f>
        <v>1.8668261566480826E-2</v>
      </c>
    </row>
    <row r="2286" spans="1:7" x14ac:dyDescent="0.2">
      <c r="A2286" s="1">
        <v>42405</v>
      </c>
      <c r="B2286">
        <v>0</v>
      </c>
      <c r="C2286" t="s">
        <v>12</v>
      </c>
      <c r="D2286">
        <v>3.63E-3</v>
      </c>
      <c r="E2286">
        <f t="shared" si="70"/>
        <v>1.00363</v>
      </c>
      <c r="F2286" s="1">
        <f t="shared" si="71"/>
        <v>42401</v>
      </c>
      <c r="G2286" cm="1">
        <f t="array" ref="G2286">PRODUCT( _xlfn._xlws.FILTER($E:$E, ($C:$C=C2286)*($F:$F=F2286)) ) - 1</f>
        <v>1.8668261566480826E-2</v>
      </c>
    </row>
    <row r="2287" spans="1:7" x14ac:dyDescent="0.2">
      <c r="A2287" s="1">
        <v>42408</v>
      </c>
      <c r="B2287">
        <v>0</v>
      </c>
      <c r="C2287" t="s">
        <v>12</v>
      </c>
      <c r="D2287">
        <v>-2.1700000000000001E-3</v>
      </c>
      <c r="E2287">
        <f t="shared" si="70"/>
        <v>0.99782999999999999</v>
      </c>
      <c r="F2287" s="1">
        <f t="shared" si="71"/>
        <v>42408</v>
      </c>
      <c r="G2287" cm="1">
        <f t="array" ref="G2287">PRODUCT( _xlfn._xlws.FILTER($E:$E, ($C:$C=C2287)*($F:$F=F2287)) ) - 1</f>
        <v>-0.11803695534529024</v>
      </c>
    </row>
    <row r="2288" spans="1:7" x14ac:dyDescent="0.2">
      <c r="A2288" s="1">
        <v>42409</v>
      </c>
      <c r="B2288">
        <v>0</v>
      </c>
      <c r="C2288" t="s">
        <v>12</v>
      </c>
      <c r="D2288">
        <v>-0.102465</v>
      </c>
      <c r="E2288">
        <f t="shared" si="70"/>
        <v>0.89753499999999997</v>
      </c>
      <c r="F2288" s="1">
        <f t="shared" si="71"/>
        <v>42408</v>
      </c>
      <c r="G2288" cm="1">
        <f t="array" ref="G2288">PRODUCT( _xlfn._xlws.FILTER($E:$E, ($C:$C=C2288)*($F:$F=F2288)) ) - 1</f>
        <v>-0.11803695534529024</v>
      </c>
    </row>
    <row r="2289" spans="1:7" x14ac:dyDescent="0.2">
      <c r="A2289" s="1">
        <v>42410</v>
      </c>
      <c r="B2289">
        <v>0</v>
      </c>
      <c r="C2289" t="s">
        <v>12</v>
      </c>
      <c r="D2289">
        <v>8.8850000000000005E-3</v>
      </c>
      <c r="E2289">
        <f t="shared" si="70"/>
        <v>1.008885</v>
      </c>
      <c r="F2289" s="1">
        <f t="shared" si="71"/>
        <v>42408</v>
      </c>
      <c r="G2289" cm="1">
        <f t="array" ref="G2289">PRODUCT( _xlfn._xlws.FILTER($E:$E, ($C:$C=C2289)*($F:$F=F2289)) ) - 1</f>
        <v>-0.11803695534529024</v>
      </c>
    </row>
    <row r="2290" spans="1:7" x14ac:dyDescent="0.2">
      <c r="A2290" s="1">
        <v>42411</v>
      </c>
      <c r="B2290">
        <v>0</v>
      </c>
      <c r="C2290" t="s">
        <v>12</v>
      </c>
      <c r="D2290">
        <v>-3.5762000000000002E-2</v>
      </c>
      <c r="E2290">
        <f t="shared" si="70"/>
        <v>0.96423800000000004</v>
      </c>
      <c r="F2290" s="1">
        <f t="shared" si="71"/>
        <v>42408</v>
      </c>
      <c r="G2290" cm="1">
        <f t="array" ref="G2290">PRODUCT( _xlfn._xlws.FILTER($E:$E, ($C:$C=C2290)*($F:$F=F2290)) ) - 1</f>
        <v>-0.11803695534529024</v>
      </c>
    </row>
    <row r="2291" spans="1:7" x14ac:dyDescent="0.2">
      <c r="A2291" s="1">
        <v>42412</v>
      </c>
      <c r="B2291">
        <v>0</v>
      </c>
      <c r="C2291" t="s">
        <v>12</v>
      </c>
      <c r="D2291">
        <v>1.2317E-2</v>
      </c>
      <c r="E2291">
        <f t="shared" si="70"/>
        <v>1.0123169999999999</v>
      </c>
      <c r="F2291" s="1">
        <f t="shared" si="71"/>
        <v>42408</v>
      </c>
      <c r="G2291" cm="1">
        <f t="array" ref="G2291">PRODUCT( _xlfn._xlws.FILTER($E:$E, ($C:$C=C2291)*($F:$F=F2291)) ) - 1</f>
        <v>-0.11803695534529024</v>
      </c>
    </row>
    <row r="2292" spans="1:7" x14ac:dyDescent="0.2">
      <c r="A2292" s="1">
        <v>42416</v>
      </c>
      <c r="B2292">
        <v>0</v>
      </c>
      <c r="C2292" t="s">
        <v>12</v>
      </c>
      <c r="D2292">
        <v>8.2869999999999992E-3</v>
      </c>
      <c r="E2292">
        <f t="shared" si="70"/>
        <v>1.0082869999999999</v>
      </c>
      <c r="F2292" s="1">
        <f t="shared" si="71"/>
        <v>42415</v>
      </c>
      <c r="G2292" cm="1">
        <f t="array" ref="G2292">PRODUCT( _xlfn._xlws.FILTER($E:$E, ($C:$C=C2292)*($F:$F=F2292)) ) - 1</f>
        <v>5.718248480664756E-2</v>
      </c>
    </row>
    <row r="2293" spans="1:7" x14ac:dyDescent="0.2">
      <c r="A2293" s="1">
        <v>42417</v>
      </c>
      <c r="B2293">
        <v>0</v>
      </c>
      <c r="C2293" t="s">
        <v>12</v>
      </c>
      <c r="D2293">
        <v>3.0137000000000001E-2</v>
      </c>
      <c r="E2293">
        <f t="shared" si="70"/>
        <v>1.0301370000000001</v>
      </c>
      <c r="F2293" s="1">
        <f t="shared" si="71"/>
        <v>42415</v>
      </c>
      <c r="G2293" cm="1">
        <f t="array" ref="G2293">PRODUCT( _xlfn._xlws.FILTER($E:$E, ($C:$C=C2293)*($F:$F=F2293)) ) - 1</f>
        <v>5.718248480664756E-2</v>
      </c>
    </row>
    <row r="2294" spans="1:7" x14ac:dyDescent="0.2">
      <c r="A2294" s="1">
        <v>42418</v>
      </c>
      <c r="B2294">
        <v>0</v>
      </c>
      <c r="C2294" t="s">
        <v>12</v>
      </c>
      <c r="D2294">
        <v>1.3032E-2</v>
      </c>
      <c r="E2294">
        <f t="shared" si="70"/>
        <v>1.0130319999999999</v>
      </c>
      <c r="F2294" s="1">
        <f t="shared" si="71"/>
        <v>42415</v>
      </c>
      <c r="G2294" cm="1">
        <f t="array" ref="G2294">PRODUCT( _xlfn._xlws.FILTER($E:$E, ($C:$C=C2294)*($F:$F=F2294)) ) - 1</f>
        <v>5.718248480664756E-2</v>
      </c>
    </row>
    <row r="2295" spans="1:7" x14ac:dyDescent="0.2">
      <c r="A2295" s="1">
        <v>42419</v>
      </c>
      <c r="B2295">
        <v>0</v>
      </c>
      <c r="C2295" t="s">
        <v>12</v>
      </c>
      <c r="D2295">
        <v>4.7260000000000002E-3</v>
      </c>
      <c r="E2295">
        <f t="shared" si="70"/>
        <v>1.004726</v>
      </c>
      <c r="F2295" s="1">
        <f t="shared" si="71"/>
        <v>42415</v>
      </c>
      <c r="G2295" cm="1">
        <f t="array" ref="G2295">PRODUCT( _xlfn._xlws.FILTER($E:$E, ($C:$C=C2295)*($F:$F=F2295)) ) - 1</f>
        <v>5.718248480664756E-2</v>
      </c>
    </row>
    <row r="2296" spans="1:7" x14ac:dyDescent="0.2">
      <c r="A2296" s="1">
        <v>42422</v>
      </c>
      <c r="B2296">
        <v>0</v>
      </c>
      <c r="C2296" t="s">
        <v>12</v>
      </c>
      <c r="D2296">
        <v>1.0191E-2</v>
      </c>
      <c r="E2296">
        <f t="shared" si="70"/>
        <v>1.0101910000000001</v>
      </c>
      <c r="F2296" s="1">
        <f t="shared" si="71"/>
        <v>42422</v>
      </c>
      <c r="G2296" cm="1">
        <f t="array" ref="G2296">PRODUCT( _xlfn._xlws.FILTER($E:$E, ($C:$C=C2296)*($F:$F=F2296)) ) - 1</f>
        <v>-2.1164655466669902E-2</v>
      </c>
    </row>
    <row r="2297" spans="1:7" x14ac:dyDescent="0.2">
      <c r="A2297" s="1">
        <v>42423</v>
      </c>
      <c r="B2297">
        <v>0</v>
      </c>
      <c r="C2297" t="s">
        <v>12</v>
      </c>
      <c r="D2297">
        <v>-1.1639999999999999E-2</v>
      </c>
      <c r="E2297">
        <f t="shared" si="70"/>
        <v>0.98836000000000002</v>
      </c>
      <c r="F2297" s="1">
        <f t="shared" si="71"/>
        <v>42422</v>
      </c>
      <c r="G2297" cm="1">
        <f t="array" ref="G2297">PRODUCT( _xlfn._xlws.FILTER($E:$E, ($C:$C=C2297)*($F:$F=F2297)) ) - 1</f>
        <v>-2.1164655466669902E-2</v>
      </c>
    </row>
    <row r="2298" spans="1:7" x14ac:dyDescent="0.2">
      <c r="A2298" s="1">
        <v>42424</v>
      </c>
      <c r="B2298">
        <v>0</v>
      </c>
      <c r="C2298" t="s">
        <v>12</v>
      </c>
      <c r="D2298">
        <v>-5.2339999999999999E-3</v>
      </c>
      <c r="E2298">
        <f t="shared" si="70"/>
        <v>0.99476600000000004</v>
      </c>
      <c r="F2298" s="1">
        <f t="shared" si="71"/>
        <v>42422</v>
      </c>
      <c r="G2298" cm="1">
        <f t="array" ref="G2298">PRODUCT( _xlfn._xlws.FILTER($E:$E, ($C:$C=C2298)*($F:$F=F2298)) ) - 1</f>
        <v>-2.1164655466669902E-2</v>
      </c>
    </row>
    <row r="2299" spans="1:7" x14ac:dyDescent="0.2">
      <c r="A2299" s="1">
        <v>42425</v>
      </c>
      <c r="B2299">
        <v>0</v>
      </c>
      <c r="C2299" t="s">
        <v>12</v>
      </c>
      <c r="D2299">
        <v>1.0787E-2</v>
      </c>
      <c r="E2299">
        <f t="shared" si="70"/>
        <v>1.0107870000000001</v>
      </c>
      <c r="F2299" s="1">
        <f t="shared" si="71"/>
        <v>42422</v>
      </c>
      <c r="G2299" cm="1">
        <f t="array" ref="G2299">PRODUCT( _xlfn._xlws.FILTER($E:$E, ($C:$C=C2299)*($F:$F=F2299)) ) - 1</f>
        <v>-2.1164655466669902E-2</v>
      </c>
    </row>
    <row r="2300" spans="1:7" x14ac:dyDescent="0.2">
      <c r="A2300" s="1">
        <v>42426</v>
      </c>
      <c r="B2300">
        <v>0</v>
      </c>
      <c r="C2300" t="s">
        <v>12</v>
      </c>
      <c r="D2300">
        <v>-2.4986999999999999E-2</v>
      </c>
      <c r="E2300">
        <f t="shared" si="70"/>
        <v>0.97501300000000002</v>
      </c>
      <c r="F2300" s="1">
        <f t="shared" si="71"/>
        <v>42422</v>
      </c>
      <c r="G2300" cm="1">
        <f t="array" ref="G2300">PRODUCT( _xlfn._xlws.FILTER($E:$E, ($C:$C=C2300)*($F:$F=F2300)) ) - 1</f>
        <v>-2.1164655466669902E-2</v>
      </c>
    </row>
    <row r="2301" spans="1:7" x14ac:dyDescent="0.2">
      <c r="A2301" s="1">
        <v>42429</v>
      </c>
      <c r="B2301">
        <v>0</v>
      </c>
      <c r="C2301" t="s">
        <v>12</v>
      </c>
      <c r="D2301">
        <v>1.335E-3</v>
      </c>
      <c r="E2301">
        <f t="shared" si="70"/>
        <v>1.0013350000000001</v>
      </c>
      <c r="F2301" s="1">
        <f t="shared" si="71"/>
        <v>42429</v>
      </c>
      <c r="G2301" cm="1">
        <f t="array" ref="G2301">PRODUCT( _xlfn._xlws.FILTER($E:$E, ($C:$C=C2301)*($F:$F=F2301)) ) - 1</f>
        <v>4.805156678164213E-2</v>
      </c>
    </row>
    <row r="2302" spans="1:7" x14ac:dyDescent="0.2">
      <c r="A2302" s="1">
        <v>42430</v>
      </c>
      <c r="B2302">
        <v>0</v>
      </c>
      <c r="C2302" t="s">
        <v>12</v>
      </c>
      <c r="D2302">
        <v>2.1860999999999998E-2</v>
      </c>
      <c r="E2302">
        <f t="shared" si="70"/>
        <v>1.0218609999999999</v>
      </c>
      <c r="F2302" s="1">
        <f t="shared" si="71"/>
        <v>42429</v>
      </c>
      <c r="G2302" cm="1">
        <f t="array" ref="G2302">PRODUCT( _xlfn._xlws.FILTER($E:$E, ($C:$C=C2302)*($F:$F=F2302)) ) - 1</f>
        <v>4.805156678164213E-2</v>
      </c>
    </row>
    <row r="2303" spans="1:7" x14ac:dyDescent="0.2">
      <c r="A2303" s="1">
        <v>42431</v>
      </c>
      <c r="B2303">
        <v>0</v>
      </c>
      <c r="C2303" t="s">
        <v>12</v>
      </c>
      <c r="D2303">
        <v>8.3490000000000005E-3</v>
      </c>
      <c r="E2303">
        <f t="shared" si="70"/>
        <v>1.0083489999999999</v>
      </c>
      <c r="F2303" s="1">
        <f t="shared" si="71"/>
        <v>42429</v>
      </c>
      <c r="G2303" cm="1">
        <f t="array" ref="G2303">PRODUCT( _xlfn._xlws.FILTER($E:$E, ($C:$C=C2303)*($F:$F=F2303)) ) - 1</f>
        <v>4.805156678164213E-2</v>
      </c>
    </row>
    <row r="2304" spans="1:7" x14ac:dyDescent="0.2">
      <c r="A2304" s="1">
        <v>42432</v>
      </c>
      <c r="B2304">
        <v>0</v>
      </c>
      <c r="C2304" t="s">
        <v>12</v>
      </c>
      <c r="D2304">
        <v>5.692E-3</v>
      </c>
      <c r="E2304">
        <f t="shared" si="70"/>
        <v>1.005692</v>
      </c>
      <c r="F2304" s="1">
        <f t="shared" si="71"/>
        <v>42429</v>
      </c>
      <c r="G2304" cm="1">
        <f t="array" ref="G2304">PRODUCT( _xlfn._xlws.FILTER($E:$E, ($C:$C=C2304)*($F:$F=F2304)) ) - 1</f>
        <v>4.805156678164213E-2</v>
      </c>
    </row>
    <row r="2305" spans="1:7" x14ac:dyDescent="0.2">
      <c r="A2305" s="1">
        <v>42433</v>
      </c>
      <c r="B2305">
        <v>0</v>
      </c>
      <c r="C2305" t="s">
        <v>12</v>
      </c>
      <c r="D2305">
        <v>1.0033E-2</v>
      </c>
      <c r="E2305">
        <f t="shared" si="70"/>
        <v>1.010033</v>
      </c>
      <c r="F2305" s="1">
        <f t="shared" si="71"/>
        <v>42429</v>
      </c>
      <c r="G2305" cm="1">
        <f t="array" ref="G2305">PRODUCT( _xlfn._xlws.FILTER($E:$E, ($C:$C=C2305)*($F:$F=F2305)) ) - 1</f>
        <v>4.805156678164213E-2</v>
      </c>
    </row>
    <row r="2306" spans="1:7" x14ac:dyDescent="0.2">
      <c r="A2306" s="1">
        <v>42436</v>
      </c>
      <c r="B2306">
        <v>0</v>
      </c>
      <c r="C2306" t="s">
        <v>12</v>
      </c>
      <c r="D2306">
        <v>7.1320000000000003E-3</v>
      </c>
      <c r="E2306">
        <f t="shared" si="70"/>
        <v>1.0071319999999999</v>
      </c>
      <c r="F2306" s="1">
        <f t="shared" si="71"/>
        <v>42436</v>
      </c>
      <c r="G2306" cm="1">
        <f t="array" ref="G2306">PRODUCT( _xlfn._xlws.FILTER($E:$E, ($C:$C=C2306)*($F:$F=F2306)) ) - 1</f>
        <v>2.445230847660862E-2</v>
      </c>
    </row>
    <row r="2307" spans="1:7" x14ac:dyDescent="0.2">
      <c r="A2307" s="1">
        <v>42437</v>
      </c>
      <c r="B2307">
        <v>0</v>
      </c>
      <c r="C2307" t="s">
        <v>12</v>
      </c>
      <c r="D2307">
        <v>1.3403999999999999E-2</v>
      </c>
      <c r="E2307">
        <f t="shared" si="70"/>
        <v>1.013404</v>
      </c>
      <c r="F2307" s="1">
        <f t="shared" si="71"/>
        <v>42436</v>
      </c>
      <c r="G2307" cm="1">
        <f t="array" ref="G2307">PRODUCT( _xlfn._xlws.FILTER($E:$E, ($C:$C=C2307)*($F:$F=F2307)) ) - 1</f>
        <v>2.445230847660862E-2</v>
      </c>
    </row>
    <row r="2308" spans="1:7" x14ac:dyDescent="0.2">
      <c r="A2308" s="1">
        <v>42438</v>
      </c>
      <c r="B2308">
        <v>0</v>
      </c>
      <c r="C2308" t="s">
        <v>12</v>
      </c>
      <c r="D2308">
        <v>1.248E-3</v>
      </c>
      <c r="E2308">
        <f t="shared" ref="E2308:E2371" si="72">D2308+1</f>
        <v>1.0012479999999999</v>
      </c>
      <c r="F2308" s="1">
        <f t="shared" ref="F2308:F2371" si="73">A2308 - (WEEKDAY(A2308, 2) - 1)</f>
        <v>42436</v>
      </c>
      <c r="G2308" cm="1">
        <f t="array" ref="G2308">PRODUCT( _xlfn._xlws.FILTER($E:$E, ($C:$C=C2308)*($F:$F=F2308)) ) - 1</f>
        <v>2.445230847660862E-2</v>
      </c>
    </row>
    <row r="2309" spans="1:7" x14ac:dyDescent="0.2">
      <c r="A2309" s="1">
        <v>42439</v>
      </c>
      <c r="B2309">
        <v>0</v>
      </c>
      <c r="C2309" t="s">
        <v>12</v>
      </c>
      <c r="D2309">
        <v>-3.2399999999999998E-3</v>
      </c>
      <c r="E2309">
        <f t="shared" si="72"/>
        <v>0.99675999999999998</v>
      </c>
      <c r="F2309" s="1">
        <f t="shared" si="73"/>
        <v>42436</v>
      </c>
      <c r="G2309" cm="1">
        <f t="array" ref="G2309">PRODUCT( _xlfn._xlws.FILTER($E:$E, ($C:$C=C2309)*($F:$F=F2309)) ) - 1</f>
        <v>2.445230847660862E-2</v>
      </c>
    </row>
    <row r="2310" spans="1:7" x14ac:dyDescent="0.2">
      <c r="A2310" s="1">
        <v>42440</v>
      </c>
      <c r="B2310">
        <v>0</v>
      </c>
      <c r="C2310" t="s">
        <v>12</v>
      </c>
      <c r="D2310">
        <v>5.751E-3</v>
      </c>
      <c r="E2310">
        <f t="shared" si="72"/>
        <v>1.0057510000000001</v>
      </c>
      <c r="F2310" s="1">
        <f t="shared" si="73"/>
        <v>42436</v>
      </c>
      <c r="G2310" cm="1">
        <f t="array" ref="G2310">PRODUCT( _xlfn._xlws.FILTER($E:$E, ($C:$C=C2310)*($F:$F=F2310)) ) - 1</f>
        <v>2.445230847660862E-2</v>
      </c>
    </row>
    <row r="2311" spans="1:7" x14ac:dyDescent="0.2">
      <c r="A2311" s="1">
        <v>42443</v>
      </c>
      <c r="B2311">
        <v>0</v>
      </c>
      <c r="C2311" t="s">
        <v>12</v>
      </c>
      <c r="D2311">
        <v>-1.4172000000000001E-2</v>
      </c>
      <c r="E2311">
        <f t="shared" si="72"/>
        <v>0.98582800000000004</v>
      </c>
      <c r="F2311" s="1">
        <f t="shared" si="73"/>
        <v>42443</v>
      </c>
      <c r="G2311" cm="1">
        <f t="array" ref="G2311">PRODUCT( _xlfn._xlws.FILTER($E:$E, ($C:$C=C2311)*($F:$F=F2311)) ) - 1</f>
        <v>-3.0084598413675501E-2</v>
      </c>
    </row>
    <row r="2312" spans="1:7" x14ac:dyDescent="0.2">
      <c r="A2312" s="1">
        <v>42444</v>
      </c>
      <c r="B2312">
        <v>0</v>
      </c>
      <c r="C2312" t="s">
        <v>12</v>
      </c>
      <c r="D2312">
        <v>-1.2862999999999999E-2</v>
      </c>
      <c r="E2312">
        <f t="shared" si="72"/>
        <v>0.98713700000000004</v>
      </c>
      <c r="F2312" s="1">
        <f t="shared" si="73"/>
        <v>42443</v>
      </c>
      <c r="G2312" cm="1">
        <f t="array" ref="G2312">PRODUCT( _xlfn._xlws.FILTER($E:$E, ($C:$C=C2312)*($F:$F=F2312)) ) - 1</f>
        <v>-3.0084598413675501E-2</v>
      </c>
    </row>
    <row r="2313" spans="1:7" x14ac:dyDescent="0.2">
      <c r="A2313" s="1">
        <v>42445</v>
      </c>
      <c r="B2313">
        <v>0</v>
      </c>
      <c r="C2313" t="s">
        <v>12</v>
      </c>
      <c r="D2313">
        <v>1.5330000000000001E-3</v>
      </c>
      <c r="E2313">
        <f t="shared" si="72"/>
        <v>1.001533</v>
      </c>
      <c r="F2313" s="1">
        <f t="shared" si="73"/>
        <v>42443</v>
      </c>
      <c r="G2313" cm="1">
        <f t="array" ref="G2313">PRODUCT( _xlfn._xlws.FILTER($E:$E, ($C:$C=C2313)*($F:$F=F2313)) ) - 1</f>
        <v>-3.0084598413675501E-2</v>
      </c>
    </row>
    <row r="2314" spans="1:7" x14ac:dyDescent="0.2">
      <c r="A2314" s="1">
        <v>42446</v>
      </c>
      <c r="B2314">
        <v>0</v>
      </c>
      <c r="C2314" t="s">
        <v>12</v>
      </c>
      <c r="D2314">
        <v>6.633E-3</v>
      </c>
      <c r="E2314">
        <f t="shared" si="72"/>
        <v>1.0066329999999999</v>
      </c>
      <c r="F2314" s="1">
        <f t="shared" si="73"/>
        <v>42443</v>
      </c>
      <c r="G2314" cm="1">
        <f t="array" ref="G2314">PRODUCT( _xlfn._xlws.FILTER($E:$E, ($C:$C=C2314)*($F:$F=F2314)) ) - 1</f>
        <v>-3.0084598413675501E-2</v>
      </c>
    </row>
    <row r="2315" spans="1:7" x14ac:dyDescent="0.2">
      <c r="A2315" s="1">
        <v>42447</v>
      </c>
      <c r="B2315">
        <v>0</v>
      </c>
      <c r="C2315" t="s">
        <v>12</v>
      </c>
      <c r="D2315">
        <v>-1.1403999999999999E-2</v>
      </c>
      <c r="E2315">
        <f t="shared" si="72"/>
        <v>0.98859600000000003</v>
      </c>
      <c r="F2315" s="1">
        <f t="shared" si="73"/>
        <v>42443</v>
      </c>
      <c r="G2315" cm="1">
        <f t="array" ref="G2315">PRODUCT( _xlfn._xlws.FILTER($E:$E, ($C:$C=C2315)*($F:$F=F2315)) ) - 1</f>
        <v>-3.0084598413675501E-2</v>
      </c>
    </row>
    <row r="2316" spans="1:7" x14ac:dyDescent="0.2">
      <c r="A2316" s="1">
        <v>42450</v>
      </c>
      <c r="B2316">
        <v>0</v>
      </c>
      <c r="C2316" t="s">
        <v>12</v>
      </c>
      <c r="D2316">
        <v>2.0507999999999998E-2</v>
      </c>
      <c r="E2316">
        <f t="shared" si="72"/>
        <v>1.020508</v>
      </c>
      <c r="F2316" s="1">
        <f t="shared" si="73"/>
        <v>42450</v>
      </c>
      <c r="G2316" cm="1">
        <f t="array" ref="G2316">PRODUCT( _xlfn._xlws.FILTER($E:$E, ($C:$C=C2316)*($F:$F=F2316)) ) - 1</f>
        <v>2.2815968281231669E-2</v>
      </c>
    </row>
    <row r="2317" spans="1:7" x14ac:dyDescent="0.2">
      <c r="A2317" s="1">
        <v>42451</v>
      </c>
      <c r="B2317">
        <v>0</v>
      </c>
      <c r="C2317" t="s">
        <v>12</v>
      </c>
      <c r="D2317">
        <v>3.5170000000000002E-3</v>
      </c>
      <c r="E2317">
        <f t="shared" si="72"/>
        <v>1.003517</v>
      </c>
      <c r="F2317" s="1">
        <f t="shared" si="73"/>
        <v>42450</v>
      </c>
      <c r="G2317" cm="1">
        <f t="array" ref="G2317">PRODUCT( _xlfn._xlws.FILTER($E:$E, ($C:$C=C2317)*($F:$F=F2317)) ) - 1</f>
        <v>2.2815968281231669E-2</v>
      </c>
    </row>
    <row r="2318" spans="1:7" x14ac:dyDescent="0.2">
      <c r="A2318" s="1">
        <v>42452</v>
      </c>
      <c r="B2318">
        <v>0</v>
      </c>
      <c r="C2318" t="s">
        <v>12</v>
      </c>
      <c r="D2318">
        <v>5.5069999999999997E-3</v>
      </c>
      <c r="E2318">
        <f t="shared" si="72"/>
        <v>1.0055069999999999</v>
      </c>
      <c r="F2318" s="1">
        <f t="shared" si="73"/>
        <v>42450</v>
      </c>
      <c r="G2318" cm="1">
        <f t="array" ref="G2318">PRODUCT( _xlfn._xlws.FILTER($E:$E, ($C:$C=C2318)*($F:$F=F2318)) ) - 1</f>
        <v>2.2815968281231669E-2</v>
      </c>
    </row>
    <row r="2319" spans="1:7" x14ac:dyDescent="0.2">
      <c r="A2319" s="1">
        <v>42453</v>
      </c>
      <c r="B2319">
        <v>0</v>
      </c>
      <c r="C2319" t="s">
        <v>12</v>
      </c>
      <c r="D2319">
        <v>-6.7210000000000004E-3</v>
      </c>
      <c r="E2319">
        <f t="shared" si="72"/>
        <v>0.99327900000000002</v>
      </c>
      <c r="F2319" s="1">
        <f t="shared" si="73"/>
        <v>42450</v>
      </c>
      <c r="G2319" cm="1">
        <f t="array" ref="G2319">PRODUCT( _xlfn._xlws.FILTER($E:$E, ($C:$C=C2319)*($F:$F=F2319)) ) - 1</f>
        <v>2.2815968281231669E-2</v>
      </c>
    </row>
    <row r="2320" spans="1:7" x14ac:dyDescent="0.2">
      <c r="A2320" s="1">
        <v>42457</v>
      </c>
      <c r="B2320">
        <v>0</v>
      </c>
      <c r="C2320" t="s">
        <v>12</v>
      </c>
      <c r="D2320">
        <v>9.5239999999999995E-3</v>
      </c>
      <c r="E2320">
        <f t="shared" si="72"/>
        <v>1.0095240000000001</v>
      </c>
      <c r="F2320" s="1">
        <f t="shared" si="73"/>
        <v>42457</v>
      </c>
      <c r="G2320" cm="1">
        <f t="array" ref="G2320">PRODUCT( _xlfn._xlws.FILTER($E:$E, ($C:$C=C2320)*($F:$F=F2320)) ) - 1</f>
        <v>2.1804327878878871E-2</v>
      </c>
    </row>
    <row r="2321" spans="1:7" x14ac:dyDescent="0.2">
      <c r="A2321" s="1">
        <v>42458</v>
      </c>
      <c r="B2321">
        <v>0</v>
      </c>
      <c r="C2321" t="s">
        <v>12</v>
      </c>
      <c r="D2321">
        <v>-2.4800000000000001E-4</v>
      </c>
      <c r="E2321">
        <f t="shared" si="72"/>
        <v>0.99975199999999997</v>
      </c>
      <c r="F2321" s="1">
        <f t="shared" si="73"/>
        <v>42457</v>
      </c>
      <c r="G2321" cm="1">
        <f t="array" ref="G2321">PRODUCT( _xlfn._xlws.FILTER($E:$E, ($C:$C=C2321)*($F:$F=F2321)) ) - 1</f>
        <v>2.1804327878878871E-2</v>
      </c>
    </row>
    <row r="2322" spans="1:7" x14ac:dyDescent="0.2">
      <c r="A2322" s="1">
        <v>42459</v>
      </c>
      <c r="B2322">
        <v>0</v>
      </c>
      <c r="C2322" t="s">
        <v>12</v>
      </c>
      <c r="D2322">
        <v>4.9659999999999999E-3</v>
      </c>
      <c r="E2322">
        <f t="shared" si="72"/>
        <v>1.004966</v>
      </c>
      <c r="F2322" s="1">
        <f t="shared" si="73"/>
        <v>42457</v>
      </c>
      <c r="G2322" cm="1">
        <f t="array" ref="G2322">PRODUCT( _xlfn._xlws.FILTER($E:$E, ($C:$C=C2322)*($F:$F=F2322)) ) - 1</f>
        <v>2.1804327878878871E-2</v>
      </c>
    </row>
    <row r="2323" spans="1:7" x14ac:dyDescent="0.2">
      <c r="A2323" s="1">
        <v>42460</v>
      </c>
      <c r="B2323">
        <v>0</v>
      </c>
      <c r="C2323" t="s">
        <v>12</v>
      </c>
      <c r="D2323">
        <v>5.9300000000000004E-3</v>
      </c>
      <c r="E2323">
        <f t="shared" si="72"/>
        <v>1.00593</v>
      </c>
      <c r="F2323" s="1">
        <f t="shared" si="73"/>
        <v>42457</v>
      </c>
      <c r="G2323" cm="1">
        <f t="array" ref="G2323">PRODUCT( _xlfn._xlws.FILTER($E:$E, ($C:$C=C2323)*($F:$F=F2323)) ) - 1</f>
        <v>2.1804327878878871E-2</v>
      </c>
    </row>
    <row r="2324" spans="1:7" x14ac:dyDescent="0.2">
      <c r="A2324" s="1">
        <v>42461</v>
      </c>
      <c r="B2324">
        <v>0</v>
      </c>
      <c r="C2324" t="s">
        <v>12</v>
      </c>
      <c r="D2324">
        <v>1.474E-3</v>
      </c>
      <c r="E2324">
        <f t="shared" si="72"/>
        <v>1.001474</v>
      </c>
      <c r="F2324" s="1">
        <f t="shared" si="73"/>
        <v>42457</v>
      </c>
      <c r="G2324" cm="1">
        <f t="array" ref="G2324">PRODUCT( _xlfn._xlws.FILTER($E:$E, ($C:$C=C2324)*($F:$F=F2324)) ) - 1</f>
        <v>2.1804327878878871E-2</v>
      </c>
    </row>
    <row r="2325" spans="1:7" x14ac:dyDescent="0.2">
      <c r="A2325" s="1">
        <v>42464</v>
      </c>
      <c r="B2325">
        <v>0</v>
      </c>
      <c r="C2325" t="s">
        <v>12</v>
      </c>
      <c r="D2325">
        <v>1.2260000000000001E-3</v>
      </c>
      <c r="E2325">
        <f t="shared" si="72"/>
        <v>1.0012259999999999</v>
      </c>
      <c r="F2325" s="1">
        <f t="shared" si="73"/>
        <v>42464</v>
      </c>
      <c r="G2325" cm="1">
        <f t="array" ref="G2325">PRODUCT( _xlfn._xlws.FILTER($E:$E, ($C:$C=C2325)*($F:$F=F2325)) ) - 1</f>
        <v>-2.2320893220061255E-2</v>
      </c>
    </row>
    <row r="2326" spans="1:7" x14ac:dyDescent="0.2">
      <c r="A2326" s="1">
        <v>42465</v>
      </c>
      <c r="B2326">
        <v>0</v>
      </c>
      <c r="C2326" t="s">
        <v>12</v>
      </c>
      <c r="D2326">
        <v>-7.8390000000000005E-3</v>
      </c>
      <c r="E2326">
        <f t="shared" si="72"/>
        <v>0.99216099999999996</v>
      </c>
      <c r="F2326" s="1">
        <f t="shared" si="73"/>
        <v>42464</v>
      </c>
      <c r="G2326" cm="1">
        <f t="array" ref="G2326">PRODUCT( _xlfn._xlws.FILTER($E:$E, ($C:$C=C2326)*($F:$F=F2326)) ) - 1</f>
        <v>-2.2320893220061255E-2</v>
      </c>
    </row>
    <row r="2327" spans="1:7" x14ac:dyDescent="0.2">
      <c r="A2327" s="1">
        <v>42466</v>
      </c>
      <c r="B2327">
        <v>0</v>
      </c>
      <c r="C2327" t="s">
        <v>12</v>
      </c>
      <c r="D2327">
        <v>-1.0370000000000001E-2</v>
      </c>
      <c r="E2327">
        <f t="shared" si="72"/>
        <v>0.98963000000000001</v>
      </c>
      <c r="F2327" s="1">
        <f t="shared" si="73"/>
        <v>42464</v>
      </c>
      <c r="G2327" cm="1">
        <f t="array" ref="G2327">PRODUCT( _xlfn._xlws.FILTER($E:$E, ($C:$C=C2327)*($F:$F=F2327)) ) - 1</f>
        <v>-2.2320893220061255E-2</v>
      </c>
    </row>
    <row r="2328" spans="1:7" x14ac:dyDescent="0.2">
      <c r="A2328" s="1">
        <v>42467</v>
      </c>
      <c r="B2328">
        <v>0</v>
      </c>
      <c r="C2328" t="s">
        <v>12</v>
      </c>
      <c r="D2328">
        <v>-9.2320000000000006E-3</v>
      </c>
      <c r="E2328">
        <f t="shared" si="72"/>
        <v>0.99076799999999998</v>
      </c>
      <c r="F2328" s="1">
        <f t="shared" si="73"/>
        <v>42464</v>
      </c>
      <c r="G2328" cm="1">
        <f t="array" ref="G2328">PRODUCT( _xlfn._xlws.FILTER($E:$E, ($C:$C=C2328)*($F:$F=F2328)) ) - 1</f>
        <v>-2.2320893220061255E-2</v>
      </c>
    </row>
    <row r="2329" spans="1:7" x14ac:dyDescent="0.2">
      <c r="A2329" s="1">
        <v>42468</v>
      </c>
      <c r="B2329">
        <v>0</v>
      </c>
      <c r="C2329" t="s">
        <v>12</v>
      </c>
      <c r="D2329">
        <v>3.777E-3</v>
      </c>
      <c r="E2329">
        <f t="shared" si="72"/>
        <v>1.0037769999999999</v>
      </c>
      <c r="F2329" s="1">
        <f t="shared" si="73"/>
        <v>42464</v>
      </c>
      <c r="G2329" cm="1">
        <f t="array" ref="G2329">PRODUCT( _xlfn._xlws.FILTER($E:$E, ($C:$C=C2329)*($F:$F=F2329)) ) - 1</f>
        <v>-2.2320893220061255E-2</v>
      </c>
    </row>
    <row r="2330" spans="1:7" x14ac:dyDescent="0.2">
      <c r="A2330" s="1">
        <v>42471</v>
      </c>
      <c r="B2330">
        <v>0</v>
      </c>
      <c r="C2330" t="s">
        <v>12</v>
      </c>
      <c r="D2330">
        <v>-5.2680000000000001E-3</v>
      </c>
      <c r="E2330">
        <f t="shared" si="72"/>
        <v>0.99473199999999995</v>
      </c>
      <c r="F2330" s="1">
        <f t="shared" si="73"/>
        <v>42471</v>
      </c>
      <c r="G2330" cm="1">
        <f t="array" ref="G2330">PRODUCT( _xlfn._xlws.FILTER($E:$E, ($C:$C=C2330)*($F:$F=F2330)) ) - 1</f>
        <v>-5.5007860100264594E-7</v>
      </c>
    </row>
    <row r="2331" spans="1:7" x14ac:dyDescent="0.2">
      <c r="A2331" s="1">
        <v>42472</v>
      </c>
      <c r="B2331">
        <v>0</v>
      </c>
      <c r="C2331" t="s">
        <v>12</v>
      </c>
      <c r="D2331">
        <v>-4.2880000000000001E-3</v>
      </c>
      <c r="E2331">
        <f t="shared" si="72"/>
        <v>0.99571200000000004</v>
      </c>
      <c r="F2331" s="1">
        <f t="shared" si="73"/>
        <v>42471</v>
      </c>
      <c r="G2331" cm="1">
        <f t="array" ref="G2331">PRODUCT( _xlfn._xlws.FILTER($E:$E, ($C:$C=C2331)*($F:$F=F2331)) ) - 1</f>
        <v>-5.5007860100264594E-7</v>
      </c>
    </row>
    <row r="2332" spans="1:7" x14ac:dyDescent="0.2">
      <c r="A2332" s="1">
        <v>42473</v>
      </c>
      <c r="B2332">
        <v>0</v>
      </c>
      <c r="C2332" t="s">
        <v>12</v>
      </c>
      <c r="D2332">
        <v>1.266E-3</v>
      </c>
      <c r="E2332">
        <f t="shared" si="72"/>
        <v>1.001266</v>
      </c>
      <c r="F2332" s="1">
        <f t="shared" si="73"/>
        <v>42471</v>
      </c>
      <c r="G2332" cm="1">
        <f t="array" ref="G2332">PRODUCT( _xlfn._xlws.FILTER($E:$E, ($C:$C=C2332)*($F:$F=F2332)) ) - 1</f>
        <v>-5.5007860100264594E-7</v>
      </c>
    </row>
    <row r="2333" spans="1:7" x14ac:dyDescent="0.2">
      <c r="A2333" s="1">
        <v>42474</v>
      </c>
      <c r="B2333">
        <v>0</v>
      </c>
      <c r="C2333" t="s">
        <v>12</v>
      </c>
      <c r="D2333">
        <v>2.5300000000000002E-4</v>
      </c>
      <c r="E2333">
        <f t="shared" si="72"/>
        <v>1.0002530000000001</v>
      </c>
      <c r="F2333" s="1">
        <f t="shared" si="73"/>
        <v>42471</v>
      </c>
      <c r="G2333" cm="1">
        <f t="array" ref="G2333">PRODUCT( _xlfn._xlws.FILTER($E:$E, ($C:$C=C2333)*($F:$F=F2333)) ) - 1</f>
        <v>-5.5007860100264594E-7</v>
      </c>
    </row>
    <row r="2334" spans="1:7" x14ac:dyDescent="0.2">
      <c r="A2334" s="1">
        <v>42475</v>
      </c>
      <c r="B2334">
        <v>0</v>
      </c>
      <c r="C2334" t="s">
        <v>12</v>
      </c>
      <c r="D2334">
        <v>8.0929999999999995E-3</v>
      </c>
      <c r="E2334">
        <f t="shared" si="72"/>
        <v>1.0080929999999999</v>
      </c>
      <c r="F2334" s="1">
        <f t="shared" si="73"/>
        <v>42471</v>
      </c>
      <c r="G2334" cm="1">
        <f t="array" ref="G2334">PRODUCT( _xlfn._xlws.FILTER($E:$E, ($C:$C=C2334)*($F:$F=F2334)) ) - 1</f>
        <v>-5.5007860100264594E-7</v>
      </c>
    </row>
    <row r="2335" spans="1:7" x14ac:dyDescent="0.2">
      <c r="A2335" s="1">
        <v>42478</v>
      </c>
      <c r="B2335">
        <v>0</v>
      </c>
      <c r="C2335" t="s">
        <v>12</v>
      </c>
      <c r="D2335">
        <v>9.7839999999999993E-3</v>
      </c>
      <c r="E2335">
        <f t="shared" si="72"/>
        <v>1.009784</v>
      </c>
      <c r="F2335" s="1">
        <f t="shared" si="73"/>
        <v>42478</v>
      </c>
      <c r="G2335" cm="1">
        <f t="array" ref="G2335">PRODUCT( _xlfn._xlws.FILTER($E:$E, ($C:$C=C2335)*($F:$F=F2335)) ) - 1</f>
        <v>-2.4586636701769193E-2</v>
      </c>
    </row>
    <row r="2336" spans="1:7" x14ac:dyDescent="0.2">
      <c r="A2336" s="1">
        <v>42479</v>
      </c>
      <c r="B2336">
        <v>0</v>
      </c>
      <c r="C2336" t="s">
        <v>12</v>
      </c>
      <c r="D2336">
        <v>-1.9880000000000002E-3</v>
      </c>
      <c r="E2336">
        <f t="shared" si="72"/>
        <v>0.99801200000000001</v>
      </c>
      <c r="F2336" s="1">
        <f t="shared" si="73"/>
        <v>42478</v>
      </c>
      <c r="G2336" cm="1">
        <f t="array" ref="G2336">PRODUCT( _xlfn._xlws.FILTER($E:$E, ($C:$C=C2336)*($F:$F=F2336)) ) - 1</f>
        <v>-2.4586636701769193E-2</v>
      </c>
    </row>
    <row r="2337" spans="1:7" x14ac:dyDescent="0.2">
      <c r="A2337" s="1">
        <v>42480</v>
      </c>
      <c r="B2337">
        <v>0</v>
      </c>
      <c r="C2337" t="s">
        <v>12</v>
      </c>
      <c r="D2337">
        <v>-1.8422000000000001E-2</v>
      </c>
      <c r="E2337">
        <f t="shared" si="72"/>
        <v>0.98157799999999995</v>
      </c>
      <c r="F2337" s="1">
        <f t="shared" si="73"/>
        <v>42478</v>
      </c>
      <c r="G2337" cm="1">
        <f t="array" ref="G2337">PRODUCT( _xlfn._xlws.FILTER($E:$E, ($C:$C=C2337)*($F:$F=F2337)) ) - 1</f>
        <v>-2.4586636701769193E-2</v>
      </c>
    </row>
    <row r="2338" spans="1:7" x14ac:dyDescent="0.2">
      <c r="A2338" s="1">
        <v>42481</v>
      </c>
      <c r="B2338">
        <v>0</v>
      </c>
      <c r="C2338" t="s">
        <v>12</v>
      </c>
      <c r="D2338">
        <v>-1.4963000000000001E-2</v>
      </c>
      <c r="E2338">
        <f t="shared" si="72"/>
        <v>0.98503700000000005</v>
      </c>
      <c r="F2338" s="1">
        <f t="shared" si="73"/>
        <v>42478</v>
      </c>
      <c r="G2338" cm="1">
        <f t="array" ref="G2338">PRODUCT( _xlfn._xlws.FILTER($E:$E, ($C:$C=C2338)*($F:$F=F2338)) ) - 1</f>
        <v>-2.4586636701769193E-2</v>
      </c>
    </row>
    <row r="2339" spans="1:7" x14ac:dyDescent="0.2">
      <c r="A2339" s="1">
        <v>42482</v>
      </c>
      <c r="B2339">
        <v>0</v>
      </c>
      <c r="C2339" t="s">
        <v>12</v>
      </c>
      <c r="D2339">
        <v>1.0300000000000001E-3</v>
      </c>
      <c r="E2339">
        <f t="shared" si="72"/>
        <v>1.0010300000000001</v>
      </c>
      <c r="F2339" s="1">
        <f t="shared" si="73"/>
        <v>42478</v>
      </c>
      <c r="G2339" cm="1">
        <f t="array" ref="G2339">PRODUCT( _xlfn._xlws.FILTER($E:$E, ($C:$C=C2339)*($F:$F=F2339)) ) - 1</f>
        <v>-2.4586636701769193E-2</v>
      </c>
    </row>
    <row r="2340" spans="1:7" x14ac:dyDescent="0.2">
      <c r="A2340" s="1">
        <v>42485</v>
      </c>
      <c r="B2340">
        <v>0</v>
      </c>
      <c r="C2340" t="s">
        <v>12</v>
      </c>
      <c r="D2340">
        <v>5.4010000000000004E-3</v>
      </c>
      <c r="E2340">
        <f t="shared" si="72"/>
        <v>1.005401</v>
      </c>
      <c r="F2340" s="1">
        <f t="shared" si="73"/>
        <v>42485</v>
      </c>
      <c r="G2340" cm="1">
        <f t="array" ref="G2340">PRODUCT( _xlfn._xlws.FILTER($E:$E, ($C:$C=C2340)*($F:$F=F2340)) ) - 1</f>
        <v>2.3662270624967174E-2</v>
      </c>
    </row>
    <row r="2341" spans="1:7" x14ac:dyDescent="0.2">
      <c r="A2341" s="1">
        <v>42486</v>
      </c>
      <c r="B2341">
        <v>0</v>
      </c>
      <c r="C2341" t="s">
        <v>12</v>
      </c>
      <c r="D2341">
        <v>-9.9769999999999998E-3</v>
      </c>
      <c r="E2341">
        <f t="shared" si="72"/>
        <v>0.99002299999999999</v>
      </c>
      <c r="F2341" s="1">
        <f t="shared" si="73"/>
        <v>42485</v>
      </c>
      <c r="G2341" cm="1">
        <f t="array" ref="G2341">PRODUCT( _xlfn._xlws.FILTER($E:$E, ($C:$C=C2341)*($F:$F=F2341)) ) - 1</f>
        <v>2.3662270624967174E-2</v>
      </c>
    </row>
    <row r="2342" spans="1:7" x14ac:dyDescent="0.2">
      <c r="A2342" s="1">
        <v>42487</v>
      </c>
      <c r="B2342">
        <v>0</v>
      </c>
      <c r="C2342" t="s">
        <v>12</v>
      </c>
      <c r="D2342">
        <v>6.9769999999999997E-3</v>
      </c>
      <c r="E2342">
        <f t="shared" si="72"/>
        <v>1.006977</v>
      </c>
      <c r="F2342" s="1">
        <f t="shared" si="73"/>
        <v>42485</v>
      </c>
      <c r="G2342" cm="1">
        <f t="array" ref="G2342">PRODUCT( _xlfn._xlws.FILTER($E:$E, ($C:$C=C2342)*($F:$F=F2342)) ) - 1</f>
        <v>2.3662270624967174E-2</v>
      </c>
    </row>
    <row r="2343" spans="1:7" x14ac:dyDescent="0.2">
      <c r="A2343" s="1">
        <v>42488</v>
      </c>
      <c r="B2343">
        <v>0</v>
      </c>
      <c r="C2343" t="s">
        <v>12</v>
      </c>
      <c r="D2343">
        <v>2.3351E-2</v>
      </c>
      <c r="E2343">
        <f t="shared" si="72"/>
        <v>1.0233509999999999</v>
      </c>
      <c r="F2343" s="1">
        <f t="shared" si="73"/>
        <v>42485</v>
      </c>
      <c r="G2343" cm="1">
        <f t="array" ref="G2343">PRODUCT( _xlfn._xlws.FILTER($E:$E, ($C:$C=C2343)*($F:$F=F2343)) ) - 1</f>
        <v>2.3662270624967174E-2</v>
      </c>
    </row>
    <row r="2344" spans="1:7" x14ac:dyDescent="0.2">
      <c r="A2344" s="1">
        <v>42489</v>
      </c>
      <c r="B2344">
        <v>0</v>
      </c>
      <c r="C2344" t="s">
        <v>12</v>
      </c>
      <c r="D2344">
        <v>-2.006E-3</v>
      </c>
      <c r="E2344">
        <f t="shared" si="72"/>
        <v>0.99799400000000005</v>
      </c>
      <c r="F2344" s="1">
        <f t="shared" si="73"/>
        <v>42485</v>
      </c>
      <c r="G2344" cm="1">
        <f t="array" ref="G2344">PRODUCT( _xlfn._xlws.FILTER($E:$E, ($C:$C=C2344)*($F:$F=F2344)) ) - 1</f>
        <v>2.3662270624967174E-2</v>
      </c>
    </row>
    <row r="2345" spans="1:7" x14ac:dyDescent="0.2">
      <c r="A2345" s="1">
        <v>42492</v>
      </c>
      <c r="B2345">
        <v>0</v>
      </c>
      <c r="C2345" t="s">
        <v>12</v>
      </c>
      <c r="D2345">
        <v>1.6833999999999998E-2</v>
      </c>
      <c r="E2345">
        <f t="shared" si="72"/>
        <v>1.016834</v>
      </c>
      <c r="F2345" s="1">
        <f t="shared" si="73"/>
        <v>42492</v>
      </c>
      <c r="G2345" cm="1">
        <f t="array" ref="G2345">PRODUCT( _xlfn._xlws.FILTER($E:$E, ($C:$C=C2345)*($F:$F=F2345)) ) - 1</f>
        <v>1.7335859940109444E-2</v>
      </c>
    </row>
    <row r="2346" spans="1:7" x14ac:dyDescent="0.2">
      <c r="A2346" s="1">
        <v>42493</v>
      </c>
      <c r="B2346">
        <v>0</v>
      </c>
      <c r="C2346" t="s">
        <v>12</v>
      </c>
      <c r="D2346">
        <v>5.4359999999999999E-3</v>
      </c>
      <c r="E2346">
        <f t="shared" si="72"/>
        <v>1.005436</v>
      </c>
      <c r="F2346" s="1">
        <f t="shared" si="73"/>
        <v>42492</v>
      </c>
      <c r="G2346" cm="1">
        <f t="array" ref="G2346">PRODUCT( _xlfn._xlws.FILTER($E:$E, ($C:$C=C2346)*($F:$F=F2346)) ) - 1</f>
        <v>1.7335859940109444E-2</v>
      </c>
    </row>
    <row r="2347" spans="1:7" x14ac:dyDescent="0.2">
      <c r="A2347" s="1">
        <v>42494</v>
      </c>
      <c r="B2347">
        <v>0</v>
      </c>
      <c r="C2347" t="s">
        <v>12</v>
      </c>
      <c r="D2347">
        <v>-1.9659999999999999E-3</v>
      </c>
      <c r="E2347">
        <f t="shared" si="72"/>
        <v>0.99803399999999998</v>
      </c>
      <c r="F2347" s="1">
        <f t="shared" si="73"/>
        <v>42492</v>
      </c>
      <c r="G2347" cm="1">
        <f t="array" ref="G2347">PRODUCT( _xlfn._xlws.FILTER($E:$E, ($C:$C=C2347)*($F:$F=F2347)) ) - 1</f>
        <v>1.7335859940109444E-2</v>
      </c>
    </row>
    <row r="2348" spans="1:7" x14ac:dyDescent="0.2">
      <c r="A2348" s="1">
        <v>42495</v>
      </c>
      <c r="B2348">
        <v>0</v>
      </c>
      <c r="C2348" t="s">
        <v>12</v>
      </c>
      <c r="D2348">
        <v>1.477E-3</v>
      </c>
      <c r="E2348">
        <f t="shared" si="72"/>
        <v>1.001477</v>
      </c>
      <c r="F2348" s="1">
        <f t="shared" si="73"/>
        <v>42492</v>
      </c>
      <c r="G2348" cm="1">
        <f t="array" ref="G2348">PRODUCT( _xlfn._xlws.FILTER($E:$E, ($C:$C=C2348)*($F:$F=F2348)) ) - 1</f>
        <v>1.7335859940109444E-2</v>
      </c>
    </row>
    <row r="2349" spans="1:7" x14ac:dyDescent="0.2">
      <c r="A2349" s="1">
        <v>42496</v>
      </c>
      <c r="B2349">
        <v>0</v>
      </c>
      <c r="C2349" t="s">
        <v>12</v>
      </c>
      <c r="D2349">
        <v>-4.4260000000000002E-3</v>
      </c>
      <c r="E2349">
        <f t="shared" si="72"/>
        <v>0.99557399999999996</v>
      </c>
      <c r="F2349" s="1">
        <f t="shared" si="73"/>
        <v>42492</v>
      </c>
      <c r="G2349" cm="1">
        <f t="array" ref="G2349">PRODUCT( _xlfn._xlws.FILTER($E:$E, ($C:$C=C2349)*($F:$F=F2349)) ) - 1</f>
        <v>1.7335859940109444E-2</v>
      </c>
    </row>
    <row r="2350" spans="1:7" x14ac:dyDescent="0.2">
      <c r="A2350" s="1">
        <v>42499</v>
      </c>
      <c r="B2350">
        <v>0</v>
      </c>
      <c r="C2350" t="s">
        <v>12</v>
      </c>
      <c r="D2350">
        <v>-1.0619999999999999E-2</v>
      </c>
      <c r="E2350">
        <f t="shared" si="72"/>
        <v>0.98938000000000004</v>
      </c>
      <c r="F2350" s="1">
        <f t="shared" si="73"/>
        <v>42499</v>
      </c>
      <c r="G2350" cm="1">
        <f t="array" ref="G2350">PRODUCT( _xlfn._xlws.FILTER($E:$E, ($C:$C=C2350)*($F:$F=F2350)) ) - 1</f>
        <v>3.4569693973627302E-3</v>
      </c>
    </row>
    <row r="2351" spans="1:7" x14ac:dyDescent="0.2">
      <c r="A2351" s="1">
        <v>42500</v>
      </c>
      <c r="B2351">
        <v>0</v>
      </c>
      <c r="C2351" t="s">
        <v>12</v>
      </c>
      <c r="D2351">
        <v>5.9909999999999998E-3</v>
      </c>
      <c r="E2351">
        <f t="shared" si="72"/>
        <v>1.0059910000000001</v>
      </c>
      <c r="F2351" s="1">
        <f t="shared" si="73"/>
        <v>42499</v>
      </c>
      <c r="G2351" cm="1">
        <f t="array" ref="G2351">PRODUCT( _xlfn._xlws.FILTER($E:$E, ($C:$C=C2351)*($F:$F=F2351)) ) - 1</f>
        <v>3.4569693973627302E-3</v>
      </c>
    </row>
    <row r="2352" spans="1:7" x14ac:dyDescent="0.2">
      <c r="A2352" s="1">
        <v>42501</v>
      </c>
      <c r="B2352">
        <v>0</v>
      </c>
      <c r="C2352" t="s">
        <v>12</v>
      </c>
      <c r="D2352">
        <v>8.4370000000000001E-3</v>
      </c>
      <c r="E2352">
        <f t="shared" si="72"/>
        <v>1.008437</v>
      </c>
      <c r="F2352" s="1">
        <f t="shared" si="73"/>
        <v>42499</v>
      </c>
      <c r="G2352" cm="1">
        <f t="array" ref="G2352">PRODUCT( _xlfn._xlws.FILTER($E:$E, ($C:$C=C2352)*($F:$F=F2352)) ) - 1</f>
        <v>3.4569693973627302E-3</v>
      </c>
    </row>
    <row r="2353" spans="1:7" x14ac:dyDescent="0.2">
      <c r="A2353" s="1">
        <v>42502</v>
      </c>
      <c r="B2353">
        <v>0</v>
      </c>
      <c r="C2353" t="s">
        <v>12</v>
      </c>
      <c r="D2353">
        <v>9.3500000000000007E-3</v>
      </c>
      <c r="E2353">
        <f t="shared" si="72"/>
        <v>1.00935</v>
      </c>
      <c r="F2353" s="1">
        <f t="shared" si="73"/>
        <v>42499</v>
      </c>
      <c r="G2353" cm="1">
        <f t="array" ref="G2353">PRODUCT( _xlfn._xlws.FILTER($E:$E, ($C:$C=C2353)*($F:$F=F2353)) ) - 1</f>
        <v>3.4569693973627302E-3</v>
      </c>
    </row>
    <row r="2354" spans="1:7" x14ac:dyDescent="0.2">
      <c r="A2354" s="1">
        <v>42503</v>
      </c>
      <c r="B2354">
        <v>0</v>
      </c>
      <c r="C2354" t="s">
        <v>12</v>
      </c>
      <c r="D2354">
        <v>-9.5080000000000008E-3</v>
      </c>
      <c r="E2354">
        <f t="shared" si="72"/>
        <v>0.99049200000000004</v>
      </c>
      <c r="F2354" s="1">
        <f t="shared" si="73"/>
        <v>42499</v>
      </c>
      <c r="G2354" cm="1">
        <f t="array" ref="G2354">PRODUCT( _xlfn._xlws.FILTER($E:$E, ($C:$C=C2354)*($F:$F=F2354)) ) - 1</f>
        <v>3.4569693973627302E-3</v>
      </c>
    </row>
    <row r="2355" spans="1:7" x14ac:dyDescent="0.2">
      <c r="A2355" s="1">
        <v>42506</v>
      </c>
      <c r="B2355">
        <v>0</v>
      </c>
      <c r="C2355" t="s">
        <v>12</v>
      </c>
      <c r="D2355">
        <v>2.3379999999999998E-3</v>
      </c>
      <c r="E2355">
        <f t="shared" si="72"/>
        <v>1.002338</v>
      </c>
      <c r="F2355" s="1">
        <f t="shared" si="73"/>
        <v>42506</v>
      </c>
      <c r="G2355" cm="1">
        <f t="array" ref="G2355">PRODUCT( _xlfn._xlws.FILTER($E:$E, ($C:$C=C2355)*($F:$F=F2355)) ) - 1</f>
        <v>3.8274159261917351E-3</v>
      </c>
    </row>
    <row r="2356" spans="1:7" x14ac:dyDescent="0.2">
      <c r="A2356" s="1">
        <v>42507</v>
      </c>
      <c r="B2356">
        <v>0</v>
      </c>
      <c r="C2356" t="s">
        <v>12</v>
      </c>
      <c r="D2356">
        <v>-7.6829999999999997E-3</v>
      </c>
      <c r="E2356">
        <f t="shared" si="72"/>
        <v>0.992317</v>
      </c>
      <c r="F2356" s="1">
        <f t="shared" si="73"/>
        <v>42506</v>
      </c>
      <c r="G2356" cm="1">
        <f t="array" ref="G2356">PRODUCT( _xlfn._xlws.FILTER($E:$E, ($C:$C=C2356)*($F:$F=F2356)) ) - 1</f>
        <v>3.8274159261917351E-3</v>
      </c>
    </row>
    <row r="2357" spans="1:7" x14ac:dyDescent="0.2">
      <c r="A2357" s="1">
        <v>42508</v>
      </c>
      <c r="B2357">
        <v>0</v>
      </c>
      <c r="C2357" t="s">
        <v>12</v>
      </c>
      <c r="D2357">
        <v>-2.248E-3</v>
      </c>
      <c r="E2357">
        <f t="shared" si="72"/>
        <v>0.99775199999999997</v>
      </c>
      <c r="F2357" s="1">
        <f t="shared" si="73"/>
        <v>42506</v>
      </c>
      <c r="G2357" cm="1">
        <f t="array" ref="G2357">PRODUCT( _xlfn._xlws.FILTER($E:$E, ($C:$C=C2357)*($F:$F=F2357)) ) - 1</f>
        <v>3.8274159261917351E-3</v>
      </c>
    </row>
    <row r="2358" spans="1:7" x14ac:dyDescent="0.2">
      <c r="A2358" s="1">
        <v>42509</v>
      </c>
      <c r="B2358">
        <v>0</v>
      </c>
      <c r="C2358" t="s">
        <v>12</v>
      </c>
      <c r="D2358">
        <v>2.5000000000000001E-4</v>
      </c>
      <c r="E2358">
        <f t="shared" si="72"/>
        <v>1.0002500000000001</v>
      </c>
      <c r="F2358" s="1">
        <f t="shared" si="73"/>
        <v>42506</v>
      </c>
      <c r="G2358" cm="1">
        <f t="array" ref="G2358">PRODUCT( _xlfn._xlws.FILTER($E:$E, ($C:$C=C2358)*($F:$F=F2358)) ) - 1</f>
        <v>3.8274159261917351E-3</v>
      </c>
    </row>
    <row r="2359" spans="1:7" x14ac:dyDescent="0.2">
      <c r="A2359" s="1">
        <v>42510</v>
      </c>
      <c r="B2359">
        <v>0</v>
      </c>
      <c r="C2359" t="s">
        <v>12</v>
      </c>
      <c r="D2359">
        <v>1.1261E-2</v>
      </c>
      <c r="E2359">
        <f t="shared" si="72"/>
        <v>1.011261</v>
      </c>
      <c r="F2359" s="1">
        <f t="shared" si="73"/>
        <v>42506</v>
      </c>
      <c r="G2359" cm="1">
        <f t="array" ref="G2359">PRODUCT( _xlfn._xlws.FILTER($E:$E, ($C:$C=C2359)*($F:$F=F2359)) ) - 1</f>
        <v>3.8274159261917351E-3</v>
      </c>
    </row>
    <row r="2360" spans="1:7" x14ac:dyDescent="0.2">
      <c r="A2360" s="1">
        <v>42514</v>
      </c>
      <c r="B2360">
        <v>0</v>
      </c>
      <c r="C2360" t="s">
        <v>12</v>
      </c>
      <c r="D2360">
        <v>1.1136E-2</v>
      </c>
      <c r="E2360">
        <f t="shared" si="72"/>
        <v>1.011136</v>
      </c>
      <c r="F2360" s="1">
        <f t="shared" si="73"/>
        <v>42513</v>
      </c>
      <c r="G2360" cm="1">
        <f t="array" ref="G2360">PRODUCT( _xlfn._xlws.FILTER($E:$E, ($C:$C=C2360)*($F:$F=F2360)) ) - 1</f>
        <v>1.3610769566864356E-2</v>
      </c>
    </row>
    <row r="2361" spans="1:7" x14ac:dyDescent="0.2">
      <c r="A2361" s="1">
        <v>42515</v>
      </c>
      <c r="B2361">
        <v>0</v>
      </c>
      <c r="C2361" t="s">
        <v>12</v>
      </c>
      <c r="D2361">
        <v>1.224E-3</v>
      </c>
      <c r="E2361">
        <f t="shared" si="72"/>
        <v>1.0012239999999999</v>
      </c>
      <c r="F2361" s="1">
        <f t="shared" si="73"/>
        <v>42513</v>
      </c>
      <c r="G2361" cm="1">
        <f t="array" ref="G2361">PRODUCT( _xlfn._xlws.FILTER($E:$E, ($C:$C=C2361)*($F:$F=F2361)) ) - 1</f>
        <v>1.3610769566864356E-2</v>
      </c>
    </row>
    <row r="2362" spans="1:7" x14ac:dyDescent="0.2">
      <c r="A2362" s="1">
        <v>42516</v>
      </c>
      <c r="B2362">
        <v>0</v>
      </c>
      <c r="C2362" t="s">
        <v>12</v>
      </c>
      <c r="D2362">
        <v>-2.444E-3</v>
      </c>
      <c r="E2362">
        <f t="shared" si="72"/>
        <v>0.997556</v>
      </c>
      <c r="F2362" s="1">
        <f t="shared" si="73"/>
        <v>42513</v>
      </c>
      <c r="G2362" cm="1">
        <f t="array" ref="G2362">PRODUCT( _xlfn._xlws.FILTER($E:$E, ($C:$C=C2362)*($F:$F=F2362)) ) - 1</f>
        <v>1.3610769566864356E-2</v>
      </c>
    </row>
    <row r="2363" spans="1:7" x14ac:dyDescent="0.2">
      <c r="A2363" s="1">
        <v>42517</v>
      </c>
      <c r="B2363">
        <v>0</v>
      </c>
      <c r="C2363" t="s">
        <v>12</v>
      </c>
      <c r="D2363">
        <v>3.6749999999999999E-3</v>
      </c>
      <c r="E2363">
        <f t="shared" si="72"/>
        <v>1.0036750000000001</v>
      </c>
      <c r="F2363" s="1">
        <f t="shared" si="73"/>
        <v>42513</v>
      </c>
      <c r="G2363" cm="1">
        <f t="array" ref="G2363">PRODUCT( _xlfn._xlws.FILTER($E:$E, ($C:$C=C2363)*($F:$F=F2363)) ) - 1</f>
        <v>1.3610769566864356E-2</v>
      </c>
    </row>
    <row r="2364" spans="1:7" x14ac:dyDescent="0.2">
      <c r="A2364" s="1">
        <v>42520</v>
      </c>
      <c r="B2364">
        <v>0</v>
      </c>
      <c r="C2364" t="s">
        <v>12</v>
      </c>
      <c r="D2364">
        <v>-2.4399999999999999E-4</v>
      </c>
      <c r="E2364">
        <f t="shared" si="72"/>
        <v>0.99975599999999998</v>
      </c>
      <c r="F2364" s="1">
        <f t="shared" si="73"/>
        <v>42520</v>
      </c>
      <c r="G2364" cm="1">
        <f t="array" ref="G2364">PRODUCT( _xlfn._xlws.FILTER($E:$E, ($C:$C=C2364)*($F:$F=F2364)) ) - 1</f>
        <v>3.9058077664844149E-3</v>
      </c>
    </row>
    <row r="2365" spans="1:7" x14ac:dyDescent="0.2">
      <c r="A2365" s="1">
        <v>42521</v>
      </c>
      <c r="B2365">
        <v>0</v>
      </c>
      <c r="C2365" t="s">
        <v>12</v>
      </c>
      <c r="D2365">
        <v>1.709E-3</v>
      </c>
      <c r="E2365">
        <f t="shared" si="72"/>
        <v>1.001709</v>
      </c>
      <c r="F2365" s="1">
        <f t="shared" si="73"/>
        <v>42520</v>
      </c>
      <c r="G2365" cm="1">
        <f t="array" ref="G2365">PRODUCT( _xlfn._xlws.FILTER($E:$E, ($C:$C=C2365)*($F:$F=F2365)) ) - 1</f>
        <v>3.9058077664844149E-3</v>
      </c>
    </row>
    <row r="2366" spans="1:7" x14ac:dyDescent="0.2">
      <c r="A2366" s="1">
        <v>42522</v>
      </c>
      <c r="B2366">
        <v>0</v>
      </c>
      <c r="C2366" t="s">
        <v>12</v>
      </c>
      <c r="D2366">
        <v>1.7060000000000001E-3</v>
      </c>
      <c r="E2366">
        <f t="shared" si="72"/>
        <v>1.001706</v>
      </c>
      <c r="F2366" s="1">
        <f t="shared" si="73"/>
        <v>42520</v>
      </c>
      <c r="G2366" cm="1">
        <f t="array" ref="G2366">PRODUCT( _xlfn._xlws.FILTER($E:$E, ($C:$C=C2366)*($F:$F=F2366)) ) - 1</f>
        <v>3.9058077664844149E-3</v>
      </c>
    </row>
    <row r="2367" spans="1:7" x14ac:dyDescent="0.2">
      <c r="A2367" s="1">
        <v>42523</v>
      </c>
      <c r="B2367">
        <v>0</v>
      </c>
      <c r="C2367" t="s">
        <v>12</v>
      </c>
      <c r="D2367">
        <v>1.217E-3</v>
      </c>
      <c r="E2367">
        <f t="shared" si="72"/>
        <v>1.001217</v>
      </c>
      <c r="F2367" s="1">
        <f t="shared" si="73"/>
        <v>42520</v>
      </c>
      <c r="G2367" cm="1">
        <f t="array" ref="G2367">PRODUCT( _xlfn._xlws.FILTER($E:$E, ($C:$C=C2367)*($F:$F=F2367)) ) - 1</f>
        <v>3.9058077664844149E-3</v>
      </c>
    </row>
    <row r="2368" spans="1:7" x14ac:dyDescent="0.2">
      <c r="A2368" s="1">
        <v>42524</v>
      </c>
      <c r="B2368">
        <v>0</v>
      </c>
      <c r="C2368" t="s">
        <v>12</v>
      </c>
      <c r="D2368">
        <v>-4.86E-4</v>
      </c>
      <c r="E2368">
        <f t="shared" si="72"/>
        <v>0.99951400000000001</v>
      </c>
      <c r="F2368" s="1">
        <f t="shared" si="73"/>
        <v>42520</v>
      </c>
      <c r="G2368" cm="1">
        <f t="array" ref="G2368">PRODUCT( _xlfn._xlws.FILTER($E:$E, ($C:$C=C2368)*($F:$F=F2368)) ) - 1</f>
        <v>3.9058077664844149E-3</v>
      </c>
    </row>
    <row r="2369" spans="1:7" x14ac:dyDescent="0.2">
      <c r="A2369" s="1">
        <v>42527</v>
      </c>
      <c r="B2369">
        <v>0</v>
      </c>
      <c r="C2369" t="s">
        <v>12</v>
      </c>
      <c r="D2369">
        <v>0</v>
      </c>
      <c r="E2369">
        <f t="shared" si="72"/>
        <v>1</v>
      </c>
      <c r="F2369" s="1">
        <f t="shared" si="73"/>
        <v>42527</v>
      </c>
      <c r="G2369" cm="1">
        <f t="array" ref="G2369">PRODUCT( _xlfn._xlws.FILTER($E:$E, ($C:$C=C2369)*($F:$F=F2369)) ) - 1</f>
        <v>1.7996105675277763E-2</v>
      </c>
    </row>
    <row r="2370" spans="1:7" x14ac:dyDescent="0.2">
      <c r="A2370" s="1">
        <v>42528</v>
      </c>
      <c r="B2370">
        <v>0</v>
      </c>
      <c r="C2370" t="s">
        <v>12</v>
      </c>
      <c r="D2370">
        <v>1.0456999999999999E-2</v>
      </c>
      <c r="E2370">
        <f t="shared" si="72"/>
        <v>1.0104569999999999</v>
      </c>
      <c r="F2370" s="1">
        <f t="shared" si="73"/>
        <v>42527</v>
      </c>
      <c r="G2370" cm="1">
        <f t="array" ref="G2370">PRODUCT( _xlfn._xlws.FILTER($E:$E, ($C:$C=C2370)*($F:$F=F2370)) ) - 1</f>
        <v>1.7996105675277763E-2</v>
      </c>
    </row>
    <row r="2371" spans="1:7" x14ac:dyDescent="0.2">
      <c r="A2371" s="1">
        <v>42529</v>
      </c>
      <c r="B2371">
        <v>0</v>
      </c>
      <c r="C2371" t="s">
        <v>12</v>
      </c>
      <c r="D2371">
        <v>8.9049999999999997E-3</v>
      </c>
      <c r="E2371">
        <f t="shared" si="72"/>
        <v>1.0089049999999999</v>
      </c>
      <c r="F2371" s="1">
        <f t="shared" si="73"/>
        <v>42527</v>
      </c>
      <c r="G2371" cm="1">
        <f t="array" ref="G2371">PRODUCT( _xlfn._xlws.FILTER($E:$E, ($C:$C=C2371)*($F:$F=F2371)) ) - 1</f>
        <v>1.7996105675277763E-2</v>
      </c>
    </row>
    <row r="2372" spans="1:7" x14ac:dyDescent="0.2">
      <c r="A2372" s="1">
        <v>42530</v>
      </c>
      <c r="B2372">
        <v>0</v>
      </c>
      <c r="C2372" t="s">
        <v>12</v>
      </c>
      <c r="D2372">
        <v>1.67E-3</v>
      </c>
      <c r="E2372">
        <f t="shared" ref="E2372:E2435" si="74">D2372+1</f>
        <v>1.0016700000000001</v>
      </c>
      <c r="F2372" s="1">
        <f t="shared" ref="F2372:F2435" si="75">A2372 - (WEEKDAY(A2372, 2) - 1)</f>
        <v>42527</v>
      </c>
      <c r="G2372" cm="1">
        <f t="array" ref="G2372">PRODUCT( _xlfn._xlws.FILTER($E:$E, ($C:$C=C2372)*($F:$F=F2372)) ) - 1</f>
        <v>1.7996105675277763E-2</v>
      </c>
    </row>
    <row r="2373" spans="1:7" x14ac:dyDescent="0.2">
      <c r="A2373" s="1">
        <v>42531</v>
      </c>
      <c r="B2373">
        <v>0</v>
      </c>
      <c r="C2373" t="s">
        <v>12</v>
      </c>
      <c r="D2373">
        <v>-3.0959999999999998E-3</v>
      </c>
      <c r="E2373">
        <f t="shared" si="74"/>
        <v>0.99690400000000001</v>
      </c>
      <c r="F2373" s="1">
        <f t="shared" si="75"/>
        <v>42527</v>
      </c>
      <c r="G2373" cm="1">
        <f t="array" ref="G2373">PRODUCT( _xlfn._xlws.FILTER($E:$E, ($C:$C=C2373)*($F:$F=F2373)) ) - 1</f>
        <v>1.7996105675277763E-2</v>
      </c>
    </row>
    <row r="2374" spans="1:7" x14ac:dyDescent="0.2">
      <c r="A2374" s="1">
        <v>42534</v>
      </c>
      <c r="B2374">
        <v>0</v>
      </c>
      <c r="C2374" t="s">
        <v>12</v>
      </c>
      <c r="D2374">
        <v>-1.433E-3</v>
      </c>
      <c r="E2374">
        <f t="shared" si="74"/>
        <v>0.99856699999999998</v>
      </c>
      <c r="F2374" s="1">
        <f t="shared" si="75"/>
        <v>42534</v>
      </c>
      <c r="G2374" cm="1">
        <f t="array" ref="G2374">PRODUCT( _xlfn._xlws.FILTER($E:$E, ($C:$C=C2374)*($F:$F=F2374)) ) - 1</f>
        <v>-6.2110762949777465E-3</v>
      </c>
    </row>
    <row r="2375" spans="1:7" x14ac:dyDescent="0.2">
      <c r="A2375" s="1">
        <v>42535</v>
      </c>
      <c r="B2375">
        <v>0</v>
      </c>
      <c r="C2375" t="s">
        <v>12</v>
      </c>
      <c r="D2375">
        <v>-5.0239999999999998E-3</v>
      </c>
      <c r="E2375">
        <f t="shared" si="74"/>
        <v>0.99497599999999997</v>
      </c>
      <c r="F2375" s="1">
        <f t="shared" si="75"/>
        <v>42534</v>
      </c>
      <c r="G2375" cm="1">
        <f t="array" ref="G2375">PRODUCT( _xlfn._xlws.FILTER($E:$E, ($C:$C=C2375)*($F:$F=F2375)) ) - 1</f>
        <v>-6.2110762949777465E-3</v>
      </c>
    </row>
    <row r="2376" spans="1:7" x14ac:dyDescent="0.2">
      <c r="A2376" s="1">
        <v>42536</v>
      </c>
      <c r="B2376">
        <v>0</v>
      </c>
      <c r="C2376" t="s">
        <v>12</v>
      </c>
      <c r="D2376">
        <v>3.607E-3</v>
      </c>
      <c r="E2376">
        <f t="shared" si="74"/>
        <v>1.0036069999999999</v>
      </c>
      <c r="F2376" s="1">
        <f t="shared" si="75"/>
        <v>42534</v>
      </c>
      <c r="G2376" cm="1">
        <f t="array" ref="G2376">PRODUCT( _xlfn._xlws.FILTER($E:$E, ($C:$C=C2376)*($F:$F=F2376)) ) - 1</f>
        <v>-6.2110762949777465E-3</v>
      </c>
    </row>
    <row r="2377" spans="1:7" x14ac:dyDescent="0.2">
      <c r="A2377" s="1">
        <v>42537</v>
      </c>
      <c r="B2377">
        <v>0</v>
      </c>
      <c r="C2377" t="s">
        <v>12</v>
      </c>
      <c r="D2377">
        <v>5.9890000000000004E-3</v>
      </c>
      <c r="E2377">
        <f t="shared" si="74"/>
        <v>1.005989</v>
      </c>
      <c r="F2377" s="1">
        <f t="shared" si="75"/>
        <v>42534</v>
      </c>
      <c r="G2377" cm="1">
        <f t="array" ref="G2377">PRODUCT( _xlfn._xlws.FILTER($E:$E, ($C:$C=C2377)*($F:$F=F2377)) ) - 1</f>
        <v>-6.2110762949777465E-3</v>
      </c>
    </row>
    <row r="2378" spans="1:7" x14ac:dyDescent="0.2">
      <c r="A2378" s="1">
        <v>42538</v>
      </c>
      <c r="B2378">
        <v>0</v>
      </c>
      <c r="C2378" t="s">
        <v>12</v>
      </c>
      <c r="D2378">
        <v>-9.2879999999999994E-3</v>
      </c>
      <c r="E2378">
        <f t="shared" si="74"/>
        <v>0.99071200000000004</v>
      </c>
      <c r="F2378" s="1">
        <f t="shared" si="75"/>
        <v>42534</v>
      </c>
      <c r="G2378" cm="1">
        <f t="array" ref="G2378">PRODUCT( _xlfn._xlws.FILTER($E:$E, ($C:$C=C2378)*($F:$F=F2378)) ) - 1</f>
        <v>-6.2110762949777465E-3</v>
      </c>
    </row>
    <row r="2379" spans="1:7" x14ac:dyDescent="0.2">
      <c r="A2379" s="1">
        <v>42541</v>
      </c>
      <c r="B2379">
        <v>0</v>
      </c>
      <c r="C2379" t="s">
        <v>12</v>
      </c>
      <c r="D2379">
        <v>6.9709999999999998E-3</v>
      </c>
      <c r="E2379">
        <f t="shared" si="74"/>
        <v>1.0069710000000001</v>
      </c>
      <c r="F2379" s="1">
        <f t="shared" si="75"/>
        <v>42541</v>
      </c>
      <c r="G2379" cm="1">
        <f t="array" ref="G2379">PRODUCT( _xlfn._xlws.FILTER($E:$E, ($C:$C=C2379)*($F:$F=F2379)) ) - 1</f>
        <v>2.3076729501175341E-2</v>
      </c>
    </row>
    <row r="2380" spans="1:7" x14ac:dyDescent="0.2">
      <c r="A2380" s="1">
        <v>42542</v>
      </c>
      <c r="B2380">
        <v>0</v>
      </c>
      <c r="C2380" t="s">
        <v>12</v>
      </c>
      <c r="D2380">
        <v>6.2069999999999998E-3</v>
      </c>
      <c r="E2380">
        <f t="shared" si="74"/>
        <v>1.0062070000000001</v>
      </c>
      <c r="F2380" s="1">
        <f t="shared" si="75"/>
        <v>42541</v>
      </c>
      <c r="G2380" cm="1">
        <f t="array" ref="G2380">PRODUCT( _xlfn._xlws.FILTER($E:$E, ($C:$C=C2380)*($F:$F=F2380)) ) - 1</f>
        <v>2.3076729501175341E-2</v>
      </c>
    </row>
    <row r="2381" spans="1:7" x14ac:dyDescent="0.2">
      <c r="A2381" s="1">
        <v>42543</v>
      </c>
      <c r="B2381">
        <v>0</v>
      </c>
      <c r="C2381" t="s">
        <v>12</v>
      </c>
      <c r="D2381">
        <v>-1.0201999999999999E-2</v>
      </c>
      <c r="E2381">
        <f t="shared" si="74"/>
        <v>0.98979799999999996</v>
      </c>
      <c r="F2381" s="1">
        <f t="shared" si="75"/>
        <v>42541</v>
      </c>
      <c r="G2381" cm="1">
        <f t="array" ref="G2381">PRODUCT( _xlfn._xlws.FILTER($E:$E, ($C:$C=C2381)*($F:$F=F2381)) ) - 1</f>
        <v>2.3076729501175341E-2</v>
      </c>
    </row>
    <row r="2382" spans="1:7" x14ac:dyDescent="0.2">
      <c r="A2382" s="1">
        <v>42544</v>
      </c>
      <c r="B2382">
        <v>0</v>
      </c>
      <c r="C2382" t="s">
        <v>12</v>
      </c>
      <c r="D2382">
        <v>3.8349999999999999E-3</v>
      </c>
      <c r="E2382">
        <f t="shared" si="74"/>
        <v>1.003835</v>
      </c>
      <c r="F2382" s="1">
        <f t="shared" si="75"/>
        <v>42541</v>
      </c>
      <c r="G2382" cm="1">
        <f t="array" ref="G2382">PRODUCT( _xlfn._xlws.FILTER($E:$E, ($C:$C=C2382)*($F:$F=F2382)) ) - 1</f>
        <v>2.3076729501175341E-2</v>
      </c>
    </row>
    <row r="2383" spans="1:7" x14ac:dyDescent="0.2">
      <c r="A2383" s="1">
        <v>42545</v>
      </c>
      <c r="B2383">
        <v>0</v>
      </c>
      <c r="C2383" t="s">
        <v>12</v>
      </c>
      <c r="D2383">
        <v>1.6237000000000001E-2</v>
      </c>
      <c r="E2383">
        <f t="shared" si="74"/>
        <v>1.0162370000000001</v>
      </c>
      <c r="F2383" s="1">
        <f t="shared" si="75"/>
        <v>42541</v>
      </c>
      <c r="G2383" cm="1">
        <f t="array" ref="G2383">PRODUCT( _xlfn._xlws.FILTER($E:$E, ($C:$C=C2383)*($F:$F=F2383)) ) - 1</f>
        <v>2.3076729501175341E-2</v>
      </c>
    </row>
    <row r="2384" spans="1:7" x14ac:dyDescent="0.2">
      <c r="A2384" s="1">
        <v>42548</v>
      </c>
      <c r="B2384">
        <v>0</v>
      </c>
      <c r="C2384" t="s">
        <v>12</v>
      </c>
      <c r="D2384">
        <v>7.0489999999999997E-3</v>
      </c>
      <c r="E2384">
        <f t="shared" si="74"/>
        <v>1.0070490000000001</v>
      </c>
      <c r="F2384" s="1">
        <f t="shared" si="75"/>
        <v>42548</v>
      </c>
      <c r="G2384" cm="1">
        <f t="array" ref="G2384">PRODUCT( _xlfn._xlws.FILTER($E:$E, ($C:$C=C2384)*($F:$F=F2384)) ) - 1</f>
        <v>2.6081314220847585E-2</v>
      </c>
    </row>
    <row r="2385" spans="1:7" x14ac:dyDescent="0.2">
      <c r="A2385" s="1">
        <v>42549</v>
      </c>
      <c r="B2385">
        <v>0</v>
      </c>
      <c r="C2385" t="s">
        <v>12</v>
      </c>
      <c r="D2385">
        <v>-1.4E-3</v>
      </c>
      <c r="E2385">
        <f t="shared" si="74"/>
        <v>0.99860000000000004</v>
      </c>
      <c r="F2385" s="1">
        <f t="shared" si="75"/>
        <v>42548</v>
      </c>
      <c r="G2385" cm="1">
        <f t="array" ref="G2385">PRODUCT( _xlfn._xlws.FILTER($E:$E, ($C:$C=C2385)*($F:$F=F2385)) ) - 1</f>
        <v>2.6081314220847585E-2</v>
      </c>
    </row>
    <row r="2386" spans="1:7" x14ac:dyDescent="0.2">
      <c r="A2386" s="1">
        <v>42550</v>
      </c>
      <c r="B2386">
        <v>0</v>
      </c>
      <c r="C2386" t="s">
        <v>12</v>
      </c>
      <c r="D2386">
        <v>8.1779999999999995E-3</v>
      </c>
      <c r="E2386">
        <f t="shared" si="74"/>
        <v>1.008178</v>
      </c>
      <c r="F2386" s="1">
        <f t="shared" si="75"/>
        <v>42548</v>
      </c>
      <c r="G2386" cm="1">
        <f t="array" ref="G2386">PRODUCT( _xlfn._xlws.FILTER($E:$E, ($C:$C=C2386)*($F:$F=F2386)) ) - 1</f>
        <v>2.6081314220847585E-2</v>
      </c>
    </row>
    <row r="2387" spans="1:7" x14ac:dyDescent="0.2">
      <c r="A2387" s="1">
        <v>42551</v>
      </c>
      <c r="B2387">
        <v>0</v>
      </c>
      <c r="C2387" t="s">
        <v>12</v>
      </c>
      <c r="D2387">
        <v>1.2050999999999999E-2</v>
      </c>
      <c r="E2387">
        <f t="shared" si="74"/>
        <v>1.012051</v>
      </c>
      <c r="F2387" s="1">
        <f t="shared" si="75"/>
        <v>42548</v>
      </c>
      <c r="G2387" cm="1">
        <f t="array" ref="G2387">PRODUCT( _xlfn._xlws.FILTER($E:$E, ($C:$C=C2387)*($F:$F=F2387)) ) - 1</f>
        <v>2.6081314220847585E-2</v>
      </c>
    </row>
    <row r="2388" spans="1:7" x14ac:dyDescent="0.2">
      <c r="A2388" s="1">
        <v>42555</v>
      </c>
      <c r="B2388">
        <v>0</v>
      </c>
      <c r="C2388" t="s">
        <v>12</v>
      </c>
      <c r="D2388">
        <v>7.5570000000000003E-3</v>
      </c>
      <c r="E2388">
        <f t="shared" si="74"/>
        <v>1.007557</v>
      </c>
      <c r="F2388" s="1">
        <f t="shared" si="75"/>
        <v>42555</v>
      </c>
      <c r="G2388" cm="1">
        <f t="array" ref="G2388">PRODUCT( _xlfn._xlws.FILTER($E:$E, ($C:$C=C2388)*($F:$F=F2388)) ) - 1</f>
        <v>3.2060583280990596E-3</v>
      </c>
    </row>
    <row r="2389" spans="1:7" x14ac:dyDescent="0.2">
      <c r="A2389" s="1">
        <v>42556</v>
      </c>
      <c r="B2389">
        <v>0</v>
      </c>
      <c r="C2389" t="s">
        <v>12</v>
      </c>
      <c r="D2389">
        <v>5.2269999999999999E-3</v>
      </c>
      <c r="E2389">
        <f t="shared" si="74"/>
        <v>1.0052270000000001</v>
      </c>
      <c r="F2389" s="1">
        <f t="shared" si="75"/>
        <v>42555</v>
      </c>
      <c r="G2389" cm="1">
        <f t="array" ref="G2389">PRODUCT( _xlfn._xlws.FILTER($E:$E, ($C:$C=C2389)*($F:$F=F2389)) ) - 1</f>
        <v>3.2060583280990596E-3</v>
      </c>
    </row>
    <row r="2390" spans="1:7" x14ac:dyDescent="0.2">
      <c r="A2390" s="1">
        <v>42557</v>
      </c>
      <c r="B2390">
        <v>0</v>
      </c>
      <c r="C2390" t="s">
        <v>12</v>
      </c>
      <c r="D2390">
        <v>6.783E-3</v>
      </c>
      <c r="E2390">
        <f t="shared" si="74"/>
        <v>1.006783</v>
      </c>
      <c r="F2390" s="1">
        <f t="shared" si="75"/>
        <v>42555</v>
      </c>
      <c r="G2390" cm="1">
        <f t="array" ref="G2390">PRODUCT( _xlfn._xlws.FILTER($E:$E, ($C:$C=C2390)*($F:$F=F2390)) ) - 1</f>
        <v>3.2060583280990596E-3</v>
      </c>
    </row>
    <row r="2391" spans="1:7" x14ac:dyDescent="0.2">
      <c r="A2391" s="1">
        <v>42558</v>
      </c>
      <c r="B2391">
        <v>0</v>
      </c>
      <c r="C2391" t="s">
        <v>12</v>
      </c>
      <c r="D2391">
        <v>-1.6168999999999999E-2</v>
      </c>
      <c r="E2391">
        <f t="shared" si="74"/>
        <v>0.98383100000000001</v>
      </c>
      <c r="F2391" s="1">
        <f t="shared" si="75"/>
        <v>42555</v>
      </c>
      <c r="G2391" cm="1">
        <f t="array" ref="G2391">PRODUCT( _xlfn._xlws.FILTER($E:$E, ($C:$C=C2391)*($F:$F=F2391)) ) - 1</f>
        <v>3.2060583280990596E-3</v>
      </c>
    </row>
    <row r="2392" spans="1:7" x14ac:dyDescent="0.2">
      <c r="A2392" s="1">
        <v>42559</v>
      </c>
      <c r="B2392">
        <v>0</v>
      </c>
      <c r="C2392" t="s">
        <v>12</v>
      </c>
      <c r="D2392">
        <v>0</v>
      </c>
      <c r="E2392">
        <f t="shared" si="74"/>
        <v>1</v>
      </c>
      <c r="F2392" s="1">
        <f t="shared" si="75"/>
        <v>42555</v>
      </c>
      <c r="G2392" cm="1">
        <f t="array" ref="G2392">PRODUCT( _xlfn._xlws.FILTER($E:$E, ($C:$C=C2392)*($F:$F=F2392)) ) - 1</f>
        <v>3.2060583280990596E-3</v>
      </c>
    </row>
    <row r="2393" spans="1:7" x14ac:dyDescent="0.2">
      <c r="A2393" s="1">
        <v>42562</v>
      </c>
      <c r="B2393">
        <v>0</v>
      </c>
      <c r="C2393" t="s">
        <v>12</v>
      </c>
      <c r="D2393">
        <v>6.6189999999999999E-3</v>
      </c>
      <c r="E2393">
        <f t="shared" si="74"/>
        <v>1.0066189999999999</v>
      </c>
      <c r="F2393" s="1">
        <f t="shared" si="75"/>
        <v>42562</v>
      </c>
      <c r="G2393" cm="1">
        <f t="array" ref="G2393">PRODUCT( _xlfn._xlws.FILTER($E:$E, ($C:$C=C2393)*($F:$F=F2393)) ) - 1</f>
        <v>-1.1641760836391901E-2</v>
      </c>
    </row>
    <row r="2394" spans="1:7" x14ac:dyDescent="0.2">
      <c r="A2394" s="1">
        <v>42563</v>
      </c>
      <c r="B2394">
        <v>0</v>
      </c>
      <c r="C2394" t="s">
        <v>12</v>
      </c>
      <c r="D2394">
        <v>-2.2699999999999999E-4</v>
      </c>
      <c r="E2394">
        <f t="shared" si="74"/>
        <v>0.99977300000000002</v>
      </c>
      <c r="F2394" s="1">
        <f t="shared" si="75"/>
        <v>42562</v>
      </c>
      <c r="G2394" cm="1">
        <f t="array" ref="G2394">PRODUCT( _xlfn._xlws.FILTER($E:$E, ($C:$C=C2394)*($F:$F=F2394)) ) - 1</f>
        <v>-1.1641760836391901E-2</v>
      </c>
    </row>
    <row r="2395" spans="1:7" x14ac:dyDescent="0.2">
      <c r="A2395" s="1">
        <v>42564</v>
      </c>
      <c r="B2395">
        <v>0</v>
      </c>
      <c r="C2395" t="s">
        <v>12</v>
      </c>
      <c r="D2395">
        <v>-2.0409999999999998E-3</v>
      </c>
      <c r="E2395">
        <f t="shared" si="74"/>
        <v>0.99795900000000004</v>
      </c>
      <c r="F2395" s="1">
        <f t="shared" si="75"/>
        <v>42562</v>
      </c>
      <c r="G2395" cm="1">
        <f t="array" ref="G2395">PRODUCT( _xlfn._xlws.FILTER($E:$E, ($C:$C=C2395)*($F:$F=F2395)) ) - 1</f>
        <v>-1.1641760836391901E-2</v>
      </c>
    </row>
    <row r="2396" spans="1:7" x14ac:dyDescent="0.2">
      <c r="A2396" s="1">
        <v>42565</v>
      </c>
      <c r="B2396">
        <v>0</v>
      </c>
      <c r="C2396" t="s">
        <v>12</v>
      </c>
      <c r="D2396">
        <v>-1.2955E-2</v>
      </c>
      <c r="E2396">
        <f t="shared" si="74"/>
        <v>0.98704499999999995</v>
      </c>
      <c r="F2396" s="1">
        <f t="shared" si="75"/>
        <v>42562</v>
      </c>
      <c r="G2396" cm="1">
        <f t="array" ref="G2396">PRODUCT( _xlfn._xlws.FILTER($E:$E, ($C:$C=C2396)*($F:$F=F2396)) ) - 1</f>
        <v>-1.1641760836391901E-2</v>
      </c>
    </row>
    <row r="2397" spans="1:7" x14ac:dyDescent="0.2">
      <c r="A2397" s="1">
        <v>42566</v>
      </c>
      <c r="B2397">
        <v>0</v>
      </c>
      <c r="C2397" t="s">
        <v>12</v>
      </c>
      <c r="D2397">
        <v>-2.993E-3</v>
      </c>
      <c r="E2397">
        <f t="shared" si="74"/>
        <v>0.99700699999999998</v>
      </c>
      <c r="F2397" s="1">
        <f t="shared" si="75"/>
        <v>42562</v>
      </c>
      <c r="G2397" cm="1">
        <f t="array" ref="G2397">PRODUCT( _xlfn._xlws.FILTER($E:$E, ($C:$C=C2397)*($F:$F=F2397)) ) - 1</f>
        <v>-1.1641760836391901E-2</v>
      </c>
    </row>
    <row r="2398" spans="1:7" x14ac:dyDescent="0.2">
      <c r="A2398" s="1">
        <v>42569</v>
      </c>
      <c r="B2398">
        <v>0</v>
      </c>
      <c r="C2398" t="s">
        <v>12</v>
      </c>
      <c r="D2398">
        <v>-2.31E-4</v>
      </c>
      <c r="E2398">
        <f t="shared" si="74"/>
        <v>0.99976900000000002</v>
      </c>
      <c r="F2398" s="1">
        <f t="shared" si="75"/>
        <v>42569</v>
      </c>
      <c r="G2398" cm="1">
        <f t="array" ref="G2398">PRODUCT( _xlfn._xlws.FILTER($E:$E, ($C:$C=C2398)*($F:$F=F2398)) ) - 1</f>
        <v>1.6859445276047547E-2</v>
      </c>
    </row>
    <row r="2399" spans="1:7" x14ac:dyDescent="0.2">
      <c r="A2399" s="1">
        <v>42570</v>
      </c>
      <c r="B2399">
        <v>0</v>
      </c>
      <c r="C2399" t="s">
        <v>12</v>
      </c>
      <c r="D2399">
        <v>-6.9300000000000004E-4</v>
      </c>
      <c r="E2399">
        <f t="shared" si="74"/>
        <v>0.99930699999999995</v>
      </c>
      <c r="F2399" s="1">
        <f t="shared" si="75"/>
        <v>42569</v>
      </c>
      <c r="G2399" cm="1">
        <f t="array" ref="G2399">PRODUCT( _xlfn._xlws.FILTER($E:$E, ($C:$C=C2399)*($F:$F=F2399)) ) - 1</f>
        <v>1.6859445276047547E-2</v>
      </c>
    </row>
    <row r="2400" spans="1:7" x14ac:dyDescent="0.2">
      <c r="A2400" s="1">
        <v>42571</v>
      </c>
      <c r="B2400">
        <v>0</v>
      </c>
      <c r="C2400" t="s">
        <v>12</v>
      </c>
      <c r="D2400">
        <v>-1.6180000000000001E-3</v>
      </c>
      <c r="E2400">
        <f t="shared" si="74"/>
        <v>0.99838199999999999</v>
      </c>
      <c r="F2400" s="1">
        <f t="shared" si="75"/>
        <v>42569</v>
      </c>
      <c r="G2400" cm="1">
        <f t="array" ref="G2400">PRODUCT( _xlfn._xlws.FILTER($E:$E, ($C:$C=C2400)*($F:$F=F2400)) ) - 1</f>
        <v>1.6859445276047547E-2</v>
      </c>
    </row>
    <row r="2401" spans="1:7" x14ac:dyDescent="0.2">
      <c r="A2401" s="1">
        <v>42572</v>
      </c>
      <c r="B2401">
        <v>0</v>
      </c>
      <c r="C2401" t="s">
        <v>12</v>
      </c>
      <c r="D2401">
        <v>2.7789999999999998E-3</v>
      </c>
      <c r="E2401">
        <f t="shared" si="74"/>
        <v>1.0027790000000001</v>
      </c>
      <c r="F2401" s="1">
        <f t="shared" si="75"/>
        <v>42569</v>
      </c>
      <c r="G2401" cm="1">
        <f t="array" ref="G2401">PRODUCT( _xlfn._xlws.FILTER($E:$E, ($C:$C=C2401)*($F:$F=F2401)) ) - 1</f>
        <v>1.6859445276047547E-2</v>
      </c>
    </row>
    <row r="2402" spans="1:7" x14ac:dyDescent="0.2">
      <c r="A2402" s="1">
        <v>42573</v>
      </c>
      <c r="B2402">
        <v>0</v>
      </c>
      <c r="C2402" t="s">
        <v>12</v>
      </c>
      <c r="D2402">
        <v>1.6624E-2</v>
      </c>
      <c r="E2402">
        <f t="shared" si="74"/>
        <v>1.016624</v>
      </c>
      <c r="F2402" s="1">
        <f t="shared" si="75"/>
        <v>42569</v>
      </c>
      <c r="G2402" cm="1">
        <f t="array" ref="G2402">PRODUCT( _xlfn._xlws.FILTER($E:$E, ($C:$C=C2402)*($F:$F=F2402)) ) - 1</f>
        <v>1.6859445276047547E-2</v>
      </c>
    </row>
    <row r="2403" spans="1:7" x14ac:dyDescent="0.2">
      <c r="A2403" s="1">
        <v>42576</v>
      </c>
      <c r="B2403">
        <v>0</v>
      </c>
      <c r="C2403" t="s">
        <v>12</v>
      </c>
      <c r="D2403">
        <v>-1.2037000000000001E-2</v>
      </c>
      <c r="E2403">
        <f t="shared" si="74"/>
        <v>0.98796300000000004</v>
      </c>
      <c r="F2403" s="1">
        <f t="shared" si="75"/>
        <v>42576</v>
      </c>
      <c r="G2403" cm="1">
        <f t="array" ref="G2403">PRODUCT( _xlfn._xlws.FILTER($E:$E, ($C:$C=C2403)*($F:$F=F2403)) ) - 1</f>
        <v>-1.7715370207506353E-2</v>
      </c>
    </row>
    <row r="2404" spans="1:7" x14ac:dyDescent="0.2">
      <c r="A2404" s="1">
        <v>42577</v>
      </c>
      <c r="B2404">
        <v>0</v>
      </c>
      <c r="C2404" t="s">
        <v>12</v>
      </c>
      <c r="D2404">
        <v>-3.908E-3</v>
      </c>
      <c r="E2404">
        <f t="shared" si="74"/>
        <v>0.99609199999999998</v>
      </c>
      <c r="F2404" s="1">
        <f t="shared" si="75"/>
        <v>42576</v>
      </c>
      <c r="G2404" cm="1">
        <f t="array" ref="G2404">PRODUCT( _xlfn._xlws.FILTER($E:$E, ($C:$C=C2404)*($F:$F=F2404)) ) - 1</f>
        <v>-1.7715370207506353E-2</v>
      </c>
    </row>
    <row r="2405" spans="1:7" x14ac:dyDescent="0.2">
      <c r="A2405" s="1">
        <v>42578</v>
      </c>
      <c r="B2405">
        <v>0</v>
      </c>
      <c r="C2405" t="s">
        <v>12</v>
      </c>
      <c r="D2405">
        <v>-9.2320000000000006E-3</v>
      </c>
      <c r="E2405">
        <f t="shared" si="74"/>
        <v>0.99076799999999998</v>
      </c>
      <c r="F2405" s="1">
        <f t="shared" si="75"/>
        <v>42576</v>
      </c>
      <c r="G2405" cm="1">
        <f t="array" ref="G2405">PRODUCT( _xlfn._xlws.FILTER($E:$E, ($C:$C=C2405)*($F:$F=F2405)) ) - 1</f>
        <v>-1.7715370207506353E-2</v>
      </c>
    </row>
    <row r="2406" spans="1:7" x14ac:dyDescent="0.2">
      <c r="A2406" s="1">
        <v>42579</v>
      </c>
      <c r="B2406">
        <v>0</v>
      </c>
      <c r="C2406" t="s">
        <v>12</v>
      </c>
      <c r="D2406">
        <v>8.6189999999999999E-3</v>
      </c>
      <c r="E2406">
        <f t="shared" si="74"/>
        <v>1.0086189999999999</v>
      </c>
      <c r="F2406" s="1">
        <f t="shared" si="75"/>
        <v>42576</v>
      </c>
      <c r="G2406" cm="1">
        <f t="array" ref="G2406">PRODUCT( _xlfn._xlws.FILTER($E:$E, ($C:$C=C2406)*($F:$F=F2406)) ) - 1</f>
        <v>-1.7715370207506353E-2</v>
      </c>
    </row>
    <row r="2407" spans="1:7" x14ac:dyDescent="0.2">
      <c r="A2407" s="1">
        <v>42580</v>
      </c>
      <c r="B2407">
        <v>0</v>
      </c>
      <c r="C2407" t="s">
        <v>12</v>
      </c>
      <c r="D2407">
        <v>-1.155E-3</v>
      </c>
      <c r="E2407">
        <f t="shared" si="74"/>
        <v>0.99884499999999998</v>
      </c>
      <c r="F2407" s="1">
        <f t="shared" si="75"/>
        <v>42576</v>
      </c>
      <c r="G2407" cm="1">
        <f t="array" ref="G2407">PRODUCT( _xlfn._xlws.FILTER($E:$E, ($C:$C=C2407)*($F:$F=F2407)) ) - 1</f>
        <v>-1.7715370207506353E-2</v>
      </c>
    </row>
    <row r="2408" spans="1:7" x14ac:dyDescent="0.2">
      <c r="A2408" s="1">
        <v>42584</v>
      </c>
      <c r="B2408">
        <v>0</v>
      </c>
      <c r="C2408" t="s">
        <v>12</v>
      </c>
      <c r="D2408">
        <v>-7.1679999999999999E-3</v>
      </c>
      <c r="E2408">
        <f t="shared" si="74"/>
        <v>0.99283200000000005</v>
      </c>
      <c r="F2408" s="1">
        <f t="shared" si="75"/>
        <v>42583</v>
      </c>
      <c r="G2408" cm="1">
        <f t="array" ref="G2408">PRODUCT( _xlfn._xlws.FILTER($E:$E, ($C:$C=C2408)*($F:$F=F2408)) ) - 1</f>
        <v>-6.9413610161017658E-4</v>
      </c>
    </row>
    <row r="2409" spans="1:7" x14ac:dyDescent="0.2">
      <c r="A2409" s="1">
        <v>42585</v>
      </c>
      <c r="B2409">
        <v>0</v>
      </c>
      <c r="C2409" t="s">
        <v>12</v>
      </c>
      <c r="D2409">
        <v>6.9870000000000002E-3</v>
      </c>
      <c r="E2409">
        <f t="shared" si="74"/>
        <v>1.0069870000000001</v>
      </c>
      <c r="F2409" s="1">
        <f t="shared" si="75"/>
        <v>42583</v>
      </c>
      <c r="G2409" cm="1">
        <f t="array" ref="G2409">PRODUCT( _xlfn._xlws.FILTER($E:$E, ($C:$C=C2409)*($F:$F=F2409)) ) - 1</f>
        <v>-6.9413610161017658E-4</v>
      </c>
    </row>
    <row r="2410" spans="1:7" x14ac:dyDescent="0.2">
      <c r="A2410" s="1">
        <v>42586</v>
      </c>
      <c r="B2410">
        <v>0</v>
      </c>
      <c r="C2410" t="s">
        <v>12</v>
      </c>
      <c r="D2410">
        <v>2.31E-4</v>
      </c>
      <c r="E2410">
        <f t="shared" si="74"/>
        <v>1.0002310000000001</v>
      </c>
      <c r="F2410" s="1">
        <f t="shared" si="75"/>
        <v>42583</v>
      </c>
      <c r="G2410" cm="1">
        <f t="array" ref="G2410">PRODUCT( _xlfn._xlws.FILTER($E:$E, ($C:$C=C2410)*($F:$F=F2410)) ) - 1</f>
        <v>-6.9413610161017658E-4</v>
      </c>
    </row>
    <row r="2411" spans="1:7" x14ac:dyDescent="0.2">
      <c r="A2411" s="1">
        <v>42587</v>
      </c>
      <c r="B2411">
        <v>0</v>
      </c>
      <c r="C2411" t="s">
        <v>12</v>
      </c>
      <c r="D2411">
        <v>-6.9399999999999996E-4</v>
      </c>
      <c r="E2411">
        <f t="shared" si="74"/>
        <v>0.99930600000000003</v>
      </c>
      <c r="F2411" s="1">
        <f t="shared" si="75"/>
        <v>42583</v>
      </c>
      <c r="G2411" cm="1">
        <f t="array" ref="G2411">PRODUCT( _xlfn._xlws.FILTER($E:$E, ($C:$C=C2411)*($F:$F=F2411)) ) - 1</f>
        <v>-6.9413610161017658E-4</v>
      </c>
    </row>
    <row r="2412" spans="1:7" x14ac:dyDescent="0.2">
      <c r="A2412" s="1">
        <v>42590</v>
      </c>
      <c r="B2412">
        <v>0</v>
      </c>
      <c r="C2412" t="s">
        <v>12</v>
      </c>
      <c r="D2412">
        <v>-4.6299999999999998E-4</v>
      </c>
      <c r="E2412">
        <f t="shared" si="74"/>
        <v>0.99953700000000001</v>
      </c>
      <c r="F2412" s="1">
        <f t="shared" si="75"/>
        <v>42590</v>
      </c>
      <c r="G2412" cm="1">
        <f t="array" ref="G2412">PRODUCT( _xlfn._xlws.FILTER($E:$E, ($C:$C=C2412)*($F:$F=F2412)) ) - 1</f>
        <v>-1.3882764303395634E-3</v>
      </c>
    </row>
    <row r="2413" spans="1:7" x14ac:dyDescent="0.2">
      <c r="A2413" s="1">
        <v>42591</v>
      </c>
      <c r="B2413">
        <v>0</v>
      </c>
      <c r="C2413" t="s">
        <v>12</v>
      </c>
      <c r="D2413">
        <v>-8.3330000000000001E-3</v>
      </c>
      <c r="E2413">
        <f t="shared" si="74"/>
        <v>0.99166699999999997</v>
      </c>
      <c r="F2413" s="1">
        <f t="shared" si="75"/>
        <v>42590</v>
      </c>
      <c r="G2413" cm="1">
        <f t="array" ref="G2413">PRODUCT( _xlfn._xlws.FILTER($E:$E, ($C:$C=C2413)*($F:$F=F2413)) ) - 1</f>
        <v>-1.3882764303395634E-3</v>
      </c>
    </row>
    <row r="2414" spans="1:7" x14ac:dyDescent="0.2">
      <c r="A2414" s="1">
        <v>42592</v>
      </c>
      <c r="B2414">
        <v>0</v>
      </c>
      <c r="C2414" t="s">
        <v>12</v>
      </c>
      <c r="D2414">
        <v>-1.1670000000000001E-3</v>
      </c>
      <c r="E2414">
        <f t="shared" si="74"/>
        <v>0.99883299999999997</v>
      </c>
      <c r="F2414" s="1">
        <f t="shared" si="75"/>
        <v>42590</v>
      </c>
      <c r="G2414" cm="1">
        <f t="array" ref="G2414">PRODUCT( _xlfn._xlws.FILTER($E:$E, ($C:$C=C2414)*($F:$F=F2414)) ) - 1</f>
        <v>-1.3882764303395634E-3</v>
      </c>
    </row>
    <row r="2415" spans="1:7" x14ac:dyDescent="0.2">
      <c r="A2415" s="1">
        <v>42593</v>
      </c>
      <c r="B2415">
        <v>0</v>
      </c>
      <c r="C2415" t="s">
        <v>12</v>
      </c>
      <c r="D2415">
        <v>1.0749999999999999E-2</v>
      </c>
      <c r="E2415">
        <f t="shared" si="74"/>
        <v>1.01075</v>
      </c>
      <c r="F2415" s="1">
        <f t="shared" si="75"/>
        <v>42590</v>
      </c>
      <c r="G2415" cm="1">
        <f t="array" ref="G2415">PRODUCT( _xlfn._xlws.FILTER($E:$E, ($C:$C=C2415)*($F:$F=F2415)) ) - 1</f>
        <v>-1.3882764303395634E-3</v>
      </c>
    </row>
    <row r="2416" spans="1:7" x14ac:dyDescent="0.2">
      <c r="A2416" s="1">
        <v>42594</v>
      </c>
      <c r="B2416">
        <v>0</v>
      </c>
      <c r="C2416" t="s">
        <v>12</v>
      </c>
      <c r="D2416">
        <v>-2.081E-3</v>
      </c>
      <c r="E2416">
        <f t="shared" si="74"/>
        <v>0.997919</v>
      </c>
      <c r="F2416" s="1">
        <f t="shared" si="75"/>
        <v>42590</v>
      </c>
      <c r="G2416" cm="1">
        <f t="array" ref="G2416">PRODUCT( _xlfn._xlws.FILTER($E:$E, ($C:$C=C2416)*($F:$F=F2416)) ) - 1</f>
        <v>-1.3882764303395634E-3</v>
      </c>
    </row>
    <row r="2417" spans="1:7" x14ac:dyDescent="0.2">
      <c r="A2417" s="1">
        <v>42597</v>
      </c>
      <c r="B2417">
        <v>0</v>
      </c>
      <c r="C2417" t="s">
        <v>12</v>
      </c>
      <c r="D2417">
        <v>-1.0658000000000001E-2</v>
      </c>
      <c r="E2417">
        <f t="shared" si="74"/>
        <v>0.98934199999999994</v>
      </c>
      <c r="F2417" s="1">
        <f t="shared" si="75"/>
        <v>42597</v>
      </c>
      <c r="G2417" cm="1">
        <f t="array" ref="G2417">PRODUCT( _xlfn._xlws.FILTER($E:$E, ($C:$C=C2417)*($F:$F=F2417)) ) - 1</f>
        <v>3.8887875246123027E-3</v>
      </c>
    </row>
    <row r="2418" spans="1:7" x14ac:dyDescent="0.2">
      <c r="A2418" s="1">
        <v>42598</v>
      </c>
      <c r="B2418">
        <v>0</v>
      </c>
      <c r="C2418" t="s">
        <v>12</v>
      </c>
      <c r="D2418">
        <v>-6.3229999999999996E-3</v>
      </c>
      <c r="E2418">
        <f t="shared" si="74"/>
        <v>0.99367700000000003</v>
      </c>
      <c r="F2418" s="1">
        <f t="shared" si="75"/>
        <v>42597</v>
      </c>
      <c r="G2418" cm="1">
        <f t="array" ref="G2418">PRODUCT( _xlfn._xlws.FILTER($E:$E, ($C:$C=C2418)*($F:$F=F2418)) ) - 1</f>
        <v>3.8887875246123027E-3</v>
      </c>
    </row>
    <row r="2419" spans="1:7" x14ac:dyDescent="0.2">
      <c r="A2419" s="1">
        <v>42599</v>
      </c>
      <c r="B2419">
        <v>0</v>
      </c>
      <c r="C2419" t="s">
        <v>12</v>
      </c>
      <c r="D2419">
        <v>1.3552E-2</v>
      </c>
      <c r="E2419">
        <f t="shared" si="74"/>
        <v>1.013552</v>
      </c>
      <c r="F2419" s="1">
        <f t="shared" si="75"/>
        <v>42597</v>
      </c>
      <c r="G2419" cm="1">
        <f t="array" ref="G2419">PRODUCT( _xlfn._xlws.FILTER($E:$E, ($C:$C=C2419)*($F:$F=F2419)) ) - 1</f>
        <v>3.8887875246123027E-3</v>
      </c>
    </row>
    <row r="2420" spans="1:7" x14ac:dyDescent="0.2">
      <c r="A2420" s="1">
        <v>42600</v>
      </c>
      <c r="B2420">
        <v>0</v>
      </c>
      <c r="C2420" t="s">
        <v>12</v>
      </c>
      <c r="D2420">
        <v>8.914E-3</v>
      </c>
      <c r="E2420">
        <f t="shared" si="74"/>
        <v>1.0089140000000001</v>
      </c>
      <c r="F2420" s="1">
        <f t="shared" si="75"/>
        <v>42597</v>
      </c>
      <c r="G2420" cm="1">
        <f t="array" ref="G2420">PRODUCT( _xlfn._xlws.FILTER($E:$E, ($C:$C=C2420)*($F:$F=F2420)) ) - 1</f>
        <v>3.8887875246123027E-3</v>
      </c>
    </row>
    <row r="2421" spans="1:7" x14ac:dyDescent="0.2">
      <c r="A2421" s="1">
        <v>42601</v>
      </c>
      <c r="B2421">
        <v>0</v>
      </c>
      <c r="C2421" t="s">
        <v>12</v>
      </c>
      <c r="D2421">
        <v>-1.395E-3</v>
      </c>
      <c r="E2421">
        <f t="shared" si="74"/>
        <v>0.99860499999999996</v>
      </c>
      <c r="F2421" s="1">
        <f t="shared" si="75"/>
        <v>42597</v>
      </c>
      <c r="G2421" cm="1">
        <f t="array" ref="G2421">PRODUCT( _xlfn._xlws.FILTER($E:$E, ($C:$C=C2421)*($F:$F=F2421)) ) - 1</f>
        <v>3.8887875246123027E-3</v>
      </c>
    </row>
    <row r="2422" spans="1:7" x14ac:dyDescent="0.2">
      <c r="A2422" s="1">
        <v>42604</v>
      </c>
      <c r="B2422">
        <v>0</v>
      </c>
      <c r="C2422" t="s">
        <v>12</v>
      </c>
      <c r="D2422">
        <v>5.1219999999999998E-3</v>
      </c>
      <c r="E2422">
        <f t="shared" si="74"/>
        <v>1.0051220000000001</v>
      </c>
      <c r="F2422" s="1">
        <f t="shared" si="75"/>
        <v>42604</v>
      </c>
      <c r="G2422" cm="1">
        <f t="array" ref="G2422">PRODUCT( _xlfn._xlws.FILTER($E:$E, ($C:$C=C2422)*($F:$F=F2422)) ) - 1</f>
        <v>-1.6995978624714803E-2</v>
      </c>
    </row>
    <row r="2423" spans="1:7" x14ac:dyDescent="0.2">
      <c r="A2423" s="1">
        <v>42605</v>
      </c>
      <c r="B2423">
        <v>0</v>
      </c>
      <c r="C2423" t="s">
        <v>12</v>
      </c>
      <c r="D2423">
        <v>-1.274E-2</v>
      </c>
      <c r="E2423">
        <f t="shared" si="74"/>
        <v>0.98726000000000003</v>
      </c>
      <c r="F2423" s="1">
        <f t="shared" si="75"/>
        <v>42604</v>
      </c>
      <c r="G2423" cm="1">
        <f t="array" ref="G2423">PRODUCT( _xlfn._xlws.FILTER($E:$E, ($C:$C=C2423)*($F:$F=F2423)) ) - 1</f>
        <v>-1.6995978624714803E-2</v>
      </c>
    </row>
    <row r="2424" spans="1:7" x14ac:dyDescent="0.2">
      <c r="A2424" s="1">
        <v>42606</v>
      </c>
      <c r="B2424">
        <v>0</v>
      </c>
      <c r="C2424" t="s">
        <v>12</v>
      </c>
      <c r="D2424">
        <v>7.0399999999999998E-4</v>
      </c>
      <c r="E2424">
        <f t="shared" si="74"/>
        <v>1.000704</v>
      </c>
      <c r="F2424" s="1">
        <f t="shared" si="75"/>
        <v>42604</v>
      </c>
      <c r="G2424" cm="1">
        <f t="array" ref="G2424">PRODUCT( _xlfn._xlws.FILTER($E:$E, ($C:$C=C2424)*($F:$F=F2424)) ) - 1</f>
        <v>-1.6995978624714803E-2</v>
      </c>
    </row>
    <row r="2425" spans="1:7" x14ac:dyDescent="0.2">
      <c r="A2425" s="1">
        <v>42607</v>
      </c>
      <c r="B2425">
        <v>0</v>
      </c>
      <c r="C2425" t="s">
        <v>12</v>
      </c>
      <c r="D2425">
        <v>3.2829999999999999E-3</v>
      </c>
      <c r="E2425">
        <f t="shared" si="74"/>
        <v>1.0032829999999999</v>
      </c>
      <c r="F2425" s="1">
        <f t="shared" si="75"/>
        <v>42604</v>
      </c>
      <c r="G2425" cm="1">
        <f t="array" ref="G2425">PRODUCT( _xlfn._xlws.FILTER($E:$E, ($C:$C=C2425)*($F:$F=F2425)) ) - 1</f>
        <v>-1.6995978624714803E-2</v>
      </c>
    </row>
    <row r="2426" spans="1:7" x14ac:dyDescent="0.2">
      <c r="A2426" s="1">
        <v>42608</v>
      </c>
      <c r="B2426">
        <v>0</v>
      </c>
      <c r="C2426" t="s">
        <v>12</v>
      </c>
      <c r="D2426">
        <v>-1.3321E-2</v>
      </c>
      <c r="E2426">
        <f t="shared" si="74"/>
        <v>0.98667899999999997</v>
      </c>
      <c r="F2426" s="1">
        <f t="shared" si="75"/>
        <v>42604</v>
      </c>
      <c r="G2426" cm="1">
        <f t="array" ref="G2426">PRODUCT( _xlfn._xlws.FILTER($E:$E, ($C:$C=C2426)*($F:$F=F2426)) ) - 1</f>
        <v>-1.6995978624714803E-2</v>
      </c>
    </row>
    <row r="2427" spans="1:7" x14ac:dyDescent="0.2">
      <c r="A2427" s="1">
        <v>42611</v>
      </c>
      <c r="B2427">
        <v>0</v>
      </c>
      <c r="C2427" t="s">
        <v>12</v>
      </c>
      <c r="D2427">
        <v>-2.6050000000000001E-3</v>
      </c>
      <c r="E2427">
        <f t="shared" si="74"/>
        <v>0.99739500000000003</v>
      </c>
      <c r="F2427" s="1">
        <f t="shared" si="75"/>
        <v>42611</v>
      </c>
      <c r="G2427" cm="1">
        <f t="array" ref="G2427">PRODUCT( _xlfn._xlws.FILTER($E:$E, ($C:$C=C2427)*($F:$F=F2427)) ) - 1</f>
        <v>-1.0658043092847569E-2</v>
      </c>
    </row>
    <row r="2428" spans="1:7" x14ac:dyDescent="0.2">
      <c r="A2428" s="1">
        <v>42612</v>
      </c>
      <c r="B2428">
        <v>0</v>
      </c>
      <c r="C2428" t="s">
        <v>12</v>
      </c>
      <c r="D2428">
        <v>-1.1636000000000001E-2</v>
      </c>
      <c r="E2428">
        <f t="shared" si="74"/>
        <v>0.98836400000000002</v>
      </c>
      <c r="F2428" s="1">
        <f t="shared" si="75"/>
        <v>42611</v>
      </c>
      <c r="G2428" cm="1">
        <f t="array" ref="G2428">PRODUCT( _xlfn._xlws.FILTER($E:$E, ($C:$C=C2428)*($F:$F=F2428)) ) - 1</f>
        <v>-1.0658043092847569E-2</v>
      </c>
    </row>
    <row r="2429" spans="1:7" x14ac:dyDescent="0.2">
      <c r="A2429" s="1">
        <v>42613</v>
      </c>
      <c r="B2429">
        <v>0</v>
      </c>
      <c r="C2429" t="s">
        <v>12</v>
      </c>
      <c r="D2429">
        <v>-8.8900000000000003E-3</v>
      </c>
      <c r="E2429">
        <f t="shared" si="74"/>
        <v>0.99111000000000005</v>
      </c>
      <c r="F2429" s="1">
        <f t="shared" si="75"/>
        <v>42611</v>
      </c>
      <c r="G2429" cm="1">
        <f t="array" ref="G2429">PRODUCT( _xlfn._xlws.FILTER($E:$E, ($C:$C=C2429)*($F:$F=F2429)) ) - 1</f>
        <v>-1.0658043092847569E-2</v>
      </c>
    </row>
    <row r="2430" spans="1:7" x14ac:dyDescent="0.2">
      <c r="A2430" s="1">
        <v>42614</v>
      </c>
      <c r="B2430">
        <v>0</v>
      </c>
      <c r="C2430" t="s">
        <v>12</v>
      </c>
      <c r="D2430">
        <v>7.0299999999999998E-3</v>
      </c>
      <c r="E2430">
        <f t="shared" si="74"/>
        <v>1.0070300000000001</v>
      </c>
      <c r="F2430" s="1">
        <f t="shared" si="75"/>
        <v>42611</v>
      </c>
      <c r="G2430" cm="1">
        <f t="array" ref="G2430">PRODUCT( _xlfn._xlws.FILTER($E:$E, ($C:$C=C2430)*($F:$F=F2430)) ) - 1</f>
        <v>-1.0658043092847569E-2</v>
      </c>
    </row>
    <row r="2431" spans="1:7" x14ac:dyDescent="0.2">
      <c r="A2431" s="1">
        <v>42615</v>
      </c>
      <c r="B2431">
        <v>0</v>
      </c>
      <c r="C2431" t="s">
        <v>12</v>
      </c>
      <c r="D2431">
        <v>5.5370000000000003E-3</v>
      </c>
      <c r="E2431">
        <f t="shared" si="74"/>
        <v>1.0055369999999999</v>
      </c>
      <c r="F2431" s="1">
        <f t="shared" si="75"/>
        <v>42611</v>
      </c>
      <c r="G2431" cm="1">
        <f t="array" ref="G2431">PRODUCT( _xlfn._xlws.FILTER($E:$E, ($C:$C=C2431)*($F:$F=F2431)) ) - 1</f>
        <v>-1.0658043092847569E-2</v>
      </c>
    </row>
    <row r="2432" spans="1:7" x14ac:dyDescent="0.2">
      <c r="A2432" s="1">
        <v>42619</v>
      </c>
      <c r="B2432">
        <v>0</v>
      </c>
      <c r="C2432" t="s">
        <v>12</v>
      </c>
      <c r="D2432">
        <v>-9.5799999999999998E-4</v>
      </c>
      <c r="E2432">
        <f t="shared" si="74"/>
        <v>0.99904199999999999</v>
      </c>
      <c r="F2432" s="1">
        <f t="shared" si="75"/>
        <v>42618</v>
      </c>
      <c r="G2432" cm="1">
        <f t="array" ref="G2432">PRODUCT( _xlfn._xlws.FILTER($E:$E, ($C:$C=C2432)*($F:$F=F2432)) ) - 1</f>
        <v>-2.0111384089920414E-2</v>
      </c>
    </row>
    <row r="2433" spans="1:7" x14ac:dyDescent="0.2">
      <c r="A2433" s="1">
        <v>42620</v>
      </c>
      <c r="B2433">
        <v>0</v>
      </c>
      <c r="C2433" t="s">
        <v>12</v>
      </c>
      <c r="D2433">
        <v>4.7899999999999999E-4</v>
      </c>
      <c r="E2433">
        <f t="shared" si="74"/>
        <v>1.0004789999999999</v>
      </c>
      <c r="F2433" s="1">
        <f t="shared" si="75"/>
        <v>42618</v>
      </c>
      <c r="G2433" cm="1">
        <f t="array" ref="G2433">PRODUCT( _xlfn._xlws.FILTER($E:$E, ($C:$C=C2433)*($F:$F=F2433)) ) - 1</f>
        <v>-2.0111384089920414E-2</v>
      </c>
    </row>
    <row r="2434" spans="1:7" x14ac:dyDescent="0.2">
      <c r="A2434" s="1">
        <v>42621</v>
      </c>
      <c r="B2434">
        <v>0</v>
      </c>
      <c r="C2434" t="s">
        <v>12</v>
      </c>
      <c r="D2434">
        <v>-4.0720000000000001E-3</v>
      </c>
      <c r="E2434">
        <f t="shared" si="74"/>
        <v>0.99592800000000004</v>
      </c>
      <c r="F2434" s="1">
        <f t="shared" si="75"/>
        <v>42618</v>
      </c>
      <c r="G2434" cm="1">
        <f t="array" ref="G2434">PRODUCT( _xlfn._xlws.FILTER($E:$E, ($C:$C=C2434)*($F:$F=F2434)) ) - 1</f>
        <v>-2.0111384089920414E-2</v>
      </c>
    </row>
    <row r="2435" spans="1:7" x14ac:dyDescent="0.2">
      <c r="A2435" s="1">
        <v>42622</v>
      </c>
      <c r="B2435">
        <v>0</v>
      </c>
      <c r="C2435" t="s">
        <v>12</v>
      </c>
      <c r="D2435">
        <v>-1.5633000000000001E-2</v>
      </c>
      <c r="E2435">
        <f t="shared" si="74"/>
        <v>0.98436699999999999</v>
      </c>
      <c r="F2435" s="1">
        <f t="shared" si="75"/>
        <v>42618</v>
      </c>
      <c r="G2435" cm="1">
        <f t="array" ref="G2435">PRODUCT( _xlfn._xlws.FILTER($E:$E, ($C:$C=C2435)*($F:$F=F2435)) ) - 1</f>
        <v>-2.0111384089920414E-2</v>
      </c>
    </row>
    <row r="2436" spans="1:7" x14ac:dyDescent="0.2">
      <c r="A2436" s="1">
        <v>42625</v>
      </c>
      <c r="B2436">
        <v>0</v>
      </c>
      <c r="C2436" t="s">
        <v>12</v>
      </c>
      <c r="D2436">
        <v>2.9320000000000001E-3</v>
      </c>
      <c r="E2436">
        <f t="shared" ref="E2436:E2499" si="76">D2436+1</f>
        <v>1.0029319999999999</v>
      </c>
      <c r="F2436" s="1">
        <f t="shared" ref="F2436:F2499" si="77">A2436 - (WEEKDAY(A2436, 2) - 1)</f>
        <v>42625</v>
      </c>
      <c r="G2436" cm="1">
        <f t="array" ref="G2436">PRODUCT( _xlfn._xlws.FILTER($E:$E, ($C:$C=C2436)*($F:$F=F2436)) ) - 1</f>
        <v>1.5637045500220381E-2</v>
      </c>
    </row>
    <row r="2437" spans="1:7" x14ac:dyDescent="0.2">
      <c r="A2437" s="1">
        <v>42626</v>
      </c>
      <c r="B2437">
        <v>0</v>
      </c>
      <c r="C2437" t="s">
        <v>12</v>
      </c>
      <c r="D2437">
        <v>-1.5347E-2</v>
      </c>
      <c r="E2437">
        <f t="shared" si="76"/>
        <v>0.984653</v>
      </c>
      <c r="F2437" s="1">
        <f t="shared" si="77"/>
        <v>42625</v>
      </c>
      <c r="G2437" cm="1">
        <f t="array" ref="G2437">PRODUCT( _xlfn._xlws.FILTER($E:$E, ($C:$C=C2437)*($F:$F=F2437)) ) - 1</f>
        <v>1.5637045500220381E-2</v>
      </c>
    </row>
    <row r="2438" spans="1:7" x14ac:dyDescent="0.2">
      <c r="A2438" s="1">
        <v>42627</v>
      </c>
      <c r="B2438">
        <v>0</v>
      </c>
      <c r="C2438" t="s">
        <v>12</v>
      </c>
      <c r="D2438">
        <v>9.8960000000000003E-3</v>
      </c>
      <c r="E2438">
        <f t="shared" si="76"/>
        <v>1.0098959999999999</v>
      </c>
      <c r="F2438" s="1">
        <f t="shared" si="77"/>
        <v>42625</v>
      </c>
      <c r="G2438" cm="1">
        <f t="array" ref="G2438">PRODUCT( _xlfn._xlws.FILTER($E:$E, ($C:$C=C2438)*($F:$F=F2438)) ) - 1</f>
        <v>1.5637045500220381E-2</v>
      </c>
    </row>
    <row r="2439" spans="1:7" x14ac:dyDescent="0.2">
      <c r="A2439" s="1">
        <v>42628</v>
      </c>
      <c r="B2439">
        <v>0</v>
      </c>
      <c r="C2439" t="s">
        <v>12</v>
      </c>
      <c r="D2439">
        <v>1.0534E-2</v>
      </c>
      <c r="E2439">
        <f t="shared" si="76"/>
        <v>1.010534</v>
      </c>
      <c r="F2439" s="1">
        <f t="shared" si="77"/>
        <v>42625</v>
      </c>
      <c r="G2439" cm="1">
        <f t="array" ref="G2439">PRODUCT( _xlfn._xlws.FILTER($E:$E, ($C:$C=C2439)*($F:$F=F2439)) ) - 1</f>
        <v>1.5637045500220381E-2</v>
      </c>
    </row>
    <row r="2440" spans="1:7" x14ac:dyDescent="0.2">
      <c r="A2440" s="1">
        <v>42629</v>
      </c>
      <c r="B2440">
        <v>0</v>
      </c>
      <c r="C2440" t="s">
        <v>12</v>
      </c>
      <c r="D2440">
        <v>7.7580000000000001E-3</v>
      </c>
      <c r="E2440">
        <f t="shared" si="76"/>
        <v>1.0077579999999999</v>
      </c>
      <c r="F2440" s="1">
        <f t="shared" si="77"/>
        <v>42625</v>
      </c>
      <c r="G2440" cm="1">
        <f t="array" ref="G2440">PRODUCT( _xlfn._xlws.FILTER($E:$E, ($C:$C=C2440)*($F:$F=F2440)) ) - 1</f>
        <v>1.5637045500220381E-2</v>
      </c>
    </row>
    <row r="2441" spans="1:7" x14ac:dyDescent="0.2">
      <c r="A2441" s="1">
        <v>42632</v>
      </c>
      <c r="B2441">
        <v>0</v>
      </c>
      <c r="C2441" t="s">
        <v>12</v>
      </c>
      <c r="D2441">
        <v>6.0140000000000002E-3</v>
      </c>
      <c r="E2441">
        <f t="shared" si="76"/>
        <v>1.006014</v>
      </c>
      <c r="F2441" s="1">
        <f t="shared" si="77"/>
        <v>42632</v>
      </c>
      <c r="G2441" cm="1">
        <f t="array" ref="G2441">PRODUCT( _xlfn._xlws.FILTER($E:$E, ($C:$C=C2441)*($F:$F=F2441)) ) - 1</f>
        <v>1.9485720891602387E-2</v>
      </c>
    </row>
    <row r="2442" spans="1:7" x14ac:dyDescent="0.2">
      <c r="A2442" s="1">
        <v>42633</v>
      </c>
      <c r="B2442">
        <v>0</v>
      </c>
      <c r="C2442" t="s">
        <v>12</v>
      </c>
      <c r="D2442">
        <v>-4.3039999999999997E-3</v>
      </c>
      <c r="E2442">
        <f t="shared" si="76"/>
        <v>0.99569600000000003</v>
      </c>
      <c r="F2442" s="1">
        <f t="shared" si="77"/>
        <v>42632</v>
      </c>
      <c r="G2442" cm="1">
        <f t="array" ref="G2442">PRODUCT( _xlfn._xlws.FILTER($E:$E, ($C:$C=C2442)*($F:$F=F2442)) ) - 1</f>
        <v>1.9485720891602387E-2</v>
      </c>
    </row>
    <row r="2443" spans="1:7" x14ac:dyDescent="0.2">
      <c r="A2443" s="1">
        <v>42634</v>
      </c>
      <c r="B2443">
        <v>0</v>
      </c>
      <c r="C2443" t="s">
        <v>12</v>
      </c>
      <c r="D2443">
        <v>1.5610000000000001E-2</v>
      </c>
      <c r="E2443">
        <f t="shared" si="76"/>
        <v>1.0156099999999999</v>
      </c>
      <c r="F2443" s="1">
        <f t="shared" si="77"/>
        <v>42632</v>
      </c>
      <c r="G2443" cm="1">
        <f t="array" ref="G2443">PRODUCT( _xlfn._xlws.FILTER($E:$E, ($C:$C=C2443)*($F:$F=F2443)) ) - 1</f>
        <v>1.9485720891602387E-2</v>
      </c>
    </row>
    <row r="2444" spans="1:7" x14ac:dyDescent="0.2">
      <c r="A2444" s="1">
        <v>42635</v>
      </c>
      <c r="B2444">
        <v>0</v>
      </c>
      <c r="C2444" t="s">
        <v>12</v>
      </c>
      <c r="D2444">
        <v>6.6210000000000001E-3</v>
      </c>
      <c r="E2444">
        <f t="shared" si="76"/>
        <v>1.006621</v>
      </c>
      <c r="F2444" s="1">
        <f t="shared" si="77"/>
        <v>42632</v>
      </c>
      <c r="G2444" cm="1">
        <f t="array" ref="G2444">PRODUCT( _xlfn._xlws.FILTER($E:$E, ($C:$C=C2444)*($F:$F=F2444)) ) - 1</f>
        <v>1.9485720891602387E-2</v>
      </c>
    </row>
    <row r="2445" spans="1:7" x14ac:dyDescent="0.2">
      <c r="A2445" s="1">
        <v>42636</v>
      </c>
      <c r="B2445">
        <v>0</v>
      </c>
      <c r="C2445" t="s">
        <v>12</v>
      </c>
      <c r="D2445">
        <v>-4.463E-3</v>
      </c>
      <c r="E2445">
        <f t="shared" si="76"/>
        <v>0.99553700000000001</v>
      </c>
      <c r="F2445" s="1">
        <f t="shared" si="77"/>
        <v>42632</v>
      </c>
      <c r="G2445" cm="1">
        <f t="array" ref="G2445">PRODUCT( _xlfn._xlws.FILTER($E:$E, ($C:$C=C2445)*($F:$F=F2445)) ) - 1</f>
        <v>1.9485720891602387E-2</v>
      </c>
    </row>
    <row r="2446" spans="1:7" x14ac:dyDescent="0.2">
      <c r="A2446" s="1">
        <v>42639</v>
      </c>
      <c r="B2446">
        <v>0</v>
      </c>
      <c r="C2446" t="s">
        <v>12</v>
      </c>
      <c r="D2446">
        <v>-7.0799999999999997E-4</v>
      </c>
      <c r="E2446">
        <f t="shared" si="76"/>
        <v>0.99929199999999996</v>
      </c>
      <c r="F2446" s="1">
        <f t="shared" si="77"/>
        <v>42639</v>
      </c>
      <c r="G2446" cm="1">
        <f t="array" ref="G2446">PRODUCT( _xlfn._xlws.FILTER($E:$E, ($C:$C=C2446)*($F:$F=F2446)) ) - 1</f>
        <v>-4.483122353634017E-3</v>
      </c>
    </row>
    <row r="2447" spans="1:7" x14ac:dyDescent="0.2">
      <c r="A2447" s="1">
        <v>42640</v>
      </c>
      <c r="B2447">
        <v>0</v>
      </c>
      <c r="C2447" t="s">
        <v>12</v>
      </c>
      <c r="D2447">
        <v>-1.181E-3</v>
      </c>
      <c r="E2447">
        <f t="shared" si="76"/>
        <v>0.99881900000000001</v>
      </c>
      <c r="F2447" s="1">
        <f t="shared" si="77"/>
        <v>42639</v>
      </c>
      <c r="G2447" cm="1">
        <f t="array" ref="G2447">PRODUCT( _xlfn._xlws.FILTER($E:$E, ($C:$C=C2447)*($F:$F=F2447)) ) - 1</f>
        <v>-4.483122353634017E-3</v>
      </c>
    </row>
    <row r="2448" spans="1:7" x14ac:dyDescent="0.2">
      <c r="A2448" s="1">
        <v>42641</v>
      </c>
      <c r="B2448">
        <v>0</v>
      </c>
      <c r="C2448" t="s">
        <v>12</v>
      </c>
      <c r="D2448">
        <v>-7.8009999999999998E-3</v>
      </c>
      <c r="E2448">
        <f t="shared" si="76"/>
        <v>0.99219900000000005</v>
      </c>
      <c r="F2448" s="1">
        <f t="shared" si="77"/>
        <v>42639</v>
      </c>
      <c r="G2448" cm="1">
        <f t="array" ref="G2448">PRODUCT( _xlfn._xlws.FILTER($E:$E, ($C:$C=C2448)*($F:$F=F2448)) ) - 1</f>
        <v>-4.483122353634017E-3</v>
      </c>
    </row>
    <row r="2449" spans="1:7" x14ac:dyDescent="0.2">
      <c r="A2449" s="1">
        <v>42642</v>
      </c>
      <c r="B2449">
        <v>0</v>
      </c>
      <c r="C2449" t="s">
        <v>12</v>
      </c>
      <c r="D2449">
        <v>8.1010000000000006E-3</v>
      </c>
      <c r="E2449">
        <f t="shared" si="76"/>
        <v>1.0081009999999999</v>
      </c>
      <c r="F2449" s="1">
        <f t="shared" si="77"/>
        <v>42639</v>
      </c>
      <c r="G2449" cm="1">
        <f t="array" ref="G2449">PRODUCT( _xlfn._xlws.FILTER($E:$E, ($C:$C=C2449)*($F:$F=F2449)) ) - 1</f>
        <v>-4.483122353634017E-3</v>
      </c>
    </row>
    <row r="2450" spans="1:7" x14ac:dyDescent="0.2">
      <c r="A2450" s="1">
        <v>42643</v>
      </c>
      <c r="B2450">
        <v>0</v>
      </c>
      <c r="C2450" t="s">
        <v>12</v>
      </c>
      <c r="D2450">
        <v>-2.836E-3</v>
      </c>
      <c r="E2450">
        <f t="shared" si="76"/>
        <v>0.99716400000000005</v>
      </c>
      <c r="F2450" s="1">
        <f t="shared" si="77"/>
        <v>42639</v>
      </c>
      <c r="G2450" cm="1">
        <f t="array" ref="G2450">PRODUCT( _xlfn._xlws.FILTER($E:$E, ($C:$C=C2450)*($F:$F=F2450)) ) - 1</f>
        <v>-4.483122353634017E-3</v>
      </c>
    </row>
    <row r="2451" spans="1:7" x14ac:dyDescent="0.2">
      <c r="A2451" s="1">
        <v>42646</v>
      </c>
      <c r="B2451">
        <v>0</v>
      </c>
      <c r="C2451" t="s">
        <v>12</v>
      </c>
      <c r="D2451">
        <v>-1.5644000000000002E-2</v>
      </c>
      <c r="E2451">
        <f t="shared" si="76"/>
        <v>0.98435600000000001</v>
      </c>
      <c r="F2451" s="1">
        <f t="shared" si="77"/>
        <v>42646</v>
      </c>
      <c r="G2451" cm="1">
        <f t="array" ref="G2451">PRODUCT( _xlfn._xlws.FILTER($E:$E, ($C:$C=C2451)*($F:$F=F2451)) ) - 1</f>
        <v>-3.9345347316958046E-2</v>
      </c>
    </row>
    <row r="2452" spans="1:7" x14ac:dyDescent="0.2">
      <c r="A2452" s="1">
        <v>42647</v>
      </c>
      <c r="B2452">
        <v>0</v>
      </c>
      <c r="C2452" t="s">
        <v>12</v>
      </c>
      <c r="D2452">
        <v>-1.3243E-2</v>
      </c>
      <c r="E2452">
        <f t="shared" si="76"/>
        <v>0.986757</v>
      </c>
      <c r="F2452" s="1">
        <f t="shared" si="77"/>
        <v>42646</v>
      </c>
      <c r="G2452" cm="1">
        <f t="array" ref="G2452">PRODUCT( _xlfn._xlws.FILTER($E:$E, ($C:$C=C2452)*($F:$F=F2452)) ) - 1</f>
        <v>-3.9345347316958046E-2</v>
      </c>
    </row>
    <row r="2453" spans="1:7" x14ac:dyDescent="0.2">
      <c r="A2453" s="1">
        <v>42648</v>
      </c>
      <c r="B2453">
        <v>0</v>
      </c>
      <c r="C2453" t="s">
        <v>12</v>
      </c>
      <c r="D2453">
        <v>-7.809E-3</v>
      </c>
      <c r="E2453">
        <f t="shared" si="76"/>
        <v>0.99219100000000005</v>
      </c>
      <c r="F2453" s="1">
        <f t="shared" si="77"/>
        <v>42646</v>
      </c>
      <c r="G2453" cm="1">
        <f t="array" ref="G2453">PRODUCT( _xlfn._xlws.FILTER($E:$E, ($C:$C=C2453)*($F:$F=F2453)) ) - 1</f>
        <v>-3.9345347316958046E-2</v>
      </c>
    </row>
    <row r="2454" spans="1:7" x14ac:dyDescent="0.2">
      <c r="A2454" s="1">
        <v>42649</v>
      </c>
      <c r="B2454">
        <v>0</v>
      </c>
      <c r="C2454" t="s">
        <v>12</v>
      </c>
      <c r="D2454">
        <v>5.9030000000000003E-3</v>
      </c>
      <c r="E2454">
        <f t="shared" si="76"/>
        <v>1.005903</v>
      </c>
      <c r="F2454" s="1">
        <f t="shared" si="77"/>
        <v>42646</v>
      </c>
      <c r="G2454" cm="1">
        <f t="array" ref="G2454">PRODUCT( _xlfn._xlws.FILTER($E:$E, ($C:$C=C2454)*($F:$F=F2454)) ) - 1</f>
        <v>-3.9345347316958046E-2</v>
      </c>
    </row>
    <row r="2455" spans="1:7" x14ac:dyDescent="0.2">
      <c r="A2455" s="1">
        <v>42650</v>
      </c>
      <c r="B2455">
        <v>0</v>
      </c>
      <c r="C2455" t="s">
        <v>12</v>
      </c>
      <c r="D2455">
        <v>-9.0460000000000002E-3</v>
      </c>
      <c r="E2455">
        <f t="shared" si="76"/>
        <v>0.990954</v>
      </c>
      <c r="F2455" s="1">
        <f t="shared" si="77"/>
        <v>42646</v>
      </c>
      <c r="G2455" cm="1">
        <f t="array" ref="G2455">PRODUCT( _xlfn._xlws.FILTER($E:$E, ($C:$C=C2455)*($F:$F=F2455)) ) - 1</f>
        <v>-3.9345347316958046E-2</v>
      </c>
    </row>
    <row r="2456" spans="1:7" x14ac:dyDescent="0.2">
      <c r="A2456" s="1">
        <v>42654</v>
      </c>
      <c r="B2456">
        <v>0</v>
      </c>
      <c r="C2456" t="s">
        <v>12</v>
      </c>
      <c r="D2456">
        <v>7.3999999999999999E-4</v>
      </c>
      <c r="E2456">
        <f t="shared" si="76"/>
        <v>1.00074</v>
      </c>
      <c r="F2456" s="1">
        <f t="shared" si="77"/>
        <v>42653</v>
      </c>
      <c r="G2456" cm="1">
        <f t="array" ref="G2456">PRODUCT( _xlfn._xlws.FILTER($E:$E, ($C:$C=C2456)*($F:$F=F2456)) ) - 1</f>
        <v>3.5035958957470914E-2</v>
      </c>
    </row>
    <row r="2457" spans="1:7" x14ac:dyDescent="0.2">
      <c r="A2457" s="1">
        <v>42655</v>
      </c>
      <c r="B2457">
        <v>0</v>
      </c>
      <c r="C2457" t="s">
        <v>12</v>
      </c>
      <c r="D2457">
        <v>1.9231000000000002E-2</v>
      </c>
      <c r="E2457">
        <f t="shared" si="76"/>
        <v>1.019231</v>
      </c>
      <c r="F2457" s="1">
        <f t="shared" si="77"/>
        <v>42653</v>
      </c>
      <c r="G2457" cm="1">
        <f t="array" ref="G2457">PRODUCT( _xlfn._xlws.FILTER($E:$E, ($C:$C=C2457)*($F:$F=F2457)) ) - 1</f>
        <v>3.5035958957470914E-2</v>
      </c>
    </row>
    <row r="2458" spans="1:7" x14ac:dyDescent="0.2">
      <c r="A2458" s="1">
        <v>42656</v>
      </c>
      <c r="B2458">
        <v>0</v>
      </c>
      <c r="C2458" t="s">
        <v>12</v>
      </c>
      <c r="D2458">
        <v>-9.1920000000000005E-3</v>
      </c>
      <c r="E2458">
        <f t="shared" si="76"/>
        <v>0.99080800000000002</v>
      </c>
      <c r="F2458" s="1">
        <f t="shared" si="77"/>
        <v>42653</v>
      </c>
      <c r="G2458" cm="1">
        <f t="array" ref="G2458">PRODUCT( _xlfn._xlws.FILTER($E:$E, ($C:$C=C2458)*($F:$F=F2458)) ) - 1</f>
        <v>3.5035958957470914E-2</v>
      </c>
    </row>
    <row r="2459" spans="1:7" x14ac:dyDescent="0.2">
      <c r="A2459" s="1">
        <v>42657</v>
      </c>
      <c r="B2459">
        <v>0</v>
      </c>
      <c r="C2459" t="s">
        <v>12</v>
      </c>
      <c r="D2459">
        <v>2.4170000000000001E-2</v>
      </c>
      <c r="E2459">
        <f t="shared" si="76"/>
        <v>1.02417</v>
      </c>
      <c r="F2459" s="1">
        <f t="shared" si="77"/>
        <v>42653</v>
      </c>
      <c r="G2459" cm="1">
        <f t="array" ref="G2459">PRODUCT( _xlfn._xlws.FILTER($E:$E, ($C:$C=C2459)*($F:$F=F2459)) ) - 1</f>
        <v>3.5035958957470914E-2</v>
      </c>
    </row>
    <row r="2460" spans="1:7" x14ac:dyDescent="0.2">
      <c r="A2460" s="1">
        <v>42660</v>
      </c>
      <c r="B2460">
        <v>0</v>
      </c>
      <c r="C2460" t="s">
        <v>12</v>
      </c>
      <c r="D2460">
        <v>1.4064E-2</v>
      </c>
      <c r="E2460">
        <f t="shared" si="76"/>
        <v>1.0140640000000001</v>
      </c>
      <c r="F2460" s="1">
        <f t="shared" si="77"/>
        <v>42660</v>
      </c>
      <c r="G2460" cm="1">
        <f t="array" ref="G2460">PRODUCT( _xlfn._xlws.FILTER($E:$E, ($C:$C=C2460)*($F:$F=F2460)) ) - 1</f>
        <v>1.9547164113170146E-2</v>
      </c>
    </row>
    <row r="2461" spans="1:7" x14ac:dyDescent="0.2">
      <c r="A2461" s="1">
        <v>42661</v>
      </c>
      <c r="B2461">
        <v>0</v>
      </c>
      <c r="C2461" t="s">
        <v>12</v>
      </c>
      <c r="D2461">
        <v>-1.8810000000000001E-3</v>
      </c>
      <c r="E2461">
        <f t="shared" si="76"/>
        <v>0.99811899999999998</v>
      </c>
      <c r="F2461" s="1">
        <f t="shared" si="77"/>
        <v>42660</v>
      </c>
      <c r="G2461" cm="1">
        <f t="array" ref="G2461">PRODUCT( _xlfn._xlws.FILTER($E:$E, ($C:$C=C2461)*($F:$F=F2461)) ) - 1</f>
        <v>1.9547164113170146E-2</v>
      </c>
    </row>
    <row r="2462" spans="1:7" x14ac:dyDescent="0.2">
      <c r="A2462" s="1">
        <v>42662</v>
      </c>
      <c r="B2462">
        <v>0</v>
      </c>
      <c r="C2462" t="s">
        <v>12</v>
      </c>
      <c r="D2462">
        <v>9.4210000000000006E-3</v>
      </c>
      <c r="E2462">
        <f t="shared" si="76"/>
        <v>1.0094209999999999</v>
      </c>
      <c r="F2462" s="1">
        <f t="shared" si="77"/>
        <v>42660</v>
      </c>
      <c r="G2462" cm="1">
        <f t="array" ref="G2462">PRODUCT( _xlfn._xlws.FILTER($E:$E, ($C:$C=C2462)*($F:$F=F2462)) ) - 1</f>
        <v>1.9547164113170146E-2</v>
      </c>
    </row>
    <row r="2463" spans="1:7" x14ac:dyDescent="0.2">
      <c r="A2463" s="1">
        <v>42663</v>
      </c>
      <c r="B2463">
        <v>0</v>
      </c>
      <c r="C2463" t="s">
        <v>12</v>
      </c>
      <c r="D2463">
        <v>-7.4660000000000004E-3</v>
      </c>
      <c r="E2463">
        <f t="shared" si="76"/>
        <v>0.99253400000000003</v>
      </c>
      <c r="F2463" s="1">
        <f t="shared" si="77"/>
        <v>42660</v>
      </c>
      <c r="G2463" cm="1">
        <f t="array" ref="G2463">PRODUCT( _xlfn._xlws.FILTER($E:$E, ($C:$C=C2463)*($F:$F=F2463)) ) - 1</f>
        <v>1.9547164113170146E-2</v>
      </c>
    </row>
    <row r="2464" spans="1:7" x14ac:dyDescent="0.2">
      <c r="A2464" s="1">
        <v>42664</v>
      </c>
      <c r="B2464">
        <v>0</v>
      </c>
      <c r="C2464" t="s">
        <v>12</v>
      </c>
      <c r="D2464">
        <v>5.4070000000000003E-3</v>
      </c>
      <c r="E2464">
        <f t="shared" si="76"/>
        <v>1.0054069999999999</v>
      </c>
      <c r="F2464" s="1">
        <f t="shared" si="77"/>
        <v>42660</v>
      </c>
      <c r="G2464" cm="1">
        <f t="array" ref="G2464">PRODUCT( _xlfn._xlws.FILTER($E:$E, ($C:$C=C2464)*($F:$F=F2464)) ) - 1</f>
        <v>1.9547164113170146E-2</v>
      </c>
    </row>
    <row r="2465" spans="1:7" x14ac:dyDescent="0.2">
      <c r="A2465" s="1">
        <v>42667</v>
      </c>
      <c r="B2465">
        <v>0</v>
      </c>
      <c r="C2465" t="s">
        <v>12</v>
      </c>
      <c r="D2465">
        <v>1.3561E-2</v>
      </c>
      <c r="E2465">
        <f t="shared" si="76"/>
        <v>1.0135609999999999</v>
      </c>
      <c r="F2465" s="1">
        <f t="shared" si="77"/>
        <v>42667</v>
      </c>
      <c r="G2465" cm="1">
        <f t="array" ref="G2465">PRODUCT( _xlfn._xlws.FILTER($E:$E, ($C:$C=C2465)*($F:$F=F2465)) ) - 1</f>
        <v>2.2445152172281491E-2</v>
      </c>
    </row>
    <row r="2466" spans="1:7" x14ac:dyDescent="0.2">
      <c r="A2466" s="1">
        <v>42668</v>
      </c>
      <c r="B2466">
        <v>0</v>
      </c>
      <c r="C2466" t="s">
        <v>12</v>
      </c>
      <c r="D2466">
        <v>4.6099999999999998E-4</v>
      </c>
      <c r="E2466">
        <f t="shared" si="76"/>
        <v>1.000461</v>
      </c>
      <c r="F2466" s="1">
        <f t="shared" si="77"/>
        <v>42667</v>
      </c>
      <c r="G2466" cm="1">
        <f t="array" ref="G2466">PRODUCT( _xlfn._xlws.FILTER($E:$E, ($C:$C=C2466)*($F:$F=F2466)) ) - 1</f>
        <v>2.2445152172281491E-2</v>
      </c>
    </row>
    <row r="2467" spans="1:7" x14ac:dyDescent="0.2">
      <c r="A2467" s="1">
        <v>42669</v>
      </c>
      <c r="B2467">
        <v>0</v>
      </c>
      <c r="C2467" t="s">
        <v>12</v>
      </c>
      <c r="D2467">
        <v>1.1990000000000001E-2</v>
      </c>
      <c r="E2467">
        <f t="shared" si="76"/>
        <v>1.0119899999999999</v>
      </c>
      <c r="F2467" s="1">
        <f t="shared" si="77"/>
        <v>42667</v>
      </c>
      <c r="G2467" cm="1">
        <f t="array" ref="G2467">PRODUCT( _xlfn._xlws.FILTER($E:$E, ($C:$C=C2467)*($F:$F=F2467)) ) - 1</f>
        <v>2.2445152172281491E-2</v>
      </c>
    </row>
    <row r="2468" spans="1:7" x14ac:dyDescent="0.2">
      <c r="A2468" s="1">
        <v>42670</v>
      </c>
      <c r="B2468">
        <v>0</v>
      </c>
      <c r="C2468" t="s">
        <v>12</v>
      </c>
      <c r="D2468">
        <v>-1.481E-2</v>
      </c>
      <c r="E2468">
        <f t="shared" si="76"/>
        <v>0.98519000000000001</v>
      </c>
      <c r="F2468" s="1">
        <f t="shared" si="77"/>
        <v>42667</v>
      </c>
      <c r="G2468" cm="1">
        <f t="array" ref="G2468">PRODUCT( _xlfn._xlws.FILTER($E:$E, ($C:$C=C2468)*($F:$F=F2468)) ) - 1</f>
        <v>2.2445152172281491E-2</v>
      </c>
    </row>
    <row r="2469" spans="1:7" x14ac:dyDescent="0.2">
      <c r="A2469" s="1">
        <v>42671</v>
      </c>
      <c r="B2469">
        <v>0</v>
      </c>
      <c r="C2469" t="s">
        <v>12</v>
      </c>
      <c r="D2469">
        <v>1.1332E-2</v>
      </c>
      <c r="E2469">
        <f t="shared" si="76"/>
        <v>1.0113319999999999</v>
      </c>
      <c r="F2469" s="1">
        <f t="shared" si="77"/>
        <v>42667</v>
      </c>
      <c r="G2469" cm="1">
        <f t="array" ref="G2469">PRODUCT( _xlfn._xlws.FILTER($E:$E, ($C:$C=C2469)*($F:$F=F2469)) ) - 1</f>
        <v>2.2445152172281491E-2</v>
      </c>
    </row>
    <row r="2470" spans="1:7" x14ac:dyDescent="0.2">
      <c r="A2470" s="1">
        <v>42674</v>
      </c>
      <c r="B2470">
        <v>0</v>
      </c>
      <c r="C2470" t="s">
        <v>12</v>
      </c>
      <c r="D2470">
        <v>9.6039999999999997E-3</v>
      </c>
      <c r="E2470">
        <f t="shared" si="76"/>
        <v>1.0096039999999999</v>
      </c>
      <c r="F2470" s="1">
        <f t="shared" si="77"/>
        <v>42674</v>
      </c>
      <c r="G2470" cm="1">
        <f t="array" ref="G2470">PRODUCT( _xlfn._xlws.FILTER($E:$E, ($C:$C=C2470)*($F:$F=F2470)) ) - 1</f>
        <v>-8.6909795421127312E-3</v>
      </c>
    </row>
    <row r="2471" spans="1:7" x14ac:dyDescent="0.2">
      <c r="A2471" s="1">
        <v>42675</v>
      </c>
      <c r="B2471">
        <v>0</v>
      </c>
      <c r="C2471" t="s">
        <v>12</v>
      </c>
      <c r="D2471">
        <v>-1.427E-2</v>
      </c>
      <c r="E2471">
        <f t="shared" si="76"/>
        <v>0.98573</v>
      </c>
      <c r="F2471" s="1">
        <f t="shared" si="77"/>
        <v>42674</v>
      </c>
      <c r="G2471" cm="1">
        <f t="array" ref="G2471">PRODUCT( _xlfn._xlws.FILTER($E:$E, ($C:$C=C2471)*($F:$F=F2471)) ) - 1</f>
        <v>-8.6909795421127312E-3</v>
      </c>
    </row>
    <row r="2472" spans="1:7" x14ac:dyDescent="0.2">
      <c r="A2472" s="1">
        <v>42676</v>
      </c>
      <c r="B2472">
        <v>0</v>
      </c>
      <c r="C2472" t="s">
        <v>12</v>
      </c>
      <c r="D2472">
        <v>-8.7320000000000002E-3</v>
      </c>
      <c r="E2472">
        <f t="shared" si="76"/>
        <v>0.99126800000000004</v>
      </c>
      <c r="F2472" s="1">
        <f t="shared" si="77"/>
        <v>42674</v>
      </c>
      <c r="G2472" cm="1">
        <f t="array" ref="G2472">PRODUCT( _xlfn._xlws.FILTER($E:$E, ($C:$C=C2472)*($F:$F=F2472)) ) - 1</f>
        <v>-8.6909795421127312E-3</v>
      </c>
    </row>
    <row r="2473" spans="1:7" x14ac:dyDescent="0.2">
      <c r="A2473" s="1">
        <v>42677</v>
      </c>
      <c r="B2473">
        <v>0</v>
      </c>
      <c r="C2473" t="s">
        <v>12</v>
      </c>
      <c r="D2473">
        <v>-8.345E-3</v>
      </c>
      <c r="E2473">
        <f t="shared" si="76"/>
        <v>0.99165499999999995</v>
      </c>
      <c r="F2473" s="1">
        <f t="shared" si="77"/>
        <v>42674</v>
      </c>
      <c r="G2473" cm="1">
        <f t="array" ref="G2473">PRODUCT( _xlfn._xlws.FILTER($E:$E, ($C:$C=C2473)*($F:$F=F2473)) ) - 1</f>
        <v>-8.6909795421127312E-3</v>
      </c>
    </row>
    <row r="2474" spans="1:7" x14ac:dyDescent="0.2">
      <c r="A2474" s="1">
        <v>42678</v>
      </c>
      <c r="B2474">
        <v>0</v>
      </c>
      <c r="C2474" t="s">
        <v>12</v>
      </c>
      <c r="D2474">
        <v>1.3324000000000001E-2</v>
      </c>
      <c r="E2474">
        <f t="shared" si="76"/>
        <v>1.0133239999999999</v>
      </c>
      <c r="F2474" s="1">
        <f t="shared" si="77"/>
        <v>42674</v>
      </c>
      <c r="G2474" cm="1">
        <f t="array" ref="G2474">PRODUCT( _xlfn._xlws.FILTER($E:$E, ($C:$C=C2474)*($F:$F=F2474)) ) - 1</f>
        <v>-8.6909795421127312E-3</v>
      </c>
    </row>
    <row r="2475" spans="1:7" x14ac:dyDescent="0.2">
      <c r="A2475" s="1">
        <v>42681</v>
      </c>
      <c r="B2475">
        <v>0</v>
      </c>
      <c r="C2475" t="s">
        <v>12</v>
      </c>
      <c r="D2475">
        <v>2.9989999999999999E-3</v>
      </c>
      <c r="E2475">
        <f t="shared" si="76"/>
        <v>1.002999</v>
      </c>
      <c r="F2475" s="1">
        <f t="shared" si="77"/>
        <v>42681</v>
      </c>
      <c r="G2475" cm="1">
        <f t="array" ref="G2475">PRODUCT( _xlfn._xlws.FILTER($E:$E, ($C:$C=C2475)*($F:$F=F2475)) ) - 1</f>
        <v>-6.5282375208398191E-2</v>
      </c>
    </row>
    <row r="2476" spans="1:7" x14ac:dyDescent="0.2">
      <c r="A2476" s="1">
        <v>42682</v>
      </c>
      <c r="B2476">
        <v>0</v>
      </c>
      <c r="C2476" t="s">
        <v>12</v>
      </c>
      <c r="D2476">
        <v>-8.7399999999999995E-3</v>
      </c>
      <c r="E2476">
        <f t="shared" si="76"/>
        <v>0.99126000000000003</v>
      </c>
      <c r="F2476" s="1">
        <f t="shared" si="77"/>
        <v>42681</v>
      </c>
      <c r="G2476" cm="1">
        <f t="array" ref="G2476">PRODUCT( _xlfn._xlws.FILTER($E:$E, ($C:$C=C2476)*($F:$F=F2476)) ) - 1</f>
        <v>-6.5282375208398191E-2</v>
      </c>
    </row>
    <row r="2477" spans="1:7" x14ac:dyDescent="0.2">
      <c r="A2477" s="1">
        <v>42683</v>
      </c>
      <c r="B2477">
        <v>0</v>
      </c>
      <c r="C2477" t="s">
        <v>12</v>
      </c>
      <c r="D2477">
        <v>-1.2529E-2</v>
      </c>
      <c r="E2477">
        <f t="shared" si="76"/>
        <v>0.98747099999999999</v>
      </c>
      <c r="F2477" s="1">
        <f t="shared" si="77"/>
        <v>42681</v>
      </c>
      <c r="G2477" cm="1">
        <f t="array" ref="G2477">PRODUCT( _xlfn._xlws.FILTER($E:$E, ($C:$C=C2477)*($F:$F=F2477)) ) - 1</f>
        <v>-6.5282375208398191E-2</v>
      </c>
    </row>
    <row r="2478" spans="1:7" x14ac:dyDescent="0.2">
      <c r="A2478" s="1">
        <v>42684</v>
      </c>
      <c r="B2478">
        <v>0</v>
      </c>
      <c r="C2478" t="s">
        <v>12</v>
      </c>
      <c r="D2478">
        <v>-3.5478999999999997E-2</v>
      </c>
      <c r="E2478">
        <f t="shared" si="76"/>
        <v>0.96452099999999996</v>
      </c>
      <c r="F2478" s="1">
        <f t="shared" si="77"/>
        <v>42681</v>
      </c>
      <c r="G2478" cm="1">
        <f t="array" ref="G2478">PRODUCT( _xlfn._xlws.FILTER($E:$E, ($C:$C=C2478)*($F:$F=F2478)) ) - 1</f>
        <v>-6.5282375208398191E-2</v>
      </c>
    </row>
    <row r="2479" spans="1:7" x14ac:dyDescent="0.2">
      <c r="A2479" s="1">
        <v>42685</v>
      </c>
      <c r="B2479">
        <v>0</v>
      </c>
      <c r="C2479" t="s">
        <v>12</v>
      </c>
      <c r="D2479">
        <v>-1.2911000000000001E-2</v>
      </c>
      <c r="E2479">
        <f t="shared" si="76"/>
        <v>0.98708899999999999</v>
      </c>
      <c r="F2479" s="1">
        <f t="shared" si="77"/>
        <v>42681</v>
      </c>
      <c r="G2479" cm="1">
        <f t="array" ref="G2479">PRODUCT( _xlfn._xlws.FILTER($E:$E, ($C:$C=C2479)*($F:$F=F2479)) ) - 1</f>
        <v>-6.5282375208398191E-2</v>
      </c>
    </row>
    <row r="2480" spans="1:7" x14ac:dyDescent="0.2">
      <c r="A2480" s="1">
        <v>42688</v>
      </c>
      <c r="B2480">
        <v>0</v>
      </c>
      <c r="C2480" t="s">
        <v>12</v>
      </c>
      <c r="D2480">
        <v>-1.6781999999999998E-2</v>
      </c>
      <c r="E2480">
        <f t="shared" si="76"/>
        <v>0.98321800000000004</v>
      </c>
      <c r="F2480" s="1">
        <f t="shared" si="77"/>
        <v>42688</v>
      </c>
      <c r="G2480" cm="1">
        <f t="array" ref="G2480">PRODUCT( _xlfn._xlws.FILTER($E:$E, ($C:$C=C2480)*($F:$F=F2480)) ) - 1</f>
        <v>8.0681487804901142E-3</v>
      </c>
    </row>
    <row r="2481" spans="1:7" x14ac:dyDescent="0.2">
      <c r="A2481" s="1">
        <v>42689</v>
      </c>
      <c r="B2481">
        <v>0</v>
      </c>
      <c r="C2481" t="s">
        <v>12</v>
      </c>
      <c r="D2481">
        <v>2.0080000000000001E-2</v>
      </c>
      <c r="E2481">
        <f t="shared" si="76"/>
        <v>1.0200800000000001</v>
      </c>
      <c r="F2481" s="1">
        <f t="shared" si="77"/>
        <v>42688</v>
      </c>
      <c r="G2481" cm="1">
        <f t="array" ref="G2481">PRODUCT( _xlfn._xlws.FILTER($E:$E, ($C:$C=C2481)*($F:$F=F2481)) ) - 1</f>
        <v>8.0681487804901142E-3</v>
      </c>
    </row>
    <row r="2482" spans="1:7" x14ac:dyDescent="0.2">
      <c r="A2482" s="1">
        <v>42690</v>
      </c>
      <c r="B2482">
        <v>0</v>
      </c>
      <c r="C2482" t="s">
        <v>12</v>
      </c>
      <c r="D2482">
        <v>-1.2057E-2</v>
      </c>
      <c r="E2482">
        <f t="shared" si="76"/>
        <v>0.98794300000000002</v>
      </c>
      <c r="F2482" s="1">
        <f t="shared" si="77"/>
        <v>42688</v>
      </c>
      <c r="G2482" cm="1">
        <f t="array" ref="G2482">PRODUCT( _xlfn._xlws.FILTER($E:$E, ($C:$C=C2482)*($F:$F=F2482)) ) - 1</f>
        <v>8.0681487804901142E-3</v>
      </c>
    </row>
    <row r="2483" spans="1:7" x14ac:dyDescent="0.2">
      <c r="A2483" s="1">
        <v>42691</v>
      </c>
      <c r="B2483">
        <v>0</v>
      </c>
      <c r="C2483" t="s">
        <v>12</v>
      </c>
      <c r="D2483">
        <v>1.6854999999999998E-2</v>
      </c>
      <c r="E2483">
        <f t="shared" si="76"/>
        <v>1.0168550000000001</v>
      </c>
      <c r="F2483" s="1">
        <f t="shared" si="77"/>
        <v>42688</v>
      </c>
      <c r="G2483" cm="1">
        <f t="array" ref="G2483">PRODUCT( _xlfn._xlws.FILTER($E:$E, ($C:$C=C2483)*($F:$F=F2483)) ) - 1</f>
        <v>8.0681487804901142E-3</v>
      </c>
    </row>
    <row r="2484" spans="1:7" x14ac:dyDescent="0.2">
      <c r="A2484" s="1">
        <v>42692</v>
      </c>
      <c r="B2484">
        <v>0</v>
      </c>
      <c r="C2484" t="s">
        <v>12</v>
      </c>
      <c r="D2484">
        <v>4.95E-4</v>
      </c>
      <c r="E2484">
        <f t="shared" si="76"/>
        <v>1.0004949999999999</v>
      </c>
      <c r="F2484" s="1">
        <f t="shared" si="77"/>
        <v>42688</v>
      </c>
      <c r="G2484" cm="1">
        <f t="array" ref="G2484">PRODUCT( _xlfn._xlws.FILTER($E:$E, ($C:$C=C2484)*($F:$F=F2484)) ) - 1</f>
        <v>8.0681487804901142E-3</v>
      </c>
    </row>
    <row r="2485" spans="1:7" x14ac:dyDescent="0.2">
      <c r="A2485" s="1">
        <v>42695</v>
      </c>
      <c r="B2485">
        <v>0</v>
      </c>
      <c r="C2485" t="s">
        <v>12</v>
      </c>
      <c r="D2485">
        <v>0</v>
      </c>
      <c r="E2485">
        <f t="shared" si="76"/>
        <v>1</v>
      </c>
      <c r="F2485" s="1">
        <f t="shared" si="77"/>
        <v>42695</v>
      </c>
      <c r="G2485" cm="1">
        <f t="array" ref="G2485">PRODUCT( _xlfn._xlws.FILTER($E:$E, ($C:$C=C2485)*($F:$F=F2485)) ) - 1</f>
        <v>3.7097360896420906E-3</v>
      </c>
    </row>
    <row r="2486" spans="1:7" x14ac:dyDescent="0.2">
      <c r="A2486" s="1">
        <v>42696</v>
      </c>
      <c r="B2486">
        <v>0</v>
      </c>
      <c r="C2486" t="s">
        <v>12</v>
      </c>
      <c r="D2486">
        <v>2.967E-3</v>
      </c>
      <c r="E2486">
        <f t="shared" si="76"/>
        <v>1.0029669999999999</v>
      </c>
      <c r="F2486" s="1">
        <f t="shared" si="77"/>
        <v>42695</v>
      </c>
      <c r="G2486" cm="1">
        <f t="array" ref="G2486">PRODUCT( _xlfn._xlws.FILTER($E:$E, ($C:$C=C2486)*($F:$F=F2486)) ) - 1</f>
        <v>3.7097360896420906E-3</v>
      </c>
    </row>
    <row r="2487" spans="1:7" x14ac:dyDescent="0.2">
      <c r="A2487" s="1">
        <v>42697</v>
      </c>
      <c r="B2487">
        <v>0</v>
      </c>
      <c r="C2487" t="s">
        <v>12</v>
      </c>
      <c r="D2487">
        <v>7.1500000000000001E-3</v>
      </c>
      <c r="E2487">
        <f t="shared" si="76"/>
        <v>1.00715</v>
      </c>
      <c r="F2487" s="1">
        <f t="shared" si="77"/>
        <v>42695</v>
      </c>
      <c r="G2487" cm="1">
        <f t="array" ref="G2487">PRODUCT( _xlfn._xlws.FILTER($E:$E, ($C:$C=C2487)*($F:$F=F2487)) ) - 1</f>
        <v>3.7097360896420906E-3</v>
      </c>
    </row>
    <row r="2488" spans="1:7" x14ac:dyDescent="0.2">
      <c r="A2488" s="1">
        <v>42698</v>
      </c>
      <c r="B2488">
        <v>0</v>
      </c>
      <c r="C2488" t="s">
        <v>12</v>
      </c>
      <c r="D2488">
        <v>-8.0780000000000001E-3</v>
      </c>
      <c r="E2488">
        <f t="shared" si="76"/>
        <v>0.99192199999999997</v>
      </c>
      <c r="F2488" s="1">
        <f t="shared" si="77"/>
        <v>42695</v>
      </c>
      <c r="G2488" cm="1">
        <f t="array" ref="G2488">PRODUCT( _xlfn._xlws.FILTER($E:$E, ($C:$C=C2488)*($F:$F=F2488)) ) - 1</f>
        <v>3.7097360896420906E-3</v>
      </c>
    </row>
    <row r="2489" spans="1:7" x14ac:dyDescent="0.2">
      <c r="A2489" s="1">
        <v>42699</v>
      </c>
      <c r="B2489">
        <v>0</v>
      </c>
      <c r="C2489" t="s">
        <v>12</v>
      </c>
      <c r="D2489">
        <v>1.7279999999999999E-3</v>
      </c>
      <c r="E2489">
        <f t="shared" si="76"/>
        <v>1.001728</v>
      </c>
      <c r="F2489" s="1">
        <f t="shared" si="77"/>
        <v>42695</v>
      </c>
      <c r="G2489" cm="1">
        <f t="array" ref="G2489">PRODUCT( _xlfn._xlws.FILTER($E:$E, ($C:$C=C2489)*($F:$F=F2489)) ) - 1</f>
        <v>3.7097360896420906E-3</v>
      </c>
    </row>
    <row r="2490" spans="1:7" x14ac:dyDescent="0.2">
      <c r="A2490" s="1">
        <v>42702</v>
      </c>
      <c r="B2490">
        <v>0</v>
      </c>
      <c r="C2490" t="s">
        <v>12</v>
      </c>
      <c r="D2490">
        <v>1.6506E-2</v>
      </c>
      <c r="E2490">
        <f t="shared" si="76"/>
        <v>1.0165059999999999</v>
      </c>
      <c r="F2490" s="1">
        <f t="shared" si="77"/>
        <v>42702</v>
      </c>
      <c r="G2490" cm="1">
        <f t="array" ref="G2490">PRODUCT( _xlfn._xlws.FILTER($E:$E, ($C:$C=C2490)*($F:$F=F2490)) ) - 1</f>
        <v>-1.2071836115678858E-2</v>
      </c>
    </row>
    <row r="2491" spans="1:7" x14ac:dyDescent="0.2">
      <c r="A2491" s="1">
        <v>42703</v>
      </c>
      <c r="B2491">
        <v>0</v>
      </c>
      <c r="C2491" t="s">
        <v>12</v>
      </c>
      <c r="D2491">
        <v>-7.9979999999999999E-3</v>
      </c>
      <c r="E2491">
        <f t="shared" si="76"/>
        <v>0.99200200000000005</v>
      </c>
      <c r="F2491" s="1">
        <f t="shared" si="77"/>
        <v>42702</v>
      </c>
      <c r="G2491" cm="1">
        <f t="array" ref="G2491">PRODUCT( _xlfn._xlws.FILTER($E:$E, ($C:$C=C2491)*($F:$F=F2491)) ) - 1</f>
        <v>-1.2071836115678858E-2</v>
      </c>
    </row>
    <row r="2492" spans="1:7" x14ac:dyDescent="0.2">
      <c r="A2492" s="1">
        <v>42704</v>
      </c>
      <c r="B2492">
        <v>0</v>
      </c>
      <c r="C2492" t="s">
        <v>12</v>
      </c>
      <c r="D2492">
        <v>-2.1743999999999999E-2</v>
      </c>
      <c r="E2492">
        <f t="shared" si="76"/>
        <v>0.97825600000000001</v>
      </c>
      <c r="F2492" s="1">
        <f t="shared" si="77"/>
        <v>42702</v>
      </c>
      <c r="G2492" cm="1">
        <f t="array" ref="G2492">PRODUCT( _xlfn._xlws.FILTER($E:$E, ($C:$C=C2492)*($F:$F=F2492)) ) - 1</f>
        <v>-1.2071836115678858E-2</v>
      </c>
    </row>
    <row r="2493" spans="1:7" x14ac:dyDescent="0.2">
      <c r="A2493" s="1">
        <v>42705</v>
      </c>
      <c r="B2493">
        <v>0</v>
      </c>
      <c r="C2493" t="s">
        <v>12</v>
      </c>
      <c r="D2493">
        <v>3.7460000000000002E-3</v>
      </c>
      <c r="E2493">
        <f t="shared" si="76"/>
        <v>1.003746</v>
      </c>
      <c r="F2493" s="1">
        <f t="shared" si="77"/>
        <v>42702</v>
      </c>
      <c r="G2493" cm="1">
        <f t="array" ref="G2493">PRODUCT( _xlfn._xlws.FILTER($E:$E, ($C:$C=C2493)*($F:$F=F2493)) ) - 1</f>
        <v>-1.2071836115678858E-2</v>
      </c>
    </row>
    <row r="2494" spans="1:7" x14ac:dyDescent="0.2">
      <c r="A2494" s="1">
        <v>42706</v>
      </c>
      <c r="B2494">
        <v>0</v>
      </c>
      <c r="C2494" t="s">
        <v>12</v>
      </c>
      <c r="D2494">
        <v>-2.2390000000000001E-3</v>
      </c>
      <c r="E2494">
        <f t="shared" si="76"/>
        <v>0.99776100000000001</v>
      </c>
      <c r="F2494" s="1">
        <f t="shared" si="77"/>
        <v>42702</v>
      </c>
      <c r="G2494" cm="1">
        <f t="array" ref="G2494">PRODUCT( _xlfn._xlws.FILTER($E:$E, ($C:$C=C2494)*($F:$F=F2494)) ) - 1</f>
        <v>-1.2071836115678858E-2</v>
      </c>
    </row>
    <row r="2495" spans="1:7" x14ac:dyDescent="0.2">
      <c r="A2495" s="1">
        <v>42709</v>
      </c>
      <c r="B2495">
        <v>0</v>
      </c>
      <c r="C2495" t="s">
        <v>12</v>
      </c>
      <c r="D2495">
        <v>-2.4940000000000001E-3</v>
      </c>
      <c r="E2495">
        <f t="shared" si="76"/>
        <v>0.997506</v>
      </c>
      <c r="F2495" s="1">
        <f t="shared" si="77"/>
        <v>42709</v>
      </c>
      <c r="G2495" cm="1">
        <f t="array" ref="G2495">PRODUCT( _xlfn._xlws.FILTER($E:$E, ($C:$C=C2495)*($F:$F=F2495)) ) - 1</f>
        <v>8.4789829944409423E-3</v>
      </c>
    </row>
    <row r="2496" spans="1:7" x14ac:dyDescent="0.2">
      <c r="A2496" s="1">
        <v>42710</v>
      </c>
      <c r="B2496">
        <v>0</v>
      </c>
      <c r="C2496" t="s">
        <v>12</v>
      </c>
      <c r="D2496">
        <v>-1.5E-3</v>
      </c>
      <c r="E2496">
        <f t="shared" si="76"/>
        <v>0.99850000000000005</v>
      </c>
      <c r="F2496" s="1">
        <f t="shared" si="77"/>
        <v>42709</v>
      </c>
      <c r="G2496" cm="1">
        <f t="array" ref="G2496">PRODUCT( _xlfn._xlws.FILTER($E:$E, ($C:$C=C2496)*($F:$F=F2496)) ) - 1</f>
        <v>8.4789829944409423E-3</v>
      </c>
    </row>
    <row r="2497" spans="1:7" x14ac:dyDescent="0.2">
      <c r="A2497" s="1">
        <v>42711</v>
      </c>
      <c r="B2497">
        <v>0</v>
      </c>
      <c r="C2497" t="s">
        <v>12</v>
      </c>
      <c r="D2497">
        <v>1.1266999999999999E-2</v>
      </c>
      <c r="E2497">
        <f t="shared" si="76"/>
        <v>1.0112669999999999</v>
      </c>
      <c r="F2497" s="1">
        <f t="shared" si="77"/>
        <v>42709</v>
      </c>
      <c r="G2497" cm="1">
        <f t="array" ref="G2497">PRODUCT( _xlfn._xlws.FILTER($E:$E, ($C:$C=C2497)*($F:$F=F2497)) ) - 1</f>
        <v>8.4789829944409423E-3</v>
      </c>
    </row>
    <row r="2498" spans="1:7" x14ac:dyDescent="0.2">
      <c r="A2498" s="1">
        <v>42712</v>
      </c>
      <c r="B2498">
        <v>0</v>
      </c>
      <c r="C2498" t="s">
        <v>12</v>
      </c>
      <c r="D2498">
        <v>2.4800000000000001E-4</v>
      </c>
      <c r="E2498">
        <f t="shared" si="76"/>
        <v>1.000248</v>
      </c>
      <c r="F2498" s="1">
        <f t="shared" si="77"/>
        <v>42709</v>
      </c>
      <c r="G2498" cm="1">
        <f t="array" ref="G2498">PRODUCT( _xlfn._xlws.FILTER($E:$E, ($C:$C=C2498)*($F:$F=F2498)) ) - 1</f>
        <v>8.4789829944409423E-3</v>
      </c>
    </row>
    <row r="2499" spans="1:7" x14ac:dyDescent="0.2">
      <c r="A2499" s="1">
        <v>42713</v>
      </c>
      <c r="B2499">
        <v>0</v>
      </c>
      <c r="C2499" t="s">
        <v>12</v>
      </c>
      <c r="D2499">
        <v>9.8999999999999999E-4</v>
      </c>
      <c r="E2499">
        <f t="shared" si="76"/>
        <v>1.00099</v>
      </c>
      <c r="F2499" s="1">
        <f t="shared" si="77"/>
        <v>42709</v>
      </c>
      <c r="G2499" cm="1">
        <f t="array" ref="G2499">PRODUCT( _xlfn._xlws.FILTER($E:$E, ($C:$C=C2499)*($F:$F=F2499)) ) - 1</f>
        <v>8.4789829944409423E-3</v>
      </c>
    </row>
    <row r="2500" spans="1:7" x14ac:dyDescent="0.2">
      <c r="A2500" s="1">
        <v>42716</v>
      </c>
      <c r="B2500">
        <v>0</v>
      </c>
      <c r="C2500" t="s">
        <v>12</v>
      </c>
      <c r="D2500">
        <v>-4.2040000000000003E-3</v>
      </c>
      <c r="E2500">
        <f t="shared" ref="E2500:E2563" si="78">D2500+1</f>
        <v>0.99579600000000001</v>
      </c>
      <c r="F2500" s="1">
        <f t="shared" ref="F2500:F2563" si="79">A2500 - (WEEKDAY(A2500, 2) - 1)</f>
        <v>42716</v>
      </c>
      <c r="G2500" cm="1">
        <f t="array" ref="G2500">PRODUCT( _xlfn._xlws.FILTER($E:$E, ($C:$C=C2500)*($F:$F=F2500)) ) - 1</f>
        <v>2.4728864579797172E-3</v>
      </c>
    </row>
    <row r="2501" spans="1:7" x14ac:dyDescent="0.2">
      <c r="A2501" s="1">
        <v>42717</v>
      </c>
      <c r="B2501">
        <v>0</v>
      </c>
      <c r="C2501" t="s">
        <v>12</v>
      </c>
      <c r="D2501">
        <v>1.6638E-2</v>
      </c>
      <c r="E2501">
        <f t="shared" si="78"/>
        <v>1.0166379999999999</v>
      </c>
      <c r="F2501" s="1">
        <f t="shared" si="79"/>
        <v>42716</v>
      </c>
      <c r="G2501" cm="1">
        <f t="array" ref="G2501">PRODUCT( _xlfn._xlws.FILTER($E:$E, ($C:$C=C2501)*($F:$F=F2501)) ) - 1</f>
        <v>2.4728864579797172E-3</v>
      </c>
    </row>
    <row r="2502" spans="1:7" x14ac:dyDescent="0.2">
      <c r="A2502" s="1">
        <v>42718</v>
      </c>
      <c r="B2502">
        <v>0</v>
      </c>
      <c r="C2502" t="s">
        <v>12</v>
      </c>
      <c r="D2502">
        <v>-3.6640000000000002E-3</v>
      </c>
      <c r="E2502">
        <f t="shared" si="78"/>
        <v>0.996336</v>
      </c>
      <c r="F2502" s="1">
        <f t="shared" si="79"/>
        <v>42716</v>
      </c>
      <c r="G2502" cm="1">
        <f t="array" ref="G2502">PRODUCT( _xlfn._xlws.FILTER($E:$E, ($C:$C=C2502)*($F:$F=F2502)) ) - 1</f>
        <v>2.4728864579797172E-3</v>
      </c>
    </row>
    <row r="2503" spans="1:7" x14ac:dyDescent="0.2">
      <c r="A2503" s="1">
        <v>42719</v>
      </c>
      <c r="B2503">
        <v>0</v>
      </c>
      <c r="C2503" t="s">
        <v>12</v>
      </c>
      <c r="D2503">
        <v>-1.0050999999999999E-2</v>
      </c>
      <c r="E2503">
        <f t="shared" si="78"/>
        <v>0.98994899999999997</v>
      </c>
      <c r="F2503" s="1">
        <f t="shared" si="79"/>
        <v>42716</v>
      </c>
      <c r="G2503" cm="1">
        <f t="array" ref="G2503">PRODUCT( _xlfn._xlws.FILTER($E:$E, ($C:$C=C2503)*($F:$F=F2503)) ) - 1</f>
        <v>2.4728864579797172E-3</v>
      </c>
    </row>
    <row r="2504" spans="1:7" x14ac:dyDescent="0.2">
      <c r="A2504" s="1">
        <v>42720</v>
      </c>
      <c r="B2504">
        <v>0</v>
      </c>
      <c r="C2504" t="s">
        <v>12</v>
      </c>
      <c r="D2504">
        <v>3.9620000000000002E-3</v>
      </c>
      <c r="E2504">
        <f t="shared" si="78"/>
        <v>1.003962</v>
      </c>
      <c r="F2504" s="1">
        <f t="shared" si="79"/>
        <v>42716</v>
      </c>
      <c r="G2504" cm="1">
        <f t="array" ref="G2504">PRODUCT( _xlfn._xlws.FILTER($E:$E, ($C:$C=C2504)*($F:$F=F2504)) ) - 1</f>
        <v>2.4728864579797172E-3</v>
      </c>
    </row>
    <row r="2505" spans="1:7" x14ac:dyDescent="0.2">
      <c r="A2505" s="1">
        <v>42723</v>
      </c>
      <c r="B2505">
        <v>0</v>
      </c>
      <c r="C2505" t="s">
        <v>12</v>
      </c>
      <c r="D2505">
        <v>9.3729999999999994E-3</v>
      </c>
      <c r="E2505">
        <f t="shared" si="78"/>
        <v>1.0093730000000001</v>
      </c>
      <c r="F2505" s="1">
        <f t="shared" si="79"/>
        <v>42723</v>
      </c>
      <c r="G2505" cm="1">
        <f t="array" ref="G2505">PRODUCT( _xlfn._xlws.FILTER($E:$E, ($C:$C=C2505)*($F:$F=F2505)) ) - 1</f>
        <v>2.3680507829471065E-2</v>
      </c>
    </row>
    <row r="2506" spans="1:7" x14ac:dyDescent="0.2">
      <c r="A2506" s="1">
        <v>42724</v>
      </c>
      <c r="B2506">
        <v>0</v>
      </c>
      <c r="C2506" t="s">
        <v>12</v>
      </c>
      <c r="D2506">
        <v>-7.8200000000000006E-3</v>
      </c>
      <c r="E2506">
        <f t="shared" si="78"/>
        <v>0.99217999999999995</v>
      </c>
      <c r="F2506" s="1">
        <f t="shared" si="79"/>
        <v>42723</v>
      </c>
      <c r="G2506" cm="1">
        <f t="array" ref="G2506">PRODUCT( _xlfn._xlws.FILTER($E:$E, ($C:$C=C2506)*($F:$F=F2506)) ) - 1</f>
        <v>2.3680507829471065E-2</v>
      </c>
    </row>
    <row r="2507" spans="1:7" x14ac:dyDescent="0.2">
      <c r="A2507" s="1">
        <v>42725</v>
      </c>
      <c r="B2507">
        <v>0</v>
      </c>
      <c r="C2507" t="s">
        <v>12</v>
      </c>
      <c r="D2507">
        <v>1.9710000000000001E-3</v>
      </c>
      <c r="E2507">
        <f t="shared" si="78"/>
        <v>1.0019709999999999</v>
      </c>
      <c r="F2507" s="1">
        <f t="shared" si="79"/>
        <v>42723</v>
      </c>
      <c r="G2507" cm="1">
        <f t="array" ref="G2507">PRODUCT( _xlfn._xlws.FILTER($E:$E, ($C:$C=C2507)*($F:$F=F2507)) ) - 1</f>
        <v>2.3680507829471065E-2</v>
      </c>
    </row>
    <row r="2508" spans="1:7" x14ac:dyDescent="0.2">
      <c r="A2508" s="1">
        <v>42726</v>
      </c>
      <c r="B2508">
        <v>0</v>
      </c>
      <c r="C2508" t="s">
        <v>12</v>
      </c>
      <c r="D2508">
        <v>2.1385999999999999E-2</v>
      </c>
      <c r="E2508">
        <f t="shared" si="78"/>
        <v>1.0213859999999999</v>
      </c>
      <c r="F2508" s="1">
        <f t="shared" si="79"/>
        <v>42723</v>
      </c>
      <c r="G2508" cm="1">
        <f t="array" ref="G2508">PRODUCT( _xlfn._xlws.FILTER($E:$E, ($C:$C=C2508)*($F:$F=F2508)) ) - 1</f>
        <v>2.3680507829471065E-2</v>
      </c>
    </row>
    <row r="2509" spans="1:7" x14ac:dyDescent="0.2">
      <c r="A2509" s="1">
        <v>42727</v>
      </c>
      <c r="B2509">
        <v>0</v>
      </c>
      <c r="C2509" t="s">
        <v>12</v>
      </c>
      <c r="D2509">
        <v>-1.2030000000000001E-3</v>
      </c>
      <c r="E2509">
        <f t="shared" si="78"/>
        <v>0.99879700000000005</v>
      </c>
      <c r="F2509" s="1">
        <f t="shared" si="79"/>
        <v>42723</v>
      </c>
      <c r="G2509" cm="1">
        <f t="array" ref="G2509">PRODUCT( _xlfn._xlws.FILTER($E:$E, ($C:$C=C2509)*($F:$F=F2509)) ) - 1</f>
        <v>2.3680507829471065E-2</v>
      </c>
    </row>
    <row r="2510" spans="1:7" x14ac:dyDescent="0.2">
      <c r="A2510" s="1">
        <v>42732</v>
      </c>
      <c r="B2510">
        <v>0</v>
      </c>
      <c r="C2510" t="s">
        <v>12</v>
      </c>
      <c r="D2510">
        <v>-4.3369999999999997E-3</v>
      </c>
      <c r="E2510">
        <f t="shared" si="78"/>
        <v>0.99566299999999996</v>
      </c>
      <c r="F2510" s="1">
        <f t="shared" si="79"/>
        <v>42730</v>
      </c>
      <c r="G2510" cm="1">
        <f t="array" ref="G2510">PRODUCT( _xlfn._xlws.FILTER($E:$E, ($C:$C=C2510)*($F:$F=F2510)) ) - 1</f>
        <v>-9.6310107266428524E-4</v>
      </c>
    </row>
    <row r="2511" spans="1:7" x14ac:dyDescent="0.2">
      <c r="A2511" s="1">
        <v>42733</v>
      </c>
      <c r="B2511">
        <v>0</v>
      </c>
      <c r="C2511" t="s">
        <v>12</v>
      </c>
      <c r="D2511">
        <v>8.9549999999999994E-3</v>
      </c>
      <c r="E2511">
        <f t="shared" si="78"/>
        <v>1.008955</v>
      </c>
      <c r="F2511" s="1">
        <f t="shared" si="79"/>
        <v>42730</v>
      </c>
      <c r="G2511" cm="1">
        <f t="array" ref="G2511">PRODUCT( _xlfn._xlws.FILTER($E:$E, ($C:$C=C2511)*($F:$F=F2511)) ) - 1</f>
        <v>-9.6310107266428524E-4</v>
      </c>
    </row>
    <row r="2512" spans="1:7" x14ac:dyDescent="0.2">
      <c r="A2512" s="1">
        <v>42734</v>
      </c>
      <c r="B2512">
        <v>0</v>
      </c>
      <c r="C2512" t="s">
        <v>12</v>
      </c>
      <c r="D2512">
        <v>-5.5170000000000002E-3</v>
      </c>
      <c r="E2512">
        <f t="shared" si="78"/>
        <v>0.99448300000000001</v>
      </c>
      <c r="F2512" s="1">
        <f t="shared" si="79"/>
        <v>42730</v>
      </c>
      <c r="G2512" cm="1">
        <f t="array" ref="G2512">PRODUCT( _xlfn._xlws.FILTER($E:$E, ($C:$C=C2512)*($F:$F=F2512)) ) - 1</f>
        <v>-9.6310107266428524E-4</v>
      </c>
    </row>
    <row r="2513" spans="1:7" x14ac:dyDescent="0.2">
      <c r="A2513" s="1">
        <v>40911</v>
      </c>
      <c r="B2513">
        <v>0</v>
      </c>
      <c r="C2513" t="s">
        <v>13</v>
      </c>
      <c r="D2513">
        <v>1.5391E-2</v>
      </c>
      <c r="E2513">
        <f t="shared" si="78"/>
        <v>1.0153909999999999</v>
      </c>
      <c r="F2513" s="1">
        <f t="shared" si="79"/>
        <v>40910</v>
      </c>
      <c r="G2513" cm="1">
        <f t="array" ref="G2513">PRODUCT( _xlfn._xlws.FILTER($E:$E, ($C:$C=C2513)*($F:$F=F2513)) ) - 1</f>
        <v>1.3472128215632484E-3</v>
      </c>
    </row>
    <row r="2514" spans="1:7" x14ac:dyDescent="0.2">
      <c r="A2514" s="1">
        <v>40912</v>
      </c>
      <c r="B2514">
        <v>0</v>
      </c>
      <c r="C2514" t="s">
        <v>13</v>
      </c>
      <c r="D2514">
        <v>3.2209999999999999E-3</v>
      </c>
      <c r="E2514">
        <f t="shared" si="78"/>
        <v>1.0032209999999999</v>
      </c>
      <c r="F2514" s="1">
        <f t="shared" si="79"/>
        <v>40910</v>
      </c>
      <c r="G2514" cm="1">
        <f t="array" ref="G2514">PRODUCT( _xlfn._xlws.FILTER($E:$E, ($C:$C=C2514)*($F:$F=F2514)) ) - 1</f>
        <v>1.3472128215632484E-3</v>
      </c>
    </row>
    <row r="2515" spans="1:7" x14ac:dyDescent="0.2">
      <c r="A2515" s="1">
        <v>40913</v>
      </c>
      <c r="B2515">
        <v>0</v>
      </c>
      <c r="C2515" t="s">
        <v>13</v>
      </c>
      <c r="D2515">
        <v>-1.1520000000000001E-2</v>
      </c>
      <c r="E2515">
        <f t="shared" si="78"/>
        <v>0.98848000000000003</v>
      </c>
      <c r="F2515" s="1">
        <f t="shared" si="79"/>
        <v>40910</v>
      </c>
      <c r="G2515" cm="1">
        <f t="array" ref="G2515">PRODUCT( _xlfn._xlws.FILTER($E:$E, ($C:$C=C2515)*($F:$F=F2515)) ) - 1</f>
        <v>1.3472128215632484E-3</v>
      </c>
    </row>
    <row r="2516" spans="1:7" x14ac:dyDescent="0.2">
      <c r="A2516" s="1">
        <v>40914</v>
      </c>
      <c r="B2516">
        <v>0</v>
      </c>
      <c r="C2516" t="s">
        <v>13</v>
      </c>
      <c r="D2516">
        <v>-5.5409999999999999E-3</v>
      </c>
      <c r="E2516">
        <f t="shared" si="78"/>
        <v>0.99445899999999998</v>
      </c>
      <c r="F2516" s="1">
        <f t="shared" si="79"/>
        <v>40910</v>
      </c>
      <c r="G2516" cm="1">
        <f t="array" ref="G2516">PRODUCT( _xlfn._xlws.FILTER($E:$E, ($C:$C=C2516)*($F:$F=F2516)) ) - 1</f>
        <v>1.3472128215632484E-3</v>
      </c>
    </row>
    <row r="2517" spans="1:7" x14ac:dyDescent="0.2">
      <c r="A2517" s="1">
        <v>40917</v>
      </c>
      <c r="B2517">
        <v>0</v>
      </c>
      <c r="C2517" t="s">
        <v>13</v>
      </c>
      <c r="D2517">
        <v>3.65E-3</v>
      </c>
      <c r="E2517">
        <f t="shared" si="78"/>
        <v>1.0036499999999999</v>
      </c>
      <c r="F2517" s="1">
        <f t="shared" si="79"/>
        <v>40917</v>
      </c>
      <c r="G2517" cm="1">
        <f t="array" ref="G2517">PRODUCT( _xlfn._xlws.FILTER($E:$E, ($C:$C=C2517)*($F:$F=F2517)) ) - 1</f>
        <v>7.6781316182583659E-4</v>
      </c>
    </row>
    <row r="2518" spans="1:7" x14ac:dyDescent="0.2">
      <c r="A2518" s="1">
        <v>40918</v>
      </c>
      <c r="B2518">
        <v>0</v>
      </c>
      <c r="C2518" t="s">
        <v>13</v>
      </c>
      <c r="D2518">
        <v>3.637E-3</v>
      </c>
      <c r="E2518">
        <f t="shared" si="78"/>
        <v>1.0036369999999999</v>
      </c>
      <c r="F2518" s="1">
        <f t="shared" si="79"/>
        <v>40917</v>
      </c>
      <c r="G2518" cm="1">
        <f t="array" ref="G2518">PRODUCT( _xlfn._xlws.FILTER($E:$E, ($C:$C=C2518)*($F:$F=F2518)) ) - 1</f>
        <v>7.6781316182583659E-4</v>
      </c>
    </row>
    <row r="2519" spans="1:7" x14ac:dyDescent="0.2">
      <c r="A2519" s="1">
        <v>40919</v>
      </c>
      <c r="B2519">
        <v>0</v>
      </c>
      <c r="C2519" t="s">
        <v>13</v>
      </c>
      <c r="D2519">
        <v>3.4329999999999999E-3</v>
      </c>
      <c r="E2519">
        <f t="shared" si="78"/>
        <v>1.003433</v>
      </c>
      <c r="F2519" s="1">
        <f t="shared" si="79"/>
        <v>40917</v>
      </c>
      <c r="G2519" cm="1">
        <f t="array" ref="G2519">PRODUCT( _xlfn._xlws.FILTER($E:$E, ($C:$C=C2519)*($F:$F=F2519)) ) - 1</f>
        <v>7.6781316182583659E-4</v>
      </c>
    </row>
    <row r="2520" spans="1:7" x14ac:dyDescent="0.2">
      <c r="A2520" s="1">
        <v>40920</v>
      </c>
      <c r="B2520">
        <v>0</v>
      </c>
      <c r="C2520" t="s">
        <v>13</v>
      </c>
      <c r="D2520">
        <v>3.0409999999999999E-3</v>
      </c>
      <c r="E2520">
        <f t="shared" si="78"/>
        <v>1.0030410000000001</v>
      </c>
      <c r="F2520" s="1">
        <f t="shared" si="79"/>
        <v>40917</v>
      </c>
      <c r="G2520" cm="1">
        <f t="array" ref="G2520">PRODUCT( _xlfn._xlws.FILTER($E:$E, ($C:$C=C2520)*($F:$F=F2520)) ) - 1</f>
        <v>7.6781316182583659E-4</v>
      </c>
    </row>
    <row r="2521" spans="1:7" x14ac:dyDescent="0.2">
      <c r="A2521" s="1">
        <v>40921</v>
      </c>
      <c r="B2521">
        <v>0</v>
      </c>
      <c r="C2521" t="s">
        <v>13</v>
      </c>
      <c r="D2521">
        <v>-1.2886E-2</v>
      </c>
      <c r="E2521">
        <f t="shared" si="78"/>
        <v>0.98711400000000005</v>
      </c>
      <c r="F2521" s="1">
        <f t="shared" si="79"/>
        <v>40917</v>
      </c>
      <c r="G2521" cm="1">
        <f t="array" ref="G2521">PRODUCT( _xlfn._xlws.FILTER($E:$E, ($C:$C=C2521)*($F:$F=F2521)) ) - 1</f>
        <v>7.6781316182583659E-4</v>
      </c>
    </row>
    <row r="2522" spans="1:7" x14ac:dyDescent="0.2">
      <c r="A2522" s="1">
        <v>40924</v>
      </c>
      <c r="B2522">
        <v>0</v>
      </c>
      <c r="C2522" t="s">
        <v>13</v>
      </c>
      <c r="D2522">
        <v>-1.92E-4</v>
      </c>
      <c r="E2522">
        <f t="shared" si="78"/>
        <v>0.99980800000000003</v>
      </c>
      <c r="F2522" s="1">
        <f t="shared" si="79"/>
        <v>40924</v>
      </c>
      <c r="G2522" cm="1">
        <f t="array" ref="G2522">PRODUCT( _xlfn._xlws.FILTER($E:$E, ($C:$C=C2522)*($F:$F=F2522)) ) - 1</f>
        <v>3.3787454257824701E-2</v>
      </c>
    </row>
    <row r="2523" spans="1:7" x14ac:dyDescent="0.2">
      <c r="A2523" s="1">
        <v>40925</v>
      </c>
      <c r="B2523">
        <v>0</v>
      </c>
      <c r="C2523" t="s">
        <v>13</v>
      </c>
      <c r="D2523">
        <v>-4.9919999999999999E-3</v>
      </c>
      <c r="E2523">
        <f t="shared" si="78"/>
        <v>0.995008</v>
      </c>
      <c r="F2523" s="1">
        <f t="shared" si="79"/>
        <v>40924</v>
      </c>
      <c r="G2523" cm="1">
        <f t="array" ref="G2523">PRODUCT( _xlfn._xlws.FILTER($E:$E, ($C:$C=C2523)*($F:$F=F2523)) ) - 1</f>
        <v>3.3787454257824701E-2</v>
      </c>
    </row>
    <row r="2524" spans="1:7" x14ac:dyDescent="0.2">
      <c r="A2524" s="1">
        <v>40926</v>
      </c>
      <c r="B2524">
        <v>0</v>
      </c>
      <c r="C2524" t="s">
        <v>13</v>
      </c>
      <c r="D2524">
        <v>1.2156999999999999E-2</v>
      </c>
      <c r="E2524">
        <f t="shared" si="78"/>
        <v>1.012157</v>
      </c>
      <c r="F2524" s="1">
        <f t="shared" si="79"/>
        <v>40924</v>
      </c>
      <c r="G2524" cm="1">
        <f t="array" ref="G2524">PRODUCT( _xlfn._xlws.FILTER($E:$E, ($C:$C=C2524)*($F:$F=F2524)) ) - 1</f>
        <v>3.3787454257824701E-2</v>
      </c>
    </row>
    <row r="2525" spans="1:7" x14ac:dyDescent="0.2">
      <c r="A2525" s="1">
        <v>40927</v>
      </c>
      <c r="B2525">
        <v>0</v>
      </c>
      <c r="C2525" t="s">
        <v>13</v>
      </c>
      <c r="D2525">
        <v>1.2393E-2</v>
      </c>
      <c r="E2525">
        <f t="shared" si="78"/>
        <v>1.0123930000000001</v>
      </c>
      <c r="F2525" s="1">
        <f t="shared" si="79"/>
        <v>40924</v>
      </c>
      <c r="G2525" cm="1">
        <f t="array" ref="G2525">PRODUCT( _xlfn._xlws.FILTER($E:$E, ($C:$C=C2525)*($F:$F=F2525)) ) - 1</f>
        <v>3.3787454257824701E-2</v>
      </c>
    </row>
    <row r="2526" spans="1:7" x14ac:dyDescent="0.2">
      <c r="A2526" s="1">
        <v>40928</v>
      </c>
      <c r="B2526">
        <v>0</v>
      </c>
      <c r="C2526" t="s">
        <v>13</v>
      </c>
      <c r="D2526">
        <v>1.4123999999999999E-2</v>
      </c>
      <c r="E2526">
        <f t="shared" si="78"/>
        <v>1.014124</v>
      </c>
      <c r="F2526" s="1">
        <f t="shared" si="79"/>
        <v>40924</v>
      </c>
      <c r="G2526" cm="1">
        <f t="array" ref="G2526">PRODUCT( _xlfn._xlws.FILTER($E:$E, ($C:$C=C2526)*($F:$F=F2526)) ) - 1</f>
        <v>3.3787454257824701E-2</v>
      </c>
    </row>
    <row r="2527" spans="1:7" x14ac:dyDescent="0.2">
      <c r="A2527" s="1">
        <v>40931</v>
      </c>
      <c r="B2527">
        <v>0</v>
      </c>
      <c r="C2527" t="s">
        <v>13</v>
      </c>
      <c r="D2527">
        <v>1.8013000000000001E-2</v>
      </c>
      <c r="E2527">
        <f t="shared" si="78"/>
        <v>1.0180130000000001</v>
      </c>
      <c r="F2527" s="1">
        <f t="shared" si="79"/>
        <v>40931</v>
      </c>
      <c r="G2527" cm="1">
        <f t="array" ref="G2527">PRODUCT( _xlfn._xlws.FILTER($E:$E, ($C:$C=C2527)*($F:$F=F2527)) ) - 1</f>
        <v>-1.8471043014154143E-2</v>
      </c>
    </row>
    <row r="2528" spans="1:7" x14ac:dyDescent="0.2">
      <c r="A2528" s="1">
        <v>40932</v>
      </c>
      <c r="B2528">
        <v>0</v>
      </c>
      <c r="C2528" t="s">
        <v>13</v>
      </c>
      <c r="D2528">
        <v>-8.9379999999999998E-3</v>
      </c>
      <c r="E2528">
        <f t="shared" si="78"/>
        <v>0.991062</v>
      </c>
      <c r="F2528" s="1">
        <f t="shared" si="79"/>
        <v>40931</v>
      </c>
      <c r="G2528" cm="1">
        <f t="array" ref="G2528">PRODUCT( _xlfn._xlws.FILTER($E:$E, ($C:$C=C2528)*($F:$F=F2528)) ) - 1</f>
        <v>-1.8471043014154143E-2</v>
      </c>
    </row>
    <row r="2529" spans="1:7" x14ac:dyDescent="0.2">
      <c r="A2529" s="1">
        <v>40933</v>
      </c>
      <c r="B2529">
        <v>0</v>
      </c>
      <c r="C2529" t="s">
        <v>13</v>
      </c>
      <c r="D2529">
        <v>-1.0411E-2</v>
      </c>
      <c r="E2529">
        <f t="shared" si="78"/>
        <v>0.98958900000000005</v>
      </c>
      <c r="F2529" s="1">
        <f t="shared" si="79"/>
        <v>40931</v>
      </c>
      <c r="G2529" cm="1">
        <f t="array" ref="G2529">PRODUCT( _xlfn._xlws.FILTER($E:$E, ($C:$C=C2529)*($F:$F=F2529)) ) - 1</f>
        <v>-1.8471043014154143E-2</v>
      </c>
    </row>
    <row r="2530" spans="1:7" x14ac:dyDescent="0.2">
      <c r="A2530" s="1">
        <v>40934</v>
      </c>
      <c r="B2530">
        <v>0</v>
      </c>
      <c r="C2530" t="s">
        <v>13</v>
      </c>
      <c r="D2530">
        <v>-9.5809999999999992E-3</v>
      </c>
      <c r="E2530">
        <f t="shared" si="78"/>
        <v>0.99041900000000005</v>
      </c>
      <c r="F2530" s="1">
        <f t="shared" si="79"/>
        <v>40931</v>
      </c>
      <c r="G2530" cm="1">
        <f t="array" ref="G2530">PRODUCT( _xlfn._xlws.FILTER($E:$E, ($C:$C=C2530)*($F:$F=F2530)) ) - 1</f>
        <v>-1.8471043014154143E-2</v>
      </c>
    </row>
    <row r="2531" spans="1:7" x14ac:dyDescent="0.2">
      <c r="A2531" s="1">
        <v>40935</v>
      </c>
      <c r="B2531">
        <v>0</v>
      </c>
      <c r="C2531" t="s">
        <v>13</v>
      </c>
      <c r="D2531">
        <v>-7.3980000000000001E-3</v>
      </c>
      <c r="E2531">
        <f t="shared" si="78"/>
        <v>0.99260199999999998</v>
      </c>
      <c r="F2531" s="1">
        <f t="shared" si="79"/>
        <v>40931</v>
      </c>
      <c r="G2531" cm="1">
        <f t="array" ref="G2531">PRODUCT( _xlfn._xlws.FILTER($E:$E, ($C:$C=C2531)*($F:$F=F2531)) ) - 1</f>
        <v>-1.8471043014154143E-2</v>
      </c>
    </row>
    <row r="2532" spans="1:7" x14ac:dyDescent="0.2">
      <c r="A2532" s="1">
        <v>40938</v>
      </c>
      <c r="B2532">
        <v>0</v>
      </c>
      <c r="C2532" t="s">
        <v>13</v>
      </c>
      <c r="D2532">
        <v>1.9109999999999999E-3</v>
      </c>
      <c r="E2532">
        <f t="shared" si="78"/>
        <v>1.001911</v>
      </c>
      <c r="F2532" s="1">
        <f t="shared" si="79"/>
        <v>40938</v>
      </c>
      <c r="G2532" cm="1">
        <f t="array" ref="G2532">PRODUCT( _xlfn._xlws.FILTER($E:$E, ($C:$C=C2532)*($F:$F=F2532)) ) - 1</f>
        <v>1.9109496337073262E-2</v>
      </c>
    </row>
    <row r="2533" spans="1:7" x14ac:dyDescent="0.2">
      <c r="A2533" s="1">
        <v>40939</v>
      </c>
      <c r="B2533">
        <v>0</v>
      </c>
      <c r="C2533" t="s">
        <v>13</v>
      </c>
      <c r="D2533">
        <v>-1.1440000000000001E-3</v>
      </c>
      <c r="E2533">
        <f t="shared" si="78"/>
        <v>0.99885599999999997</v>
      </c>
      <c r="F2533" s="1">
        <f t="shared" si="79"/>
        <v>40938</v>
      </c>
      <c r="G2533" cm="1">
        <f t="array" ref="G2533">PRODUCT( _xlfn._xlws.FILTER($E:$E, ($C:$C=C2533)*($F:$F=F2533)) ) - 1</f>
        <v>1.9109496337073262E-2</v>
      </c>
    </row>
    <row r="2534" spans="1:7" x14ac:dyDescent="0.2">
      <c r="A2534" s="1">
        <v>40940</v>
      </c>
      <c r="B2534">
        <v>0</v>
      </c>
      <c r="C2534" t="s">
        <v>13</v>
      </c>
      <c r="D2534">
        <v>1.7375999999999999E-2</v>
      </c>
      <c r="E2534">
        <f t="shared" si="78"/>
        <v>1.0173760000000001</v>
      </c>
      <c r="F2534" s="1">
        <f t="shared" si="79"/>
        <v>40938</v>
      </c>
      <c r="G2534" cm="1">
        <f t="array" ref="G2534">PRODUCT( _xlfn._xlws.FILTER($E:$E, ($C:$C=C2534)*($F:$F=F2534)) ) - 1</f>
        <v>1.9109496337073262E-2</v>
      </c>
    </row>
    <row r="2535" spans="1:7" x14ac:dyDescent="0.2">
      <c r="A2535" s="1">
        <v>40941</v>
      </c>
      <c r="B2535">
        <v>0</v>
      </c>
      <c r="C2535" t="s">
        <v>13</v>
      </c>
      <c r="D2535">
        <v>-6.5690000000000002E-3</v>
      </c>
      <c r="E2535">
        <f t="shared" si="78"/>
        <v>0.99343099999999995</v>
      </c>
      <c r="F2535" s="1">
        <f t="shared" si="79"/>
        <v>40938</v>
      </c>
      <c r="G2535" cm="1">
        <f t="array" ref="G2535">PRODUCT( _xlfn._xlws.FILTER($E:$E, ($C:$C=C2535)*($F:$F=F2535)) ) - 1</f>
        <v>1.9109496337073262E-2</v>
      </c>
    </row>
    <row r="2536" spans="1:7" x14ac:dyDescent="0.2">
      <c r="A2536" s="1">
        <v>40942</v>
      </c>
      <c r="B2536">
        <v>0</v>
      </c>
      <c r="C2536" t="s">
        <v>13</v>
      </c>
      <c r="D2536">
        <v>7.5570000000000003E-3</v>
      </c>
      <c r="E2536">
        <f t="shared" si="78"/>
        <v>1.007557</v>
      </c>
      <c r="F2536" s="1">
        <f t="shared" si="79"/>
        <v>40938</v>
      </c>
      <c r="G2536" cm="1">
        <f t="array" ref="G2536">PRODUCT( _xlfn._xlws.FILTER($E:$E, ($C:$C=C2536)*($F:$F=F2536)) ) - 1</f>
        <v>1.9109496337073262E-2</v>
      </c>
    </row>
    <row r="2537" spans="1:7" x14ac:dyDescent="0.2">
      <c r="A2537" s="1">
        <v>40945</v>
      </c>
      <c r="B2537">
        <v>0</v>
      </c>
      <c r="C2537" t="s">
        <v>13</v>
      </c>
      <c r="D2537">
        <v>2.6250000000000002E-3</v>
      </c>
      <c r="E2537">
        <f t="shared" si="78"/>
        <v>1.0026250000000001</v>
      </c>
      <c r="F2537" s="1">
        <f t="shared" si="79"/>
        <v>40945</v>
      </c>
      <c r="G2537" cm="1">
        <f t="array" ref="G2537">PRODUCT( _xlfn._xlws.FILTER($E:$E, ($C:$C=C2537)*($F:$F=F2537)) ) - 1</f>
        <v>5.061752473423331E-3</v>
      </c>
    </row>
    <row r="2538" spans="1:7" x14ac:dyDescent="0.2">
      <c r="A2538" s="1">
        <v>40946</v>
      </c>
      <c r="B2538">
        <v>0</v>
      </c>
      <c r="C2538" t="s">
        <v>13</v>
      </c>
      <c r="D2538">
        <v>2.0569999999999998E-3</v>
      </c>
      <c r="E2538">
        <f t="shared" si="78"/>
        <v>1.002057</v>
      </c>
      <c r="F2538" s="1">
        <f t="shared" si="79"/>
        <v>40945</v>
      </c>
      <c r="G2538" cm="1">
        <f t="array" ref="G2538">PRODUCT( _xlfn._xlws.FILTER($E:$E, ($C:$C=C2538)*($F:$F=F2538)) ) - 1</f>
        <v>5.061752473423331E-3</v>
      </c>
    </row>
    <row r="2539" spans="1:7" x14ac:dyDescent="0.2">
      <c r="A2539" s="1">
        <v>40947</v>
      </c>
      <c r="B2539">
        <v>0</v>
      </c>
      <c r="C2539" t="s">
        <v>13</v>
      </c>
      <c r="D2539">
        <v>6.5319999999999996E-3</v>
      </c>
      <c r="E2539">
        <f t="shared" si="78"/>
        <v>1.006532</v>
      </c>
      <c r="F2539" s="1">
        <f t="shared" si="79"/>
        <v>40945</v>
      </c>
      <c r="G2539" cm="1">
        <f t="array" ref="G2539">PRODUCT( _xlfn._xlws.FILTER($E:$E, ($C:$C=C2539)*($F:$F=F2539)) ) - 1</f>
        <v>5.061752473423331E-3</v>
      </c>
    </row>
    <row r="2540" spans="1:7" x14ac:dyDescent="0.2">
      <c r="A2540" s="1">
        <v>40948</v>
      </c>
      <c r="B2540">
        <v>0</v>
      </c>
      <c r="C2540" t="s">
        <v>13</v>
      </c>
      <c r="D2540">
        <v>-1.1130000000000001E-3</v>
      </c>
      <c r="E2540">
        <f t="shared" si="78"/>
        <v>0.99888699999999997</v>
      </c>
      <c r="F2540" s="1">
        <f t="shared" si="79"/>
        <v>40945</v>
      </c>
      <c r="G2540" cm="1">
        <f t="array" ref="G2540">PRODUCT( _xlfn._xlws.FILTER($E:$E, ($C:$C=C2540)*($F:$F=F2540)) ) - 1</f>
        <v>5.061752473423331E-3</v>
      </c>
    </row>
    <row r="2541" spans="1:7" x14ac:dyDescent="0.2">
      <c r="A2541" s="1">
        <v>40949</v>
      </c>
      <c r="B2541">
        <v>0</v>
      </c>
      <c r="C2541" t="s">
        <v>13</v>
      </c>
      <c r="D2541">
        <v>-5.012E-3</v>
      </c>
      <c r="E2541">
        <f t="shared" si="78"/>
        <v>0.99498799999999998</v>
      </c>
      <c r="F2541" s="1">
        <f t="shared" si="79"/>
        <v>40945</v>
      </c>
      <c r="G2541" cm="1">
        <f t="array" ref="G2541">PRODUCT( _xlfn._xlws.FILTER($E:$E, ($C:$C=C2541)*($F:$F=F2541)) ) - 1</f>
        <v>5.061752473423331E-3</v>
      </c>
    </row>
    <row r="2542" spans="1:7" x14ac:dyDescent="0.2">
      <c r="A2542" s="1">
        <v>40952</v>
      </c>
      <c r="B2542">
        <v>0</v>
      </c>
      <c r="C2542" t="s">
        <v>13</v>
      </c>
      <c r="D2542">
        <v>1.119E-3</v>
      </c>
      <c r="E2542">
        <f t="shared" si="78"/>
        <v>1.0011190000000001</v>
      </c>
      <c r="F2542" s="1">
        <f t="shared" si="79"/>
        <v>40952</v>
      </c>
      <c r="G2542" cm="1">
        <f t="array" ref="G2542">PRODUCT( _xlfn._xlws.FILTER($E:$E, ($C:$C=C2542)*($F:$F=F2542)) ) - 1</f>
        <v>-8.5831587056307557E-3</v>
      </c>
    </row>
    <row r="2543" spans="1:7" x14ac:dyDescent="0.2">
      <c r="A2543" s="1">
        <v>40953</v>
      </c>
      <c r="B2543">
        <v>0</v>
      </c>
      <c r="C2543" t="s">
        <v>13</v>
      </c>
      <c r="D2543">
        <v>-1.8599999999999999E-4</v>
      </c>
      <c r="E2543">
        <f t="shared" si="78"/>
        <v>0.99981399999999998</v>
      </c>
      <c r="F2543" s="1">
        <f t="shared" si="79"/>
        <v>40952</v>
      </c>
      <c r="G2543" cm="1">
        <f t="array" ref="G2543">PRODUCT( _xlfn._xlws.FILTER($E:$E, ($C:$C=C2543)*($F:$F=F2543)) ) - 1</f>
        <v>-8.5831587056307557E-3</v>
      </c>
    </row>
    <row r="2544" spans="1:7" x14ac:dyDescent="0.2">
      <c r="A2544" s="1">
        <v>40954</v>
      </c>
      <c r="B2544">
        <v>0</v>
      </c>
      <c r="C2544" t="s">
        <v>13</v>
      </c>
      <c r="D2544">
        <v>-3.542E-3</v>
      </c>
      <c r="E2544">
        <f t="shared" si="78"/>
        <v>0.99645799999999995</v>
      </c>
      <c r="F2544" s="1">
        <f t="shared" si="79"/>
        <v>40952</v>
      </c>
      <c r="G2544" cm="1">
        <f t="array" ref="G2544">PRODUCT( _xlfn._xlws.FILTER($E:$E, ($C:$C=C2544)*($F:$F=F2544)) ) - 1</f>
        <v>-8.5831587056307557E-3</v>
      </c>
    </row>
    <row r="2545" spans="1:7" x14ac:dyDescent="0.2">
      <c r="A2545" s="1">
        <v>40955</v>
      </c>
      <c r="B2545">
        <v>0</v>
      </c>
      <c r="C2545" t="s">
        <v>13</v>
      </c>
      <c r="D2545">
        <v>-1.8710000000000001E-3</v>
      </c>
      <c r="E2545">
        <f t="shared" si="78"/>
        <v>0.99812900000000004</v>
      </c>
      <c r="F2545" s="1">
        <f t="shared" si="79"/>
        <v>40952</v>
      </c>
      <c r="G2545" cm="1">
        <f t="array" ref="G2545">PRODUCT( _xlfn._xlws.FILTER($E:$E, ($C:$C=C2545)*($F:$F=F2545)) ) - 1</f>
        <v>-8.5831587056307557E-3</v>
      </c>
    </row>
    <row r="2546" spans="1:7" x14ac:dyDescent="0.2">
      <c r="A2546" s="1">
        <v>40956</v>
      </c>
      <c r="B2546">
        <v>0</v>
      </c>
      <c r="C2546" t="s">
        <v>13</v>
      </c>
      <c r="D2546">
        <v>-4.1229999999999999E-3</v>
      </c>
      <c r="E2546">
        <f t="shared" si="78"/>
        <v>0.99587700000000001</v>
      </c>
      <c r="F2546" s="1">
        <f t="shared" si="79"/>
        <v>40952</v>
      </c>
      <c r="G2546" cm="1">
        <f t="array" ref="G2546">PRODUCT( _xlfn._xlws.FILTER($E:$E, ($C:$C=C2546)*($F:$F=F2546)) ) - 1</f>
        <v>-8.5831587056307557E-3</v>
      </c>
    </row>
    <row r="2547" spans="1:7" x14ac:dyDescent="0.2">
      <c r="A2547" s="1">
        <v>40960</v>
      </c>
      <c r="B2547">
        <v>0</v>
      </c>
      <c r="C2547" t="s">
        <v>13</v>
      </c>
      <c r="D2547">
        <v>1.0914999999999999E-2</v>
      </c>
      <c r="E2547">
        <f t="shared" si="78"/>
        <v>1.010915</v>
      </c>
      <c r="F2547" s="1">
        <f t="shared" si="79"/>
        <v>40959</v>
      </c>
      <c r="G2547" cm="1">
        <f t="array" ref="G2547">PRODUCT( _xlfn._xlws.FILTER($E:$E, ($C:$C=C2547)*($F:$F=F2547)) ) - 1</f>
        <v>2.8604017871689535E-2</v>
      </c>
    </row>
    <row r="2548" spans="1:7" x14ac:dyDescent="0.2">
      <c r="A2548" s="1">
        <v>40961</v>
      </c>
      <c r="B2548">
        <v>0</v>
      </c>
      <c r="C2548" t="s">
        <v>13</v>
      </c>
      <c r="D2548">
        <v>1.1169E-2</v>
      </c>
      <c r="E2548">
        <f t="shared" si="78"/>
        <v>1.011169</v>
      </c>
      <c r="F2548" s="1">
        <f t="shared" si="79"/>
        <v>40959</v>
      </c>
      <c r="G2548" cm="1">
        <f t="array" ref="G2548">PRODUCT( _xlfn._xlws.FILTER($E:$E, ($C:$C=C2548)*($F:$F=F2548)) ) - 1</f>
        <v>2.8604017871689535E-2</v>
      </c>
    </row>
    <row r="2549" spans="1:7" x14ac:dyDescent="0.2">
      <c r="A2549" s="1">
        <v>40962</v>
      </c>
      <c r="B2549">
        <v>0</v>
      </c>
      <c r="C2549" t="s">
        <v>13</v>
      </c>
      <c r="D2549">
        <v>1.841E-3</v>
      </c>
      <c r="E2549">
        <f t="shared" si="78"/>
        <v>1.001841</v>
      </c>
      <c r="F2549" s="1">
        <f t="shared" si="79"/>
        <v>40959</v>
      </c>
      <c r="G2549" cm="1">
        <f t="array" ref="G2549">PRODUCT( _xlfn._xlws.FILTER($E:$E, ($C:$C=C2549)*($F:$F=F2549)) ) - 1</f>
        <v>2.8604017871689535E-2</v>
      </c>
    </row>
    <row r="2550" spans="1:7" x14ac:dyDescent="0.2">
      <c r="A2550" s="1">
        <v>40963</v>
      </c>
      <c r="B2550">
        <v>0</v>
      </c>
      <c r="C2550" t="s">
        <v>13</v>
      </c>
      <c r="D2550">
        <v>4.4099999999999999E-3</v>
      </c>
      <c r="E2550">
        <f t="shared" si="78"/>
        <v>1.00441</v>
      </c>
      <c r="F2550" s="1">
        <f t="shared" si="79"/>
        <v>40959</v>
      </c>
      <c r="G2550" cm="1">
        <f t="array" ref="G2550">PRODUCT( _xlfn._xlws.FILTER($E:$E, ($C:$C=C2550)*($F:$F=F2550)) ) - 1</f>
        <v>2.8604017871689535E-2</v>
      </c>
    </row>
    <row r="2551" spans="1:7" x14ac:dyDescent="0.2">
      <c r="A2551" s="1">
        <v>40966</v>
      </c>
      <c r="B2551">
        <v>0</v>
      </c>
      <c r="C2551" t="s">
        <v>13</v>
      </c>
      <c r="D2551">
        <v>6.7689999999999998E-3</v>
      </c>
      <c r="E2551">
        <f t="shared" si="78"/>
        <v>1.006769</v>
      </c>
      <c r="F2551" s="1">
        <f t="shared" si="79"/>
        <v>40966</v>
      </c>
      <c r="G2551" cm="1">
        <f t="array" ref="G2551">PRODUCT( _xlfn._xlws.FILTER($E:$E, ($C:$C=C2551)*($F:$F=F2551)) ) - 1</f>
        <v>3.1833176356969917E-2</v>
      </c>
    </row>
    <row r="2552" spans="1:7" x14ac:dyDescent="0.2">
      <c r="A2552" s="1">
        <v>40967</v>
      </c>
      <c r="B2552">
        <v>0</v>
      </c>
      <c r="C2552" t="s">
        <v>13</v>
      </c>
      <c r="D2552">
        <v>1.0721E-2</v>
      </c>
      <c r="E2552">
        <f t="shared" si="78"/>
        <v>1.010721</v>
      </c>
      <c r="F2552" s="1">
        <f t="shared" si="79"/>
        <v>40966</v>
      </c>
      <c r="G2552" cm="1">
        <f t="array" ref="G2552">PRODUCT( _xlfn._xlws.FILTER($E:$E, ($C:$C=C2552)*($F:$F=F2552)) ) - 1</f>
        <v>3.1833176356969917E-2</v>
      </c>
    </row>
    <row r="2553" spans="1:7" x14ac:dyDescent="0.2">
      <c r="A2553" s="1">
        <v>40968</v>
      </c>
      <c r="B2553">
        <v>0</v>
      </c>
      <c r="C2553" t="s">
        <v>13</v>
      </c>
      <c r="D2553">
        <v>1.0790000000000001E-3</v>
      </c>
      <c r="E2553">
        <f t="shared" si="78"/>
        <v>1.0010790000000001</v>
      </c>
      <c r="F2553" s="1">
        <f t="shared" si="79"/>
        <v>40966</v>
      </c>
      <c r="G2553" cm="1">
        <f t="array" ref="G2553">PRODUCT( _xlfn._xlws.FILTER($E:$E, ($C:$C=C2553)*($F:$F=F2553)) ) - 1</f>
        <v>3.1833176356969917E-2</v>
      </c>
    </row>
    <row r="2554" spans="1:7" x14ac:dyDescent="0.2">
      <c r="A2554" s="1">
        <v>40969</v>
      </c>
      <c r="B2554">
        <v>0</v>
      </c>
      <c r="C2554" t="s">
        <v>13</v>
      </c>
      <c r="D2554">
        <v>2.0115000000000001E-2</v>
      </c>
      <c r="E2554">
        <f t="shared" si="78"/>
        <v>1.0201150000000001</v>
      </c>
      <c r="F2554" s="1">
        <f t="shared" si="79"/>
        <v>40966</v>
      </c>
      <c r="G2554" cm="1">
        <f t="array" ref="G2554">PRODUCT( _xlfn._xlws.FILTER($E:$E, ($C:$C=C2554)*($F:$F=F2554)) ) - 1</f>
        <v>3.1833176356969917E-2</v>
      </c>
    </row>
    <row r="2555" spans="1:7" x14ac:dyDescent="0.2">
      <c r="A2555" s="1">
        <v>40970</v>
      </c>
      <c r="B2555">
        <v>0</v>
      </c>
      <c r="C2555" t="s">
        <v>13</v>
      </c>
      <c r="D2555">
        <v>-7.0419999999999996E-3</v>
      </c>
      <c r="E2555">
        <f t="shared" si="78"/>
        <v>0.99295800000000001</v>
      </c>
      <c r="F2555" s="1">
        <f t="shared" si="79"/>
        <v>40966</v>
      </c>
      <c r="G2555" cm="1">
        <f t="array" ref="G2555">PRODUCT( _xlfn._xlws.FILTER($E:$E, ($C:$C=C2555)*($F:$F=F2555)) ) - 1</f>
        <v>3.1833176356969917E-2</v>
      </c>
    </row>
    <row r="2556" spans="1:7" x14ac:dyDescent="0.2">
      <c r="A2556" s="1">
        <v>40973</v>
      </c>
      <c r="B2556">
        <v>0</v>
      </c>
      <c r="C2556" t="s">
        <v>13</v>
      </c>
      <c r="D2556">
        <v>6.5599999999999999E-3</v>
      </c>
      <c r="E2556">
        <f t="shared" si="78"/>
        <v>1.0065599999999999</v>
      </c>
      <c r="F2556" s="1">
        <f t="shared" si="79"/>
        <v>40973</v>
      </c>
      <c r="G2556" cm="1">
        <f t="array" ref="G2556">PRODUCT( _xlfn._xlws.FILTER($E:$E, ($C:$C=C2556)*($F:$F=F2556)) ) - 1</f>
        <v>8.1562183507239983E-3</v>
      </c>
    </row>
    <row r="2557" spans="1:7" x14ac:dyDescent="0.2">
      <c r="A2557" s="1">
        <v>40974</v>
      </c>
      <c r="B2557">
        <v>0</v>
      </c>
      <c r="C2557" t="s">
        <v>13</v>
      </c>
      <c r="D2557">
        <v>-1.0921E-2</v>
      </c>
      <c r="E2557">
        <f t="shared" si="78"/>
        <v>0.98907900000000004</v>
      </c>
      <c r="F2557" s="1">
        <f t="shared" si="79"/>
        <v>40973</v>
      </c>
      <c r="G2557" cm="1">
        <f t="array" ref="G2557">PRODUCT( _xlfn._xlws.FILTER($E:$E, ($C:$C=C2557)*($F:$F=F2557)) ) - 1</f>
        <v>8.1562183507239983E-3</v>
      </c>
    </row>
    <row r="2558" spans="1:7" x14ac:dyDescent="0.2">
      <c r="A2558" s="1">
        <v>40975</v>
      </c>
      <c r="B2558">
        <v>0</v>
      </c>
      <c r="C2558" t="s">
        <v>13</v>
      </c>
      <c r="D2558">
        <v>-6.411E-3</v>
      </c>
      <c r="E2558">
        <f t="shared" si="78"/>
        <v>0.99358900000000006</v>
      </c>
      <c r="F2558" s="1">
        <f t="shared" si="79"/>
        <v>40973</v>
      </c>
      <c r="G2558" cm="1">
        <f t="array" ref="G2558">PRODUCT( _xlfn._xlws.FILTER($E:$E, ($C:$C=C2558)*($F:$F=F2558)) ) - 1</f>
        <v>8.1562183507239983E-3</v>
      </c>
    </row>
    <row r="2559" spans="1:7" x14ac:dyDescent="0.2">
      <c r="A2559" s="1">
        <v>40976</v>
      </c>
      <c r="B2559">
        <v>0</v>
      </c>
      <c r="C2559" t="s">
        <v>13</v>
      </c>
      <c r="D2559">
        <v>2.0434000000000001E-2</v>
      </c>
      <c r="E2559">
        <f t="shared" si="78"/>
        <v>1.0204340000000001</v>
      </c>
      <c r="F2559" s="1">
        <f t="shared" si="79"/>
        <v>40973</v>
      </c>
      <c r="G2559" cm="1">
        <f t="array" ref="G2559">PRODUCT( _xlfn._xlws.FILTER($E:$E, ($C:$C=C2559)*($F:$F=F2559)) ) - 1</f>
        <v>8.1562183507239983E-3</v>
      </c>
    </row>
    <row r="2560" spans="1:7" x14ac:dyDescent="0.2">
      <c r="A2560" s="1">
        <v>40977</v>
      </c>
      <c r="B2560">
        <v>0</v>
      </c>
      <c r="C2560" t="s">
        <v>13</v>
      </c>
      <c r="D2560">
        <v>-1.23E-3</v>
      </c>
      <c r="E2560">
        <f t="shared" si="78"/>
        <v>0.99877000000000005</v>
      </c>
      <c r="F2560" s="1">
        <f t="shared" si="79"/>
        <v>40973</v>
      </c>
      <c r="G2560" cm="1">
        <f t="array" ref="G2560">PRODUCT( _xlfn._xlws.FILTER($E:$E, ($C:$C=C2560)*($F:$F=F2560)) ) - 1</f>
        <v>8.1562183507239983E-3</v>
      </c>
    </row>
    <row r="2561" spans="1:7" x14ac:dyDescent="0.2">
      <c r="A2561" s="1">
        <v>40980</v>
      </c>
      <c r="B2561">
        <v>0</v>
      </c>
      <c r="C2561" t="s">
        <v>13</v>
      </c>
      <c r="D2561">
        <v>-1.407E-3</v>
      </c>
      <c r="E2561">
        <f t="shared" si="78"/>
        <v>0.99859299999999995</v>
      </c>
      <c r="F2561" s="1">
        <f t="shared" si="79"/>
        <v>40980</v>
      </c>
      <c r="G2561" cm="1">
        <f t="array" ref="G2561">PRODUCT( _xlfn._xlws.FILTER($E:$E, ($C:$C=C2561)*($F:$F=F2561)) ) - 1</f>
        <v>2.0399978855453194E-2</v>
      </c>
    </row>
    <row r="2562" spans="1:7" x14ac:dyDescent="0.2">
      <c r="A2562" s="1">
        <v>40981</v>
      </c>
      <c r="B2562">
        <v>0</v>
      </c>
      <c r="C2562" t="s">
        <v>13</v>
      </c>
      <c r="D2562">
        <v>2.1486000000000002E-2</v>
      </c>
      <c r="E2562">
        <f t="shared" si="78"/>
        <v>1.0214859999999999</v>
      </c>
      <c r="F2562" s="1">
        <f t="shared" si="79"/>
        <v>40980</v>
      </c>
      <c r="G2562" cm="1">
        <f t="array" ref="G2562">PRODUCT( _xlfn._xlws.FILTER($E:$E, ($C:$C=C2562)*($F:$F=F2562)) ) - 1</f>
        <v>2.0399978855453194E-2</v>
      </c>
    </row>
    <row r="2563" spans="1:7" x14ac:dyDescent="0.2">
      <c r="A2563" s="1">
        <v>40982</v>
      </c>
      <c r="B2563">
        <v>0</v>
      </c>
      <c r="C2563" t="s">
        <v>13</v>
      </c>
      <c r="D2563">
        <v>-4.483E-3</v>
      </c>
      <c r="E2563">
        <f t="shared" si="78"/>
        <v>0.99551699999999999</v>
      </c>
      <c r="F2563" s="1">
        <f t="shared" si="79"/>
        <v>40980</v>
      </c>
      <c r="G2563" cm="1">
        <f t="array" ref="G2563">PRODUCT( _xlfn._xlws.FILTER($E:$E, ($C:$C=C2563)*($F:$F=F2563)) ) - 1</f>
        <v>2.0399978855453194E-2</v>
      </c>
    </row>
    <row r="2564" spans="1:7" x14ac:dyDescent="0.2">
      <c r="A2564" s="1">
        <v>40983</v>
      </c>
      <c r="B2564">
        <v>0</v>
      </c>
      <c r="C2564" t="s">
        <v>13</v>
      </c>
      <c r="D2564">
        <v>7.62E-3</v>
      </c>
      <c r="E2564">
        <f t="shared" ref="E2564:E2627" si="80">D2564+1</f>
        <v>1.00762</v>
      </c>
      <c r="F2564" s="1">
        <f t="shared" ref="F2564:F2627" si="81">A2564 - (WEEKDAY(A2564, 2) - 1)</f>
        <v>40980</v>
      </c>
      <c r="G2564" cm="1">
        <f t="array" ref="G2564">PRODUCT( _xlfn._xlws.FILTER($E:$E, ($C:$C=C2564)*($F:$F=F2564)) ) - 1</f>
        <v>2.0399978855453194E-2</v>
      </c>
    </row>
    <row r="2565" spans="1:7" x14ac:dyDescent="0.2">
      <c r="A2565" s="1">
        <v>40984</v>
      </c>
      <c r="B2565">
        <v>0</v>
      </c>
      <c r="C2565" t="s">
        <v>13</v>
      </c>
      <c r="D2565">
        <v>-2.7499999999999998E-3</v>
      </c>
      <c r="E2565">
        <f t="shared" si="80"/>
        <v>0.99724999999999997</v>
      </c>
      <c r="F2565" s="1">
        <f t="shared" si="81"/>
        <v>40980</v>
      </c>
      <c r="G2565" cm="1">
        <f t="array" ref="G2565">PRODUCT( _xlfn._xlws.FILTER($E:$E, ($C:$C=C2565)*($F:$F=F2565)) ) - 1</f>
        <v>2.0399978855453194E-2</v>
      </c>
    </row>
    <row r="2566" spans="1:7" x14ac:dyDescent="0.2">
      <c r="A2566" s="1">
        <v>40987</v>
      </c>
      <c r="B2566">
        <v>0</v>
      </c>
      <c r="C2566" t="s">
        <v>13</v>
      </c>
      <c r="D2566">
        <v>4.1359999999999999E-3</v>
      </c>
      <c r="E2566">
        <f t="shared" si="80"/>
        <v>1.0041359999999999</v>
      </c>
      <c r="F2566" s="1">
        <f t="shared" si="81"/>
        <v>40987</v>
      </c>
      <c r="G2566" cm="1">
        <f t="array" ref="G2566">PRODUCT( _xlfn._xlws.FILTER($E:$E, ($C:$C=C2566)*($F:$F=F2566)) ) - 1</f>
        <v>-3.4560467157851438E-4</v>
      </c>
    </row>
    <row r="2567" spans="1:7" x14ac:dyDescent="0.2">
      <c r="A2567" s="1">
        <v>40988</v>
      </c>
      <c r="B2567">
        <v>0</v>
      </c>
      <c r="C2567" t="s">
        <v>13</v>
      </c>
      <c r="D2567">
        <v>-1.8879999999999999E-3</v>
      </c>
      <c r="E2567">
        <f t="shared" si="80"/>
        <v>0.998112</v>
      </c>
      <c r="F2567" s="1">
        <f t="shared" si="81"/>
        <v>40987</v>
      </c>
      <c r="G2567" cm="1">
        <f t="array" ref="G2567">PRODUCT( _xlfn._xlws.FILTER($E:$E, ($C:$C=C2567)*($F:$F=F2567)) ) - 1</f>
        <v>-3.4560467157851438E-4</v>
      </c>
    </row>
    <row r="2568" spans="1:7" x14ac:dyDescent="0.2">
      <c r="A2568" s="1">
        <v>40989</v>
      </c>
      <c r="B2568">
        <v>0</v>
      </c>
      <c r="C2568" t="s">
        <v>13</v>
      </c>
      <c r="D2568">
        <v>-1.7200000000000001E-4</v>
      </c>
      <c r="E2568">
        <f t="shared" si="80"/>
        <v>0.99982800000000005</v>
      </c>
      <c r="F2568" s="1">
        <f t="shared" si="81"/>
        <v>40987</v>
      </c>
      <c r="G2568" cm="1">
        <f t="array" ref="G2568">PRODUCT( _xlfn._xlws.FILTER($E:$E, ($C:$C=C2568)*($F:$F=F2568)) ) - 1</f>
        <v>-3.4560467157851438E-4</v>
      </c>
    </row>
    <row r="2569" spans="1:7" x14ac:dyDescent="0.2">
      <c r="A2569" s="1">
        <v>40990</v>
      </c>
      <c r="B2569">
        <v>0</v>
      </c>
      <c r="C2569" t="s">
        <v>13</v>
      </c>
      <c r="D2569">
        <v>-4.6439999999999997E-3</v>
      </c>
      <c r="E2569">
        <f t="shared" si="80"/>
        <v>0.99535600000000002</v>
      </c>
      <c r="F2569" s="1">
        <f t="shared" si="81"/>
        <v>40987</v>
      </c>
      <c r="G2569" cm="1">
        <f t="array" ref="G2569">PRODUCT( _xlfn._xlws.FILTER($E:$E, ($C:$C=C2569)*($F:$F=F2569)) ) - 1</f>
        <v>-3.4560467157851438E-4</v>
      </c>
    </row>
    <row r="2570" spans="1:7" x14ac:dyDescent="0.2">
      <c r="A2570" s="1">
        <v>40991</v>
      </c>
      <c r="B2570">
        <v>0</v>
      </c>
      <c r="C2570" t="s">
        <v>13</v>
      </c>
      <c r="D2570">
        <v>2.2460000000000002E-3</v>
      </c>
      <c r="E2570">
        <f t="shared" si="80"/>
        <v>1.002246</v>
      </c>
      <c r="F2570" s="1">
        <f t="shared" si="81"/>
        <v>40987</v>
      </c>
      <c r="G2570" cm="1">
        <f t="array" ref="G2570">PRODUCT( _xlfn._xlws.FILTER($E:$E, ($C:$C=C2570)*($F:$F=F2570)) ) - 1</f>
        <v>-3.4560467157851438E-4</v>
      </c>
    </row>
    <row r="2571" spans="1:7" x14ac:dyDescent="0.2">
      <c r="A2571" s="1">
        <v>40994</v>
      </c>
      <c r="B2571">
        <v>0</v>
      </c>
      <c r="C2571" t="s">
        <v>13</v>
      </c>
      <c r="D2571">
        <v>1.1552E-2</v>
      </c>
      <c r="E2571">
        <f t="shared" si="80"/>
        <v>1.011552</v>
      </c>
      <c r="F2571" s="1">
        <f t="shared" si="81"/>
        <v>40994</v>
      </c>
      <c r="G2571" cm="1">
        <f t="array" ref="G2571">PRODUCT( _xlfn._xlws.FILTER($E:$E, ($C:$C=C2571)*($F:$F=F2571)) ) - 1</f>
        <v>-3.2755531541673877E-3</v>
      </c>
    </row>
    <row r="2572" spans="1:7" x14ac:dyDescent="0.2">
      <c r="A2572" s="1">
        <v>40995</v>
      </c>
      <c r="B2572">
        <v>0</v>
      </c>
      <c r="C2572" t="s">
        <v>13</v>
      </c>
      <c r="D2572">
        <v>1.193E-3</v>
      </c>
      <c r="E2572">
        <f t="shared" si="80"/>
        <v>1.001193</v>
      </c>
      <c r="F2572" s="1">
        <f t="shared" si="81"/>
        <v>40994</v>
      </c>
      <c r="G2572" cm="1">
        <f t="array" ref="G2572">PRODUCT( _xlfn._xlws.FILTER($E:$E, ($C:$C=C2572)*($F:$F=F2572)) ) - 1</f>
        <v>-3.2755531541673877E-3</v>
      </c>
    </row>
    <row r="2573" spans="1:7" x14ac:dyDescent="0.2">
      <c r="A2573" s="1">
        <v>40996</v>
      </c>
      <c r="B2573">
        <v>0</v>
      </c>
      <c r="C2573" t="s">
        <v>13</v>
      </c>
      <c r="D2573">
        <v>6.8099999999999996E-4</v>
      </c>
      <c r="E2573">
        <f t="shared" si="80"/>
        <v>1.0006809999999999</v>
      </c>
      <c r="F2573" s="1">
        <f t="shared" si="81"/>
        <v>40994</v>
      </c>
      <c r="G2573" cm="1">
        <f t="array" ref="G2573">PRODUCT( _xlfn._xlws.FILTER($E:$E, ($C:$C=C2573)*($F:$F=F2573)) ) - 1</f>
        <v>-3.2755531541673877E-3</v>
      </c>
    </row>
    <row r="2574" spans="1:7" x14ac:dyDescent="0.2">
      <c r="A2574" s="1">
        <v>40997</v>
      </c>
      <c r="B2574">
        <v>0</v>
      </c>
      <c r="C2574" t="s">
        <v>13</v>
      </c>
      <c r="D2574">
        <v>-1.3610000000000001E-2</v>
      </c>
      <c r="E2574">
        <f t="shared" si="80"/>
        <v>0.98638999999999999</v>
      </c>
      <c r="F2574" s="1">
        <f t="shared" si="81"/>
        <v>40994</v>
      </c>
      <c r="G2574" cm="1">
        <f t="array" ref="G2574">PRODUCT( _xlfn._xlws.FILTER($E:$E, ($C:$C=C2574)*($F:$F=F2574)) ) - 1</f>
        <v>-3.2755531541673877E-3</v>
      </c>
    </row>
    <row r="2575" spans="1:7" x14ac:dyDescent="0.2">
      <c r="A2575" s="1">
        <v>40998</v>
      </c>
      <c r="B2575">
        <v>0</v>
      </c>
      <c r="C2575" t="s">
        <v>13</v>
      </c>
      <c r="D2575">
        <v>-2.9320000000000001E-3</v>
      </c>
      <c r="E2575">
        <f t="shared" si="80"/>
        <v>0.99706799999999995</v>
      </c>
      <c r="F2575" s="1">
        <f t="shared" si="81"/>
        <v>40994</v>
      </c>
      <c r="G2575" cm="1">
        <f t="array" ref="G2575">PRODUCT( _xlfn._xlws.FILTER($E:$E, ($C:$C=C2575)*($F:$F=F2575)) ) - 1</f>
        <v>-3.2755531541673877E-3</v>
      </c>
    </row>
    <row r="2576" spans="1:7" x14ac:dyDescent="0.2">
      <c r="A2576" s="1">
        <v>41001</v>
      </c>
      <c r="B2576">
        <v>0</v>
      </c>
      <c r="C2576" t="s">
        <v>13</v>
      </c>
      <c r="D2576">
        <v>1.6087000000000001E-2</v>
      </c>
      <c r="E2576">
        <f t="shared" si="80"/>
        <v>1.016087</v>
      </c>
      <c r="F2576" s="1">
        <f t="shared" si="81"/>
        <v>41001</v>
      </c>
      <c r="G2576" cm="1">
        <f t="array" ref="G2576">PRODUCT( _xlfn._xlws.FILTER($E:$E, ($C:$C=C2576)*($F:$F=F2576)) ) - 1</f>
        <v>-1.4704367722933931E-2</v>
      </c>
    </row>
    <row r="2577" spans="1:7" x14ac:dyDescent="0.2">
      <c r="A2577" s="1">
        <v>41002</v>
      </c>
      <c r="B2577">
        <v>0</v>
      </c>
      <c r="C2577" t="s">
        <v>13</v>
      </c>
      <c r="D2577">
        <v>-2.792E-2</v>
      </c>
      <c r="E2577">
        <f t="shared" si="80"/>
        <v>0.97208000000000006</v>
      </c>
      <c r="F2577" s="1">
        <f t="shared" si="81"/>
        <v>41001</v>
      </c>
      <c r="G2577" cm="1">
        <f t="array" ref="G2577">PRODUCT( _xlfn._xlws.FILTER($E:$E, ($C:$C=C2577)*($F:$F=F2577)) ) - 1</f>
        <v>-1.4704367722933931E-2</v>
      </c>
    </row>
    <row r="2578" spans="1:7" x14ac:dyDescent="0.2">
      <c r="A2578" s="1">
        <v>41003</v>
      </c>
      <c r="B2578">
        <v>0</v>
      </c>
      <c r="C2578" t="s">
        <v>13</v>
      </c>
      <c r="D2578">
        <v>1.5759999999999999E-3</v>
      </c>
      <c r="E2578">
        <f t="shared" si="80"/>
        <v>1.001576</v>
      </c>
      <c r="F2578" s="1">
        <f t="shared" si="81"/>
        <v>41001</v>
      </c>
      <c r="G2578" cm="1">
        <f t="array" ref="G2578">PRODUCT( _xlfn._xlws.FILTER($E:$E, ($C:$C=C2578)*($F:$F=F2578)) ) - 1</f>
        <v>-1.4704367722933931E-2</v>
      </c>
    </row>
    <row r="2579" spans="1:7" x14ac:dyDescent="0.2">
      <c r="A2579" s="1">
        <v>41004</v>
      </c>
      <c r="B2579">
        <v>0</v>
      </c>
      <c r="C2579" t="s">
        <v>13</v>
      </c>
      <c r="D2579">
        <v>-4.0220000000000004E-3</v>
      </c>
      <c r="E2579">
        <f t="shared" si="80"/>
        <v>0.99597800000000003</v>
      </c>
      <c r="F2579" s="1">
        <f t="shared" si="81"/>
        <v>41001</v>
      </c>
      <c r="G2579" cm="1">
        <f t="array" ref="G2579">PRODUCT( _xlfn._xlws.FILTER($E:$E, ($C:$C=C2579)*($F:$F=F2579)) ) - 1</f>
        <v>-1.4704367722933931E-2</v>
      </c>
    </row>
    <row r="2580" spans="1:7" x14ac:dyDescent="0.2">
      <c r="A2580" s="1">
        <v>41008</v>
      </c>
      <c r="B2580">
        <v>0</v>
      </c>
      <c r="C2580" t="s">
        <v>13</v>
      </c>
      <c r="D2580">
        <v>-7.1980000000000004E-3</v>
      </c>
      <c r="E2580">
        <f t="shared" si="80"/>
        <v>0.99280199999999996</v>
      </c>
      <c r="F2580" s="1">
        <f t="shared" si="81"/>
        <v>41008</v>
      </c>
      <c r="G2580" cm="1">
        <f t="array" ref="G2580">PRODUCT( _xlfn._xlws.FILTER($E:$E, ($C:$C=C2580)*($F:$F=F2580)) ) - 1</f>
        <v>-1.8959916135414812E-2</v>
      </c>
    </row>
    <row r="2581" spans="1:7" x14ac:dyDescent="0.2">
      <c r="A2581" s="1">
        <v>41009</v>
      </c>
      <c r="B2581">
        <v>0</v>
      </c>
      <c r="C2581" t="s">
        <v>13</v>
      </c>
      <c r="D2581">
        <v>-1.061E-2</v>
      </c>
      <c r="E2581">
        <f t="shared" si="80"/>
        <v>0.98938999999999999</v>
      </c>
      <c r="F2581" s="1">
        <f t="shared" si="81"/>
        <v>41008</v>
      </c>
      <c r="G2581" cm="1">
        <f t="array" ref="G2581">PRODUCT( _xlfn._xlws.FILTER($E:$E, ($C:$C=C2581)*($F:$F=F2581)) ) - 1</f>
        <v>-1.8959916135414812E-2</v>
      </c>
    </row>
    <row r="2582" spans="1:7" x14ac:dyDescent="0.2">
      <c r="A2582" s="1">
        <v>41010</v>
      </c>
      <c r="B2582">
        <v>0</v>
      </c>
      <c r="C2582" t="s">
        <v>13</v>
      </c>
      <c r="D2582">
        <v>6.2560000000000003E-3</v>
      </c>
      <c r="E2582">
        <f t="shared" si="80"/>
        <v>1.006256</v>
      </c>
      <c r="F2582" s="1">
        <f t="shared" si="81"/>
        <v>41008</v>
      </c>
      <c r="G2582" cm="1">
        <f t="array" ref="G2582">PRODUCT( _xlfn._xlws.FILTER($E:$E, ($C:$C=C2582)*($F:$F=F2582)) ) - 1</f>
        <v>-1.8959916135414812E-2</v>
      </c>
    </row>
    <row r="2583" spans="1:7" x14ac:dyDescent="0.2">
      <c r="A2583" s="1">
        <v>41011</v>
      </c>
      <c r="B2583">
        <v>0</v>
      </c>
      <c r="C2583" t="s">
        <v>13</v>
      </c>
      <c r="D2583">
        <v>9.2359999999999994E-3</v>
      </c>
      <c r="E2583">
        <f t="shared" si="80"/>
        <v>1.009236</v>
      </c>
      <c r="F2583" s="1">
        <f t="shared" si="81"/>
        <v>41008</v>
      </c>
      <c r="G2583" cm="1">
        <f t="array" ref="G2583">PRODUCT( _xlfn._xlws.FILTER($E:$E, ($C:$C=C2583)*($F:$F=F2583)) ) - 1</f>
        <v>-1.8959916135414812E-2</v>
      </c>
    </row>
    <row r="2584" spans="1:7" x14ac:dyDescent="0.2">
      <c r="A2584" s="1">
        <v>41012</v>
      </c>
      <c r="B2584">
        <v>0</v>
      </c>
      <c r="C2584" t="s">
        <v>13</v>
      </c>
      <c r="D2584">
        <v>-1.6542999999999999E-2</v>
      </c>
      <c r="E2584">
        <f t="shared" si="80"/>
        <v>0.98345700000000003</v>
      </c>
      <c r="F2584" s="1">
        <f t="shared" si="81"/>
        <v>41008</v>
      </c>
      <c r="G2584" cm="1">
        <f t="array" ref="G2584">PRODUCT( _xlfn._xlws.FILTER($E:$E, ($C:$C=C2584)*($F:$F=F2584)) ) - 1</f>
        <v>-1.8959916135414812E-2</v>
      </c>
    </row>
    <row r="2585" spans="1:7" x14ac:dyDescent="0.2">
      <c r="A2585" s="1">
        <v>41015</v>
      </c>
      <c r="B2585">
        <v>0</v>
      </c>
      <c r="C2585" t="s">
        <v>13</v>
      </c>
      <c r="D2585">
        <v>7.3369999999999998E-3</v>
      </c>
      <c r="E2585">
        <f t="shared" si="80"/>
        <v>1.0073369999999999</v>
      </c>
      <c r="F2585" s="1">
        <f t="shared" si="81"/>
        <v>41015</v>
      </c>
      <c r="G2585" cm="1">
        <f t="array" ref="G2585">PRODUCT( _xlfn._xlws.FILTER($E:$E, ($C:$C=C2585)*($F:$F=F2585)) ) - 1</f>
        <v>2.2727823871930619E-2</v>
      </c>
    </row>
    <row r="2586" spans="1:7" x14ac:dyDescent="0.2">
      <c r="A2586" s="1">
        <v>41016</v>
      </c>
      <c r="B2586">
        <v>0</v>
      </c>
      <c r="C2586" t="s">
        <v>13</v>
      </c>
      <c r="D2586">
        <v>8.7049999999999992E-3</v>
      </c>
      <c r="E2586">
        <f t="shared" si="80"/>
        <v>1.008705</v>
      </c>
      <c r="F2586" s="1">
        <f t="shared" si="81"/>
        <v>41015</v>
      </c>
      <c r="G2586" cm="1">
        <f t="array" ref="G2586">PRODUCT( _xlfn._xlws.FILTER($E:$E, ($C:$C=C2586)*($F:$F=F2586)) ) - 1</f>
        <v>2.2727823871930619E-2</v>
      </c>
    </row>
    <row r="2587" spans="1:7" x14ac:dyDescent="0.2">
      <c r="A2587" s="1">
        <v>41017</v>
      </c>
      <c r="B2587">
        <v>0</v>
      </c>
      <c r="C2587" t="s">
        <v>13</v>
      </c>
      <c r="D2587">
        <v>3.1700000000000001E-3</v>
      </c>
      <c r="E2587">
        <f t="shared" si="80"/>
        <v>1.0031699999999999</v>
      </c>
      <c r="F2587" s="1">
        <f t="shared" si="81"/>
        <v>41015</v>
      </c>
      <c r="G2587" cm="1">
        <f t="array" ref="G2587">PRODUCT( _xlfn._xlws.FILTER($E:$E, ($C:$C=C2587)*($F:$F=F2587)) ) - 1</f>
        <v>2.2727823871930619E-2</v>
      </c>
    </row>
    <row r="2588" spans="1:7" x14ac:dyDescent="0.2">
      <c r="A2588" s="1">
        <v>41018</v>
      </c>
      <c r="B2588">
        <v>0</v>
      </c>
      <c r="C2588" t="s">
        <v>13</v>
      </c>
      <c r="D2588">
        <v>4.5649999999999996E-3</v>
      </c>
      <c r="E2588">
        <f t="shared" si="80"/>
        <v>1.0045649999999999</v>
      </c>
      <c r="F2588" s="1">
        <f t="shared" si="81"/>
        <v>41015</v>
      </c>
      <c r="G2588" cm="1">
        <f t="array" ref="G2588">PRODUCT( _xlfn._xlws.FILTER($E:$E, ($C:$C=C2588)*($F:$F=F2588)) ) - 1</f>
        <v>2.2727823871930619E-2</v>
      </c>
    </row>
    <row r="2589" spans="1:7" x14ac:dyDescent="0.2">
      <c r="A2589" s="1">
        <v>41019</v>
      </c>
      <c r="B2589">
        <v>0</v>
      </c>
      <c r="C2589" t="s">
        <v>13</v>
      </c>
      <c r="D2589">
        <v>-1.2229999999999999E-3</v>
      </c>
      <c r="E2589">
        <f t="shared" si="80"/>
        <v>0.99877700000000003</v>
      </c>
      <c r="F2589" s="1">
        <f t="shared" si="81"/>
        <v>41015</v>
      </c>
      <c r="G2589" cm="1">
        <f t="array" ref="G2589">PRODUCT( _xlfn._xlws.FILTER($E:$E, ($C:$C=C2589)*($F:$F=F2589)) ) - 1</f>
        <v>2.2727823871930619E-2</v>
      </c>
    </row>
    <row r="2590" spans="1:7" x14ac:dyDescent="0.2">
      <c r="A2590" s="1">
        <v>41022</v>
      </c>
      <c r="B2590">
        <v>0</v>
      </c>
      <c r="C2590" t="s">
        <v>13</v>
      </c>
      <c r="D2590">
        <v>-1.4E-3</v>
      </c>
      <c r="E2590">
        <f t="shared" si="80"/>
        <v>0.99860000000000004</v>
      </c>
      <c r="F2590" s="1">
        <f t="shared" si="81"/>
        <v>41022</v>
      </c>
      <c r="G2590" cm="1">
        <f t="array" ref="G2590">PRODUCT( _xlfn._xlws.FILTER($E:$E, ($C:$C=C2590)*($F:$F=F2590)) ) - 1</f>
        <v>7.967191322239886E-3</v>
      </c>
    </row>
    <row r="2591" spans="1:7" x14ac:dyDescent="0.2">
      <c r="A2591" s="1">
        <v>41023</v>
      </c>
      <c r="B2591">
        <v>0</v>
      </c>
      <c r="C2591" t="s">
        <v>13</v>
      </c>
      <c r="D2591">
        <v>7.0799999999999997E-4</v>
      </c>
      <c r="E2591">
        <f t="shared" si="80"/>
        <v>1.0007079999999999</v>
      </c>
      <c r="F2591" s="1">
        <f t="shared" si="81"/>
        <v>41022</v>
      </c>
      <c r="G2591" cm="1">
        <f t="array" ref="G2591">PRODUCT( _xlfn._xlws.FILTER($E:$E, ($C:$C=C2591)*($F:$F=F2591)) ) - 1</f>
        <v>7.967191322239886E-3</v>
      </c>
    </row>
    <row r="2592" spans="1:7" x14ac:dyDescent="0.2">
      <c r="A2592" s="1">
        <v>41024</v>
      </c>
      <c r="B2592">
        <v>0</v>
      </c>
      <c r="C2592" t="s">
        <v>13</v>
      </c>
      <c r="D2592">
        <v>6.3670000000000003E-3</v>
      </c>
      <c r="E2592">
        <f t="shared" si="80"/>
        <v>1.006367</v>
      </c>
      <c r="F2592" s="1">
        <f t="shared" si="81"/>
        <v>41022</v>
      </c>
      <c r="G2592" cm="1">
        <f t="array" ref="G2592">PRODUCT( _xlfn._xlws.FILTER($E:$E, ($C:$C=C2592)*($F:$F=F2592)) ) - 1</f>
        <v>7.967191322239886E-3</v>
      </c>
    </row>
    <row r="2593" spans="1:7" x14ac:dyDescent="0.2">
      <c r="A2593" s="1">
        <v>41025</v>
      </c>
      <c r="B2593">
        <v>0</v>
      </c>
      <c r="C2593" t="s">
        <v>13</v>
      </c>
      <c r="D2593">
        <v>-5.4479999999999997E-3</v>
      </c>
      <c r="E2593">
        <f t="shared" si="80"/>
        <v>0.99455199999999999</v>
      </c>
      <c r="F2593" s="1">
        <f t="shared" si="81"/>
        <v>41022</v>
      </c>
      <c r="G2593" cm="1">
        <f t="array" ref="G2593">PRODUCT( _xlfn._xlws.FILTER($E:$E, ($C:$C=C2593)*($F:$F=F2593)) ) - 1</f>
        <v>7.967191322239886E-3</v>
      </c>
    </row>
    <row r="2594" spans="1:7" x14ac:dyDescent="0.2">
      <c r="A2594" s="1">
        <v>41026</v>
      </c>
      <c r="B2594">
        <v>0</v>
      </c>
      <c r="C2594" t="s">
        <v>13</v>
      </c>
      <c r="D2594">
        <v>7.7749999999999998E-3</v>
      </c>
      <c r="E2594">
        <f t="shared" si="80"/>
        <v>1.0077750000000001</v>
      </c>
      <c r="F2594" s="1">
        <f t="shared" si="81"/>
        <v>41022</v>
      </c>
      <c r="G2594" cm="1">
        <f t="array" ref="G2594">PRODUCT( _xlfn._xlws.FILTER($E:$E, ($C:$C=C2594)*($F:$F=F2594)) ) - 1</f>
        <v>7.967191322239886E-3</v>
      </c>
    </row>
    <row r="2595" spans="1:7" x14ac:dyDescent="0.2">
      <c r="A2595" s="1">
        <v>41029</v>
      </c>
      <c r="B2595">
        <v>0</v>
      </c>
      <c r="C2595" t="s">
        <v>13</v>
      </c>
      <c r="D2595">
        <v>1.052E-3</v>
      </c>
      <c r="E2595">
        <f t="shared" si="80"/>
        <v>1.0010520000000001</v>
      </c>
      <c r="F2595" s="1">
        <f t="shared" si="81"/>
        <v>41029</v>
      </c>
      <c r="G2595" cm="1">
        <f t="array" ref="G2595">PRODUCT( _xlfn._xlws.FILTER($E:$E, ($C:$C=C2595)*($F:$F=F2595)) ) - 1</f>
        <v>-3.629684377485376E-2</v>
      </c>
    </row>
    <row r="2596" spans="1:7" x14ac:dyDescent="0.2">
      <c r="A2596" s="1">
        <v>41030</v>
      </c>
      <c r="B2596">
        <v>0</v>
      </c>
      <c r="C2596" t="s">
        <v>13</v>
      </c>
      <c r="D2596">
        <v>-4.2040000000000003E-3</v>
      </c>
      <c r="E2596">
        <f t="shared" si="80"/>
        <v>0.99579600000000001</v>
      </c>
      <c r="F2596" s="1">
        <f t="shared" si="81"/>
        <v>41029</v>
      </c>
      <c r="G2596" cm="1">
        <f t="array" ref="G2596">PRODUCT( _xlfn._xlws.FILTER($E:$E, ($C:$C=C2596)*($F:$F=F2596)) ) - 1</f>
        <v>-3.629684377485376E-2</v>
      </c>
    </row>
    <row r="2597" spans="1:7" x14ac:dyDescent="0.2">
      <c r="A2597" s="1">
        <v>41031</v>
      </c>
      <c r="B2597">
        <v>0</v>
      </c>
      <c r="C2597" t="s">
        <v>13</v>
      </c>
      <c r="D2597">
        <v>-8.6189999999999999E-3</v>
      </c>
      <c r="E2597">
        <f t="shared" si="80"/>
        <v>0.99138099999999996</v>
      </c>
      <c r="F2597" s="1">
        <f t="shared" si="81"/>
        <v>41029</v>
      </c>
      <c r="G2597" cm="1">
        <f t="array" ref="G2597">PRODUCT( _xlfn._xlws.FILTER($E:$E, ($C:$C=C2597)*($F:$F=F2597)) ) - 1</f>
        <v>-3.629684377485376E-2</v>
      </c>
    </row>
    <row r="2598" spans="1:7" x14ac:dyDescent="0.2">
      <c r="A2598" s="1">
        <v>41032</v>
      </c>
      <c r="B2598">
        <v>0</v>
      </c>
      <c r="C2598" t="s">
        <v>13</v>
      </c>
      <c r="D2598">
        <v>-9.4039999999999992E-3</v>
      </c>
      <c r="E2598">
        <f t="shared" si="80"/>
        <v>0.99059600000000003</v>
      </c>
      <c r="F2598" s="1">
        <f t="shared" si="81"/>
        <v>41029</v>
      </c>
      <c r="G2598" cm="1">
        <f t="array" ref="G2598">PRODUCT( _xlfn._xlws.FILTER($E:$E, ($C:$C=C2598)*($F:$F=F2598)) ) - 1</f>
        <v>-3.629684377485376E-2</v>
      </c>
    </row>
    <row r="2599" spans="1:7" x14ac:dyDescent="0.2">
      <c r="A2599" s="1">
        <v>41033</v>
      </c>
      <c r="B2599">
        <v>0</v>
      </c>
      <c r="C2599" t="s">
        <v>13</v>
      </c>
      <c r="D2599">
        <v>-1.5583E-2</v>
      </c>
      <c r="E2599">
        <f t="shared" si="80"/>
        <v>0.98441699999999999</v>
      </c>
      <c r="F2599" s="1">
        <f t="shared" si="81"/>
        <v>41029</v>
      </c>
      <c r="G2599" cm="1">
        <f t="array" ref="G2599">PRODUCT( _xlfn._xlws.FILTER($E:$E, ($C:$C=C2599)*($F:$F=F2599)) ) - 1</f>
        <v>-3.629684377485376E-2</v>
      </c>
    </row>
    <row r="2600" spans="1:7" x14ac:dyDescent="0.2">
      <c r="A2600" s="1">
        <v>41036</v>
      </c>
      <c r="B2600">
        <v>0</v>
      </c>
      <c r="C2600" t="s">
        <v>13</v>
      </c>
      <c r="D2600">
        <v>9.1E-4</v>
      </c>
      <c r="E2600">
        <f t="shared" si="80"/>
        <v>1.00091</v>
      </c>
      <c r="F2600" s="1">
        <f t="shared" si="81"/>
        <v>41036</v>
      </c>
      <c r="G2600" cm="1">
        <f t="array" ref="G2600">PRODUCT( _xlfn._xlws.FILTER($E:$E, ($C:$C=C2600)*($F:$F=F2600)) ) - 1</f>
        <v>-1.7465956568859298E-2</v>
      </c>
    </row>
    <row r="2601" spans="1:7" x14ac:dyDescent="0.2">
      <c r="A2601" s="1">
        <v>41037</v>
      </c>
      <c r="B2601">
        <v>0</v>
      </c>
      <c r="C2601" t="s">
        <v>13</v>
      </c>
      <c r="D2601">
        <v>-1.6723999999999999E-2</v>
      </c>
      <c r="E2601">
        <f t="shared" si="80"/>
        <v>0.98327600000000004</v>
      </c>
      <c r="F2601" s="1">
        <f t="shared" si="81"/>
        <v>41036</v>
      </c>
      <c r="G2601" cm="1">
        <f t="array" ref="G2601">PRODUCT( _xlfn._xlws.FILTER($E:$E, ($C:$C=C2601)*($F:$F=F2601)) ) - 1</f>
        <v>-1.7465956568859298E-2</v>
      </c>
    </row>
    <row r="2602" spans="1:7" x14ac:dyDescent="0.2">
      <c r="A2602" s="1">
        <v>41038</v>
      </c>
      <c r="B2602">
        <v>0</v>
      </c>
      <c r="C2602" t="s">
        <v>13</v>
      </c>
      <c r="D2602">
        <v>-1.3311E-2</v>
      </c>
      <c r="E2602">
        <f t="shared" si="80"/>
        <v>0.98668900000000004</v>
      </c>
      <c r="F2602" s="1">
        <f t="shared" si="81"/>
        <v>41036</v>
      </c>
      <c r="G2602" cm="1">
        <f t="array" ref="G2602">PRODUCT( _xlfn._xlws.FILTER($E:$E, ($C:$C=C2602)*($F:$F=F2602)) ) - 1</f>
        <v>-1.7465956568859298E-2</v>
      </c>
    </row>
    <row r="2603" spans="1:7" x14ac:dyDescent="0.2">
      <c r="A2603" s="1">
        <v>41039</v>
      </c>
      <c r="B2603">
        <v>0</v>
      </c>
      <c r="C2603" t="s">
        <v>13</v>
      </c>
      <c r="D2603">
        <v>1.0867999999999999E-2</v>
      </c>
      <c r="E2603">
        <f t="shared" si="80"/>
        <v>1.0108680000000001</v>
      </c>
      <c r="F2603" s="1">
        <f t="shared" si="81"/>
        <v>41036</v>
      </c>
      <c r="G2603" cm="1">
        <f t="array" ref="G2603">PRODUCT( _xlfn._xlws.FILTER($E:$E, ($C:$C=C2603)*($F:$F=F2603)) ) - 1</f>
        <v>-1.7465956568859298E-2</v>
      </c>
    </row>
    <row r="2604" spans="1:7" x14ac:dyDescent="0.2">
      <c r="A2604" s="1">
        <v>41040</v>
      </c>
      <c r="B2604">
        <v>0</v>
      </c>
      <c r="C2604" t="s">
        <v>13</v>
      </c>
      <c r="D2604">
        <v>9.2699999999999998E-4</v>
      </c>
      <c r="E2604">
        <f t="shared" si="80"/>
        <v>1.0009269999999999</v>
      </c>
      <c r="F2604" s="1">
        <f t="shared" si="81"/>
        <v>41036</v>
      </c>
      <c r="G2604" cm="1">
        <f t="array" ref="G2604">PRODUCT( _xlfn._xlws.FILTER($E:$E, ($C:$C=C2604)*($F:$F=F2604)) ) - 1</f>
        <v>-1.7465956568859298E-2</v>
      </c>
    </row>
    <row r="2605" spans="1:7" x14ac:dyDescent="0.2">
      <c r="A2605" s="1">
        <v>41043</v>
      </c>
      <c r="B2605">
        <v>0</v>
      </c>
      <c r="C2605" t="s">
        <v>13</v>
      </c>
      <c r="D2605">
        <v>-1.4444E-2</v>
      </c>
      <c r="E2605">
        <f t="shared" si="80"/>
        <v>0.98555599999999999</v>
      </c>
      <c r="F2605" s="1">
        <f t="shared" si="81"/>
        <v>41043</v>
      </c>
      <c r="G2605" cm="1">
        <f t="array" ref="G2605">PRODUCT( _xlfn._xlws.FILTER($E:$E, ($C:$C=C2605)*($F:$F=F2605)) ) - 1</f>
        <v>-4.2592173561187163E-2</v>
      </c>
    </row>
    <row r="2606" spans="1:7" x14ac:dyDescent="0.2">
      <c r="A2606" s="1">
        <v>41044</v>
      </c>
      <c r="B2606">
        <v>0</v>
      </c>
      <c r="C2606" t="s">
        <v>13</v>
      </c>
      <c r="D2606">
        <v>-5.8250000000000003E-3</v>
      </c>
      <c r="E2606">
        <f t="shared" si="80"/>
        <v>0.99417500000000003</v>
      </c>
      <c r="F2606" s="1">
        <f t="shared" si="81"/>
        <v>41043</v>
      </c>
      <c r="G2606" cm="1">
        <f t="array" ref="G2606">PRODUCT( _xlfn._xlws.FILTER($E:$E, ($C:$C=C2606)*($F:$F=F2606)) ) - 1</f>
        <v>-4.2592173561187163E-2</v>
      </c>
    </row>
    <row r="2607" spans="1:7" x14ac:dyDescent="0.2">
      <c r="A2607" s="1">
        <v>41045</v>
      </c>
      <c r="B2607">
        <v>0</v>
      </c>
      <c r="C2607" t="s">
        <v>13</v>
      </c>
      <c r="D2607">
        <v>2.2680000000000001E-3</v>
      </c>
      <c r="E2607">
        <f t="shared" si="80"/>
        <v>1.0022679999999999</v>
      </c>
      <c r="F2607" s="1">
        <f t="shared" si="81"/>
        <v>41043</v>
      </c>
      <c r="G2607" cm="1">
        <f t="array" ref="G2607">PRODUCT( _xlfn._xlws.FILTER($E:$E, ($C:$C=C2607)*($F:$F=F2607)) ) - 1</f>
        <v>-4.2592173561187163E-2</v>
      </c>
    </row>
    <row r="2608" spans="1:7" x14ac:dyDescent="0.2">
      <c r="A2608" s="1">
        <v>41046</v>
      </c>
      <c r="B2608">
        <v>0</v>
      </c>
      <c r="C2608" t="s">
        <v>13</v>
      </c>
      <c r="D2608">
        <v>-2.0177E-2</v>
      </c>
      <c r="E2608">
        <f t="shared" si="80"/>
        <v>0.979823</v>
      </c>
      <c r="F2608" s="1">
        <f t="shared" si="81"/>
        <v>41043</v>
      </c>
      <c r="G2608" cm="1">
        <f t="array" ref="G2608">PRODUCT( _xlfn._xlws.FILTER($E:$E, ($C:$C=C2608)*($F:$F=F2608)) ) - 1</f>
        <v>-4.2592173561187163E-2</v>
      </c>
    </row>
    <row r="2609" spans="1:7" x14ac:dyDescent="0.2">
      <c r="A2609" s="1">
        <v>41047</v>
      </c>
      <c r="B2609">
        <v>0</v>
      </c>
      <c r="C2609" t="s">
        <v>13</v>
      </c>
      <c r="D2609">
        <v>-5.0039999999999998E-3</v>
      </c>
      <c r="E2609">
        <f t="shared" si="80"/>
        <v>0.99499599999999999</v>
      </c>
      <c r="F2609" s="1">
        <f t="shared" si="81"/>
        <v>41043</v>
      </c>
      <c r="G2609" cm="1">
        <f t="array" ref="G2609">PRODUCT( _xlfn._xlws.FILTER($E:$E, ($C:$C=C2609)*($F:$F=F2609)) ) - 1</f>
        <v>-4.2592173561187163E-2</v>
      </c>
    </row>
    <row r="2610" spans="1:7" x14ac:dyDescent="0.2">
      <c r="A2610" s="1">
        <v>41051</v>
      </c>
      <c r="B2610">
        <v>0</v>
      </c>
      <c r="C2610" t="s">
        <v>13</v>
      </c>
      <c r="D2610">
        <v>9.0910000000000001E-3</v>
      </c>
      <c r="E2610">
        <f t="shared" si="80"/>
        <v>1.009091</v>
      </c>
      <c r="F2610" s="1">
        <f t="shared" si="81"/>
        <v>41050</v>
      </c>
      <c r="G2610" cm="1">
        <f t="array" ref="G2610">PRODUCT( _xlfn._xlws.FILTER($E:$E, ($C:$C=C2610)*($F:$F=F2610)) ) - 1</f>
        <v>-2.6111652127758012E-2</v>
      </c>
    </row>
    <row r="2611" spans="1:7" x14ac:dyDescent="0.2">
      <c r="A2611" s="1">
        <v>41052</v>
      </c>
      <c r="B2611">
        <v>0</v>
      </c>
      <c r="C2611" t="s">
        <v>13</v>
      </c>
      <c r="D2611">
        <v>1.3993E-2</v>
      </c>
      <c r="E2611">
        <f t="shared" si="80"/>
        <v>1.0139929999999999</v>
      </c>
      <c r="F2611" s="1">
        <f t="shared" si="81"/>
        <v>41050</v>
      </c>
      <c r="G2611" cm="1">
        <f t="array" ref="G2611">PRODUCT( _xlfn._xlws.FILTER($E:$E, ($C:$C=C2611)*($F:$F=F2611)) ) - 1</f>
        <v>-2.6111652127758012E-2</v>
      </c>
    </row>
    <row r="2612" spans="1:7" x14ac:dyDescent="0.2">
      <c r="A2612" s="1">
        <v>41053</v>
      </c>
      <c r="B2612">
        <v>0</v>
      </c>
      <c r="C2612" t="s">
        <v>13</v>
      </c>
      <c r="D2612">
        <v>-2.8733000000000002E-2</v>
      </c>
      <c r="E2612">
        <f t="shared" si="80"/>
        <v>0.97126699999999999</v>
      </c>
      <c r="F2612" s="1">
        <f t="shared" si="81"/>
        <v>41050</v>
      </c>
      <c r="G2612" cm="1">
        <f t="array" ref="G2612">PRODUCT( _xlfn._xlws.FILTER($E:$E, ($C:$C=C2612)*($F:$F=F2612)) ) - 1</f>
        <v>-2.6111652127758012E-2</v>
      </c>
    </row>
    <row r="2613" spans="1:7" x14ac:dyDescent="0.2">
      <c r="A2613" s="1">
        <v>41054</v>
      </c>
      <c r="B2613">
        <v>0</v>
      </c>
      <c r="C2613" t="s">
        <v>13</v>
      </c>
      <c r="D2613">
        <v>-2.0046999999999999E-2</v>
      </c>
      <c r="E2613">
        <f t="shared" si="80"/>
        <v>0.97995299999999996</v>
      </c>
      <c r="F2613" s="1">
        <f t="shared" si="81"/>
        <v>41050</v>
      </c>
      <c r="G2613" cm="1">
        <f t="array" ref="G2613">PRODUCT( _xlfn._xlws.FILTER($E:$E, ($C:$C=C2613)*($F:$F=F2613)) ) - 1</f>
        <v>-2.6111652127758012E-2</v>
      </c>
    </row>
    <row r="2614" spans="1:7" x14ac:dyDescent="0.2">
      <c r="A2614" s="1">
        <v>41057</v>
      </c>
      <c r="B2614">
        <v>0</v>
      </c>
      <c r="C2614" t="s">
        <v>13</v>
      </c>
      <c r="D2614">
        <v>1.5889999999999999E-3</v>
      </c>
      <c r="E2614">
        <f t="shared" si="80"/>
        <v>1.0015890000000001</v>
      </c>
      <c r="F2614" s="1">
        <f t="shared" si="81"/>
        <v>41057</v>
      </c>
      <c r="G2614" cm="1">
        <f t="array" ref="G2614">PRODUCT( _xlfn._xlws.FILTER($E:$E, ($C:$C=C2614)*($F:$F=F2614)) ) - 1</f>
        <v>-7.1498560099123587E-3</v>
      </c>
    </row>
    <row r="2615" spans="1:7" x14ac:dyDescent="0.2">
      <c r="A2615" s="1">
        <v>41058</v>
      </c>
      <c r="B2615">
        <v>0</v>
      </c>
      <c r="C2615" t="s">
        <v>13</v>
      </c>
      <c r="D2615">
        <v>1.0906000000000001E-2</v>
      </c>
      <c r="E2615">
        <f t="shared" si="80"/>
        <v>1.0109060000000001</v>
      </c>
      <c r="F2615" s="1">
        <f t="shared" si="81"/>
        <v>41057</v>
      </c>
      <c r="G2615" cm="1">
        <f t="array" ref="G2615">PRODUCT( _xlfn._xlws.FILTER($E:$E, ($C:$C=C2615)*($F:$F=F2615)) ) - 1</f>
        <v>-7.1498560099123587E-3</v>
      </c>
    </row>
    <row r="2616" spans="1:7" x14ac:dyDescent="0.2">
      <c r="A2616" s="1">
        <v>41059</v>
      </c>
      <c r="B2616">
        <v>0</v>
      </c>
      <c r="C2616" t="s">
        <v>13</v>
      </c>
      <c r="D2616">
        <v>-6.6689999999999996E-3</v>
      </c>
      <c r="E2616">
        <f t="shared" si="80"/>
        <v>0.99333099999999996</v>
      </c>
      <c r="F2616" s="1">
        <f t="shared" si="81"/>
        <v>41057</v>
      </c>
      <c r="G2616" cm="1">
        <f t="array" ref="G2616">PRODUCT( _xlfn._xlws.FILTER($E:$E, ($C:$C=C2616)*($F:$F=F2616)) ) - 1</f>
        <v>-7.1498560099123587E-3</v>
      </c>
    </row>
    <row r="2617" spans="1:7" x14ac:dyDescent="0.2">
      <c r="A2617" s="1">
        <v>41060</v>
      </c>
      <c r="B2617">
        <v>0</v>
      </c>
      <c r="C2617" t="s">
        <v>13</v>
      </c>
      <c r="D2617">
        <v>1.797E-2</v>
      </c>
      <c r="E2617">
        <f t="shared" si="80"/>
        <v>1.01797</v>
      </c>
      <c r="F2617" s="1">
        <f t="shared" si="81"/>
        <v>41057</v>
      </c>
      <c r="G2617" cm="1">
        <f t="array" ref="G2617">PRODUCT( _xlfn._xlws.FILTER($E:$E, ($C:$C=C2617)*($F:$F=F2617)) ) - 1</f>
        <v>-7.1498560099123587E-3</v>
      </c>
    </row>
    <row r="2618" spans="1:7" x14ac:dyDescent="0.2">
      <c r="A2618" s="1">
        <v>41061</v>
      </c>
      <c r="B2618">
        <v>0</v>
      </c>
      <c r="C2618" t="s">
        <v>13</v>
      </c>
      <c r="D2618">
        <v>-3.0262000000000001E-2</v>
      </c>
      <c r="E2618">
        <f t="shared" si="80"/>
        <v>0.96973799999999999</v>
      </c>
      <c r="F2618" s="1">
        <f t="shared" si="81"/>
        <v>41057</v>
      </c>
      <c r="G2618" cm="1">
        <f t="array" ref="G2618">PRODUCT( _xlfn._xlws.FILTER($E:$E, ($C:$C=C2618)*($F:$F=F2618)) ) - 1</f>
        <v>-7.1498560099123587E-3</v>
      </c>
    </row>
    <row r="2619" spans="1:7" x14ac:dyDescent="0.2">
      <c r="A2619" s="1">
        <v>41064</v>
      </c>
      <c r="B2619">
        <v>0</v>
      </c>
      <c r="C2619" t="s">
        <v>13</v>
      </c>
      <c r="D2619">
        <v>-8.4019999999999997E-3</v>
      </c>
      <c r="E2619">
        <f t="shared" si="80"/>
        <v>0.99159799999999998</v>
      </c>
      <c r="F2619" s="1">
        <f t="shared" si="81"/>
        <v>41064</v>
      </c>
      <c r="G2619" cm="1">
        <f t="array" ref="G2619">PRODUCT( _xlfn._xlws.FILTER($E:$E, ($C:$C=C2619)*($F:$F=F2619)) ) - 1</f>
        <v>6.4015940371964231E-3</v>
      </c>
    </row>
    <row r="2620" spans="1:7" x14ac:dyDescent="0.2">
      <c r="A2620" s="1">
        <v>41065</v>
      </c>
      <c r="B2620">
        <v>0</v>
      </c>
      <c r="C2620" t="s">
        <v>13</v>
      </c>
      <c r="D2620">
        <v>1.6341000000000001E-2</v>
      </c>
      <c r="E2620">
        <f t="shared" si="80"/>
        <v>1.0163409999999999</v>
      </c>
      <c r="F2620" s="1">
        <f t="shared" si="81"/>
        <v>41064</v>
      </c>
      <c r="G2620" cm="1">
        <f t="array" ref="G2620">PRODUCT( _xlfn._xlws.FILTER($E:$E, ($C:$C=C2620)*($F:$F=F2620)) ) - 1</f>
        <v>6.4015940371964231E-3</v>
      </c>
    </row>
    <row r="2621" spans="1:7" x14ac:dyDescent="0.2">
      <c r="A2621" s="1">
        <v>41066</v>
      </c>
      <c r="B2621">
        <v>0</v>
      </c>
      <c r="C2621" t="s">
        <v>13</v>
      </c>
      <c r="D2621">
        <v>5.5579999999999996E-3</v>
      </c>
      <c r="E2621">
        <f t="shared" si="80"/>
        <v>1.005558</v>
      </c>
      <c r="F2621" s="1">
        <f t="shared" si="81"/>
        <v>41064</v>
      </c>
      <c r="G2621" cm="1">
        <f t="array" ref="G2621">PRODUCT( _xlfn._xlws.FILTER($E:$E, ($C:$C=C2621)*($F:$F=F2621)) ) - 1</f>
        <v>6.4015940371964231E-3</v>
      </c>
    </row>
    <row r="2622" spans="1:7" x14ac:dyDescent="0.2">
      <c r="A2622" s="1">
        <v>41067</v>
      </c>
      <c r="B2622">
        <v>0</v>
      </c>
      <c r="C2622" t="s">
        <v>13</v>
      </c>
      <c r="D2622">
        <v>6.5139999999999998E-3</v>
      </c>
      <c r="E2622">
        <f t="shared" si="80"/>
        <v>1.0065139999999999</v>
      </c>
      <c r="F2622" s="1">
        <f t="shared" si="81"/>
        <v>41064</v>
      </c>
      <c r="G2622" cm="1">
        <f t="array" ref="G2622">PRODUCT( _xlfn._xlws.FILTER($E:$E, ($C:$C=C2622)*($F:$F=F2622)) ) - 1</f>
        <v>6.4015940371964231E-3</v>
      </c>
    </row>
    <row r="2623" spans="1:7" x14ac:dyDescent="0.2">
      <c r="A2623" s="1">
        <v>41068</v>
      </c>
      <c r="B2623">
        <v>0</v>
      </c>
      <c r="C2623" t="s">
        <v>13</v>
      </c>
      <c r="D2623">
        <v>-1.3336000000000001E-2</v>
      </c>
      <c r="E2623">
        <f t="shared" si="80"/>
        <v>0.98666399999999999</v>
      </c>
      <c r="F2623" s="1">
        <f t="shared" si="81"/>
        <v>41064</v>
      </c>
      <c r="G2623" cm="1">
        <f t="array" ref="G2623">PRODUCT( _xlfn._xlws.FILTER($E:$E, ($C:$C=C2623)*($F:$F=F2623)) ) - 1</f>
        <v>6.4015940371964231E-3</v>
      </c>
    </row>
    <row r="2624" spans="1:7" x14ac:dyDescent="0.2">
      <c r="A2624" s="1">
        <v>41071</v>
      </c>
      <c r="B2624">
        <v>0</v>
      </c>
      <c r="C2624" t="s">
        <v>13</v>
      </c>
      <c r="D2624">
        <v>-6.3610000000000003E-3</v>
      </c>
      <c r="E2624">
        <f t="shared" si="80"/>
        <v>0.99363900000000005</v>
      </c>
      <c r="F2624" s="1">
        <f t="shared" si="81"/>
        <v>41071</v>
      </c>
      <c r="G2624" cm="1">
        <f t="array" ref="G2624">PRODUCT( _xlfn._xlws.FILTER($E:$E, ($C:$C=C2624)*($F:$F=F2624)) ) - 1</f>
        <v>1.8484590601461903E-2</v>
      </c>
    </row>
    <row r="2625" spans="1:7" x14ac:dyDescent="0.2">
      <c r="A2625" s="1">
        <v>41072</v>
      </c>
      <c r="B2625">
        <v>0</v>
      </c>
      <c r="C2625" t="s">
        <v>13</v>
      </c>
      <c r="D2625">
        <v>1.0602E-2</v>
      </c>
      <c r="E2625">
        <f t="shared" si="80"/>
        <v>1.010602</v>
      </c>
      <c r="F2625" s="1">
        <f t="shared" si="81"/>
        <v>41071</v>
      </c>
      <c r="G2625" cm="1">
        <f t="array" ref="G2625">PRODUCT( _xlfn._xlws.FILTER($E:$E, ($C:$C=C2625)*($F:$F=F2625)) ) - 1</f>
        <v>1.8484590601461903E-2</v>
      </c>
    </row>
    <row r="2626" spans="1:7" x14ac:dyDescent="0.2">
      <c r="A2626" s="1">
        <v>41073</v>
      </c>
      <c r="B2626">
        <v>0</v>
      </c>
      <c r="C2626" t="s">
        <v>13</v>
      </c>
      <c r="D2626">
        <v>9.3030000000000005E-3</v>
      </c>
      <c r="E2626">
        <f t="shared" si="80"/>
        <v>1.0093030000000001</v>
      </c>
      <c r="F2626" s="1">
        <f t="shared" si="81"/>
        <v>41071</v>
      </c>
      <c r="G2626" cm="1">
        <f t="array" ref="G2626">PRODUCT( _xlfn._xlws.FILTER($E:$E, ($C:$C=C2626)*($F:$F=F2626)) ) - 1</f>
        <v>1.8484590601461903E-2</v>
      </c>
    </row>
    <row r="2627" spans="1:7" x14ac:dyDescent="0.2">
      <c r="A2627" s="1">
        <v>41074</v>
      </c>
      <c r="B2627">
        <v>0</v>
      </c>
      <c r="C2627" t="s">
        <v>13</v>
      </c>
      <c r="D2627">
        <v>-2.7460000000000002E-3</v>
      </c>
      <c r="E2627">
        <f t="shared" si="80"/>
        <v>0.99725399999999997</v>
      </c>
      <c r="F2627" s="1">
        <f t="shared" si="81"/>
        <v>41071</v>
      </c>
      <c r="G2627" cm="1">
        <f t="array" ref="G2627">PRODUCT( _xlfn._xlws.FILTER($E:$E, ($C:$C=C2627)*($F:$F=F2627)) ) - 1</f>
        <v>1.8484590601461903E-2</v>
      </c>
    </row>
    <row r="2628" spans="1:7" x14ac:dyDescent="0.2">
      <c r="A2628" s="1">
        <v>41075</v>
      </c>
      <c r="B2628">
        <v>0</v>
      </c>
      <c r="C2628" t="s">
        <v>13</v>
      </c>
      <c r="D2628">
        <v>7.6699999999999997E-3</v>
      </c>
      <c r="E2628">
        <f t="shared" ref="E2628:E2691" si="82">D2628+1</f>
        <v>1.0076700000000001</v>
      </c>
      <c r="F2628" s="1">
        <f t="shared" ref="F2628:F2691" si="83">A2628 - (WEEKDAY(A2628, 2) - 1)</f>
        <v>41071</v>
      </c>
      <c r="G2628" cm="1">
        <f t="array" ref="G2628">PRODUCT( _xlfn._xlws.FILTER($E:$E, ($C:$C=C2628)*($F:$F=F2628)) ) - 1</f>
        <v>1.8484590601461903E-2</v>
      </c>
    </row>
    <row r="2629" spans="1:7" x14ac:dyDescent="0.2">
      <c r="A2629" s="1">
        <v>41078</v>
      </c>
      <c r="B2629">
        <v>0</v>
      </c>
      <c r="C2629" t="s">
        <v>13</v>
      </c>
      <c r="D2629">
        <v>-6.6350000000000003E-3</v>
      </c>
      <c r="E2629">
        <f t="shared" si="82"/>
        <v>0.99336500000000005</v>
      </c>
      <c r="F2629" s="1">
        <f t="shared" si="83"/>
        <v>41078</v>
      </c>
      <c r="G2629" cm="1">
        <f t="array" ref="G2629">PRODUCT( _xlfn._xlws.FILTER($E:$E, ($C:$C=C2629)*($F:$F=F2629)) ) - 1</f>
        <v>1.4051509750065527E-2</v>
      </c>
    </row>
    <row r="2630" spans="1:7" x14ac:dyDescent="0.2">
      <c r="A2630" s="1">
        <v>41079</v>
      </c>
      <c r="B2630">
        <v>0</v>
      </c>
      <c r="C2630" t="s">
        <v>13</v>
      </c>
      <c r="D2630">
        <v>3.9489000000000003E-2</v>
      </c>
      <c r="E2630">
        <f t="shared" si="82"/>
        <v>1.0394890000000001</v>
      </c>
      <c r="F2630" s="1">
        <f t="shared" si="83"/>
        <v>41078</v>
      </c>
      <c r="G2630" cm="1">
        <f t="array" ref="G2630">PRODUCT( _xlfn._xlws.FILTER($E:$E, ($C:$C=C2630)*($F:$F=F2630)) ) - 1</f>
        <v>1.4051509750065527E-2</v>
      </c>
    </row>
    <row r="2631" spans="1:7" x14ac:dyDescent="0.2">
      <c r="A2631" s="1">
        <v>41080</v>
      </c>
      <c r="B2631">
        <v>0</v>
      </c>
      <c r="C2631" t="s">
        <v>13</v>
      </c>
      <c r="D2631">
        <v>2.6459999999999999E-3</v>
      </c>
      <c r="E2631">
        <f t="shared" si="82"/>
        <v>1.0026459999999999</v>
      </c>
      <c r="F2631" s="1">
        <f t="shared" si="83"/>
        <v>41078</v>
      </c>
      <c r="G2631" cm="1">
        <f t="array" ref="G2631">PRODUCT( _xlfn._xlws.FILTER($E:$E, ($C:$C=C2631)*($F:$F=F2631)) ) - 1</f>
        <v>1.4051509750065527E-2</v>
      </c>
    </row>
    <row r="2632" spans="1:7" x14ac:dyDescent="0.2">
      <c r="A2632" s="1">
        <v>41081</v>
      </c>
      <c r="B2632">
        <v>0</v>
      </c>
      <c r="C2632" t="s">
        <v>13</v>
      </c>
      <c r="D2632">
        <v>-3.2421999999999999E-2</v>
      </c>
      <c r="E2632">
        <f t="shared" si="82"/>
        <v>0.96757800000000005</v>
      </c>
      <c r="F2632" s="1">
        <f t="shared" si="83"/>
        <v>41078</v>
      </c>
      <c r="G2632" cm="1">
        <f t="array" ref="G2632">PRODUCT( _xlfn._xlws.FILTER($E:$E, ($C:$C=C2632)*($F:$F=F2632)) ) - 1</f>
        <v>1.4051509750065527E-2</v>
      </c>
    </row>
    <row r="2633" spans="1:7" x14ac:dyDescent="0.2">
      <c r="A2633" s="1">
        <v>41082</v>
      </c>
      <c r="B2633">
        <v>0</v>
      </c>
      <c r="C2633" t="s">
        <v>13</v>
      </c>
      <c r="D2633">
        <v>1.2272999999999999E-2</v>
      </c>
      <c r="E2633">
        <f t="shared" si="82"/>
        <v>1.012273</v>
      </c>
      <c r="F2633" s="1">
        <f t="shared" si="83"/>
        <v>41078</v>
      </c>
      <c r="G2633" cm="1">
        <f t="array" ref="G2633">PRODUCT( _xlfn._xlws.FILTER($E:$E, ($C:$C=C2633)*($F:$F=F2633)) ) - 1</f>
        <v>1.4051509750065527E-2</v>
      </c>
    </row>
    <row r="2634" spans="1:7" x14ac:dyDescent="0.2">
      <c r="A2634" s="1">
        <v>41085</v>
      </c>
      <c r="B2634">
        <v>0</v>
      </c>
      <c r="C2634" t="s">
        <v>13</v>
      </c>
      <c r="D2634">
        <v>-1.9438E-2</v>
      </c>
      <c r="E2634">
        <f t="shared" si="82"/>
        <v>0.98056200000000004</v>
      </c>
      <c r="F2634" s="1">
        <f t="shared" si="83"/>
        <v>41085</v>
      </c>
      <c r="G2634" cm="1">
        <f t="array" ref="G2634">PRODUCT( _xlfn._xlws.FILTER($E:$E, ($C:$C=C2634)*($F:$F=F2634)) ) - 1</f>
        <v>3.8490834359108383E-3</v>
      </c>
    </row>
    <row r="2635" spans="1:7" x14ac:dyDescent="0.2">
      <c r="A2635" s="1">
        <v>41086</v>
      </c>
      <c r="B2635">
        <v>0</v>
      </c>
      <c r="C2635" t="s">
        <v>13</v>
      </c>
      <c r="D2635">
        <v>3.5330000000000001E-3</v>
      </c>
      <c r="E2635">
        <f t="shared" si="82"/>
        <v>1.003533</v>
      </c>
      <c r="F2635" s="1">
        <f t="shared" si="83"/>
        <v>41085</v>
      </c>
      <c r="G2635" cm="1">
        <f t="array" ref="G2635">PRODUCT( _xlfn._xlws.FILTER($E:$E, ($C:$C=C2635)*($F:$F=F2635)) ) - 1</f>
        <v>3.8490834359108383E-3</v>
      </c>
    </row>
    <row r="2636" spans="1:7" x14ac:dyDescent="0.2">
      <c r="A2636" s="1">
        <v>41087</v>
      </c>
      <c r="B2636">
        <v>0</v>
      </c>
      <c r="C2636" t="s">
        <v>13</v>
      </c>
      <c r="D2636">
        <v>4.8890000000000001E-3</v>
      </c>
      <c r="E2636">
        <f t="shared" si="82"/>
        <v>1.0048889999999999</v>
      </c>
      <c r="F2636" s="1">
        <f t="shared" si="83"/>
        <v>41085</v>
      </c>
      <c r="G2636" cm="1">
        <f t="array" ref="G2636">PRODUCT( _xlfn._xlws.FILTER($E:$E, ($C:$C=C2636)*($F:$F=F2636)) ) - 1</f>
        <v>3.8490834359108383E-3</v>
      </c>
    </row>
    <row r="2637" spans="1:7" x14ac:dyDescent="0.2">
      <c r="A2637" s="1">
        <v>41088</v>
      </c>
      <c r="B2637">
        <v>0</v>
      </c>
      <c r="C2637" t="s">
        <v>13</v>
      </c>
      <c r="D2637">
        <v>-3.503E-3</v>
      </c>
      <c r="E2637">
        <f t="shared" si="82"/>
        <v>0.99649699999999997</v>
      </c>
      <c r="F2637" s="1">
        <f t="shared" si="83"/>
        <v>41085</v>
      </c>
      <c r="G2637" cm="1">
        <f t="array" ref="G2637">PRODUCT( _xlfn._xlws.FILTER($E:$E, ($C:$C=C2637)*($F:$F=F2637)) ) - 1</f>
        <v>3.8490834359108383E-3</v>
      </c>
    </row>
    <row r="2638" spans="1:7" x14ac:dyDescent="0.2">
      <c r="A2638" s="1">
        <v>41089</v>
      </c>
      <c r="B2638">
        <v>0</v>
      </c>
      <c r="C2638" t="s">
        <v>13</v>
      </c>
      <c r="D2638">
        <v>1.8749999999999999E-2</v>
      </c>
      <c r="E2638">
        <f t="shared" si="82"/>
        <v>1.01875</v>
      </c>
      <c r="F2638" s="1">
        <f t="shared" si="83"/>
        <v>41085</v>
      </c>
      <c r="G2638" cm="1">
        <f t="array" ref="G2638">PRODUCT( _xlfn._xlws.FILTER($E:$E, ($C:$C=C2638)*($F:$F=F2638)) ) - 1</f>
        <v>3.8490834359108383E-3</v>
      </c>
    </row>
    <row r="2639" spans="1:7" x14ac:dyDescent="0.2">
      <c r="A2639" s="1">
        <v>41093</v>
      </c>
      <c r="B2639">
        <v>0</v>
      </c>
      <c r="C2639" t="s">
        <v>13</v>
      </c>
      <c r="D2639">
        <v>1.7829999999999999E-2</v>
      </c>
      <c r="E2639">
        <f t="shared" si="82"/>
        <v>1.01783</v>
      </c>
      <c r="F2639" s="1">
        <f t="shared" si="83"/>
        <v>41092</v>
      </c>
      <c r="G2639" cm="1">
        <f t="array" ref="G2639">PRODUCT( _xlfn._xlws.FILTER($E:$E, ($C:$C=C2639)*($F:$F=F2639)) ) - 1</f>
        <v>1.1886791781215988E-2</v>
      </c>
    </row>
    <row r="2640" spans="1:7" x14ac:dyDescent="0.2">
      <c r="A2640" s="1">
        <v>41094</v>
      </c>
      <c r="B2640">
        <v>0</v>
      </c>
      <c r="C2640" t="s">
        <v>13</v>
      </c>
      <c r="D2640">
        <v>1.1867000000000001E-2</v>
      </c>
      <c r="E2640">
        <f t="shared" si="82"/>
        <v>1.0118670000000001</v>
      </c>
      <c r="F2640" s="1">
        <f t="shared" si="83"/>
        <v>41092</v>
      </c>
      <c r="G2640" cm="1">
        <f t="array" ref="G2640">PRODUCT( _xlfn._xlws.FILTER($E:$E, ($C:$C=C2640)*($F:$F=F2640)) ) - 1</f>
        <v>1.1886791781215988E-2</v>
      </c>
    </row>
    <row r="2641" spans="1:7" x14ac:dyDescent="0.2">
      <c r="A2641" s="1">
        <v>41095</v>
      </c>
      <c r="B2641">
        <v>0</v>
      </c>
      <c r="C2641" t="s">
        <v>13</v>
      </c>
      <c r="D2641">
        <v>-3.5370000000000002E-3</v>
      </c>
      <c r="E2641">
        <f t="shared" si="82"/>
        <v>0.99646299999999999</v>
      </c>
      <c r="F2641" s="1">
        <f t="shared" si="83"/>
        <v>41092</v>
      </c>
      <c r="G2641" cm="1">
        <f t="array" ref="G2641">PRODUCT( _xlfn._xlws.FILTER($E:$E, ($C:$C=C2641)*($F:$F=F2641)) ) - 1</f>
        <v>1.1886791781215988E-2</v>
      </c>
    </row>
    <row r="2642" spans="1:7" x14ac:dyDescent="0.2">
      <c r="A2642" s="1">
        <v>41096</v>
      </c>
      <c r="B2642">
        <v>0</v>
      </c>
      <c r="C2642" t="s">
        <v>13</v>
      </c>
      <c r="D2642">
        <v>-1.4010999999999999E-2</v>
      </c>
      <c r="E2642">
        <f t="shared" si="82"/>
        <v>0.985989</v>
      </c>
      <c r="F2642" s="1">
        <f t="shared" si="83"/>
        <v>41092</v>
      </c>
      <c r="G2642" cm="1">
        <f t="array" ref="G2642">PRODUCT( _xlfn._xlws.FILTER($E:$E, ($C:$C=C2642)*($F:$F=F2642)) ) - 1</f>
        <v>1.1886791781215988E-2</v>
      </c>
    </row>
    <row r="2643" spans="1:7" x14ac:dyDescent="0.2">
      <c r="A2643" s="1">
        <v>41099</v>
      </c>
      <c r="B2643">
        <v>0</v>
      </c>
      <c r="C2643" t="s">
        <v>13</v>
      </c>
      <c r="D2643">
        <v>-3.7889999999999998E-3</v>
      </c>
      <c r="E2643">
        <f t="shared" si="82"/>
        <v>0.99621099999999996</v>
      </c>
      <c r="F2643" s="1">
        <f t="shared" si="83"/>
        <v>41099</v>
      </c>
      <c r="G2643" cm="1">
        <f t="array" ref="G2643">PRODUCT( _xlfn._xlws.FILTER($E:$E, ($C:$C=C2643)*($F:$F=F2643)) ) - 1</f>
        <v>-5.6832580975092473E-3</v>
      </c>
    </row>
    <row r="2644" spans="1:7" x14ac:dyDescent="0.2">
      <c r="A2644" s="1">
        <v>41100</v>
      </c>
      <c r="B2644">
        <v>0</v>
      </c>
      <c r="C2644" t="s">
        <v>13</v>
      </c>
      <c r="D2644">
        <v>-1.902E-3</v>
      </c>
      <c r="E2644">
        <f t="shared" si="82"/>
        <v>0.99809800000000004</v>
      </c>
      <c r="F2644" s="1">
        <f t="shared" si="83"/>
        <v>41099</v>
      </c>
      <c r="G2644" cm="1">
        <f t="array" ref="G2644">PRODUCT( _xlfn._xlws.FILTER($E:$E, ($C:$C=C2644)*($F:$F=F2644)) ) - 1</f>
        <v>-5.6832580975092473E-3</v>
      </c>
    </row>
    <row r="2645" spans="1:7" x14ac:dyDescent="0.2">
      <c r="A2645" s="1">
        <v>41101</v>
      </c>
      <c r="B2645">
        <v>0</v>
      </c>
      <c r="C2645" t="s">
        <v>13</v>
      </c>
      <c r="D2645">
        <v>6.0980000000000001E-3</v>
      </c>
      <c r="E2645">
        <f t="shared" si="82"/>
        <v>1.0060979999999999</v>
      </c>
      <c r="F2645" s="1">
        <f t="shared" si="83"/>
        <v>41099</v>
      </c>
      <c r="G2645" cm="1">
        <f t="array" ref="G2645">PRODUCT( _xlfn._xlws.FILTER($E:$E, ($C:$C=C2645)*($F:$F=F2645)) ) - 1</f>
        <v>-5.6832580975092473E-3</v>
      </c>
    </row>
    <row r="2646" spans="1:7" x14ac:dyDescent="0.2">
      <c r="A2646" s="1">
        <v>41102</v>
      </c>
      <c r="B2646">
        <v>0</v>
      </c>
      <c r="C2646" t="s">
        <v>13</v>
      </c>
      <c r="D2646">
        <v>-1.1742000000000001E-2</v>
      </c>
      <c r="E2646">
        <f t="shared" si="82"/>
        <v>0.98825799999999997</v>
      </c>
      <c r="F2646" s="1">
        <f t="shared" si="83"/>
        <v>41099</v>
      </c>
      <c r="G2646" cm="1">
        <f t="array" ref="G2646">PRODUCT( _xlfn._xlws.FILTER($E:$E, ($C:$C=C2646)*($F:$F=F2646)) ) - 1</f>
        <v>-5.6832580975092473E-3</v>
      </c>
    </row>
    <row r="2647" spans="1:7" x14ac:dyDescent="0.2">
      <c r="A2647" s="1">
        <v>41103</v>
      </c>
      <c r="B2647">
        <v>0</v>
      </c>
      <c r="C2647" t="s">
        <v>13</v>
      </c>
      <c r="D2647">
        <v>5.7489999999999998E-3</v>
      </c>
      <c r="E2647">
        <f t="shared" si="82"/>
        <v>1.005749</v>
      </c>
      <c r="F2647" s="1">
        <f t="shared" si="83"/>
        <v>41099</v>
      </c>
      <c r="G2647" cm="1">
        <f t="array" ref="G2647">PRODUCT( _xlfn._xlws.FILTER($E:$E, ($C:$C=C2647)*($F:$F=F2647)) ) - 1</f>
        <v>-5.6832580975092473E-3</v>
      </c>
    </row>
    <row r="2648" spans="1:7" x14ac:dyDescent="0.2">
      <c r="A2648" s="1">
        <v>41106</v>
      </c>
      <c r="B2648">
        <v>0</v>
      </c>
      <c r="C2648" t="s">
        <v>13</v>
      </c>
      <c r="D2648">
        <v>-5.7159999999999997E-3</v>
      </c>
      <c r="E2648">
        <f t="shared" si="82"/>
        <v>0.99428399999999995</v>
      </c>
      <c r="F2648" s="1">
        <f t="shared" si="83"/>
        <v>41106</v>
      </c>
      <c r="G2648" cm="1">
        <f t="array" ref="G2648">PRODUCT( _xlfn._xlws.FILTER($E:$E, ($C:$C=C2648)*($F:$F=F2648)) ) - 1</f>
        <v>-1.3330337813205473E-3</v>
      </c>
    </row>
    <row r="2649" spans="1:7" x14ac:dyDescent="0.2">
      <c r="A2649" s="1">
        <v>41107</v>
      </c>
      <c r="B2649">
        <v>0</v>
      </c>
      <c r="C2649" t="s">
        <v>13</v>
      </c>
      <c r="D2649">
        <v>3.0660000000000001E-3</v>
      </c>
      <c r="E2649">
        <f t="shared" si="82"/>
        <v>1.003066</v>
      </c>
      <c r="F2649" s="1">
        <f t="shared" si="83"/>
        <v>41106</v>
      </c>
      <c r="G2649" cm="1">
        <f t="array" ref="G2649">PRODUCT( _xlfn._xlws.FILTER($E:$E, ($C:$C=C2649)*($F:$F=F2649)) ) - 1</f>
        <v>-1.3330337813205473E-3</v>
      </c>
    </row>
    <row r="2650" spans="1:7" x14ac:dyDescent="0.2">
      <c r="A2650" s="1">
        <v>41108</v>
      </c>
      <c r="B2650">
        <v>0</v>
      </c>
      <c r="C2650" t="s">
        <v>13</v>
      </c>
      <c r="D2650">
        <v>7.6400000000000003E-4</v>
      </c>
      <c r="E2650">
        <f t="shared" si="82"/>
        <v>1.000764</v>
      </c>
      <c r="F2650" s="1">
        <f t="shared" si="83"/>
        <v>41106</v>
      </c>
      <c r="G2650" cm="1">
        <f t="array" ref="G2650">PRODUCT( _xlfn._xlws.FILTER($E:$E, ($C:$C=C2650)*($F:$F=F2650)) ) - 1</f>
        <v>-1.3330337813205473E-3</v>
      </c>
    </row>
    <row r="2651" spans="1:7" x14ac:dyDescent="0.2">
      <c r="A2651" s="1">
        <v>41109</v>
      </c>
      <c r="B2651">
        <v>0</v>
      </c>
      <c r="C2651" t="s">
        <v>13</v>
      </c>
      <c r="D2651">
        <v>5.3460000000000001E-3</v>
      </c>
      <c r="E2651">
        <f t="shared" si="82"/>
        <v>1.0053460000000001</v>
      </c>
      <c r="F2651" s="1">
        <f t="shared" si="83"/>
        <v>41106</v>
      </c>
      <c r="G2651" cm="1">
        <f t="array" ref="G2651">PRODUCT( _xlfn._xlws.FILTER($E:$E, ($C:$C=C2651)*($F:$F=F2651)) ) - 1</f>
        <v>-1.3330337813205473E-3</v>
      </c>
    </row>
    <row r="2652" spans="1:7" x14ac:dyDescent="0.2">
      <c r="A2652" s="1">
        <v>41110</v>
      </c>
      <c r="B2652">
        <v>0</v>
      </c>
      <c r="C2652" t="s">
        <v>13</v>
      </c>
      <c r="D2652">
        <v>-4.7470000000000004E-3</v>
      </c>
      <c r="E2652">
        <f t="shared" si="82"/>
        <v>0.99525300000000005</v>
      </c>
      <c r="F2652" s="1">
        <f t="shared" si="83"/>
        <v>41106</v>
      </c>
      <c r="G2652" cm="1">
        <f t="array" ref="G2652">PRODUCT( _xlfn._xlws.FILTER($E:$E, ($C:$C=C2652)*($F:$F=F2652)) ) - 1</f>
        <v>-1.3330337813205473E-3</v>
      </c>
    </row>
    <row r="2653" spans="1:7" x14ac:dyDescent="0.2">
      <c r="A2653" s="1">
        <v>41113</v>
      </c>
      <c r="B2653">
        <v>0</v>
      </c>
      <c r="C2653" t="s">
        <v>13</v>
      </c>
      <c r="D2653">
        <v>-1.6981E-2</v>
      </c>
      <c r="E2653">
        <f t="shared" si="82"/>
        <v>0.98301899999999998</v>
      </c>
      <c r="F2653" s="1">
        <f t="shared" si="83"/>
        <v>41113</v>
      </c>
      <c r="G2653" cm="1">
        <f t="array" ref="G2653">PRODUCT( _xlfn._xlws.FILTER($E:$E, ($C:$C=C2653)*($F:$F=F2653)) ) - 1</f>
        <v>-1.9026643321807812E-3</v>
      </c>
    </row>
    <row r="2654" spans="1:7" x14ac:dyDescent="0.2">
      <c r="A2654" s="1">
        <v>41114</v>
      </c>
      <c r="B2654">
        <v>0</v>
      </c>
      <c r="C2654" t="s">
        <v>13</v>
      </c>
      <c r="D2654">
        <v>-2.5230000000000001E-3</v>
      </c>
      <c r="E2654">
        <f t="shared" si="82"/>
        <v>0.99747699999999995</v>
      </c>
      <c r="F2654" s="1">
        <f t="shared" si="83"/>
        <v>41113</v>
      </c>
      <c r="G2654" cm="1">
        <f t="array" ref="G2654">PRODUCT( _xlfn._xlws.FILTER($E:$E, ($C:$C=C2654)*($F:$F=F2654)) ) - 1</f>
        <v>-1.9026643321807812E-3</v>
      </c>
    </row>
    <row r="2655" spans="1:7" x14ac:dyDescent="0.2">
      <c r="A2655" s="1">
        <v>41115</v>
      </c>
      <c r="B2655">
        <v>0</v>
      </c>
      <c r="C2655" t="s">
        <v>13</v>
      </c>
      <c r="D2655">
        <v>-8.4609999999999998E-3</v>
      </c>
      <c r="E2655">
        <f t="shared" si="82"/>
        <v>0.99153899999999995</v>
      </c>
      <c r="F2655" s="1">
        <f t="shared" si="83"/>
        <v>41113</v>
      </c>
      <c r="G2655" cm="1">
        <f t="array" ref="G2655">PRODUCT( _xlfn._xlws.FILTER($E:$E, ($C:$C=C2655)*($F:$F=F2655)) ) - 1</f>
        <v>-1.9026643321807812E-3</v>
      </c>
    </row>
    <row r="2656" spans="1:7" x14ac:dyDescent="0.2">
      <c r="A2656" s="1">
        <v>41116</v>
      </c>
      <c r="B2656">
        <v>0</v>
      </c>
      <c r="C2656" t="s">
        <v>13</v>
      </c>
      <c r="D2656">
        <v>9.129E-3</v>
      </c>
      <c r="E2656">
        <f t="shared" si="82"/>
        <v>1.0091289999999999</v>
      </c>
      <c r="F2656" s="1">
        <f t="shared" si="83"/>
        <v>41113</v>
      </c>
      <c r="G2656" cm="1">
        <f t="array" ref="G2656">PRODUCT( _xlfn._xlws.FILTER($E:$E, ($C:$C=C2656)*($F:$F=F2656)) ) - 1</f>
        <v>-1.9026643321807812E-3</v>
      </c>
    </row>
    <row r="2657" spans="1:7" x14ac:dyDescent="0.2">
      <c r="A2657" s="1">
        <v>41117</v>
      </c>
      <c r="B2657">
        <v>0</v>
      </c>
      <c r="C2657" t="s">
        <v>13</v>
      </c>
      <c r="D2657">
        <v>1.7305999999999998E-2</v>
      </c>
      <c r="E2657">
        <f t="shared" si="82"/>
        <v>1.017306</v>
      </c>
      <c r="F2657" s="1">
        <f t="shared" si="83"/>
        <v>41113</v>
      </c>
      <c r="G2657" cm="1">
        <f t="array" ref="G2657">PRODUCT( _xlfn._xlws.FILTER($E:$E, ($C:$C=C2657)*($F:$F=F2657)) ) - 1</f>
        <v>-1.9026643321807812E-3</v>
      </c>
    </row>
    <row r="2658" spans="1:7" x14ac:dyDescent="0.2">
      <c r="A2658" s="1">
        <v>41120</v>
      </c>
      <c r="B2658">
        <v>0</v>
      </c>
      <c r="C2658" t="s">
        <v>13</v>
      </c>
      <c r="D2658">
        <v>3.8699999999999997E-4</v>
      </c>
      <c r="E2658">
        <f t="shared" si="82"/>
        <v>1.0003869999999999</v>
      </c>
      <c r="F2658" s="1">
        <f t="shared" si="83"/>
        <v>41120</v>
      </c>
      <c r="G2658" cm="1">
        <f t="array" ref="G2658">PRODUCT( _xlfn._xlws.FILTER($E:$E, ($C:$C=C2658)*($F:$F=F2658)) ) - 1</f>
        <v>-2.5134012863797794E-3</v>
      </c>
    </row>
    <row r="2659" spans="1:7" x14ac:dyDescent="0.2">
      <c r="A2659" s="1">
        <v>41121</v>
      </c>
      <c r="B2659">
        <v>0</v>
      </c>
      <c r="C2659" t="s">
        <v>13</v>
      </c>
      <c r="D2659">
        <v>-7.1500000000000001E-3</v>
      </c>
      <c r="E2659">
        <f t="shared" si="82"/>
        <v>0.99285000000000001</v>
      </c>
      <c r="F2659" s="1">
        <f t="shared" si="83"/>
        <v>41120</v>
      </c>
      <c r="G2659" cm="1">
        <f t="array" ref="G2659">PRODUCT( _xlfn._xlws.FILTER($E:$E, ($C:$C=C2659)*($F:$F=F2659)) ) - 1</f>
        <v>-2.5134012863797794E-3</v>
      </c>
    </row>
    <row r="2660" spans="1:7" x14ac:dyDescent="0.2">
      <c r="A2660" s="1">
        <v>41122</v>
      </c>
      <c r="B2660">
        <v>0</v>
      </c>
      <c r="C2660" t="s">
        <v>13</v>
      </c>
      <c r="D2660">
        <v>-5.45E-3</v>
      </c>
      <c r="E2660">
        <f t="shared" si="82"/>
        <v>0.99455000000000005</v>
      </c>
      <c r="F2660" s="1">
        <f t="shared" si="83"/>
        <v>41120</v>
      </c>
      <c r="G2660" cm="1">
        <f t="array" ref="G2660">PRODUCT( _xlfn._xlws.FILTER($E:$E, ($C:$C=C2660)*($F:$F=F2660)) ) - 1</f>
        <v>-2.5134012863797794E-3</v>
      </c>
    </row>
    <row r="2661" spans="1:7" x14ac:dyDescent="0.2">
      <c r="A2661" s="1">
        <v>41123</v>
      </c>
      <c r="B2661">
        <v>0</v>
      </c>
      <c r="C2661" t="s">
        <v>13</v>
      </c>
      <c r="D2661">
        <v>-4.6969999999999998E-3</v>
      </c>
      <c r="E2661">
        <f t="shared" si="82"/>
        <v>0.99530300000000005</v>
      </c>
      <c r="F2661" s="1">
        <f t="shared" si="83"/>
        <v>41120</v>
      </c>
      <c r="G2661" cm="1">
        <f t="array" ref="G2661">PRODUCT( _xlfn._xlws.FILTER($E:$E, ($C:$C=C2661)*($F:$F=F2661)) ) - 1</f>
        <v>-2.5134012863797794E-3</v>
      </c>
    </row>
    <row r="2662" spans="1:7" x14ac:dyDescent="0.2">
      <c r="A2662" s="1">
        <v>41124</v>
      </c>
      <c r="B2662">
        <v>0</v>
      </c>
      <c r="C2662" t="s">
        <v>13</v>
      </c>
      <c r="D2662">
        <v>1.455E-2</v>
      </c>
      <c r="E2662">
        <f t="shared" si="82"/>
        <v>1.0145500000000001</v>
      </c>
      <c r="F2662" s="1">
        <f t="shared" si="83"/>
        <v>41120</v>
      </c>
      <c r="G2662" cm="1">
        <f t="array" ref="G2662">PRODUCT( _xlfn._xlws.FILTER($E:$E, ($C:$C=C2662)*($F:$F=F2662)) ) - 1</f>
        <v>-2.5134012863797794E-3</v>
      </c>
    </row>
    <row r="2663" spans="1:7" x14ac:dyDescent="0.2">
      <c r="A2663" s="1">
        <v>41128</v>
      </c>
      <c r="B2663">
        <v>0</v>
      </c>
      <c r="C2663" t="s">
        <v>13</v>
      </c>
      <c r="D2663">
        <v>4.6509999999999998E-3</v>
      </c>
      <c r="E2663">
        <f t="shared" si="82"/>
        <v>1.004651</v>
      </c>
      <c r="F2663" s="1">
        <f t="shared" si="83"/>
        <v>41127</v>
      </c>
      <c r="G2663" cm="1">
        <f t="array" ref="G2663">PRODUCT( _xlfn._xlws.FILTER($E:$E, ($C:$C=C2663)*($F:$F=F2663)) ) - 1</f>
        <v>-8.7212356026724613E-3</v>
      </c>
    </row>
    <row r="2664" spans="1:7" x14ac:dyDescent="0.2">
      <c r="A2664" s="1">
        <v>41129</v>
      </c>
      <c r="B2664">
        <v>0</v>
      </c>
      <c r="C2664" t="s">
        <v>13</v>
      </c>
      <c r="D2664">
        <v>-9.4520000000000003E-3</v>
      </c>
      <c r="E2664">
        <f t="shared" si="82"/>
        <v>0.99054799999999998</v>
      </c>
      <c r="F2664" s="1">
        <f t="shared" si="83"/>
        <v>41127</v>
      </c>
      <c r="G2664" cm="1">
        <f t="array" ref="G2664">PRODUCT( _xlfn._xlws.FILTER($E:$E, ($C:$C=C2664)*($F:$F=F2664)) ) - 1</f>
        <v>-8.7212356026724613E-3</v>
      </c>
    </row>
    <row r="2665" spans="1:7" x14ac:dyDescent="0.2">
      <c r="A2665" s="1">
        <v>41130</v>
      </c>
      <c r="B2665">
        <v>0</v>
      </c>
      <c r="C2665" t="s">
        <v>13</v>
      </c>
      <c r="D2665">
        <v>-2.921E-3</v>
      </c>
      <c r="E2665">
        <f t="shared" si="82"/>
        <v>0.99707900000000005</v>
      </c>
      <c r="F2665" s="1">
        <f t="shared" si="83"/>
        <v>41127</v>
      </c>
      <c r="G2665" cm="1">
        <f t="array" ref="G2665">PRODUCT( _xlfn._xlws.FILTER($E:$E, ($C:$C=C2665)*($F:$F=F2665)) ) - 1</f>
        <v>-8.7212356026724613E-3</v>
      </c>
    </row>
    <row r="2666" spans="1:7" x14ac:dyDescent="0.2">
      <c r="A2666" s="1">
        <v>41131</v>
      </c>
      <c r="B2666">
        <v>0</v>
      </c>
      <c r="C2666" t="s">
        <v>13</v>
      </c>
      <c r="D2666">
        <v>-9.77E-4</v>
      </c>
      <c r="E2666">
        <f t="shared" si="82"/>
        <v>0.99902299999999999</v>
      </c>
      <c r="F2666" s="1">
        <f t="shared" si="83"/>
        <v>41127</v>
      </c>
      <c r="G2666" cm="1">
        <f t="array" ref="G2666">PRODUCT( _xlfn._xlws.FILTER($E:$E, ($C:$C=C2666)*($F:$F=F2666)) ) - 1</f>
        <v>-8.7212356026724613E-3</v>
      </c>
    </row>
    <row r="2667" spans="1:7" x14ac:dyDescent="0.2">
      <c r="A2667" s="1">
        <v>41134</v>
      </c>
      <c r="B2667">
        <v>0</v>
      </c>
      <c r="C2667" t="s">
        <v>13</v>
      </c>
      <c r="D2667">
        <v>-4.888E-3</v>
      </c>
      <c r="E2667">
        <f t="shared" si="82"/>
        <v>0.995112</v>
      </c>
      <c r="F2667" s="1">
        <f t="shared" si="83"/>
        <v>41134</v>
      </c>
      <c r="G2667" cm="1">
        <f t="array" ref="G2667">PRODUCT( _xlfn._xlws.FILTER($E:$E, ($C:$C=C2667)*($F:$F=F2667)) ) - 1</f>
        <v>5.5522578093164299E-2</v>
      </c>
    </row>
    <row r="2668" spans="1:7" x14ac:dyDescent="0.2">
      <c r="A2668" s="1">
        <v>41135</v>
      </c>
      <c r="B2668">
        <v>0</v>
      </c>
      <c r="C2668" t="s">
        <v>13</v>
      </c>
      <c r="D2668">
        <v>2.1218000000000001E-2</v>
      </c>
      <c r="E2668">
        <f t="shared" si="82"/>
        <v>1.021218</v>
      </c>
      <c r="F2668" s="1">
        <f t="shared" si="83"/>
        <v>41134</v>
      </c>
      <c r="G2668" cm="1">
        <f t="array" ref="G2668">PRODUCT( _xlfn._xlws.FILTER($E:$E, ($C:$C=C2668)*($F:$F=F2668)) ) - 1</f>
        <v>5.5522578093164299E-2</v>
      </c>
    </row>
    <row r="2669" spans="1:7" x14ac:dyDescent="0.2">
      <c r="A2669" s="1">
        <v>41136</v>
      </c>
      <c r="B2669">
        <v>0</v>
      </c>
      <c r="C2669" t="s">
        <v>13</v>
      </c>
      <c r="D2669">
        <v>1.4236E-2</v>
      </c>
      <c r="E2669">
        <f t="shared" si="82"/>
        <v>1.0142359999999999</v>
      </c>
      <c r="F2669" s="1">
        <f t="shared" si="83"/>
        <v>41134</v>
      </c>
      <c r="G2669" cm="1">
        <f t="array" ref="G2669">PRODUCT( _xlfn._xlws.FILTER($E:$E, ($C:$C=C2669)*($F:$F=F2669)) ) - 1</f>
        <v>5.5522578093164299E-2</v>
      </c>
    </row>
    <row r="2670" spans="1:7" x14ac:dyDescent="0.2">
      <c r="A2670" s="1">
        <v>41137</v>
      </c>
      <c r="B2670">
        <v>0</v>
      </c>
      <c r="C2670" t="s">
        <v>13</v>
      </c>
      <c r="D2670">
        <v>1.3847E-2</v>
      </c>
      <c r="E2670">
        <f t="shared" si="82"/>
        <v>1.0138469999999999</v>
      </c>
      <c r="F2670" s="1">
        <f t="shared" si="83"/>
        <v>41134</v>
      </c>
      <c r="G2670" cm="1">
        <f t="array" ref="G2670">PRODUCT( _xlfn._xlws.FILTER($E:$E, ($C:$C=C2670)*($F:$F=F2670)) ) - 1</f>
        <v>5.5522578093164299E-2</v>
      </c>
    </row>
    <row r="2671" spans="1:7" x14ac:dyDescent="0.2">
      <c r="A2671" s="1">
        <v>41138</v>
      </c>
      <c r="B2671">
        <v>0</v>
      </c>
      <c r="C2671" t="s">
        <v>13</v>
      </c>
      <c r="D2671">
        <v>1.0102999999999999E-2</v>
      </c>
      <c r="E2671">
        <f t="shared" si="82"/>
        <v>1.010103</v>
      </c>
      <c r="F2671" s="1">
        <f t="shared" si="83"/>
        <v>41134</v>
      </c>
      <c r="G2671" cm="1">
        <f t="array" ref="G2671">PRODUCT( _xlfn._xlws.FILTER($E:$E, ($C:$C=C2671)*($F:$F=F2671)) ) - 1</f>
        <v>5.5522578093164299E-2</v>
      </c>
    </row>
    <row r="2672" spans="1:7" x14ac:dyDescent="0.2">
      <c r="A2672" s="1">
        <v>41141</v>
      </c>
      <c r="B2672">
        <v>0</v>
      </c>
      <c r="C2672" t="s">
        <v>13</v>
      </c>
      <c r="D2672">
        <v>-8.7049999999999992E-3</v>
      </c>
      <c r="E2672">
        <f t="shared" si="82"/>
        <v>0.99129500000000004</v>
      </c>
      <c r="F2672" s="1">
        <f t="shared" si="83"/>
        <v>41141</v>
      </c>
      <c r="G2672" cm="1">
        <f t="array" ref="G2672">PRODUCT( _xlfn._xlws.FILTER($E:$E, ($C:$C=C2672)*($F:$F=F2672)) ) - 1</f>
        <v>-4.8154242607110209E-3</v>
      </c>
    </row>
    <row r="2673" spans="1:7" x14ac:dyDescent="0.2">
      <c r="A2673" s="1">
        <v>41142</v>
      </c>
      <c r="B2673">
        <v>0</v>
      </c>
      <c r="C2673" t="s">
        <v>13</v>
      </c>
      <c r="D2673">
        <v>9.9030000000000003E-3</v>
      </c>
      <c r="E2673">
        <f t="shared" si="82"/>
        <v>1.009903</v>
      </c>
      <c r="F2673" s="1">
        <f t="shared" si="83"/>
        <v>41141</v>
      </c>
      <c r="G2673" cm="1">
        <f t="array" ref="G2673">PRODUCT( _xlfn._xlws.FILTER($E:$E, ($C:$C=C2673)*($F:$F=F2673)) ) - 1</f>
        <v>-4.8154242607110209E-3</v>
      </c>
    </row>
    <row r="2674" spans="1:7" x14ac:dyDescent="0.2">
      <c r="A2674" s="1">
        <v>41143</v>
      </c>
      <c r="B2674">
        <v>0</v>
      </c>
      <c r="C2674" t="s">
        <v>13</v>
      </c>
      <c r="D2674">
        <v>-1.0546E-2</v>
      </c>
      <c r="E2674">
        <f t="shared" si="82"/>
        <v>0.98945400000000006</v>
      </c>
      <c r="F2674" s="1">
        <f t="shared" si="83"/>
        <v>41141</v>
      </c>
      <c r="G2674" cm="1">
        <f t="array" ref="G2674">PRODUCT( _xlfn._xlws.FILTER($E:$E, ($C:$C=C2674)*($F:$F=F2674)) ) - 1</f>
        <v>-4.8154242607110209E-3</v>
      </c>
    </row>
    <row r="2675" spans="1:7" x14ac:dyDescent="0.2">
      <c r="A2675" s="1">
        <v>41144</v>
      </c>
      <c r="B2675">
        <v>0</v>
      </c>
      <c r="C2675" t="s">
        <v>13</v>
      </c>
      <c r="D2675">
        <v>-3.5530000000000002E-3</v>
      </c>
      <c r="E2675">
        <f t="shared" si="82"/>
        <v>0.99644699999999997</v>
      </c>
      <c r="F2675" s="1">
        <f t="shared" si="83"/>
        <v>41141</v>
      </c>
      <c r="G2675" cm="1">
        <f t="array" ref="G2675">PRODUCT( _xlfn._xlws.FILTER($E:$E, ($C:$C=C2675)*($F:$F=F2675)) ) - 1</f>
        <v>-4.8154242607110209E-3</v>
      </c>
    </row>
    <row r="2676" spans="1:7" x14ac:dyDescent="0.2">
      <c r="A2676" s="1">
        <v>41145</v>
      </c>
      <c r="B2676">
        <v>0</v>
      </c>
      <c r="C2676" t="s">
        <v>13</v>
      </c>
      <c r="D2676">
        <v>8.2570000000000005E-3</v>
      </c>
      <c r="E2676">
        <f t="shared" si="82"/>
        <v>1.008257</v>
      </c>
      <c r="F2676" s="1">
        <f t="shared" si="83"/>
        <v>41141</v>
      </c>
      <c r="G2676" cm="1">
        <f t="array" ref="G2676">PRODUCT( _xlfn._xlws.FILTER($E:$E, ($C:$C=C2676)*($F:$F=F2676)) ) - 1</f>
        <v>-4.8154242607110209E-3</v>
      </c>
    </row>
    <row r="2677" spans="1:7" x14ac:dyDescent="0.2">
      <c r="A2677" s="1">
        <v>41148</v>
      </c>
      <c r="B2677">
        <v>0</v>
      </c>
      <c r="C2677" t="s">
        <v>13</v>
      </c>
      <c r="D2677">
        <v>3.3500000000000001E-3</v>
      </c>
      <c r="E2677">
        <f t="shared" si="82"/>
        <v>1.00335</v>
      </c>
      <c r="F2677" s="1">
        <f t="shared" si="83"/>
        <v>41148</v>
      </c>
      <c r="G2677" cm="1">
        <f t="array" ref="G2677">PRODUCT( _xlfn._xlws.FILTER($E:$E, ($C:$C=C2677)*($F:$F=F2677)) ) - 1</f>
        <v>2.6800387523336466E-2</v>
      </c>
    </row>
    <row r="2678" spans="1:7" x14ac:dyDescent="0.2">
      <c r="A2678" s="1">
        <v>41149</v>
      </c>
      <c r="B2678">
        <v>0</v>
      </c>
      <c r="C2678" t="s">
        <v>13</v>
      </c>
      <c r="D2678">
        <v>4.823E-3</v>
      </c>
      <c r="E2678">
        <f t="shared" si="82"/>
        <v>1.004823</v>
      </c>
      <c r="F2678" s="1">
        <f t="shared" si="83"/>
        <v>41148</v>
      </c>
      <c r="G2678" cm="1">
        <f t="array" ref="G2678">PRODUCT( _xlfn._xlws.FILTER($E:$E, ($C:$C=C2678)*($F:$F=F2678)) ) - 1</f>
        <v>2.6800387523336466E-2</v>
      </c>
    </row>
    <row r="2679" spans="1:7" x14ac:dyDescent="0.2">
      <c r="A2679" s="1">
        <v>41150</v>
      </c>
      <c r="B2679">
        <v>0</v>
      </c>
      <c r="C2679" t="s">
        <v>13</v>
      </c>
      <c r="D2679">
        <v>7.9380000000000006E-3</v>
      </c>
      <c r="E2679">
        <f t="shared" si="82"/>
        <v>1.007938</v>
      </c>
      <c r="F2679" s="1">
        <f t="shared" si="83"/>
        <v>41148</v>
      </c>
      <c r="G2679" cm="1">
        <f t="array" ref="G2679">PRODUCT( _xlfn._xlws.FILTER($E:$E, ($C:$C=C2679)*($F:$F=F2679)) ) - 1</f>
        <v>2.6800387523336466E-2</v>
      </c>
    </row>
    <row r="2680" spans="1:7" x14ac:dyDescent="0.2">
      <c r="A2680" s="1">
        <v>41151</v>
      </c>
      <c r="B2680">
        <v>0</v>
      </c>
      <c r="C2680" t="s">
        <v>13</v>
      </c>
      <c r="D2680">
        <v>6.5929999999999999E-3</v>
      </c>
      <c r="E2680">
        <f t="shared" si="82"/>
        <v>1.0065930000000001</v>
      </c>
      <c r="F2680" s="1">
        <f t="shared" si="83"/>
        <v>41148</v>
      </c>
      <c r="G2680" cm="1">
        <f t="array" ref="G2680">PRODUCT( _xlfn._xlws.FILTER($E:$E, ($C:$C=C2680)*($F:$F=F2680)) ) - 1</f>
        <v>2.6800387523336466E-2</v>
      </c>
    </row>
    <row r="2681" spans="1:7" x14ac:dyDescent="0.2">
      <c r="A2681" s="1">
        <v>41152</v>
      </c>
      <c r="B2681">
        <v>0</v>
      </c>
      <c r="C2681" t="s">
        <v>13</v>
      </c>
      <c r="D2681">
        <v>3.8210000000000002E-3</v>
      </c>
      <c r="E2681">
        <f t="shared" si="82"/>
        <v>1.0038210000000001</v>
      </c>
      <c r="F2681" s="1">
        <f t="shared" si="83"/>
        <v>41148</v>
      </c>
      <c r="G2681" cm="1">
        <f t="array" ref="G2681">PRODUCT( _xlfn._xlws.FILTER($E:$E, ($C:$C=C2681)*($F:$F=F2681)) ) - 1</f>
        <v>2.6800387523336466E-2</v>
      </c>
    </row>
    <row r="2682" spans="1:7" x14ac:dyDescent="0.2">
      <c r="A2682" s="1">
        <v>41156</v>
      </c>
      <c r="B2682">
        <v>0</v>
      </c>
      <c r="C2682" t="s">
        <v>13</v>
      </c>
      <c r="D2682">
        <v>-5.6189999999999999E-3</v>
      </c>
      <c r="E2682">
        <f t="shared" si="82"/>
        <v>0.99438099999999996</v>
      </c>
      <c r="F2682" s="1">
        <f t="shared" si="83"/>
        <v>41155</v>
      </c>
      <c r="G2682" cm="1">
        <f t="array" ref="G2682">PRODUCT( _xlfn._xlws.FILTER($E:$E, ($C:$C=C2682)*($F:$F=F2682)) ) - 1</f>
        <v>1.8488447042678935E-2</v>
      </c>
    </row>
    <row r="2683" spans="1:7" x14ac:dyDescent="0.2">
      <c r="A2683" s="1">
        <v>41157</v>
      </c>
      <c r="B2683">
        <v>0</v>
      </c>
      <c r="C2683" t="s">
        <v>13</v>
      </c>
      <c r="D2683">
        <v>1.4036E-2</v>
      </c>
      <c r="E2683">
        <f t="shared" si="82"/>
        <v>1.0140359999999999</v>
      </c>
      <c r="F2683" s="1">
        <f t="shared" si="83"/>
        <v>41155</v>
      </c>
      <c r="G2683" cm="1">
        <f t="array" ref="G2683">PRODUCT( _xlfn._xlws.FILTER($E:$E, ($C:$C=C2683)*($F:$F=F2683)) ) - 1</f>
        <v>1.8488447042678935E-2</v>
      </c>
    </row>
    <row r="2684" spans="1:7" x14ac:dyDescent="0.2">
      <c r="A2684" s="1">
        <v>41158</v>
      </c>
      <c r="B2684">
        <v>0</v>
      </c>
      <c r="C2684" t="s">
        <v>13</v>
      </c>
      <c r="D2684">
        <v>5.9319999999999998E-3</v>
      </c>
      <c r="E2684">
        <f t="shared" si="82"/>
        <v>1.005932</v>
      </c>
      <c r="F2684" s="1">
        <f t="shared" si="83"/>
        <v>41155</v>
      </c>
      <c r="G2684" cm="1">
        <f t="array" ref="G2684">PRODUCT( _xlfn._xlws.FILTER($E:$E, ($C:$C=C2684)*($F:$F=F2684)) ) - 1</f>
        <v>1.8488447042678935E-2</v>
      </c>
    </row>
    <row r="2685" spans="1:7" x14ac:dyDescent="0.2">
      <c r="A2685" s="1">
        <v>41159</v>
      </c>
      <c r="B2685">
        <v>0</v>
      </c>
      <c r="C2685" t="s">
        <v>13</v>
      </c>
      <c r="D2685">
        <v>4.1099999999999999E-3</v>
      </c>
      <c r="E2685">
        <f t="shared" si="82"/>
        <v>1.0041100000000001</v>
      </c>
      <c r="F2685" s="1">
        <f t="shared" si="83"/>
        <v>41155</v>
      </c>
      <c r="G2685" cm="1">
        <f t="array" ref="G2685">PRODUCT( _xlfn._xlws.FILTER($E:$E, ($C:$C=C2685)*($F:$F=F2685)) ) - 1</f>
        <v>1.8488447042678935E-2</v>
      </c>
    </row>
    <row r="2686" spans="1:7" x14ac:dyDescent="0.2">
      <c r="A2686" s="1">
        <v>41162</v>
      </c>
      <c r="B2686">
        <v>0</v>
      </c>
      <c r="C2686" t="s">
        <v>13</v>
      </c>
      <c r="D2686">
        <v>4.4489999999999998E-3</v>
      </c>
      <c r="E2686">
        <f t="shared" si="82"/>
        <v>1.0044489999999999</v>
      </c>
      <c r="F2686" s="1">
        <f t="shared" si="83"/>
        <v>41162</v>
      </c>
      <c r="G2686" cm="1">
        <f t="array" ref="G2686">PRODUCT( _xlfn._xlws.FILTER($E:$E, ($C:$C=C2686)*($F:$F=F2686)) ) - 1</f>
        <v>-2.1353130534056408E-3</v>
      </c>
    </row>
    <row r="2687" spans="1:7" x14ac:dyDescent="0.2">
      <c r="A2687" s="1">
        <v>41163</v>
      </c>
      <c r="B2687">
        <v>0</v>
      </c>
      <c r="C2687" t="s">
        <v>13</v>
      </c>
      <c r="D2687">
        <v>-1.1162E-2</v>
      </c>
      <c r="E2687">
        <f t="shared" si="82"/>
        <v>0.98883799999999999</v>
      </c>
      <c r="F2687" s="1">
        <f t="shared" si="83"/>
        <v>41162</v>
      </c>
      <c r="G2687" cm="1">
        <f t="array" ref="G2687">PRODUCT( _xlfn._xlws.FILTER($E:$E, ($C:$C=C2687)*($F:$F=F2687)) ) - 1</f>
        <v>-2.1353130534056408E-3</v>
      </c>
    </row>
    <row r="2688" spans="1:7" x14ac:dyDescent="0.2">
      <c r="A2688" s="1">
        <v>41164</v>
      </c>
      <c r="B2688">
        <v>0</v>
      </c>
      <c r="C2688" t="s">
        <v>13</v>
      </c>
      <c r="D2688">
        <v>-7.1669999999999998E-3</v>
      </c>
      <c r="E2688">
        <f t="shared" si="82"/>
        <v>0.99283299999999997</v>
      </c>
      <c r="F2688" s="1">
        <f t="shared" si="83"/>
        <v>41162</v>
      </c>
      <c r="G2688" cm="1">
        <f t="array" ref="G2688">PRODUCT( _xlfn._xlws.FILTER($E:$E, ($C:$C=C2688)*($F:$F=F2688)) ) - 1</f>
        <v>-2.1353130534056408E-3</v>
      </c>
    </row>
    <row r="2689" spans="1:7" x14ac:dyDescent="0.2">
      <c r="A2689" s="1">
        <v>41165</v>
      </c>
      <c r="B2689">
        <v>0</v>
      </c>
      <c r="C2689" t="s">
        <v>13</v>
      </c>
      <c r="D2689">
        <v>6.136E-3</v>
      </c>
      <c r="E2689">
        <f t="shared" si="82"/>
        <v>1.0061359999999999</v>
      </c>
      <c r="F2689" s="1">
        <f t="shared" si="83"/>
        <v>41162</v>
      </c>
      <c r="G2689" cm="1">
        <f t="array" ref="G2689">PRODUCT( _xlfn._xlws.FILTER($E:$E, ($C:$C=C2689)*($F:$F=F2689)) ) - 1</f>
        <v>-2.1353130534056408E-3</v>
      </c>
    </row>
    <row r="2690" spans="1:7" x14ac:dyDescent="0.2">
      <c r="A2690" s="1">
        <v>41166</v>
      </c>
      <c r="B2690">
        <v>0</v>
      </c>
      <c r="C2690" t="s">
        <v>13</v>
      </c>
      <c r="D2690">
        <v>5.7400000000000003E-3</v>
      </c>
      <c r="E2690">
        <f t="shared" si="82"/>
        <v>1.0057400000000001</v>
      </c>
      <c r="F2690" s="1">
        <f t="shared" si="83"/>
        <v>41162</v>
      </c>
      <c r="G2690" cm="1">
        <f t="array" ref="G2690">PRODUCT( _xlfn._xlws.FILTER($E:$E, ($C:$C=C2690)*($F:$F=F2690)) ) - 1</f>
        <v>-2.1353130534056408E-3</v>
      </c>
    </row>
    <row r="2691" spans="1:7" x14ac:dyDescent="0.2">
      <c r="A2691" s="1">
        <v>41169</v>
      </c>
      <c r="B2691">
        <v>0</v>
      </c>
      <c r="C2691" t="s">
        <v>13</v>
      </c>
      <c r="D2691">
        <v>-5.3499999999999999E-4</v>
      </c>
      <c r="E2691">
        <f t="shared" si="82"/>
        <v>0.99946500000000005</v>
      </c>
      <c r="F2691" s="1">
        <f t="shared" si="83"/>
        <v>41169</v>
      </c>
      <c r="G2691" cm="1">
        <f t="array" ref="G2691">PRODUCT( _xlfn._xlws.FILTER($E:$E, ($C:$C=C2691)*($F:$F=F2691)) ) - 1</f>
        <v>-1.4272207917204183E-3</v>
      </c>
    </row>
    <row r="2692" spans="1:7" x14ac:dyDescent="0.2">
      <c r="A2692" s="1">
        <v>41170</v>
      </c>
      <c r="B2692">
        <v>0</v>
      </c>
      <c r="C2692" t="s">
        <v>13</v>
      </c>
      <c r="D2692">
        <v>6.2449999999999997E-3</v>
      </c>
      <c r="E2692">
        <f t="shared" ref="E2692:E2755" si="84">D2692+1</f>
        <v>1.0062450000000001</v>
      </c>
      <c r="F2692" s="1">
        <f t="shared" ref="F2692:F2755" si="85">A2692 - (WEEKDAY(A2692, 2) - 1)</f>
        <v>41169</v>
      </c>
      <c r="G2692" cm="1">
        <f t="array" ref="G2692">PRODUCT( _xlfn._xlws.FILTER($E:$E, ($C:$C=C2692)*($F:$F=F2692)) ) - 1</f>
        <v>-1.4272207917204183E-3</v>
      </c>
    </row>
    <row r="2693" spans="1:7" x14ac:dyDescent="0.2">
      <c r="A2693" s="1">
        <v>41171</v>
      </c>
      <c r="B2693">
        <v>0</v>
      </c>
      <c r="C2693" t="s">
        <v>13</v>
      </c>
      <c r="D2693">
        <v>5.8520000000000004E-3</v>
      </c>
      <c r="E2693">
        <f t="shared" si="84"/>
        <v>1.005852</v>
      </c>
      <c r="F2693" s="1">
        <f t="shared" si="85"/>
        <v>41169</v>
      </c>
      <c r="G2693" cm="1">
        <f t="array" ref="G2693">PRODUCT( _xlfn._xlws.FILTER($E:$E, ($C:$C=C2693)*($F:$F=F2693)) ) - 1</f>
        <v>-1.4272207917204183E-3</v>
      </c>
    </row>
    <row r="2694" spans="1:7" x14ac:dyDescent="0.2">
      <c r="A2694" s="1">
        <v>41172</v>
      </c>
      <c r="B2694">
        <v>0</v>
      </c>
      <c r="C2694" t="s">
        <v>13</v>
      </c>
      <c r="D2694">
        <v>5.2899999999999996E-4</v>
      </c>
      <c r="E2694">
        <f t="shared" si="84"/>
        <v>1.000529</v>
      </c>
      <c r="F2694" s="1">
        <f t="shared" si="85"/>
        <v>41169</v>
      </c>
      <c r="G2694" cm="1">
        <f t="array" ref="G2694">PRODUCT( _xlfn._xlws.FILTER($E:$E, ($C:$C=C2694)*($F:$F=F2694)) ) - 1</f>
        <v>-1.4272207917204183E-3</v>
      </c>
    </row>
    <row r="2695" spans="1:7" x14ac:dyDescent="0.2">
      <c r="A2695" s="1">
        <v>41173</v>
      </c>
      <c r="B2695">
        <v>0</v>
      </c>
      <c r="C2695" t="s">
        <v>13</v>
      </c>
      <c r="D2695">
        <v>-1.3391999999999999E-2</v>
      </c>
      <c r="E2695">
        <f t="shared" si="84"/>
        <v>0.98660800000000004</v>
      </c>
      <c r="F2695" s="1">
        <f t="shared" si="85"/>
        <v>41169</v>
      </c>
      <c r="G2695" cm="1">
        <f t="array" ref="G2695">PRODUCT( _xlfn._xlws.FILTER($E:$E, ($C:$C=C2695)*($F:$F=F2695)) ) - 1</f>
        <v>-1.4272207917204183E-3</v>
      </c>
    </row>
    <row r="2696" spans="1:7" x14ac:dyDescent="0.2">
      <c r="A2696" s="1">
        <v>41176</v>
      </c>
      <c r="B2696">
        <v>0</v>
      </c>
      <c r="C2696" t="s">
        <v>13</v>
      </c>
      <c r="D2696">
        <v>3.215E-3</v>
      </c>
      <c r="E2696">
        <f t="shared" si="84"/>
        <v>1.003215</v>
      </c>
      <c r="F2696" s="1">
        <f t="shared" si="85"/>
        <v>41176</v>
      </c>
      <c r="G2696" cm="1">
        <f t="array" ref="G2696">PRODUCT( _xlfn._xlws.FILTER($E:$E, ($C:$C=C2696)*($F:$F=F2696)) ) - 1</f>
        <v>9.8236501599588966E-3</v>
      </c>
    </row>
    <row r="2697" spans="1:7" x14ac:dyDescent="0.2">
      <c r="A2697" s="1">
        <v>41177</v>
      </c>
      <c r="B2697">
        <v>0</v>
      </c>
      <c r="C2697" t="s">
        <v>13</v>
      </c>
      <c r="D2697">
        <v>1.7799999999999999E-4</v>
      </c>
      <c r="E2697">
        <f t="shared" si="84"/>
        <v>1.000178</v>
      </c>
      <c r="F2697" s="1">
        <f t="shared" si="85"/>
        <v>41176</v>
      </c>
      <c r="G2697" cm="1">
        <f t="array" ref="G2697">PRODUCT( _xlfn._xlws.FILTER($E:$E, ($C:$C=C2697)*($F:$F=F2697)) ) - 1</f>
        <v>9.8236501599588966E-3</v>
      </c>
    </row>
    <row r="2698" spans="1:7" x14ac:dyDescent="0.2">
      <c r="A2698" s="1">
        <v>41178</v>
      </c>
      <c r="B2698">
        <v>0</v>
      </c>
      <c r="C2698" t="s">
        <v>13</v>
      </c>
      <c r="D2698">
        <v>-1.7799999999999999E-4</v>
      </c>
      <c r="E2698">
        <f t="shared" si="84"/>
        <v>0.99982199999999999</v>
      </c>
      <c r="F2698" s="1">
        <f t="shared" si="85"/>
        <v>41176</v>
      </c>
      <c r="G2698" cm="1">
        <f t="array" ref="G2698">PRODUCT( _xlfn._xlws.FILTER($E:$E, ($C:$C=C2698)*($F:$F=F2698)) ) - 1</f>
        <v>9.8236501599588966E-3</v>
      </c>
    </row>
    <row r="2699" spans="1:7" x14ac:dyDescent="0.2">
      <c r="A2699" s="1">
        <v>41179</v>
      </c>
      <c r="B2699">
        <v>0</v>
      </c>
      <c r="C2699" t="s">
        <v>13</v>
      </c>
      <c r="D2699">
        <v>9.2580000000000006E-3</v>
      </c>
      <c r="E2699">
        <f t="shared" si="84"/>
        <v>1.009258</v>
      </c>
      <c r="F2699" s="1">
        <f t="shared" si="85"/>
        <v>41176</v>
      </c>
      <c r="G2699" cm="1">
        <f t="array" ref="G2699">PRODUCT( _xlfn._xlws.FILTER($E:$E, ($C:$C=C2699)*($F:$F=F2699)) ) - 1</f>
        <v>9.8236501599588966E-3</v>
      </c>
    </row>
    <row r="2700" spans="1:7" x14ac:dyDescent="0.2">
      <c r="A2700" s="1">
        <v>41180</v>
      </c>
      <c r="B2700">
        <v>0</v>
      </c>
      <c r="C2700" t="s">
        <v>13</v>
      </c>
      <c r="D2700">
        <v>-2.6459999999999999E-3</v>
      </c>
      <c r="E2700">
        <f t="shared" si="84"/>
        <v>0.99735399999999996</v>
      </c>
      <c r="F2700" s="1">
        <f t="shared" si="85"/>
        <v>41176</v>
      </c>
      <c r="G2700" cm="1">
        <f t="array" ref="G2700">PRODUCT( _xlfn._xlws.FILTER($E:$E, ($C:$C=C2700)*($F:$F=F2700)) ) - 1</f>
        <v>9.8236501599588966E-3</v>
      </c>
    </row>
    <row r="2701" spans="1:7" x14ac:dyDescent="0.2">
      <c r="A2701" s="1">
        <v>41183</v>
      </c>
      <c r="B2701">
        <v>0</v>
      </c>
      <c r="C2701" t="s">
        <v>13</v>
      </c>
      <c r="D2701">
        <v>5.483E-3</v>
      </c>
      <c r="E2701">
        <f t="shared" si="84"/>
        <v>1.0054829999999999</v>
      </c>
      <c r="F2701" s="1">
        <f t="shared" si="85"/>
        <v>41183</v>
      </c>
      <c r="G2701" cm="1">
        <f t="array" ref="G2701">PRODUCT( _xlfn._xlws.FILTER($E:$E, ($C:$C=C2701)*($F:$F=F2701)) ) - 1</f>
        <v>1.5741195321879564E-2</v>
      </c>
    </row>
    <row r="2702" spans="1:7" x14ac:dyDescent="0.2">
      <c r="A2702" s="1">
        <v>41184</v>
      </c>
      <c r="B2702">
        <v>0</v>
      </c>
      <c r="C2702" t="s">
        <v>13</v>
      </c>
      <c r="D2702">
        <v>5.2800000000000004E-4</v>
      </c>
      <c r="E2702">
        <f t="shared" si="84"/>
        <v>1.0005280000000001</v>
      </c>
      <c r="F2702" s="1">
        <f t="shared" si="85"/>
        <v>41183</v>
      </c>
      <c r="G2702" cm="1">
        <f t="array" ref="G2702">PRODUCT( _xlfn._xlws.FILTER($E:$E, ($C:$C=C2702)*($F:$F=F2702)) ) - 1</f>
        <v>1.5741195321879564E-2</v>
      </c>
    </row>
    <row r="2703" spans="1:7" x14ac:dyDescent="0.2">
      <c r="A2703" s="1">
        <v>41185</v>
      </c>
      <c r="B2703">
        <v>0</v>
      </c>
      <c r="C2703" t="s">
        <v>13</v>
      </c>
      <c r="D2703">
        <v>2.4610000000000001E-3</v>
      </c>
      <c r="E2703">
        <f t="shared" si="84"/>
        <v>1.002461</v>
      </c>
      <c r="F2703" s="1">
        <f t="shared" si="85"/>
        <v>41183</v>
      </c>
      <c r="G2703" cm="1">
        <f t="array" ref="G2703">PRODUCT( _xlfn._xlws.FILTER($E:$E, ($C:$C=C2703)*($F:$F=F2703)) ) - 1</f>
        <v>1.5741195321879564E-2</v>
      </c>
    </row>
    <row r="2704" spans="1:7" x14ac:dyDescent="0.2">
      <c r="A2704" s="1">
        <v>41186</v>
      </c>
      <c r="B2704">
        <v>0</v>
      </c>
      <c r="C2704" t="s">
        <v>13</v>
      </c>
      <c r="D2704">
        <v>8.9440000000000006E-3</v>
      </c>
      <c r="E2704">
        <f t="shared" si="84"/>
        <v>1.0089440000000001</v>
      </c>
      <c r="F2704" s="1">
        <f t="shared" si="85"/>
        <v>41183</v>
      </c>
      <c r="G2704" cm="1">
        <f t="array" ref="G2704">PRODUCT( _xlfn._xlws.FILTER($E:$E, ($C:$C=C2704)*($F:$F=F2704)) ) - 1</f>
        <v>1.5741195321879564E-2</v>
      </c>
    </row>
    <row r="2705" spans="1:7" x14ac:dyDescent="0.2">
      <c r="A2705" s="1">
        <v>41187</v>
      </c>
      <c r="B2705">
        <v>0</v>
      </c>
      <c r="C2705" t="s">
        <v>13</v>
      </c>
      <c r="D2705">
        <v>-1.738E-3</v>
      </c>
      <c r="E2705">
        <f t="shared" si="84"/>
        <v>0.99826199999999998</v>
      </c>
      <c r="F2705" s="1">
        <f t="shared" si="85"/>
        <v>41183</v>
      </c>
      <c r="G2705" cm="1">
        <f t="array" ref="G2705">PRODUCT( _xlfn._xlws.FILTER($E:$E, ($C:$C=C2705)*($F:$F=F2705)) ) - 1</f>
        <v>1.5741195321879564E-2</v>
      </c>
    </row>
    <row r="2706" spans="1:7" x14ac:dyDescent="0.2">
      <c r="A2706" s="1">
        <v>41191</v>
      </c>
      <c r="B2706">
        <v>0</v>
      </c>
      <c r="C2706" t="s">
        <v>13</v>
      </c>
      <c r="D2706">
        <v>-5.0499999999999998E-3</v>
      </c>
      <c r="E2706">
        <f t="shared" si="84"/>
        <v>0.99495</v>
      </c>
      <c r="F2706" s="1">
        <f t="shared" si="85"/>
        <v>41190</v>
      </c>
      <c r="G2706" cm="1">
        <f t="array" ref="G2706">PRODUCT( _xlfn._xlws.FILTER($E:$E, ($C:$C=C2706)*($F:$F=F2706)) ) - 1</f>
        <v>-1.0099526525520153E-2</v>
      </c>
    </row>
    <row r="2707" spans="1:7" x14ac:dyDescent="0.2">
      <c r="A2707" s="1">
        <v>41192</v>
      </c>
      <c r="B2707">
        <v>0</v>
      </c>
      <c r="C2707" t="s">
        <v>13</v>
      </c>
      <c r="D2707">
        <v>-5.4250000000000001E-3</v>
      </c>
      <c r="E2707">
        <f t="shared" si="84"/>
        <v>0.99457499999999999</v>
      </c>
      <c r="F2707" s="1">
        <f t="shared" si="85"/>
        <v>41190</v>
      </c>
      <c r="G2707" cm="1">
        <f t="array" ref="G2707">PRODUCT( _xlfn._xlws.FILTER($E:$E, ($C:$C=C2707)*($F:$F=F2707)) ) - 1</f>
        <v>-1.0099526525520153E-2</v>
      </c>
    </row>
    <row r="2708" spans="1:7" x14ac:dyDescent="0.2">
      <c r="A2708" s="1">
        <v>41193</v>
      </c>
      <c r="B2708">
        <v>0</v>
      </c>
      <c r="C2708" t="s">
        <v>13</v>
      </c>
      <c r="D2708">
        <v>-3.5199999999999999E-4</v>
      </c>
      <c r="E2708">
        <f t="shared" si="84"/>
        <v>0.99964799999999998</v>
      </c>
      <c r="F2708" s="1">
        <f t="shared" si="85"/>
        <v>41190</v>
      </c>
      <c r="G2708" cm="1">
        <f t="array" ref="G2708">PRODUCT( _xlfn._xlws.FILTER($E:$E, ($C:$C=C2708)*($F:$F=F2708)) ) - 1</f>
        <v>-1.0099526525520153E-2</v>
      </c>
    </row>
    <row r="2709" spans="1:7" x14ac:dyDescent="0.2">
      <c r="A2709" s="1">
        <v>41194</v>
      </c>
      <c r="B2709">
        <v>0</v>
      </c>
      <c r="C2709" t="s">
        <v>13</v>
      </c>
      <c r="D2709">
        <v>7.0399999999999998E-4</v>
      </c>
      <c r="E2709">
        <f t="shared" si="84"/>
        <v>1.000704</v>
      </c>
      <c r="F2709" s="1">
        <f t="shared" si="85"/>
        <v>41190</v>
      </c>
      <c r="G2709" cm="1">
        <f t="array" ref="G2709">PRODUCT( _xlfn._xlws.FILTER($E:$E, ($C:$C=C2709)*($F:$F=F2709)) ) - 1</f>
        <v>-1.0099526525520153E-2</v>
      </c>
    </row>
    <row r="2710" spans="1:7" x14ac:dyDescent="0.2">
      <c r="A2710" s="1">
        <v>41197</v>
      </c>
      <c r="B2710">
        <v>0</v>
      </c>
      <c r="C2710" t="s">
        <v>13</v>
      </c>
      <c r="D2710">
        <v>6.8599999999999998E-3</v>
      </c>
      <c r="E2710">
        <f t="shared" si="84"/>
        <v>1.0068600000000001</v>
      </c>
      <c r="F2710" s="1">
        <f t="shared" si="85"/>
        <v>41197</v>
      </c>
      <c r="G2710" cm="1">
        <f t="array" ref="G2710">PRODUCT( _xlfn._xlws.FILTER($E:$E, ($C:$C=C2710)*($F:$F=F2710)) ) - 1</f>
        <v>2.9375627438237073E-2</v>
      </c>
    </row>
    <row r="2711" spans="1:7" x14ac:dyDescent="0.2">
      <c r="A2711" s="1">
        <v>41198</v>
      </c>
      <c r="B2711">
        <v>0</v>
      </c>
      <c r="C2711" t="s">
        <v>13</v>
      </c>
      <c r="D2711">
        <v>1.0832E-2</v>
      </c>
      <c r="E2711">
        <f t="shared" si="84"/>
        <v>1.010832</v>
      </c>
      <c r="F2711" s="1">
        <f t="shared" si="85"/>
        <v>41197</v>
      </c>
      <c r="G2711" cm="1">
        <f t="array" ref="G2711">PRODUCT( _xlfn._xlws.FILTER($E:$E, ($C:$C=C2711)*($F:$F=F2711)) ) - 1</f>
        <v>2.9375627438237073E-2</v>
      </c>
    </row>
    <row r="2712" spans="1:7" x14ac:dyDescent="0.2">
      <c r="A2712" s="1">
        <v>41199</v>
      </c>
      <c r="B2712">
        <v>0</v>
      </c>
      <c r="C2712" t="s">
        <v>13</v>
      </c>
      <c r="D2712">
        <v>5.7029999999999997E-3</v>
      </c>
      <c r="E2712">
        <f t="shared" si="84"/>
        <v>1.005703</v>
      </c>
      <c r="F2712" s="1">
        <f t="shared" si="85"/>
        <v>41197</v>
      </c>
      <c r="G2712" cm="1">
        <f t="array" ref="G2712">PRODUCT( _xlfn._xlws.FILTER($E:$E, ($C:$C=C2712)*($F:$F=F2712)) ) - 1</f>
        <v>2.9375627438237073E-2</v>
      </c>
    </row>
    <row r="2713" spans="1:7" x14ac:dyDescent="0.2">
      <c r="A2713" s="1">
        <v>41200</v>
      </c>
      <c r="B2713">
        <v>0</v>
      </c>
      <c r="C2713" t="s">
        <v>13</v>
      </c>
      <c r="D2713">
        <v>9.6240000000000006E-3</v>
      </c>
      <c r="E2713">
        <f t="shared" si="84"/>
        <v>1.0096240000000001</v>
      </c>
      <c r="F2713" s="1">
        <f t="shared" si="85"/>
        <v>41197</v>
      </c>
      <c r="G2713" cm="1">
        <f t="array" ref="G2713">PRODUCT( _xlfn._xlws.FILTER($E:$E, ($C:$C=C2713)*($F:$F=F2713)) ) - 1</f>
        <v>2.9375627438237073E-2</v>
      </c>
    </row>
    <row r="2714" spans="1:7" x14ac:dyDescent="0.2">
      <c r="A2714" s="1">
        <v>41201</v>
      </c>
      <c r="B2714">
        <v>0</v>
      </c>
      <c r="C2714" t="s">
        <v>13</v>
      </c>
      <c r="D2714">
        <v>-3.9150000000000001E-3</v>
      </c>
      <c r="E2714">
        <f t="shared" si="84"/>
        <v>0.996085</v>
      </c>
      <c r="F2714" s="1">
        <f t="shared" si="85"/>
        <v>41197</v>
      </c>
      <c r="G2714" cm="1">
        <f t="array" ref="G2714">PRODUCT( _xlfn._xlws.FILTER($E:$E, ($C:$C=C2714)*($F:$F=F2714)) ) - 1</f>
        <v>2.9375627438237073E-2</v>
      </c>
    </row>
    <row r="2715" spans="1:7" x14ac:dyDescent="0.2">
      <c r="A2715" s="1">
        <v>41204</v>
      </c>
      <c r="B2715">
        <v>0</v>
      </c>
      <c r="C2715" t="s">
        <v>13</v>
      </c>
      <c r="D2715">
        <v>1.3669999999999999E-3</v>
      </c>
      <c r="E2715">
        <f t="shared" si="84"/>
        <v>1.0013669999999999</v>
      </c>
      <c r="F2715" s="1">
        <f t="shared" si="85"/>
        <v>41204</v>
      </c>
      <c r="G2715" cm="1">
        <f t="array" ref="G2715">PRODUCT( _xlfn._xlws.FILTER($E:$E, ($C:$C=C2715)*($F:$F=F2715)) ) - 1</f>
        <v>-1.8646298037699016E-2</v>
      </c>
    </row>
    <row r="2716" spans="1:7" x14ac:dyDescent="0.2">
      <c r="A2716" s="1">
        <v>41205</v>
      </c>
      <c r="B2716">
        <v>0</v>
      </c>
      <c r="C2716" t="s">
        <v>13</v>
      </c>
      <c r="D2716">
        <v>-1.8089000000000001E-2</v>
      </c>
      <c r="E2716">
        <f t="shared" si="84"/>
        <v>0.98191099999999998</v>
      </c>
      <c r="F2716" s="1">
        <f t="shared" si="85"/>
        <v>41204</v>
      </c>
      <c r="G2716" cm="1">
        <f t="array" ref="G2716">PRODUCT( _xlfn._xlws.FILTER($E:$E, ($C:$C=C2716)*($F:$F=F2716)) ) - 1</f>
        <v>-1.8646298037699016E-2</v>
      </c>
    </row>
    <row r="2717" spans="1:7" x14ac:dyDescent="0.2">
      <c r="A2717" s="1">
        <v>41206</v>
      </c>
      <c r="B2717">
        <v>0</v>
      </c>
      <c r="C2717" t="s">
        <v>13</v>
      </c>
      <c r="D2717">
        <v>1.054E-3</v>
      </c>
      <c r="E2717">
        <f t="shared" si="84"/>
        <v>1.0010540000000001</v>
      </c>
      <c r="F2717" s="1">
        <f t="shared" si="85"/>
        <v>41204</v>
      </c>
      <c r="G2717" cm="1">
        <f t="array" ref="G2717">PRODUCT( _xlfn._xlws.FILTER($E:$E, ($C:$C=C2717)*($F:$F=F2717)) ) - 1</f>
        <v>-1.8646298037699016E-2</v>
      </c>
    </row>
    <row r="2718" spans="1:7" x14ac:dyDescent="0.2">
      <c r="A2718" s="1">
        <v>41207</v>
      </c>
      <c r="B2718">
        <v>0</v>
      </c>
      <c r="C2718" t="s">
        <v>13</v>
      </c>
      <c r="D2718">
        <v>-1.5790000000000001E-3</v>
      </c>
      <c r="E2718">
        <f t="shared" si="84"/>
        <v>0.998421</v>
      </c>
      <c r="F2718" s="1">
        <f t="shared" si="85"/>
        <v>41204</v>
      </c>
      <c r="G2718" cm="1">
        <f t="array" ref="G2718">PRODUCT( _xlfn._xlws.FILTER($E:$E, ($C:$C=C2718)*($F:$F=F2718)) ) - 1</f>
        <v>-1.8646298037699016E-2</v>
      </c>
    </row>
    <row r="2719" spans="1:7" x14ac:dyDescent="0.2">
      <c r="A2719" s="1">
        <v>41208</v>
      </c>
      <c r="B2719">
        <v>0</v>
      </c>
      <c r="C2719" t="s">
        <v>13</v>
      </c>
      <c r="D2719">
        <v>-1.4059999999999999E-3</v>
      </c>
      <c r="E2719">
        <f t="shared" si="84"/>
        <v>0.99859399999999998</v>
      </c>
      <c r="F2719" s="1">
        <f t="shared" si="85"/>
        <v>41204</v>
      </c>
      <c r="G2719" cm="1">
        <f t="array" ref="G2719">PRODUCT( _xlfn._xlws.FILTER($E:$E, ($C:$C=C2719)*($F:$F=F2719)) ) - 1</f>
        <v>-1.8646298037699016E-2</v>
      </c>
    </row>
    <row r="2720" spans="1:7" x14ac:dyDescent="0.2">
      <c r="A2720" s="1">
        <v>41211</v>
      </c>
      <c r="B2720">
        <v>0</v>
      </c>
      <c r="C2720" t="s">
        <v>13</v>
      </c>
      <c r="D2720">
        <v>-8.4460000000000004E-3</v>
      </c>
      <c r="E2720">
        <f t="shared" si="84"/>
        <v>0.99155400000000005</v>
      </c>
      <c r="F2720" s="1">
        <f t="shared" si="85"/>
        <v>41211</v>
      </c>
      <c r="G2720" cm="1">
        <f t="array" ref="G2720">PRODUCT( _xlfn._xlws.FILTER($E:$E, ($C:$C=C2720)*($F:$F=F2720)) ) - 1</f>
        <v>1.2845296026732456E-2</v>
      </c>
    </row>
    <row r="2721" spans="1:7" x14ac:dyDescent="0.2">
      <c r="A2721" s="1">
        <v>41212</v>
      </c>
      <c r="B2721">
        <v>0</v>
      </c>
      <c r="C2721" t="s">
        <v>13</v>
      </c>
      <c r="D2721">
        <v>1.0115000000000001E-2</v>
      </c>
      <c r="E2721">
        <f t="shared" si="84"/>
        <v>1.0101150000000001</v>
      </c>
      <c r="F2721" s="1">
        <f t="shared" si="85"/>
        <v>41211</v>
      </c>
      <c r="G2721" cm="1">
        <f t="array" ref="G2721">PRODUCT( _xlfn._xlws.FILTER($E:$E, ($C:$C=C2721)*($F:$F=F2721)) ) - 1</f>
        <v>1.2845296026732456E-2</v>
      </c>
    </row>
    <row r="2722" spans="1:7" x14ac:dyDescent="0.2">
      <c r="A2722" s="1">
        <v>41213</v>
      </c>
      <c r="B2722">
        <v>0</v>
      </c>
      <c r="C2722" t="s">
        <v>13</v>
      </c>
      <c r="D2722">
        <v>3.5100000000000002E-4</v>
      </c>
      <c r="E2722">
        <f t="shared" si="84"/>
        <v>1.000351</v>
      </c>
      <c r="F2722" s="1">
        <f t="shared" si="85"/>
        <v>41211</v>
      </c>
      <c r="G2722" cm="1">
        <f t="array" ref="G2722">PRODUCT( _xlfn._xlws.FILTER($E:$E, ($C:$C=C2722)*($F:$F=F2722)) ) - 1</f>
        <v>1.2845296026732456E-2</v>
      </c>
    </row>
    <row r="2723" spans="1:7" x14ac:dyDescent="0.2">
      <c r="A2723" s="1">
        <v>41214</v>
      </c>
      <c r="B2723">
        <v>0</v>
      </c>
      <c r="C2723" t="s">
        <v>13</v>
      </c>
      <c r="D2723">
        <v>1.124E-2</v>
      </c>
      <c r="E2723">
        <f t="shared" si="84"/>
        <v>1.0112399999999999</v>
      </c>
      <c r="F2723" s="1">
        <f t="shared" si="85"/>
        <v>41211</v>
      </c>
      <c r="G2723" cm="1">
        <f t="array" ref="G2723">PRODUCT( _xlfn._xlws.FILTER($E:$E, ($C:$C=C2723)*($F:$F=F2723)) ) - 1</f>
        <v>1.2845296026732456E-2</v>
      </c>
    </row>
    <row r="2724" spans="1:7" x14ac:dyDescent="0.2">
      <c r="A2724" s="1">
        <v>41215</v>
      </c>
      <c r="B2724">
        <v>0</v>
      </c>
      <c r="C2724" t="s">
        <v>13</v>
      </c>
      <c r="D2724">
        <v>-3.4699999999999998E-4</v>
      </c>
      <c r="E2724">
        <f t="shared" si="84"/>
        <v>0.99965300000000001</v>
      </c>
      <c r="F2724" s="1">
        <f t="shared" si="85"/>
        <v>41211</v>
      </c>
      <c r="G2724" cm="1">
        <f t="array" ref="G2724">PRODUCT( _xlfn._xlws.FILTER($E:$E, ($C:$C=C2724)*($F:$F=F2724)) ) - 1</f>
        <v>1.2845296026732456E-2</v>
      </c>
    </row>
    <row r="2725" spans="1:7" x14ac:dyDescent="0.2">
      <c r="A2725" s="1">
        <v>41218</v>
      </c>
      <c r="B2725">
        <v>0</v>
      </c>
      <c r="C2725" t="s">
        <v>13</v>
      </c>
      <c r="D2725">
        <v>-3.6480000000000002E-3</v>
      </c>
      <c r="E2725">
        <f t="shared" si="84"/>
        <v>0.99635200000000002</v>
      </c>
      <c r="F2725" s="1">
        <f t="shared" si="85"/>
        <v>41218</v>
      </c>
      <c r="G2725" cm="1">
        <f t="array" ref="G2725">PRODUCT( _xlfn._xlws.FILTER($E:$E, ($C:$C=C2725)*($F:$F=F2725)) ) - 1</f>
        <v>-2.9708375269228204E-2</v>
      </c>
    </row>
    <row r="2726" spans="1:7" x14ac:dyDescent="0.2">
      <c r="A2726" s="1">
        <v>41219</v>
      </c>
      <c r="B2726">
        <v>0</v>
      </c>
      <c r="C2726" t="s">
        <v>13</v>
      </c>
      <c r="D2726">
        <v>-3.6619999999999999E-3</v>
      </c>
      <c r="E2726">
        <f t="shared" si="84"/>
        <v>0.99633799999999995</v>
      </c>
      <c r="F2726" s="1">
        <f t="shared" si="85"/>
        <v>41218</v>
      </c>
      <c r="G2726" cm="1">
        <f t="array" ref="G2726">PRODUCT( _xlfn._xlws.FILTER($E:$E, ($C:$C=C2726)*($F:$F=F2726)) ) - 1</f>
        <v>-2.9708375269228204E-2</v>
      </c>
    </row>
    <row r="2727" spans="1:7" x14ac:dyDescent="0.2">
      <c r="A2727" s="1">
        <v>41220</v>
      </c>
      <c r="B2727">
        <v>0</v>
      </c>
      <c r="C2727" t="s">
        <v>13</v>
      </c>
      <c r="D2727">
        <v>-1.4175999999999999E-2</v>
      </c>
      <c r="E2727">
        <f t="shared" si="84"/>
        <v>0.98582400000000003</v>
      </c>
      <c r="F2727" s="1">
        <f t="shared" si="85"/>
        <v>41218</v>
      </c>
      <c r="G2727" cm="1">
        <f t="array" ref="G2727">PRODUCT( _xlfn._xlws.FILTER($E:$E, ($C:$C=C2727)*($F:$F=F2727)) ) - 1</f>
        <v>-2.9708375269228204E-2</v>
      </c>
    </row>
    <row r="2728" spans="1:7" x14ac:dyDescent="0.2">
      <c r="A2728" s="1">
        <v>41221</v>
      </c>
      <c r="B2728">
        <v>0</v>
      </c>
      <c r="C2728" t="s">
        <v>13</v>
      </c>
      <c r="D2728">
        <v>-1.0829E-2</v>
      </c>
      <c r="E2728">
        <f t="shared" si="84"/>
        <v>0.98917100000000002</v>
      </c>
      <c r="F2728" s="1">
        <f t="shared" si="85"/>
        <v>41218</v>
      </c>
      <c r="G2728" cm="1">
        <f t="array" ref="G2728">PRODUCT( _xlfn._xlws.FILTER($E:$E, ($C:$C=C2728)*($F:$F=F2728)) ) - 1</f>
        <v>-2.9708375269228204E-2</v>
      </c>
    </row>
    <row r="2729" spans="1:7" x14ac:dyDescent="0.2">
      <c r="A2729" s="1">
        <v>41222</v>
      </c>
      <c r="B2729">
        <v>0</v>
      </c>
      <c r="C2729" t="s">
        <v>13</v>
      </c>
      <c r="D2729">
        <v>2.333E-3</v>
      </c>
      <c r="E2729">
        <f t="shared" si="84"/>
        <v>1.0023329999999999</v>
      </c>
      <c r="F2729" s="1">
        <f t="shared" si="85"/>
        <v>41218</v>
      </c>
      <c r="G2729" cm="1">
        <f t="array" ref="G2729">PRODUCT( _xlfn._xlws.FILTER($E:$E, ($C:$C=C2729)*($F:$F=F2729)) ) - 1</f>
        <v>-2.9708375269228204E-2</v>
      </c>
    </row>
    <row r="2730" spans="1:7" x14ac:dyDescent="0.2">
      <c r="A2730" s="1">
        <v>41225</v>
      </c>
      <c r="B2730">
        <v>0</v>
      </c>
      <c r="C2730" t="s">
        <v>13</v>
      </c>
      <c r="D2730">
        <v>1.0740000000000001E-3</v>
      </c>
      <c r="E2730">
        <f t="shared" si="84"/>
        <v>1.001074</v>
      </c>
      <c r="F2730" s="1">
        <f t="shared" si="85"/>
        <v>41225</v>
      </c>
      <c r="G2730" cm="1">
        <f t="array" ref="G2730">PRODUCT( _xlfn._xlws.FILTER($E:$E, ($C:$C=C2730)*($F:$F=F2730)) ) - 1</f>
        <v>-4.1186712470926423E-3</v>
      </c>
    </row>
    <row r="2731" spans="1:7" x14ac:dyDescent="0.2">
      <c r="A2731" s="1">
        <v>41226</v>
      </c>
      <c r="B2731">
        <v>0</v>
      </c>
      <c r="C2731" t="s">
        <v>13</v>
      </c>
      <c r="D2731">
        <v>7.1500000000000003E-4</v>
      </c>
      <c r="E2731">
        <f t="shared" si="84"/>
        <v>1.000715</v>
      </c>
      <c r="F2731" s="1">
        <f t="shared" si="85"/>
        <v>41225</v>
      </c>
      <c r="G2731" cm="1">
        <f t="array" ref="G2731">PRODUCT( _xlfn._xlws.FILTER($E:$E, ($C:$C=C2731)*($F:$F=F2731)) ) - 1</f>
        <v>-4.1186712470926423E-3</v>
      </c>
    </row>
    <row r="2732" spans="1:7" x14ac:dyDescent="0.2">
      <c r="A2732" s="1">
        <v>41227</v>
      </c>
      <c r="B2732">
        <v>0</v>
      </c>
      <c r="C2732" t="s">
        <v>13</v>
      </c>
      <c r="D2732">
        <v>-1.1439E-2</v>
      </c>
      <c r="E2732">
        <f t="shared" si="84"/>
        <v>0.98856100000000002</v>
      </c>
      <c r="F2732" s="1">
        <f t="shared" si="85"/>
        <v>41225</v>
      </c>
      <c r="G2732" cm="1">
        <f t="array" ref="G2732">PRODUCT( _xlfn._xlws.FILTER($E:$E, ($C:$C=C2732)*($F:$F=F2732)) ) - 1</f>
        <v>-4.1186712470926423E-3</v>
      </c>
    </row>
    <row r="2733" spans="1:7" x14ac:dyDescent="0.2">
      <c r="A2733" s="1">
        <v>41228</v>
      </c>
      <c r="B2733">
        <v>0</v>
      </c>
      <c r="C2733" t="s">
        <v>13</v>
      </c>
      <c r="D2733">
        <v>-4.1580000000000002E-3</v>
      </c>
      <c r="E2733">
        <f t="shared" si="84"/>
        <v>0.995842</v>
      </c>
      <c r="F2733" s="1">
        <f t="shared" si="85"/>
        <v>41225</v>
      </c>
      <c r="G2733" cm="1">
        <f t="array" ref="G2733">PRODUCT( _xlfn._xlws.FILTER($E:$E, ($C:$C=C2733)*($F:$F=F2733)) ) - 1</f>
        <v>-4.1186712470926423E-3</v>
      </c>
    </row>
    <row r="2734" spans="1:7" x14ac:dyDescent="0.2">
      <c r="A2734" s="1">
        <v>41229</v>
      </c>
      <c r="B2734">
        <v>0</v>
      </c>
      <c r="C2734" t="s">
        <v>13</v>
      </c>
      <c r="D2734">
        <v>9.8040000000000002E-3</v>
      </c>
      <c r="E2734">
        <f t="shared" si="84"/>
        <v>1.0098039999999999</v>
      </c>
      <c r="F2734" s="1">
        <f t="shared" si="85"/>
        <v>41225</v>
      </c>
      <c r="G2734" cm="1">
        <f t="array" ref="G2734">PRODUCT( _xlfn._xlws.FILTER($E:$E, ($C:$C=C2734)*($F:$F=F2734)) ) - 1</f>
        <v>-4.1186712470926423E-3</v>
      </c>
    </row>
    <row r="2735" spans="1:7" x14ac:dyDescent="0.2">
      <c r="A2735" s="1">
        <v>41232</v>
      </c>
      <c r="B2735">
        <v>0</v>
      </c>
      <c r="C2735" t="s">
        <v>13</v>
      </c>
      <c r="D2735">
        <v>1.6361000000000001E-2</v>
      </c>
      <c r="E2735">
        <f t="shared" si="84"/>
        <v>1.0163610000000001</v>
      </c>
      <c r="F2735" s="1">
        <f t="shared" si="85"/>
        <v>41232</v>
      </c>
      <c r="G2735" cm="1">
        <f t="array" ref="G2735">PRODUCT( _xlfn._xlws.FILTER($E:$E, ($C:$C=C2735)*($F:$F=F2735)) ) - 1</f>
        <v>4.1891388461250623E-2</v>
      </c>
    </row>
    <row r="2736" spans="1:7" x14ac:dyDescent="0.2">
      <c r="A2736" s="1">
        <v>41233</v>
      </c>
      <c r="B2736">
        <v>0</v>
      </c>
      <c r="C2736" t="s">
        <v>13</v>
      </c>
      <c r="D2736">
        <v>1.5389999999999999E-2</v>
      </c>
      <c r="E2736">
        <f t="shared" si="84"/>
        <v>1.01539</v>
      </c>
      <c r="F2736" s="1">
        <f t="shared" si="85"/>
        <v>41232</v>
      </c>
      <c r="G2736" cm="1">
        <f t="array" ref="G2736">PRODUCT( _xlfn._xlws.FILTER($E:$E, ($C:$C=C2736)*($F:$F=F2736)) ) - 1</f>
        <v>4.1891388461250623E-2</v>
      </c>
    </row>
    <row r="2737" spans="1:7" x14ac:dyDescent="0.2">
      <c r="A2737" s="1">
        <v>41234</v>
      </c>
      <c r="B2737">
        <v>0</v>
      </c>
      <c r="C2737" t="s">
        <v>13</v>
      </c>
      <c r="D2737">
        <v>3.31E-3</v>
      </c>
      <c r="E2737">
        <f t="shared" si="84"/>
        <v>1.0033099999999999</v>
      </c>
      <c r="F2737" s="1">
        <f t="shared" si="85"/>
        <v>41232</v>
      </c>
      <c r="G2737" cm="1">
        <f t="array" ref="G2737">PRODUCT( _xlfn._xlws.FILTER($E:$E, ($C:$C=C2737)*($F:$F=F2737)) ) - 1</f>
        <v>4.1891388461250623E-2</v>
      </c>
    </row>
    <row r="2738" spans="1:7" x14ac:dyDescent="0.2">
      <c r="A2738" s="1">
        <v>41235</v>
      </c>
      <c r="B2738">
        <v>0</v>
      </c>
      <c r="C2738" t="s">
        <v>13</v>
      </c>
      <c r="D2738">
        <v>3.82E-3</v>
      </c>
      <c r="E2738">
        <f t="shared" si="84"/>
        <v>1.0038199999999999</v>
      </c>
      <c r="F2738" s="1">
        <f t="shared" si="85"/>
        <v>41232</v>
      </c>
      <c r="G2738" cm="1">
        <f t="array" ref="G2738">PRODUCT( _xlfn._xlws.FILTER($E:$E, ($C:$C=C2738)*($F:$F=F2738)) ) - 1</f>
        <v>4.1891388461250623E-2</v>
      </c>
    </row>
    <row r="2739" spans="1:7" x14ac:dyDescent="0.2">
      <c r="A2739" s="1">
        <v>41236</v>
      </c>
      <c r="B2739">
        <v>0</v>
      </c>
      <c r="C2739" t="s">
        <v>13</v>
      </c>
      <c r="D2739">
        <v>2.4220000000000001E-3</v>
      </c>
      <c r="E2739">
        <f t="shared" si="84"/>
        <v>1.0024219999999999</v>
      </c>
      <c r="F2739" s="1">
        <f t="shared" si="85"/>
        <v>41232</v>
      </c>
      <c r="G2739" cm="1">
        <f t="array" ref="G2739">PRODUCT( _xlfn._xlws.FILTER($E:$E, ($C:$C=C2739)*($F:$F=F2739)) ) - 1</f>
        <v>4.1891388461250623E-2</v>
      </c>
    </row>
    <row r="2740" spans="1:7" x14ac:dyDescent="0.2">
      <c r="A2740" s="1">
        <v>41239</v>
      </c>
      <c r="B2740">
        <v>0</v>
      </c>
      <c r="C2740" t="s">
        <v>13</v>
      </c>
      <c r="D2740">
        <v>0</v>
      </c>
      <c r="E2740">
        <f t="shared" si="84"/>
        <v>1</v>
      </c>
      <c r="F2740" s="1">
        <f t="shared" si="85"/>
        <v>41239</v>
      </c>
      <c r="G2740" cm="1">
        <f t="array" ref="G2740">PRODUCT( _xlfn._xlws.FILTER($E:$E, ($C:$C=C2740)*($F:$F=F2740)) ) - 1</f>
        <v>1.6392712510715279E-2</v>
      </c>
    </row>
    <row r="2741" spans="1:7" x14ac:dyDescent="0.2">
      <c r="A2741" s="1">
        <v>41240</v>
      </c>
      <c r="B2741">
        <v>0</v>
      </c>
      <c r="C2741" t="s">
        <v>13</v>
      </c>
      <c r="D2741">
        <v>1.3799999999999999E-3</v>
      </c>
      <c r="E2741">
        <f t="shared" si="84"/>
        <v>1.0013799999999999</v>
      </c>
      <c r="F2741" s="1">
        <f t="shared" si="85"/>
        <v>41239</v>
      </c>
      <c r="G2741" cm="1">
        <f t="array" ref="G2741">PRODUCT( _xlfn._xlws.FILTER($E:$E, ($C:$C=C2741)*($F:$F=F2741)) ) - 1</f>
        <v>1.6392712510715279E-2</v>
      </c>
    </row>
    <row r="2742" spans="1:7" x14ac:dyDescent="0.2">
      <c r="A2742" s="1">
        <v>41241</v>
      </c>
      <c r="B2742">
        <v>0</v>
      </c>
      <c r="C2742" t="s">
        <v>13</v>
      </c>
      <c r="D2742">
        <v>5.5139999999999998E-3</v>
      </c>
      <c r="E2742">
        <f t="shared" si="84"/>
        <v>1.005514</v>
      </c>
      <c r="F2742" s="1">
        <f t="shared" si="85"/>
        <v>41239</v>
      </c>
      <c r="G2742" cm="1">
        <f t="array" ref="G2742">PRODUCT( _xlfn._xlws.FILTER($E:$E, ($C:$C=C2742)*($F:$F=F2742)) ) - 1</f>
        <v>1.6392712510715279E-2</v>
      </c>
    </row>
    <row r="2743" spans="1:7" x14ac:dyDescent="0.2">
      <c r="A2743" s="1">
        <v>41242</v>
      </c>
      <c r="B2743">
        <v>0</v>
      </c>
      <c r="C2743" t="s">
        <v>13</v>
      </c>
      <c r="D2743">
        <v>4.4559999999999999E-3</v>
      </c>
      <c r="E2743">
        <f t="shared" si="84"/>
        <v>1.004456</v>
      </c>
      <c r="F2743" s="1">
        <f t="shared" si="85"/>
        <v>41239</v>
      </c>
      <c r="G2743" cm="1">
        <f t="array" ref="G2743">PRODUCT( _xlfn._xlws.FILTER($E:$E, ($C:$C=C2743)*($F:$F=F2743)) ) - 1</f>
        <v>1.6392712510715279E-2</v>
      </c>
    </row>
    <row r="2744" spans="1:7" x14ac:dyDescent="0.2">
      <c r="A2744" s="1">
        <v>41243</v>
      </c>
      <c r="B2744">
        <v>0</v>
      </c>
      <c r="C2744" t="s">
        <v>13</v>
      </c>
      <c r="D2744">
        <v>4.9480000000000001E-3</v>
      </c>
      <c r="E2744">
        <f t="shared" si="84"/>
        <v>1.004948</v>
      </c>
      <c r="F2744" s="1">
        <f t="shared" si="85"/>
        <v>41239</v>
      </c>
      <c r="G2744" cm="1">
        <f t="array" ref="G2744">PRODUCT( _xlfn._xlws.FILTER($E:$E, ($C:$C=C2744)*($F:$F=F2744)) ) - 1</f>
        <v>1.6392712510715279E-2</v>
      </c>
    </row>
    <row r="2745" spans="1:7" x14ac:dyDescent="0.2">
      <c r="A2745" s="1">
        <v>41246</v>
      </c>
      <c r="B2745">
        <v>0</v>
      </c>
      <c r="C2745" t="s">
        <v>13</v>
      </c>
      <c r="D2745">
        <v>-2.7160000000000001E-3</v>
      </c>
      <c r="E2745">
        <f t="shared" si="84"/>
        <v>0.99728399999999995</v>
      </c>
      <c r="F2745" s="1">
        <f t="shared" si="85"/>
        <v>41246</v>
      </c>
      <c r="G2745" cm="1">
        <f t="array" ref="G2745">PRODUCT( _xlfn._xlws.FILTER($E:$E, ($C:$C=C2745)*($F:$F=F2745)) ) - 1</f>
        <v>-7.1300956004857197E-3</v>
      </c>
    </row>
    <row r="2746" spans="1:7" x14ac:dyDescent="0.2">
      <c r="A2746" s="1">
        <v>41247</v>
      </c>
      <c r="B2746">
        <v>0</v>
      </c>
      <c r="C2746" t="s">
        <v>13</v>
      </c>
      <c r="D2746">
        <v>-5.1070000000000004E-3</v>
      </c>
      <c r="E2746">
        <f t="shared" si="84"/>
        <v>0.99489300000000003</v>
      </c>
      <c r="F2746" s="1">
        <f t="shared" si="85"/>
        <v>41246</v>
      </c>
      <c r="G2746" cm="1">
        <f t="array" ref="G2746">PRODUCT( _xlfn._xlws.FILTER($E:$E, ($C:$C=C2746)*($F:$F=F2746)) ) - 1</f>
        <v>-7.1300956004857197E-3</v>
      </c>
    </row>
    <row r="2747" spans="1:7" x14ac:dyDescent="0.2">
      <c r="A2747" s="1">
        <v>41248</v>
      </c>
      <c r="B2747">
        <v>0</v>
      </c>
      <c r="C2747" t="s">
        <v>13</v>
      </c>
      <c r="D2747">
        <v>6.1599999999999997E-3</v>
      </c>
      <c r="E2747">
        <f t="shared" si="84"/>
        <v>1.0061599999999999</v>
      </c>
      <c r="F2747" s="1">
        <f t="shared" si="85"/>
        <v>41246</v>
      </c>
      <c r="G2747" cm="1">
        <f t="array" ref="G2747">PRODUCT( _xlfn._xlws.FILTER($E:$E, ($C:$C=C2747)*($F:$F=F2747)) ) - 1</f>
        <v>-7.1300956004857197E-3</v>
      </c>
    </row>
    <row r="2748" spans="1:7" x14ac:dyDescent="0.2">
      <c r="A2748" s="1">
        <v>41249</v>
      </c>
      <c r="B2748">
        <v>0</v>
      </c>
      <c r="C2748" t="s">
        <v>13</v>
      </c>
      <c r="D2748">
        <v>-5.2719999999999998E-3</v>
      </c>
      <c r="E2748">
        <f t="shared" si="84"/>
        <v>0.99472799999999995</v>
      </c>
      <c r="F2748" s="1">
        <f t="shared" si="85"/>
        <v>41246</v>
      </c>
      <c r="G2748" cm="1">
        <f t="array" ref="G2748">PRODUCT( _xlfn._xlws.FILTER($E:$E, ($C:$C=C2748)*($F:$F=F2748)) ) - 1</f>
        <v>-7.1300956004857197E-3</v>
      </c>
    </row>
    <row r="2749" spans="1:7" x14ac:dyDescent="0.2">
      <c r="A2749" s="1">
        <v>41250</v>
      </c>
      <c r="B2749">
        <v>0</v>
      </c>
      <c r="C2749" t="s">
        <v>13</v>
      </c>
      <c r="D2749">
        <v>-1.7100000000000001E-4</v>
      </c>
      <c r="E2749">
        <f t="shared" si="84"/>
        <v>0.99982899999999997</v>
      </c>
      <c r="F2749" s="1">
        <f t="shared" si="85"/>
        <v>41246</v>
      </c>
      <c r="G2749" cm="1">
        <f t="array" ref="G2749">PRODUCT( _xlfn._xlws.FILTER($E:$E, ($C:$C=C2749)*($F:$F=F2749)) ) - 1</f>
        <v>-7.1300956004857197E-3</v>
      </c>
    </row>
    <row r="2750" spans="1:7" x14ac:dyDescent="0.2">
      <c r="A2750" s="1">
        <v>41253</v>
      </c>
      <c r="B2750">
        <v>0</v>
      </c>
      <c r="C2750" t="s">
        <v>13</v>
      </c>
      <c r="D2750">
        <v>5.13E-4</v>
      </c>
      <c r="E2750">
        <f t="shared" si="84"/>
        <v>1.000513</v>
      </c>
      <c r="F2750" s="1">
        <f t="shared" si="85"/>
        <v>41253</v>
      </c>
      <c r="G2750" cm="1">
        <f t="array" ref="G2750">PRODUCT( _xlfn._xlws.FILTER($E:$E, ($C:$C=C2750)*($F:$F=F2750)) ) - 1</f>
        <v>1.1970779565291689E-2</v>
      </c>
    </row>
    <row r="2751" spans="1:7" x14ac:dyDescent="0.2">
      <c r="A2751" s="1">
        <v>41254</v>
      </c>
      <c r="B2751">
        <v>0</v>
      </c>
      <c r="C2751" t="s">
        <v>13</v>
      </c>
      <c r="D2751">
        <v>6.1529999999999996E-3</v>
      </c>
      <c r="E2751">
        <f t="shared" si="84"/>
        <v>1.0061530000000001</v>
      </c>
      <c r="F2751" s="1">
        <f t="shared" si="85"/>
        <v>41253</v>
      </c>
      <c r="G2751" cm="1">
        <f t="array" ref="G2751">PRODUCT( _xlfn._xlws.FILTER($E:$E, ($C:$C=C2751)*($F:$F=F2751)) ) - 1</f>
        <v>1.1970779565291689E-2</v>
      </c>
    </row>
    <row r="2752" spans="1:7" x14ac:dyDescent="0.2">
      <c r="A2752" s="1">
        <v>41255</v>
      </c>
      <c r="B2752">
        <v>0</v>
      </c>
      <c r="C2752" t="s">
        <v>13</v>
      </c>
      <c r="D2752">
        <v>6.7949999999999998E-3</v>
      </c>
      <c r="E2752">
        <f t="shared" si="84"/>
        <v>1.0067950000000001</v>
      </c>
      <c r="F2752" s="1">
        <f t="shared" si="85"/>
        <v>41253</v>
      </c>
      <c r="G2752" cm="1">
        <f t="array" ref="G2752">PRODUCT( _xlfn._xlws.FILTER($E:$E, ($C:$C=C2752)*($F:$F=F2752)) ) - 1</f>
        <v>1.1970779565291689E-2</v>
      </c>
    </row>
    <row r="2753" spans="1:7" x14ac:dyDescent="0.2">
      <c r="A2753" s="1">
        <v>41256</v>
      </c>
      <c r="B2753">
        <v>0</v>
      </c>
      <c r="C2753" t="s">
        <v>13</v>
      </c>
      <c r="D2753">
        <v>1.181E-3</v>
      </c>
      <c r="E2753">
        <f t="shared" si="84"/>
        <v>1.0011810000000001</v>
      </c>
      <c r="F2753" s="1">
        <f t="shared" si="85"/>
        <v>41253</v>
      </c>
      <c r="G2753" cm="1">
        <f t="array" ref="G2753">PRODUCT( _xlfn._xlws.FILTER($E:$E, ($C:$C=C2753)*($F:$F=F2753)) ) - 1</f>
        <v>1.1970779565291689E-2</v>
      </c>
    </row>
    <row r="2754" spans="1:7" x14ac:dyDescent="0.2">
      <c r="A2754" s="1">
        <v>41257</v>
      </c>
      <c r="B2754">
        <v>0</v>
      </c>
      <c r="C2754" t="s">
        <v>13</v>
      </c>
      <c r="D2754">
        <v>-2.696E-3</v>
      </c>
      <c r="E2754">
        <f t="shared" si="84"/>
        <v>0.99730399999999997</v>
      </c>
      <c r="F2754" s="1">
        <f t="shared" si="85"/>
        <v>41253</v>
      </c>
      <c r="G2754" cm="1">
        <f t="array" ref="G2754">PRODUCT( _xlfn._xlws.FILTER($E:$E, ($C:$C=C2754)*($F:$F=F2754)) ) - 1</f>
        <v>1.1970779565291689E-2</v>
      </c>
    </row>
    <row r="2755" spans="1:7" x14ac:dyDescent="0.2">
      <c r="A2755" s="1">
        <v>41260</v>
      </c>
      <c r="B2755">
        <v>0</v>
      </c>
      <c r="C2755" t="s">
        <v>13</v>
      </c>
      <c r="D2755">
        <v>-1.859E-3</v>
      </c>
      <c r="E2755">
        <f t="shared" si="84"/>
        <v>0.99814099999999994</v>
      </c>
      <c r="F2755" s="1">
        <f t="shared" si="85"/>
        <v>41260</v>
      </c>
      <c r="G2755" cm="1">
        <f t="array" ref="G2755">PRODUCT( _xlfn._xlws.FILTER($E:$E, ($C:$C=C2755)*($F:$F=F2755)) ) - 1</f>
        <v>2.1291723110382854E-2</v>
      </c>
    </row>
    <row r="2756" spans="1:7" x14ac:dyDescent="0.2">
      <c r="A2756" s="1">
        <v>41261</v>
      </c>
      <c r="B2756">
        <v>0</v>
      </c>
      <c r="C2756" t="s">
        <v>13</v>
      </c>
      <c r="D2756">
        <v>1.3205E-2</v>
      </c>
      <c r="E2756">
        <f t="shared" ref="E2756:E2819" si="86">D2756+1</f>
        <v>1.0132049999999999</v>
      </c>
      <c r="F2756" s="1">
        <f t="shared" ref="F2756:F2819" si="87">A2756 - (WEEKDAY(A2756, 2) - 1)</f>
        <v>41260</v>
      </c>
      <c r="G2756" cm="1">
        <f t="array" ref="G2756">PRODUCT( _xlfn._xlws.FILTER($E:$E, ($C:$C=C2756)*($F:$F=F2756)) ) - 1</f>
        <v>2.1291723110382854E-2</v>
      </c>
    </row>
    <row r="2757" spans="1:7" x14ac:dyDescent="0.2">
      <c r="A2757" s="1">
        <v>41262</v>
      </c>
      <c r="B2757">
        <v>0</v>
      </c>
      <c r="C2757" t="s">
        <v>13</v>
      </c>
      <c r="D2757">
        <v>1.1362000000000001E-2</v>
      </c>
      <c r="E2757">
        <f t="shared" si="86"/>
        <v>1.0113620000000001</v>
      </c>
      <c r="F2757" s="1">
        <f t="shared" si="87"/>
        <v>41260</v>
      </c>
      <c r="G2757" cm="1">
        <f t="array" ref="G2757">PRODUCT( _xlfn._xlws.FILTER($E:$E, ($C:$C=C2757)*($F:$F=F2757)) ) - 1</f>
        <v>2.1291723110382854E-2</v>
      </c>
    </row>
    <row r="2758" spans="1:7" x14ac:dyDescent="0.2">
      <c r="A2758" s="1">
        <v>41263</v>
      </c>
      <c r="B2758">
        <v>0</v>
      </c>
      <c r="C2758" t="s">
        <v>13</v>
      </c>
      <c r="D2758">
        <v>-8.2600000000000002E-4</v>
      </c>
      <c r="E2758">
        <f t="shared" si="86"/>
        <v>0.99917400000000001</v>
      </c>
      <c r="F2758" s="1">
        <f t="shared" si="87"/>
        <v>41260</v>
      </c>
      <c r="G2758" cm="1">
        <f t="array" ref="G2758">PRODUCT( _xlfn._xlws.FILTER($E:$E, ($C:$C=C2758)*($F:$F=F2758)) ) - 1</f>
        <v>2.1291723110382854E-2</v>
      </c>
    </row>
    <row r="2759" spans="1:7" x14ac:dyDescent="0.2">
      <c r="A2759" s="1">
        <v>41264</v>
      </c>
      <c r="B2759">
        <v>0</v>
      </c>
      <c r="C2759" t="s">
        <v>13</v>
      </c>
      <c r="D2759">
        <v>-6.6100000000000002E-4</v>
      </c>
      <c r="E2759">
        <f t="shared" si="86"/>
        <v>0.99933899999999998</v>
      </c>
      <c r="F2759" s="1">
        <f t="shared" si="87"/>
        <v>41260</v>
      </c>
      <c r="G2759" cm="1">
        <f t="array" ref="G2759">PRODUCT( _xlfn._xlws.FILTER($E:$E, ($C:$C=C2759)*($F:$F=F2759)) ) - 1</f>
        <v>2.1291723110382854E-2</v>
      </c>
    </row>
    <row r="2760" spans="1:7" x14ac:dyDescent="0.2">
      <c r="A2760" s="1">
        <v>41267</v>
      </c>
      <c r="B2760">
        <v>0</v>
      </c>
      <c r="C2760" t="s">
        <v>13</v>
      </c>
      <c r="D2760">
        <v>-1.158E-3</v>
      </c>
      <c r="E2760">
        <f t="shared" si="86"/>
        <v>0.99884200000000001</v>
      </c>
      <c r="F2760" s="1">
        <f t="shared" si="87"/>
        <v>41267</v>
      </c>
      <c r="G2760" cm="1">
        <f t="array" ref="G2760">PRODUCT( _xlfn._xlws.FILTER($E:$E, ($C:$C=C2760)*($F:$F=F2760)) ) - 1</f>
        <v>-1.1416622946235688E-2</v>
      </c>
    </row>
    <row r="2761" spans="1:7" x14ac:dyDescent="0.2">
      <c r="A2761" s="1">
        <v>41270</v>
      </c>
      <c r="B2761">
        <v>0</v>
      </c>
      <c r="C2761" t="s">
        <v>13</v>
      </c>
      <c r="D2761">
        <v>-5.3010000000000002E-3</v>
      </c>
      <c r="E2761">
        <f t="shared" si="86"/>
        <v>0.994699</v>
      </c>
      <c r="F2761" s="1">
        <f t="shared" si="87"/>
        <v>41267</v>
      </c>
      <c r="G2761" cm="1">
        <f t="array" ref="G2761">PRODUCT( _xlfn._xlws.FILTER($E:$E, ($C:$C=C2761)*($F:$F=F2761)) ) - 1</f>
        <v>-1.1416622946235688E-2</v>
      </c>
    </row>
    <row r="2762" spans="1:7" x14ac:dyDescent="0.2">
      <c r="A2762" s="1">
        <v>41271</v>
      </c>
      <c r="B2762">
        <v>0</v>
      </c>
      <c r="C2762" t="s">
        <v>13</v>
      </c>
      <c r="D2762">
        <v>-4.9959999999999996E-3</v>
      </c>
      <c r="E2762">
        <f t="shared" si="86"/>
        <v>0.995004</v>
      </c>
      <c r="F2762" s="1">
        <f t="shared" si="87"/>
        <v>41267</v>
      </c>
      <c r="G2762" cm="1">
        <f t="array" ref="G2762">PRODUCT( _xlfn._xlws.FILTER($E:$E, ($C:$C=C2762)*($F:$F=F2762)) ) - 1</f>
        <v>-1.1416622946235688E-2</v>
      </c>
    </row>
    <row r="2763" spans="1:7" x14ac:dyDescent="0.2">
      <c r="A2763" s="1">
        <v>41274</v>
      </c>
      <c r="B2763">
        <v>0</v>
      </c>
      <c r="C2763" t="s">
        <v>13</v>
      </c>
      <c r="D2763">
        <v>2.176E-3</v>
      </c>
      <c r="E2763">
        <f t="shared" si="86"/>
        <v>1.002176</v>
      </c>
      <c r="F2763" s="1">
        <f t="shared" si="87"/>
        <v>41274</v>
      </c>
      <c r="G2763" cm="1">
        <f t="array" ref="G2763">PRODUCT( _xlfn._xlws.FILTER($E:$E, ($C:$C=C2763)*($F:$F=F2763)) ) - 1</f>
        <v>2.209295554578139E-2</v>
      </c>
    </row>
    <row r="2764" spans="1:7" x14ac:dyDescent="0.2">
      <c r="A2764" s="1">
        <v>41276</v>
      </c>
      <c r="B2764">
        <v>0</v>
      </c>
      <c r="C2764" t="s">
        <v>13</v>
      </c>
      <c r="D2764">
        <v>1.0354E-2</v>
      </c>
      <c r="E2764">
        <f t="shared" si="86"/>
        <v>1.010354</v>
      </c>
      <c r="F2764" s="1">
        <f t="shared" si="87"/>
        <v>41274</v>
      </c>
      <c r="G2764" cm="1">
        <f t="array" ref="G2764">PRODUCT( _xlfn._xlws.FILTER($E:$E, ($C:$C=C2764)*($F:$F=F2764)) ) - 1</f>
        <v>2.209295554578139E-2</v>
      </c>
    </row>
    <row r="2765" spans="1:7" x14ac:dyDescent="0.2">
      <c r="A2765" s="1">
        <v>41277</v>
      </c>
      <c r="B2765">
        <v>0</v>
      </c>
      <c r="C2765" t="s">
        <v>13</v>
      </c>
      <c r="D2765">
        <v>3.3059999999999999E-3</v>
      </c>
      <c r="E2765">
        <f t="shared" si="86"/>
        <v>1.003306</v>
      </c>
      <c r="F2765" s="1">
        <f t="shared" si="87"/>
        <v>41274</v>
      </c>
      <c r="G2765" cm="1">
        <f t="array" ref="G2765">PRODUCT( _xlfn._xlws.FILTER($E:$E, ($C:$C=C2765)*($F:$F=F2765)) ) - 1</f>
        <v>2.209295554578139E-2</v>
      </c>
    </row>
    <row r="2766" spans="1:7" x14ac:dyDescent="0.2">
      <c r="A2766" s="1">
        <v>41278</v>
      </c>
      <c r="B2766">
        <v>0</v>
      </c>
      <c r="C2766" t="s">
        <v>13</v>
      </c>
      <c r="D2766">
        <v>6.0959999999999999E-3</v>
      </c>
      <c r="E2766">
        <f t="shared" si="86"/>
        <v>1.0060960000000001</v>
      </c>
      <c r="F2766" s="1">
        <f t="shared" si="87"/>
        <v>41274</v>
      </c>
      <c r="G2766" cm="1">
        <f t="array" ref="G2766">PRODUCT( _xlfn._xlws.FILTER($E:$E, ($C:$C=C2766)*($F:$F=F2766)) ) - 1</f>
        <v>2.209295554578139E-2</v>
      </c>
    </row>
    <row r="2767" spans="1:7" x14ac:dyDescent="0.2">
      <c r="A2767" s="1">
        <v>41281</v>
      </c>
      <c r="B2767">
        <v>0</v>
      </c>
      <c r="C2767" t="s">
        <v>13</v>
      </c>
      <c r="D2767">
        <v>-4.2570000000000004E-3</v>
      </c>
      <c r="E2767">
        <f t="shared" si="86"/>
        <v>0.99574300000000004</v>
      </c>
      <c r="F2767" s="1">
        <f t="shared" si="87"/>
        <v>41281</v>
      </c>
      <c r="G2767" cm="1">
        <f t="array" ref="G2767">PRODUCT( _xlfn._xlws.FILTER($E:$E, ($C:$C=C2767)*($F:$F=F2767)) ) - 1</f>
        <v>-2.7820680948262844E-3</v>
      </c>
    </row>
    <row r="2768" spans="1:7" x14ac:dyDescent="0.2">
      <c r="A2768" s="1">
        <v>41282</v>
      </c>
      <c r="B2768">
        <v>0</v>
      </c>
      <c r="C2768" t="s">
        <v>13</v>
      </c>
      <c r="D2768">
        <v>-3.6180000000000001E-3</v>
      </c>
      <c r="E2768">
        <f t="shared" si="86"/>
        <v>0.99638199999999999</v>
      </c>
      <c r="F2768" s="1">
        <f t="shared" si="87"/>
        <v>41281</v>
      </c>
      <c r="G2768" cm="1">
        <f t="array" ref="G2768">PRODUCT( _xlfn._xlws.FILTER($E:$E, ($C:$C=C2768)*($F:$F=F2768)) ) - 1</f>
        <v>-2.7820680948262844E-3</v>
      </c>
    </row>
    <row r="2769" spans="1:7" x14ac:dyDescent="0.2">
      <c r="A2769" s="1">
        <v>41283</v>
      </c>
      <c r="B2769">
        <v>0</v>
      </c>
      <c r="C2769" t="s">
        <v>13</v>
      </c>
      <c r="D2769">
        <v>5.9420000000000002E-3</v>
      </c>
      <c r="E2769">
        <f t="shared" si="86"/>
        <v>1.0059419999999999</v>
      </c>
      <c r="F2769" s="1">
        <f t="shared" si="87"/>
        <v>41281</v>
      </c>
      <c r="G2769" cm="1">
        <f t="array" ref="G2769">PRODUCT( _xlfn._xlws.FILTER($E:$E, ($C:$C=C2769)*($F:$F=F2769)) ) - 1</f>
        <v>-2.7820680948262844E-3</v>
      </c>
    </row>
    <row r="2770" spans="1:7" x14ac:dyDescent="0.2">
      <c r="A2770" s="1">
        <v>41284</v>
      </c>
      <c r="B2770">
        <v>0</v>
      </c>
      <c r="C2770" t="s">
        <v>13</v>
      </c>
      <c r="D2770">
        <v>-1.1479999999999999E-3</v>
      </c>
      <c r="E2770">
        <f t="shared" si="86"/>
        <v>0.99885199999999996</v>
      </c>
      <c r="F2770" s="1">
        <f t="shared" si="87"/>
        <v>41281</v>
      </c>
      <c r="G2770" cm="1">
        <f t="array" ref="G2770">PRODUCT( _xlfn._xlws.FILTER($E:$E, ($C:$C=C2770)*($F:$F=F2770)) ) - 1</f>
        <v>-2.7820680948262844E-3</v>
      </c>
    </row>
    <row r="2771" spans="1:7" x14ac:dyDescent="0.2">
      <c r="A2771" s="1">
        <v>41285</v>
      </c>
      <c r="B2771">
        <v>0</v>
      </c>
      <c r="C2771" t="s">
        <v>13</v>
      </c>
      <c r="D2771">
        <v>3.2899999999999997E-4</v>
      </c>
      <c r="E2771">
        <f t="shared" si="86"/>
        <v>1.000329</v>
      </c>
      <c r="F2771" s="1">
        <f t="shared" si="87"/>
        <v>41281</v>
      </c>
      <c r="G2771" cm="1">
        <f t="array" ref="G2771">PRODUCT( _xlfn._xlws.FILTER($E:$E, ($C:$C=C2771)*($F:$F=F2771)) ) - 1</f>
        <v>-2.7820680948262844E-3</v>
      </c>
    </row>
    <row r="2772" spans="1:7" x14ac:dyDescent="0.2">
      <c r="A2772" s="1">
        <v>41288</v>
      </c>
      <c r="B2772">
        <v>0</v>
      </c>
      <c r="C2772" t="s">
        <v>13</v>
      </c>
      <c r="D2772">
        <v>1.97E-3</v>
      </c>
      <c r="E2772">
        <f t="shared" si="86"/>
        <v>1.00197</v>
      </c>
      <c r="F2772" s="1">
        <f t="shared" si="87"/>
        <v>41288</v>
      </c>
      <c r="G2772" cm="1">
        <f t="array" ref="G2772">PRODUCT( _xlfn._xlws.FILTER($E:$E, ($C:$C=C2772)*($F:$F=F2772)) ) - 1</f>
        <v>1.3792596659516265E-2</v>
      </c>
    </row>
    <row r="2773" spans="1:7" x14ac:dyDescent="0.2">
      <c r="A2773" s="1">
        <v>41289</v>
      </c>
      <c r="B2773">
        <v>0</v>
      </c>
      <c r="C2773" t="s">
        <v>13</v>
      </c>
      <c r="D2773">
        <v>3.6050000000000001E-3</v>
      </c>
      <c r="E2773">
        <f t="shared" si="86"/>
        <v>1.0036050000000001</v>
      </c>
      <c r="F2773" s="1">
        <f t="shared" si="87"/>
        <v>41288</v>
      </c>
      <c r="G2773" cm="1">
        <f t="array" ref="G2773">PRODUCT( _xlfn._xlws.FILTER($E:$E, ($C:$C=C2773)*($F:$F=F2773)) ) - 1</f>
        <v>1.3792596659516265E-2</v>
      </c>
    </row>
    <row r="2774" spans="1:7" x14ac:dyDescent="0.2">
      <c r="A2774" s="1">
        <v>41290</v>
      </c>
      <c r="B2774">
        <v>0</v>
      </c>
      <c r="C2774" t="s">
        <v>13</v>
      </c>
      <c r="D2774">
        <v>-2.4489999999999998E-3</v>
      </c>
      <c r="E2774">
        <f t="shared" si="86"/>
        <v>0.99755099999999997</v>
      </c>
      <c r="F2774" s="1">
        <f t="shared" si="87"/>
        <v>41288</v>
      </c>
      <c r="G2774" cm="1">
        <f t="array" ref="G2774">PRODUCT( _xlfn._xlws.FILTER($E:$E, ($C:$C=C2774)*($F:$F=F2774)) ) - 1</f>
        <v>1.3792596659516265E-2</v>
      </c>
    </row>
    <row r="2775" spans="1:7" x14ac:dyDescent="0.2">
      <c r="A2775" s="1">
        <v>41291</v>
      </c>
      <c r="B2775">
        <v>0</v>
      </c>
      <c r="C2775" t="s">
        <v>13</v>
      </c>
      <c r="D2775">
        <v>5.7289999999999997E-3</v>
      </c>
      <c r="E2775">
        <f t="shared" si="86"/>
        <v>1.0057290000000001</v>
      </c>
      <c r="F2775" s="1">
        <f t="shared" si="87"/>
        <v>41288</v>
      </c>
      <c r="G2775" cm="1">
        <f t="array" ref="G2775">PRODUCT( _xlfn._xlws.FILTER($E:$E, ($C:$C=C2775)*($F:$F=F2775)) ) - 1</f>
        <v>1.3792596659516265E-2</v>
      </c>
    </row>
    <row r="2776" spans="1:7" x14ac:dyDescent="0.2">
      <c r="A2776" s="1">
        <v>41292</v>
      </c>
      <c r="B2776">
        <v>0</v>
      </c>
      <c r="C2776" t="s">
        <v>13</v>
      </c>
      <c r="D2776">
        <v>4.8830000000000002E-3</v>
      </c>
      <c r="E2776">
        <f t="shared" si="86"/>
        <v>1.004883</v>
      </c>
      <c r="F2776" s="1">
        <f t="shared" si="87"/>
        <v>41288</v>
      </c>
      <c r="G2776" cm="1">
        <f t="array" ref="G2776">PRODUCT( _xlfn._xlws.FILTER($E:$E, ($C:$C=C2776)*($F:$F=F2776)) ) - 1</f>
        <v>1.3792596659516265E-2</v>
      </c>
    </row>
    <row r="2777" spans="1:7" x14ac:dyDescent="0.2">
      <c r="A2777" s="1">
        <v>41295</v>
      </c>
      <c r="B2777">
        <v>0</v>
      </c>
      <c r="C2777" t="s">
        <v>13</v>
      </c>
      <c r="D2777">
        <v>3.5630000000000002E-3</v>
      </c>
      <c r="E2777">
        <f t="shared" si="86"/>
        <v>1.003563</v>
      </c>
      <c r="F2777" s="1">
        <f t="shared" si="87"/>
        <v>41295</v>
      </c>
      <c r="G2777" cm="1">
        <f t="array" ref="G2777">PRODUCT( _xlfn._xlws.FILTER($E:$E, ($C:$C=C2777)*($F:$F=F2777)) ) - 1</f>
        <v>1.5602070013500668E-2</v>
      </c>
    </row>
    <row r="2778" spans="1:7" x14ac:dyDescent="0.2">
      <c r="A2778" s="1">
        <v>41296</v>
      </c>
      <c r="B2778">
        <v>0</v>
      </c>
      <c r="C2778" t="s">
        <v>13</v>
      </c>
      <c r="D2778">
        <v>6.4559999999999999E-3</v>
      </c>
      <c r="E2778">
        <f t="shared" si="86"/>
        <v>1.006456</v>
      </c>
      <c r="F2778" s="1">
        <f t="shared" si="87"/>
        <v>41295</v>
      </c>
      <c r="G2778" cm="1">
        <f t="array" ref="G2778">PRODUCT( _xlfn._xlws.FILTER($E:$E, ($C:$C=C2778)*($F:$F=F2778)) ) - 1</f>
        <v>1.5602070013500668E-2</v>
      </c>
    </row>
    <row r="2779" spans="1:7" x14ac:dyDescent="0.2">
      <c r="A2779" s="1">
        <v>41297</v>
      </c>
      <c r="B2779">
        <v>0</v>
      </c>
      <c r="C2779" t="s">
        <v>13</v>
      </c>
      <c r="D2779">
        <v>-5.1809999999999998E-3</v>
      </c>
      <c r="E2779">
        <f t="shared" si="86"/>
        <v>0.99481900000000001</v>
      </c>
      <c r="F2779" s="1">
        <f t="shared" si="87"/>
        <v>41295</v>
      </c>
      <c r="G2779" cm="1">
        <f t="array" ref="G2779">PRODUCT( _xlfn._xlws.FILTER($E:$E, ($C:$C=C2779)*($F:$F=F2779)) ) - 1</f>
        <v>1.5602070013500668E-2</v>
      </c>
    </row>
    <row r="2780" spans="1:7" x14ac:dyDescent="0.2">
      <c r="A2780" s="1">
        <v>41298</v>
      </c>
      <c r="B2780">
        <v>0</v>
      </c>
      <c r="C2780" t="s">
        <v>13</v>
      </c>
      <c r="D2780">
        <v>5.8589999999999996E-3</v>
      </c>
      <c r="E2780">
        <f t="shared" si="86"/>
        <v>1.0058590000000001</v>
      </c>
      <c r="F2780" s="1">
        <f t="shared" si="87"/>
        <v>41295</v>
      </c>
      <c r="G2780" cm="1">
        <f t="array" ref="G2780">PRODUCT( _xlfn._xlws.FILTER($E:$E, ($C:$C=C2780)*($F:$F=F2780)) ) - 1</f>
        <v>1.5602070013500668E-2</v>
      </c>
    </row>
    <row r="2781" spans="1:7" x14ac:dyDescent="0.2">
      <c r="A2781" s="1">
        <v>41299</v>
      </c>
      <c r="B2781">
        <v>0</v>
      </c>
      <c r="C2781" t="s">
        <v>13</v>
      </c>
      <c r="D2781">
        <v>4.8539999999999998E-3</v>
      </c>
      <c r="E2781">
        <f t="shared" si="86"/>
        <v>1.0048539999999999</v>
      </c>
      <c r="F2781" s="1">
        <f t="shared" si="87"/>
        <v>41295</v>
      </c>
      <c r="G2781" cm="1">
        <f t="array" ref="G2781">PRODUCT( _xlfn._xlws.FILTER($E:$E, ($C:$C=C2781)*($F:$F=F2781)) ) - 1</f>
        <v>1.5602070013500668E-2</v>
      </c>
    </row>
    <row r="2782" spans="1:7" x14ac:dyDescent="0.2">
      <c r="A2782" s="1">
        <v>41302</v>
      </c>
      <c r="B2782">
        <v>0</v>
      </c>
      <c r="C2782" t="s">
        <v>13</v>
      </c>
      <c r="D2782">
        <v>8.2129999999999998E-3</v>
      </c>
      <c r="E2782">
        <f t="shared" si="86"/>
        <v>1.008213</v>
      </c>
      <c r="F2782" s="1">
        <f t="shared" si="87"/>
        <v>41302</v>
      </c>
      <c r="G2782" cm="1">
        <f t="array" ref="G2782">PRODUCT( _xlfn._xlws.FILTER($E:$E, ($C:$C=C2782)*($F:$F=F2782)) ) - 1</f>
        <v>7.08629131683991E-3</v>
      </c>
    </row>
    <row r="2783" spans="1:7" x14ac:dyDescent="0.2">
      <c r="A2783" s="1">
        <v>41303</v>
      </c>
      <c r="B2783">
        <v>0</v>
      </c>
      <c r="C2783" t="s">
        <v>13</v>
      </c>
      <c r="D2783">
        <v>-1.4369999999999999E-3</v>
      </c>
      <c r="E2783">
        <f t="shared" si="86"/>
        <v>0.99856299999999998</v>
      </c>
      <c r="F2783" s="1">
        <f t="shared" si="87"/>
        <v>41302</v>
      </c>
      <c r="G2783" cm="1">
        <f t="array" ref="G2783">PRODUCT( _xlfn._xlws.FILTER($E:$E, ($C:$C=C2783)*($F:$F=F2783)) ) - 1</f>
        <v>7.08629131683991E-3</v>
      </c>
    </row>
    <row r="2784" spans="1:7" x14ac:dyDescent="0.2">
      <c r="A2784" s="1">
        <v>41304</v>
      </c>
      <c r="B2784">
        <v>0</v>
      </c>
      <c r="C2784" t="s">
        <v>13</v>
      </c>
      <c r="D2784">
        <v>1.2800000000000001E-3</v>
      </c>
      <c r="E2784">
        <f t="shared" si="86"/>
        <v>1.0012799999999999</v>
      </c>
      <c r="F2784" s="1">
        <f t="shared" si="87"/>
        <v>41302</v>
      </c>
      <c r="G2784" cm="1">
        <f t="array" ref="G2784">PRODUCT( _xlfn._xlws.FILTER($E:$E, ($C:$C=C2784)*($F:$F=F2784)) ) - 1</f>
        <v>7.08629131683991E-3</v>
      </c>
    </row>
    <row r="2785" spans="1:7" x14ac:dyDescent="0.2">
      <c r="A2785" s="1">
        <v>41305</v>
      </c>
      <c r="B2785">
        <v>0</v>
      </c>
      <c r="C2785" t="s">
        <v>13</v>
      </c>
      <c r="D2785">
        <v>-7.6680000000000003E-3</v>
      </c>
      <c r="E2785">
        <f t="shared" si="86"/>
        <v>0.99233199999999999</v>
      </c>
      <c r="F2785" s="1">
        <f t="shared" si="87"/>
        <v>41302</v>
      </c>
      <c r="G2785" cm="1">
        <f t="array" ref="G2785">PRODUCT( _xlfn._xlws.FILTER($E:$E, ($C:$C=C2785)*($F:$F=F2785)) ) - 1</f>
        <v>7.08629131683991E-3</v>
      </c>
    </row>
    <row r="2786" spans="1:7" x14ac:dyDescent="0.2">
      <c r="A2786" s="1">
        <v>41306</v>
      </c>
      <c r="B2786">
        <v>0</v>
      </c>
      <c r="C2786" t="s">
        <v>13</v>
      </c>
      <c r="D2786">
        <v>6.7609999999999996E-3</v>
      </c>
      <c r="E2786">
        <f t="shared" si="86"/>
        <v>1.006761</v>
      </c>
      <c r="F2786" s="1">
        <f t="shared" si="87"/>
        <v>41302</v>
      </c>
      <c r="G2786" cm="1">
        <f t="array" ref="G2786">PRODUCT( _xlfn._xlws.FILTER($E:$E, ($C:$C=C2786)*($F:$F=F2786)) ) - 1</f>
        <v>7.08629131683991E-3</v>
      </c>
    </row>
    <row r="2787" spans="1:7" x14ac:dyDescent="0.2">
      <c r="A2787" s="1">
        <v>41309</v>
      </c>
      <c r="B2787">
        <v>0</v>
      </c>
      <c r="C2787" t="s">
        <v>13</v>
      </c>
      <c r="D2787">
        <v>-5.2769999999999996E-3</v>
      </c>
      <c r="E2787">
        <f t="shared" si="86"/>
        <v>0.99472300000000002</v>
      </c>
      <c r="F2787" s="1">
        <f t="shared" si="87"/>
        <v>41309</v>
      </c>
      <c r="G2787" cm="1">
        <f t="array" ref="G2787">PRODUCT( _xlfn._xlws.FILTER($E:$E, ($C:$C=C2787)*($F:$F=F2787)) ) - 1</f>
        <v>5.5959350209691117E-3</v>
      </c>
    </row>
    <row r="2788" spans="1:7" x14ac:dyDescent="0.2">
      <c r="A2788" s="1">
        <v>41310</v>
      </c>
      <c r="B2788">
        <v>0</v>
      </c>
      <c r="C2788" t="s">
        <v>13</v>
      </c>
      <c r="D2788">
        <v>-2.7330000000000002E-3</v>
      </c>
      <c r="E2788">
        <f t="shared" si="86"/>
        <v>0.99726700000000001</v>
      </c>
      <c r="F2788" s="1">
        <f t="shared" si="87"/>
        <v>41309</v>
      </c>
      <c r="G2788" cm="1">
        <f t="array" ref="G2788">PRODUCT( _xlfn._xlws.FILTER($E:$E, ($C:$C=C2788)*($F:$F=F2788)) ) - 1</f>
        <v>5.5959350209691117E-3</v>
      </c>
    </row>
    <row r="2789" spans="1:7" x14ac:dyDescent="0.2">
      <c r="A2789" s="1">
        <v>41311</v>
      </c>
      <c r="B2789">
        <v>0</v>
      </c>
      <c r="C2789" t="s">
        <v>13</v>
      </c>
      <c r="D2789">
        <v>1.0155000000000001E-2</v>
      </c>
      <c r="E2789">
        <f t="shared" si="86"/>
        <v>1.0101549999999999</v>
      </c>
      <c r="F2789" s="1">
        <f t="shared" si="87"/>
        <v>41309</v>
      </c>
      <c r="G2789" cm="1">
        <f t="array" ref="G2789">PRODUCT( _xlfn._xlws.FILTER($E:$E, ($C:$C=C2789)*($F:$F=F2789)) ) - 1</f>
        <v>5.5959350209691117E-3</v>
      </c>
    </row>
    <row r="2790" spans="1:7" x14ac:dyDescent="0.2">
      <c r="A2790" s="1">
        <v>41312</v>
      </c>
      <c r="B2790">
        <v>0</v>
      </c>
      <c r="C2790" t="s">
        <v>13</v>
      </c>
      <c r="D2790">
        <v>-1.6000000000000001E-4</v>
      </c>
      <c r="E2790">
        <f t="shared" si="86"/>
        <v>0.99983999999999995</v>
      </c>
      <c r="F2790" s="1">
        <f t="shared" si="87"/>
        <v>41309</v>
      </c>
      <c r="G2790" cm="1">
        <f t="array" ref="G2790">PRODUCT( _xlfn._xlws.FILTER($E:$E, ($C:$C=C2790)*($F:$F=F2790)) ) - 1</f>
        <v>5.5959350209691117E-3</v>
      </c>
    </row>
    <row r="2791" spans="1:7" x14ac:dyDescent="0.2">
      <c r="A2791" s="1">
        <v>41313</v>
      </c>
      <c r="B2791">
        <v>0</v>
      </c>
      <c r="C2791" t="s">
        <v>13</v>
      </c>
      <c r="D2791">
        <v>3.6709999999999998E-3</v>
      </c>
      <c r="E2791">
        <f t="shared" si="86"/>
        <v>1.003671</v>
      </c>
      <c r="F2791" s="1">
        <f t="shared" si="87"/>
        <v>41309</v>
      </c>
      <c r="G2791" cm="1">
        <f t="array" ref="G2791">PRODUCT( _xlfn._xlws.FILTER($E:$E, ($C:$C=C2791)*($F:$F=F2791)) ) - 1</f>
        <v>5.5959350209691117E-3</v>
      </c>
    </row>
    <row r="2792" spans="1:7" x14ac:dyDescent="0.2">
      <c r="A2792" s="1">
        <v>41316</v>
      </c>
      <c r="B2792">
        <v>0</v>
      </c>
      <c r="C2792" t="s">
        <v>13</v>
      </c>
      <c r="D2792">
        <v>2.5439999999999998E-3</v>
      </c>
      <c r="E2792">
        <f t="shared" si="86"/>
        <v>1.0025440000000001</v>
      </c>
      <c r="F2792" s="1">
        <f t="shared" si="87"/>
        <v>41316</v>
      </c>
      <c r="G2792" cm="1">
        <f t="array" ref="G2792">PRODUCT( _xlfn._xlws.FILTER($E:$E, ($C:$C=C2792)*($F:$F=F2792)) ) - 1</f>
        <v>6.5196274561771794E-3</v>
      </c>
    </row>
    <row r="2793" spans="1:7" x14ac:dyDescent="0.2">
      <c r="A2793" s="1">
        <v>41317</v>
      </c>
      <c r="B2793">
        <v>0</v>
      </c>
      <c r="C2793" t="s">
        <v>13</v>
      </c>
      <c r="D2793">
        <v>-7.9299999999999998E-4</v>
      </c>
      <c r="E2793">
        <f t="shared" si="86"/>
        <v>0.99920699999999996</v>
      </c>
      <c r="F2793" s="1">
        <f t="shared" si="87"/>
        <v>41316</v>
      </c>
      <c r="G2793" cm="1">
        <f t="array" ref="G2793">PRODUCT( _xlfn._xlws.FILTER($E:$E, ($C:$C=C2793)*($F:$F=F2793)) ) - 1</f>
        <v>6.5196274561771794E-3</v>
      </c>
    </row>
    <row r="2794" spans="1:7" x14ac:dyDescent="0.2">
      <c r="A2794" s="1">
        <v>41318</v>
      </c>
      <c r="B2794">
        <v>0</v>
      </c>
      <c r="C2794" t="s">
        <v>13</v>
      </c>
      <c r="D2794">
        <v>5.8729999999999997E-3</v>
      </c>
      <c r="E2794">
        <f t="shared" si="86"/>
        <v>1.005873</v>
      </c>
      <c r="F2794" s="1">
        <f t="shared" si="87"/>
        <v>41316</v>
      </c>
      <c r="G2794" cm="1">
        <f t="array" ref="G2794">PRODUCT( _xlfn._xlws.FILTER($E:$E, ($C:$C=C2794)*($F:$F=F2794)) ) - 1</f>
        <v>6.5196274561771794E-3</v>
      </c>
    </row>
    <row r="2795" spans="1:7" x14ac:dyDescent="0.2">
      <c r="A2795" s="1">
        <v>41319</v>
      </c>
      <c r="B2795">
        <v>0</v>
      </c>
      <c r="C2795" t="s">
        <v>13</v>
      </c>
      <c r="D2795">
        <v>1.5799999999999999E-4</v>
      </c>
      <c r="E2795">
        <f t="shared" si="86"/>
        <v>1.0001580000000001</v>
      </c>
      <c r="F2795" s="1">
        <f t="shared" si="87"/>
        <v>41316</v>
      </c>
      <c r="G2795" cm="1">
        <f t="array" ref="G2795">PRODUCT( _xlfn._xlws.FILTER($E:$E, ($C:$C=C2795)*($F:$F=F2795)) ) - 1</f>
        <v>6.5196274561771794E-3</v>
      </c>
    </row>
    <row r="2796" spans="1:7" x14ac:dyDescent="0.2">
      <c r="A2796" s="1">
        <v>41320</v>
      </c>
      <c r="B2796">
        <v>0</v>
      </c>
      <c r="C2796" t="s">
        <v>13</v>
      </c>
      <c r="D2796">
        <v>-1.2620000000000001E-3</v>
      </c>
      <c r="E2796">
        <f t="shared" si="86"/>
        <v>0.99873800000000001</v>
      </c>
      <c r="F2796" s="1">
        <f t="shared" si="87"/>
        <v>41316</v>
      </c>
      <c r="G2796" cm="1">
        <f t="array" ref="G2796">PRODUCT( _xlfn._xlws.FILTER($E:$E, ($C:$C=C2796)*($F:$F=F2796)) ) - 1</f>
        <v>6.5196274561771794E-3</v>
      </c>
    </row>
    <row r="2797" spans="1:7" x14ac:dyDescent="0.2">
      <c r="A2797" s="1">
        <v>41324</v>
      </c>
      <c r="B2797">
        <v>0</v>
      </c>
      <c r="C2797" t="s">
        <v>13</v>
      </c>
      <c r="D2797">
        <v>1.7850999999999999E-2</v>
      </c>
      <c r="E2797">
        <f t="shared" si="86"/>
        <v>1.0178510000000001</v>
      </c>
      <c r="F2797" s="1">
        <f t="shared" si="87"/>
        <v>41323</v>
      </c>
      <c r="G2797" cm="1">
        <f t="array" ref="G2797">PRODUCT( _xlfn._xlws.FILTER($E:$E, ($C:$C=C2797)*($F:$F=F2797)) ) - 1</f>
        <v>1.5007404311269568E-2</v>
      </c>
    </row>
    <row r="2798" spans="1:7" x14ac:dyDescent="0.2">
      <c r="A2798" s="1">
        <v>41325</v>
      </c>
      <c r="B2798">
        <v>0</v>
      </c>
      <c r="C2798" t="s">
        <v>13</v>
      </c>
      <c r="D2798">
        <v>9.3099999999999997E-4</v>
      </c>
      <c r="E2798">
        <f t="shared" si="86"/>
        <v>1.000931</v>
      </c>
      <c r="F2798" s="1">
        <f t="shared" si="87"/>
        <v>41323</v>
      </c>
      <c r="G2798" cm="1">
        <f t="array" ref="G2798">PRODUCT( _xlfn._xlws.FILTER($E:$E, ($C:$C=C2798)*($F:$F=F2798)) ) - 1</f>
        <v>1.5007404311269568E-2</v>
      </c>
    </row>
    <row r="2799" spans="1:7" x14ac:dyDescent="0.2">
      <c r="A2799" s="1">
        <v>41326</v>
      </c>
      <c r="B2799">
        <v>0</v>
      </c>
      <c r="C2799" t="s">
        <v>13</v>
      </c>
      <c r="D2799">
        <v>-8.2179999999999996E-3</v>
      </c>
      <c r="E2799">
        <f t="shared" si="86"/>
        <v>0.99178200000000005</v>
      </c>
      <c r="F2799" s="1">
        <f t="shared" si="87"/>
        <v>41323</v>
      </c>
      <c r="G2799" cm="1">
        <f t="array" ref="G2799">PRODUCT( _xlfn._xlws.FILTER($E:$E, ($C:$C=C2799)*($F:$F=F2799)) ) - 1</f>
        <v>1.5007404311269568E-2</v>
      </c>
    </row>
    <row r="2800" spans="1:7" x14ac:dyDescent="0.2">
      <c r="A2800" s="1">
        <v>41327</v>
      </c>
      <c r="B2800">
        <v>0</v>
      </c>
      <c r="C2800" t="s">
        <v>13</v>
      </c>
      <c r="D2800">
        <v>4.5339999999999998E-3</v>
      </c>
      <c r="E2800">
        <f t="shared" si="86"/>
        <v>1.004534</v>
      </c>
      <c r="F2800" s="1">
        <f t="shared" si="87"/>
        <v>41323</v>
      </c>
      <c r="G2800" cm="1">
        <f t="array" ref="G2800">PRODUCT( _xlfn._xlws.FILTER($E:$E, ($C:$C=C2800)*($F:$F=F2800)) ) - 1</f>
        <v>1.5007404311269568E-2</v>
      </c>
    </row>
    <row r="2801" spans="1:7" x14ac:dyDescent="0.2">
      <c r="A2801" s="1">
        <v>41330</v>
      </c>
      <c r="B2801">
        <v>0</v>
      </c>
      <c r="C2801" t="s">
        <v>13</v>
      </c>
      <c r="D2801">
        <v>-1.0272E-2</v>
      </c>
      <c r="E2801">
        <f t="shared" si="86"/>
        <v>0.98972800000000005</v>
      </c>
      <c r="F2801" s="1">
        <f t="shared" si="87"/>
        <v>41330</v>
      </c>
      <c r="G2801" cm="1">
        <f t="array" ref="G2801">PRODUCT( _xlfn._xlws.FILTER($E:$E, ($C:$C=C2801)*($F:$F=F2801)) ) - 1</f>
        <v>-7.4706417369627687E-3</v>
      </c>
    </row>
    <row r="2802" spans="1:7" x14ac:dyDescent="0.2">
      <c r="A2802" s="1">
        <v>41331</v>
      </c>
      <c r="B2802">
        <v>0</v>
      </c>
      <c r="C2802" t="s">
        <v>13</v>
      </c>
      <c r="D2802">
        <v>-5.3470000000000002E-3</v>
      </c>
      <c r="E2802">
        <f t="shared" si="86"/>
        <v>0.99465300000000001</v>
      </c>
      <c r="F2802" s="1">
        <f t="shared" si="87"/>
        <v>41330</v>
      </c>
      <c r="G2802" cm="1">
        <f t="array" ref="G2802">PRODUCT( _xlfn._xlws.FILTER($E:$E, ($C:$C=C2802)*($F:$F=F2802)) ) - 1</f>
        <v>-7.4706417369627687E-3</v>
      </c>
    </row>
    <row r="2803" spans="1:7" x14ac:dyDescent="0.2">
      <c r="A2803" s="1">
        <v>41332</v>
      </c>
      <c r="B2803">
        <v>0</v>
      </c>
      <c r="C2803" t="s">
        <v>13</v>
      </c>
      <c r="D2803">
        <v>3.6359999999999999E-3</v>
      </c>
      <c r="E2803">
        <f t="shared" si="86"/>
        <v>1.003636</v>
      </c>
      <c r="F2803" s="1">
        <f t="shared" si="87"/>
        <v>41330</v>
      </c>
      <c r="G2803" cm="1">
        <f t="array" ref="G2803">PRODUCT( _xlfn._xlws.FILTER($E:$E, ($C:$C=C2803)*($F:$F=F2803)) ) - 1</f>
        <v>-7.4706417369627687E-3</v>
      </c>
    </row>
    <row r="2804" spans="1:7" x14ac:dyDescent="0.2">
      <c r="A2804" s="1">
        <v>41333</v>
      </c>
      <c r="B2804">
        <v>0</v>
      </c>
      <c r="C2804" t="s">
        <v>13</v>
      </c>
      <c r="D2804">
        <v>8.5070000000000007E-3</v>
      </c>
      <c r="E2804">
        <f t="shared" si="86"/>
        <v>1.008507</v>
      </c>
      <c r="F2804" s="1">
        <f t="shared" si="87"/>
        <v>41330</v>
      </c>
      <c r="G2804" cm="1">
        <f t="array" ref="G2804">PRODUCT( _xlfn._xlws.FILTER($E:$E, ($C:$C=C2804)*($F:$F=F2804)) ) - 1</f>
        <v>-7.4706417369627687E-3</v>
      </c>
    </row>
    <row r="2805" spans="1:7" x14ac:dyDescent="0.2">
      <c r="A2805" s="1">
        <v>41334</v>
      </c>
      <c r="B2805">
        <v>0</v>
      </c>
      <c r="C2805" t="s">
        <v>13</v>
      </c>
      <c r="D2805">
        <v>-3.9050000000000001E-3</v>
      </c>
      <c r="E2805">
        <f t="shared" si="86"/>
        <v>0.99609499999999995</v>
      </c>
      <c r="F2805" s="1">
        <f t="shared" si="87"/>
        <v>41330</v>
      </c>
      <c r="G2805" cm="1">
        <f t="array" ref="G2805">PRODUCT( _xlfn._xlws.FILTER($E:$E, ($C:$C=C2805)*($F:$F=F2805)) ) - 1</f>
        <v>-7.4706417369627687E-3</v>
      </c>
    </row>
    <row r="2806" spans="1:7" x14ac:dyDescent="0.2">
      <c r="A2806" s="1">
        <v>41337</v>
      </c>
      <c r="B2806">
        <v>0</v>
      </c>
      <c r="C2806" t="s">
        <v>13</v>
      </c>
      <c r="D2806">
        <v>-2.3519999999999999E-3</v>
      </c>
      <c r="E2806">
        <f t="shared" si="86"/>
        <v>0.99764799999999998</v>
      </c>
      <c r="F2806" s="1">
        <f t="shared" si="87"/>
        <v>41337</v>
      </c>
      <c r="G2806" cm="1">
        <f t="array" ref="G2806">PRODUCT( _xlfn._xlws.FILTER($E:$E, ($C:$C=C2806)*($F:$F=F2806)) ) - 1</f>
        <v>-2.101300838700404E-2</v>
      </c>
    </row>
    <row r="2807" spans="1:7" x14ac:dyDescent="0.2">
      <c r="A2807" s="1">
        <v>41338</v>
      </c>
      <c r="B2807">
        <v>0</v>
      </c>
      <c r="C2807" t="s">
        <v>13</v>
      </c>
      <c r="D2807">
        <v>2.2009999999999998E-3</v>
      </c>
      <c r="E2807">
        <f t="shared" si="86"/>
        <v>1.0022009999999999</v>
      </c>
      <c r="F2807" s="1">
        <f t="shared" si="87"/>
        <v>41337</v>
      </c>
      <c r="G2807" cm="1">
        <f t="array" ref="G2807">PRODUCT( _xlfn._xlws.FILTER($E:$E, ($C:$C=C2807)*($F:$F=F2807)) ) - 1</f>
        <v>-2.101300838700404E-2</v>
      </c>
    </row>
    <row r="2808" spans="1:7" x14ac:dyDescent="0.2">
      <c r="A2808" s="1">
        <v>41339</v>
      </c>
      <c r="B2808">
        <v>0</v>
      </c>
      <c r="C2808" t="s">
        <v>13</v>
      </c>
      <c r="D2808">
        <v>-8.4690000000000008E-3</v>
      </c>
      <c r="E2808">
        <f t="shared" si="86"/>
        <v>0.99153100000000005</v>
      </c>
      <c r="F2808" s="1">
        <f t="shared" si="87"/>
        <v>41337</v>
      </c>
      <c r="G2808" cm="1">
        <f t="array" ref="G2808">PRODUCT( _xlfn._xlws.FILTER($E:$E, ($C:$C=C2808)*($F:$F=F2808)) ) - 1</f>
        <v>-2.101300838700404E-2</v>
      </c>
    </row>
    <row r="2809" spans="1:7" x14ac:dyDescent="0.2">
      <c r="A2809" s="1">
        <v>41340</v>
      </c>
      <c r="B2809">
        <v>0</v>
      </c>
      <c r="C2809" t="s">
        <v>13</v>
      </c>
      <c r="D2809">
        <v>-8.5419999999999992E-3</v>
      </c>
      <c r="E2809">
        <f t="shared" si="86"/>
        <v>0.99145799999999995</v>
      </c>
      <c r="F2809" s="1">
        <f t="shared" si="87"/>
        <v>41337</v>
      </c>
      <c r="G2809" cm="1">
        <f t="array" ref="G2809">PRODUCT( _xlfn._xlws.FILTER($E:$E, ($C:$C=C2809)*($F:$F=F2809)) ) - 1</f>
        <v>-2.101300838700404E-2</v>
      </c>
    </row>
    <row r="2810" spans="1:7" x14ac:dyDescent="0.2">
      <c r="A2810" s="1">
        <v>41341</v>
      </c>
      <c r="B2810">
        <v>0</v>
      </c>
      <c r="C2810" t="s">
        <v>13</v>
      </c>
      <c r="D2810">
        <v>-3.9890000000000004E-3</v>
      </c>
      <c r="E2810">
        <f t="shared" si="86"/>
        <v>0.99601099999999998</v>
      </c>
      <c r="F2810" s="1">
        <f t="shared" si="87"/>
        <v>41337</v>
      </c>
      <c r="G2810" cm="1">
        <f t="array" ref="G2810">PRODUCT( _xlfn._xlws.FILTER($E:$E, ($C:$C=C2810)*($F:$F=F2810)) ) - 1</f>
        <v>-2.101300838700404E-2</v>
      </c>
    </row>
    <row r="2811" spans="1:7" x14ac:dyDescent="0.2">
      <c r="A2811" s="1">
        <v>41344</v>
      </c>
      <c r="B2811">
        <v>0</v>
      </c>
      <c r="C2811" t="s">
        <v>13</v>
      </c>
      <c r="D2811">
        <v>3.5239999999999998E-3</v>
      </c>
      <c r="E2811">
        <f t="shared" si="86"/>
        <v>1.0035240000000001</v>
      </c>
      <c r="F2811" s="1">
        <f t="shared" si="87"/>
        <v>41344</v>
      </c>
      <c r="G2811" cm="1">
        <f t="array" ref="G2811">PRODUCT( _xlfn._xlws.FILTER($E:$E, ($C:$C=C2811)*($F:$F=F2811)) ) - 1</f>
        <v>-1.6018080938022039E-2</v>
      </c>
    </row>
    <row r="2812" spans="1:7" x14ac:dyDescent="0.2">
      <c r="A2812" s="1">
        <v>41345</v>
      </c>
      <c r="B2812">
        <v>0</v>
      </c>
      <c r="C2812" t="s">
        <v>13</v>
      </c>
      <c r="D2812">
        <v>-2.3939999999999999E-3</v>
      </c>
      <c r="E2812">
        <f t="shared" si="86"/>
        <v>0.99760599999999999</v>
      </c>
      <c r="F2812" s="1">
        <f t="shared" si="87"/>
        <v>41344</v>
      </c>
      <c r="G2812" cm="1">
        <f t="array" ref="G2812">PRODUCT( _xlfn._xlws.FILTER($E:$E, ($C:$C=C2812)*($F:$F=F2812)) ) - 1</f>
        <v>-1.6018080938022039E-2</v>
      </c>
    </row>
    <row r="2813" spans="1:7" x14ac:dyDescent="0.2">
      <c r="A2813" s="1">
        <v>41346</v>
      </c>
      <c r="B2813">
        <v>0</v>
      </c>
      <c r="C2813" t="s">
        <v>13</v>
      </c>
      <c r="D2813">
        <v>-1.6799999999999999E-2</v>
      </c>
      <c r="E2813">
        <f t="shared" si="86"/>
        <v>0.98319999999999996</v>
      </c>
      <c r="F2813" s="1">
        <f t="shared" si="87"/>
        <v>41344</v>
      </c>
      <c r="G2813" cm="1">
        <f t="array" ref="G2813">PRODUCT( _xlfn._xlws.FILTER($E:$E, ($C:$C=C2813)*($F:$F=F2813)) ) - 1</f>
        <v>-1.6018080938022039E-2</v>
      </c>
    </row>
    <row r="2814" spans="1:7" x14ac:dyDescent="0.2">
      <c r="A2814" s="1">
        <v>41347</v>
      </c>
      <c r="B2814">
        <v>0</v>
      </c>
      <c r="C2814" t="s">
        <v>13</v>
      </c>
      <c r="D2814">
        <v>2.2780000000000001E-3</v>
      </c>
      <c r="E2814">
        <f t="shared" si="86"/>
        <v>1.002278</v>
      </c>
      <c r="F2814" s="1">
        <f t="shared" si="87"/>
        <v>41344</v>
      </c>
      <c r="G2814" cm="1">
        <f t="array" ref="G2814">PRODUCT( _xlfn._xlws.FILTER($E:$E, ($C:$C=C2814)*($F:$F=F2814)) ) - 1</f>
        <v>-1.6018080938022039E-2</v>
      </c>
    </row>
    <row r="2815" spans="1:7" x14ac:dyDescent="0.2">
      <c r="A2815" s="1">
        <v>41348</v>
      </c>
      <c r="B2815">
        <v>0</v>
      </c>
      <c r="C2815" t="s">
        <v>13</v>
      </c>
      <c r="D2815">
        <v>-2.598E-3</v>
      </c>
      <c r="E2815">
        <f t="shared" si="86"/>
        <v>0.99740200000000001</v>
      </c>
      <c r="F2815" s="1">
        <f t="shared" si="87"/>
        <v>41344</v>
      </c>
      <c r="G2815" cm="1">
        <f t="array" ref="G2815">PRODUCT( _xlfn._xlws.FILTER($E:$E, ($C:$C=C2815)*($F:$F=F2815)) ) - 1</f>
        <v>-1.6018080938022039E-2</v>
      </c>
    </row>
    <row r="2816" spans="1:7" x14ac:dyDescent="0.2">
      <c r="A2816" s="1">
        <v>41351</v>
      </c>
      <c r="B2816">
        <v>0</v>
      </c>
      <c r="C2816" t="s">
        <v>13</v>
      </c>
      <c r="D2816">
        <v>-3.7439999999999999E-3</v>
      </c>
      <c r="E2816">
        <f t="shared" si="86"/>
        <v>0.99625600000000003</v>
      </c>
      <c r="F2816" s="1">
        <f t="shared" si="87"/>
        <v>41351</v>
      </c>
      <c r="G2816" cm="1">
        <f t="array" ref="G2816">PRODUCT( _xlfn._xlws.FILTER($E:$E, ($C:$C=C2816)*($F:$F=F2816)) ) - 1</f>
        <v>-9.7685255121349179E-4</v>
      </c>
    </row>
    <row r="2817" spans="1:7" x14ac:dyDescent="0.2">
      <c r="A2817" s="1">
        <v>41352</v>
      </c>
      <c r="B2817">
        <v>0</v>
      </c>
      <c r="C2817" t="s">
        <v>13</v>
      </c>
      <c r="D2817">
        <v>-2.7780000000000001E-3</v>
      </c>
      <c r="E2817">
        <f t="shared" si="86"/>
        <v>0.99722200000000005</v>
      </c>
      <c r="F2817" s="1">
        <f t="shared" si="87"/>
        <v>41351</v>
      </c>
      <c r="G2817" cm="1">
        <f t="array" ref="G2817">PRODUCT( _xlfn._xlws.FILTER($E:$E, ($C:$C=C2817)*($F:$F=F2817)) ) - 1</f>
        <v>-9.7685255121349179E-4</v>
      </c>
    </row>
    <row r="2818" spans="1:7" x14ac:dyDescent="0.2">
      <c r="A2818" s="1">
        <v>41353</v>
      </c>
      <c r="B2818">
        <v>0</v>
      </c>
      <c r="C2818" t="s">
        <v>13</v>
      </c>
      <c r="D2818">
        <v>5.0800000000000003E-3</v>
      </c>
      <c r="E2818">
        <f t="shared" si="86"/>
        <v>1.00508</v>
      </c>
      <c r="F2818" s="1">
        <f t="shared" si="87"/>
        <v>41351</v>
      </c>
      <c r="G2818" cm="1">
        <f t="array" ref="G2818">PRODUCT( _xlfn._xlws.FILTER($E:$E, ($C:$C=C2818)*($F:$F=F2818)) ) - 1</f>
        <v>-9.7685255121349179E-4</v>
      </c>
    </row>
    <row r="2819" spans="1:7" x14ac:dyDescent="0.2">
      <c r="A2819" s="1">
        <v>41354</v>
      </c>
      <c r="B2819">
        <v>0</v>
      </c>
      <c r="C2819" t="s">
        <v>13</v>
      </c>
      <c r="D2819">
        <v>-9.7820000000000008E-3</v>
      </c>
      <c r="E2819">
        <f t="shared" si="86"/>
        <v>0.99021800000000004</v>
      </c>
      <c r="F2819" s="1">
        <f t="shared" si="87"/>
        <v>41351</v>
      </c>
      <c r="G2819" cm="1">
        <f t="array" ref="G2819">PRODUCT( _xlfn._xlws.FILTER($E:$E, ($C:$C=C2819)*($F:$F=F2819)) ) - 1</f>
        <v>-9.7685255121349179E-4</v>
      </c>
    </row>
    <row r="2820" spans="1:7" x14ac:dyDescent="0.2">
      <c r="A2820" s="1">
        <v>41355</v>
      </c>
      <c r="B2820">
        <v>0</v>
      </c>
      <c r="C2820" t="s">
        <v>13</v>
      </c>
      <c r="D2820">
        <v>1.0371999999999999E-2</v>
      </c>
      <c r="E2820">
        <f t="shared" ref="E2820:E2883" si="88">D2820+1</f>
        <v>1.010372</v>
      </c>
      <c r="F2820" s="1">
        <f t="shared" ref="F2820:F2883" si="89">A2820 - (WEEKDAY(A2820, 2) - 1)</f>
        <v>41351</v>
      </c>
      <c r="G2820" cm="1">
        <f t="array" ref="G2820">PRODUCT( _xlfn._xlws.FILTER($E:$E, ($C:$C=C2820)*($F:$F=F2820)) ) - 1</f>
        <v>-9.7685255121349179E-4</v>
      </c>
    </row>
    <row r="2821" spans="1:7" x14ac:dyDescent="0.2">
      <c r="A2821" s="1">
        <v>41358</v>
      </c>
      <c r="B2821">
        <v>0</v>
      </c>
      <c r="C2821" t="s">
        <v>13</v>
      </c>
      <c r="D2821">
        <v>-2.7699999999999999E-3</v>
      </c>
      <c r="E2821">
        <f t="shared" si="88"/>
        <v>0.99722999999999995</v>
      </c>
      <c r="F2821" s="1">
        <f t="shared" si="89"/>
        <v>41358</v>
      </c>
      <c r="G2821" cm="1">
        <f t="array" ref="G2821">PRODUCT( _xlfn._xlws.FILTER($E:$E, ($C:$C=C2821)*($F:$F=F2821)) ) - 1</f>
        <v>-2.7699163578407404E-3</v>
      </c>
    </row>
    <row r="2822" spans="1:7" x14ac:dyDescent="0.2">
      <c r="A2822" s="1">
        <v>41359</v>
      </c>
      <c r="B2822">
        <v>0</v>
      </c>
      <c r="C2822" t="s">
        <v>13</v>
      </c>
      <c r="D2822">
        <v>4.5750000000000001E-3</v>
      </c>
      <c r="E2822">
        <f t="shared" si="88"/>
        <v>1.004575</v>
      </c>
      <c r="F2822" s="1">
        <f t="shared" si="89"/>
        <v>41358</v>
      </c>
      <c r="G2822" cm="1">
        <f t="array" ref="G2822">PRODUCT( _xlfn._xlws.FILTER($E:$E, ($C:$C=C2822)*($F:$F=F2822)) ) - 1</f>
        <v>-2.7699163578407404E-3</v>
      </c>
    </row>
    <row r="2823" spans="1:7" x14ac:dyDescent="0.2">
      <c r="A2823" s="1">
        <v>41360</v>
      </c>
      <c r="B2823">
        <v>0</v>
      </c>
      <c r="C2823" t="s">
        <v>13</v>
      </c>
      <c r="D2823">
        <v>-1.2524E-2</v>
      </c>
      <c r="E2823">
        <f t="shared" si="88"/>
        <v>0.98747600000000002</v>
      </c>
      <c r="F2823" s="1">
        <f t="shared" si="89"/>
        <v>41358</v>
      </c>
      <c r="G2823" cm="1">
        <f t="array" ref="G2823">PRODUCT( _xlfn._xlws.FILTER($E:$E, ($C:$C=C2823)*($F:$F=F2823)) ) - 1</f>
        <v>-2.7699163578407404E-3</v>
      </c>
    </row>
    <row r="2824" spans="1:7" x14ac:dyDescent="0.2">
      <c r="A2824" s="1">
        <v>41361</v>
      </c>
      <c r="B2824">
        <v>0</v>
      </c>
      <c r="C2824" t="s">
        <v>13</v>
      </c>
      <c r="D2824">
        <v>8.071E-3</v>
      </c>
      <c r="E2824">
        <f t="shared" si="88"/>
        <v>1.0080709999999999</v>
      </c>
      <c r="F2824" s="1">
        <f t="shared" si="89"/>
        <v>41358</v>
      </c>
      <c r="G2824" cm="1">
        <f t="array" ref="G2824">PRODUCT( _xlfn._xlws.FILTER($E:$E, ($C:$C=C2824)*($F:$F=F2824)) ) - 1</f>
        <v>-2.7699163578407404E-3</v>
      </c>
    </row>
    <row r="2825" spans="1:7" x14ac:dyDescent="0.2">
      <c r="A2825" s="1">
        <v>41365</v>
      </c>
      <c r="B2825">
        <v>0</v>
      </c>
      <c r="C2825" t="s">
        <v>13</v>
      </c>
      <c r="D2825">
        <v>1.1440000000000001E-3</v>
      </c>
      <c r="E2825">
        <f t="shared" si="88"/>
        <v>1.001144</v>
      </c>
      <c r="F2825" s="1">
        <f t="shared" si="89"/>
        <v>41365</v>
      </c>
      <c r="G2825" cm="1">
        <f t="array" ref="G2825">PRODUCT( _xlfn._xlws.FILTER($E:$E, ($C:$C=C2825)*($F:$F=F2825)) ) - 1</f>
        <v>-2.5815675732958621E-2</v>
      </c>
    </row>
    <row r="2826" spans="1:7" x14ac:dyDescent="0.2">
      <c r="A2826" s="1">
        <v>41366</v>
      </c>
      <c r="B2826">
        <v>0</v>
      </c>
      <c r="C2826" t="s">
        <v>13</v>
      </c>
      <c r="D2826">
        <v>1.5505E-2</v>
      </c>
      <c r="E2826">
        <f t="shared" si="88"/>
        <v>1.0155050000000001</v>
      </c>
      <c r="F2826" s="1">
        <f t="shared" si="89"/>
        <v>41365</v>
      </c>
      <c r="G2826" cm="1">
        <f t="array" ref="G2826">PRODUCT( _xlfn._xlws.FILTER($E:$E, ($C:$C=C2826)*($F:$F=F2826)) ) - 1</f>
        <v>-2.5815675732958621E-2</v>
      </c>
    </row>
    <row r="2827" spans="1:7" x14ac:dyDescent="0.2">
      <c r="A2827" s="1">
        <v>41367</v>
      </c>
      <c r="B2827">
        <v>0</v>
      </c>
      <c r="C2827" t="s">
        <v>13</v>
      </c>
      <c r="D2827">
        <v>-1.4142999999999999E-2</v>
      </c>
      <c r="E2827">
        <f t="shared" si="88"/>
        <v>0.98585699999999998</v>
      </c>
      <c r="F2827" s="1">
        <f t="shared" si="89"/>
        <v>41365</v>
      </c>
      <c r="G2827" cm="1">
        <f t="array" ref="G2827">PRODUCT( _xlfn._xlws.FILTER($E:$E, ($C:$C=C2827)*($F:$F=F2827)) ) - 1</f>
        <v>-2.5815675732958621E-2</v>
      </c>
    </row>
    <row r="2828" spans="1:7" x14ac:dyDescent="0.2">
      <c r="A2828" s="1">
        <v>41368</v>
      </c>
      <c r="B2828">
        <v>0</v>
      </c>
      <c r="C2828" t="s">
        <v>13</v>
      </c>
      <c r="D2828">
        <v>-1.5487000000000001E-2</v>
      </c>
      <c r="E2828">
        <f t="shared" si="88"/>
        <v>0.98451299999999997</v>
      </c>
      <c r="F2828" s="1">
        <f t="shared" si="89"/>
        <v>41365</v>
      </c>
      <c r="G2828" cm="1">
        <f t="array" ref="G2828">PRODUCT( _xlfn._xlws.FILTER($E:$E, ($C:$C=C2828)*($F:$F=F2828)) ) - 1</f>
        <v>-2.5815675732958621E-2</v>
      </c>
    </row>
    <row r="2829" spans="1:7" x14ac:dyDescent="0.2">
      <c r="A2829" s="1">
        <v>41369</v>
      </c>
      <c r="B2829">
        <v>0</v>
      </c>
      <c r="C2829" t="s">
        <v>13</v>
      </c>
      <c r="D2829">
        <v>-1.2749999999999999E-2</v>
      </c>
      <c r="E2829">
        <f t="shared" si="88"/>
        <v>0.98724999999999996</v>
      </c>
      <c r="F2829" s="1">
        <f t="shared" si="89"/>
        <v>41365</v>
      </c>
      <c r="G2829" cm="1">
        <f t="array" ref="G2829">PRODUCT( _xlfn._xlws.FILTER($E:$E, ($C:$C=C2829)*($F:$F=F2829)) ) - 1</f>
        <v>-2.5815675732958621E-2</v>
      </c>
    </row>
    <row r="2830" spans="1:7" x14ac:dyDescent="0.2">
      <c r="A2830" s="1">
        <v>41372</v>
      </c>
      <c r="B2830">
        <v>0</v>
      </c>
      <c r="C2830" t="s">
        <v>13</v>
      </c>
      <c r="D2830">
        <v>-3.019E-3</v>
      </c>
      <c r="E2830">
        <f t="shared" si="88"/>
        <v>0.99698100000000001</v>
      </c>
      <c r="F2830" s="1">
        <f t="shared" si="89"/>
        <v>41372</v>
      </c>
      <c r="G2830" cm="1">
        <f t="array" ref="G2830">PRODUCT( _xlfn._xlws.FILTER($E:$E, ($C:$C=C2830)*($F:$F=F2830)) ) - 1</f>
        <v>3.3211122608707733E-2</v>
      </c>
    </row>
    <row r="2831" spans="1:7" x14ac:dyDescent="0.2">
      <c r="A2831" s="1">
        <v>41373</v>
      </c>
      <c r="B2831">
        <v>0</v>
      </c>
      <c r="C2831" t="s">
        <v>13</v>
      </c>
      <c r="D2831">
        <v>1.2449999999999999E-2</v>
      </c>
      <c r="E2831">
        <f t="shared" si="88"/>
        <v>1.0124500000000001</v>
      </c>
      <c r="F2831" s="1">
        <f t="shared" si="89"/>
        <v>41372</v>
      </c>
      <c r="G2831" cm="1">
        <f t="array" ref="G2831">PRODUCT( _xlfn._xlws.FILTER($E:$E, ($C:$C=C2831)*($F:$F=F2831)) ) - 1</f>
        <v>3.3211122608707733E-2</v>
      </c>
    </row>
    <row r="2832" spans="1:7" x14ac:dyDescent="0.2">
      <c r="A2832" s="1">
        <v>41374</v>
      </c>
      <c r="B2832">
        <v>0</v>
      </c>
      <c r="C2832" t="s">
        <v>13</v>
      </c>
      <c r="D2832">
        <v>1.9939999999999999E-2</v>
      </c>
      <c r="E2832">
        <f t="shared" si="88"/>
        <v>1.0199400000000001</v>
      </c>
      <c r="F2832" s="1">
        <f t="shared" si="89"/>
        <v>41372</v>
      </c>
      <c r="G2832" cm="1">
        <f t="array" ref="G2832">PRODUCT( _xlfn._xlws.FILTER($E:$E, ($C:$C=C2832)*($F:$F=F2832)) ) - 1</f>
        <v>3.3211122608707733E-2</v>
      </c>
    </row>
    <row r="2833" spans="1:7" x14ac:dyDescent="0.2">
      <c r="A2833" s="1">
        <v>41375</v>
      </c>
      <c r="B2833">
        <v>0</v>
      </c>
      <c r="C2833" t="s">
        <v>13</v>
      </c>
      <c r="D2833">
        <v>-1.4660000000000001E-3</v>
      </c>
      <c r="E2833">
        <f t="shared" si="88"/>
        <v>0.99853400000000003</v>
      </c>
      <c r="F2833" s="1">
        <f t="shared" si="89"/>
        <v>41372</v>
      </c>
      <c r="G2833" cm="1">
        <f t="array" ref="G2833">PRODUCT( _xlfn._xlws.FILTER($E:$E, ($C:$C=C2833)*($F:$F=F2833)) ) - 1</f>
        <v>3.3211122608707733E-2</v>
      </c>
    </row>
    <row r="2834" spans="1:7" x14ac:dyDescent="0.2">
      <c r="A2834" s="1">
        <v>41376</v>
      </c>
      <c r="B2834">
        <v>0</v>
      </c>
      <c r="C2834" t="s">
        <v>13</v>
      </c>
      <c r="D2834">
        <v>5.058E-3</v>
      </c>
      <c r="E2834">
        <f t="shared" si="88"/>
        <v>1.005058</v>
      </c>
      <c r="F2834" s="1">
        <f t="shared" si="89"/>
        <v>41372</v>
      </c>
      <c r="G2834" cm="1">
        <f t="array" ref="G2834">PRODUCT( _xlfn._xlws.FILTER($E:$E, ($C:$C=C2834)*($F:$F=F2834)) ) - 1</f>
        <v>3.3211122608707733E-2</v>
      </c>
    </row>
    <row r="2835" spans="1:7" x14ac:dyDescent="0.2">
      <c r="A2835" s="1">
        <v>41379</v>
      </c>
      <c r="B2835">
        <v>0</v>
      </c>
      <c r="C2835" t="s">
        <v>13</v>
      </c>
      <c r="D2835">
        <v>-1.1688E-2</v>
      </c>
      <c r="E2835">
        <f t="shared" si="88"/>
        <v>0.98831199999999997</v>
      </c>
      <c r="F2835" s="1">
        <f t="shared" si="89"/>
        <v>41379</v>
      </c>
      <c r="G2835" cm="1">
        <f t="array" ref="G2835">PRODUCT( _xlfn._xlws.FILTER($E:$E, ($C:$C=C2835)*($F:$F=F2835)) ) - 1</f>
        <v>-2.4344939930214249E-3</v>
      </c>
    </row>
    <row r="2836" spans="1:7" x14ac:dyDescent="0.2">
      <c r="A2836" s="1">
        <v>41380</v>
      </c>
      <c r="B2836">
        <v>0</v>
      </c>
      <c r="C2836" t="s">
        <v>13</v>
      </c>
      <c r="D2836">
        <v>9.691E-3</v>
      </c>
      <c r="E2836">
        <f t="shared" si="88"/>
        <v>1.0096909999999999</v>
      </c>
      <c r="F2836" s="1">
        <f t="shared" si="89"/>
        <v>41379</v>
      </c>
      <c r="G2836" cm="1">
        <f t="array" ref="G2836">PRODUCT( _xlfn._xlws.FILTER($E:$E, ($C:$C=C2836)*($F:$F=F2836)) ) - 1</f>
        <v>-2.4344939930214249E-3</v>
      </c>
    </row>
    <row r="2837" spans="1:7" x14ac:dyDescent="0.2">
      <c r="A2837" s="1">
        <v>41381</v>
      </c>
      <c r="B2837">
        <v>0</v>
      </c>
      <c r="C2837" t="s">
        <v>13</v>
      </c>
      <c r="D2837">
        <v>-1.464E-3</v>
      </c>
      <c r="E2837">
        <f t="shared" si="88"/>
        <v>0.99853599999999998</v>
      </c>
      <c r="F2837" s="1">
        <f t="shared" si="89"/>
        <v>41379</v>
      </c>
      <c r="G2837" cm="1">
        <f t="array" ref="G2837">PRODUCT( _xlfn._xlws.FILTER($E:$E, ($C:$C=C2837)*($F:$F=F2837)) ) - 1</f>
        <v>-2.4344939930214249E-3</v>
      </c>
    </row>
    <row r="2838" spans="1:7" x14ac:dyDescent="0.2">
      <c r="A2838" s="1">
        <v>41382</v>
      </c>
      <c r="B2838">
        <v>0</v>
      </c>
      <c r="C2838" t="s">
        <v>13</v>
      </c>
      <c r="D2838">
        <v>-5.7019999999999996E-3</v>
      </c>
      <c r="E2838">
        <f t="shared" si="88"/>
        <v>0.99429800000000002</v>
      </c>
      <c r="F2838" s="1">
        <f t="shared" si="89"/>
        <v>41379</v>
      </c>
      <c r="G2838" cm="1">
        <f t="array" ref="G2838">PRODUCT( _xlfn._xlws.FILTER($E:$E, ($C:$C=C2838)*($F:$F=F2838)) ) - 1</f>
        <v>-2.4344939930214249E-3</v>
      </c>
    </row>
    <row r="2839" spans="1:7" x14ac:dyDescent="0.2">
      <c r="A2839" s="1">
        <v>41383</v>
      </c>
      <c r="B2839">
        <v>0</v>
      </c>
      <c r="C2839" t="s">
        <v>13</v>
      </c>
      <c r="D2839">
        <v>6.8820000000000001E-3</v>
      </c>
      <c r="E2839">
        <f t="shared" si="88"/>
        <v>1.0068820000000001</v>
      </c>
      <c r="F2839" s="1">
        <f t="shared" si="89"/>
        <v>41379</v>
      </c>
      <c r="G2839" cm="1">
        <f t="array" ref="G2839">PRODUCT( _xlfn._xlws.FILTER($E:$E, ($C:$C=C2839)*($F:$F=F2839)) ) - 1</f>
        <v>-2.4344939930214249E-3</v>
      </c>
    </row>
    <row r="2840" spans="1:7" x14ac:dyDescent="0.2">
      <c r="A2840" s="1">
        <v>41386</v>
      </c>
      <c r="B2840">
        <v>0</v>
      </c>
      <c r="C2840" t="s">
        <v>13</v>
      </c>
      <c r="D2840">
        <v>-7.8110000000000002E-3</v>
      </c>
      <c r="E2840">
        <f t="shared" si="88"/>
        <v>0.99218899999999999</v>
      </c>
      <c r="F2840" s="1">
        <f t="shared" si="89"/>
        <v>41386</v>
      </c>
      <c r="G2840" cm="1">
        <f t="array" ref="G2840">PRODUCT( _xlfn._xlws.FILTER($E:$E, ($C:$C=C2840)*($F:$F=F2840)) ) - 1</f>
        <v>-1.2993723859809347E-2</v>
      </c>
    </row>
    <row r="2841" spans="1:7" x14ac:dyDescent="0.2">
      <c r="A2841" s="1">
        <v>41387</v>
      </c>
      <c r="B2841">
        <v>0</v>
      </c>
      <c r="C2841" t="s">
        <v>13</v>
      </c>
      <c r="D2841">
        <v>-7.7089999999999997E-3</v>
      </c>
      <c r="E2841">
        <f t="shared" si="88"/>
        <v>0.99229100000000003</v>
      </c>
      <c r="F2841" s="1">
        <f t="shared" si="89"/>
        <v>41386</v>
      </c>
      <c r="G2841" cm="1">
        <f t="array" ref="G2841">PRODUCT( _xlfn._xlws.FILTER($E:$E, ($C:$C=C2841)*($F:$F=F2841)) ) - 1</f>
        <v>-1.2993723859809347E-2</v>
      </c>
    </row>
    <row r="2842" spans="1:7" x14ac:dyDescent="0.2">
      <c r="A2842" s="1">
        <v>41388</v>
      </c>
      <c r="B2842">
        <v>0</v>
      </c>
      <c r="C2842" t="s">
        <v>13</v>
      </c>
      <c r="D2842">
        <v>6.6810000000000003E-3</v>
      </c>
      <c r="E2842">
        <f t="shared" si="88"/>
        <v>1.0066809999999999</v>
      </c>
      <c r="F2842" s="1">
        <f t="shared" si="89"/>
        <v>41386</v>
      </c>
      <c r="G2842" cm="1">
        <f t="array" ref="G2842">PRODUCT( _xlfn._xlws.FILTER($E:$E, ($C:$C=C2842)*($F:$F=F2842)) ) - 1</f>
        <v>-1.2993723859809347E-2</v>
      </c>
    </row>
    <row r="2843" spans="1:7" x14ac:dyDescent="0.2">
      <c r="A2843" s="1">
        <v>41389</v>
      </c>
      <c r="B2843">
        <v>0</v>
      </c>
      <c r="C2843" t="s">
        <v>13</v>
      </c>
      <c r="D2843">
        <v>3.4840000000000001E-3</v>
      </c>
      <c r="E2843">
        <f t="shared" si="88"/>
        <v>1.003484</v>
      </c>
      <c r="F2843" s="1">
        <f t="shared" si="89"/>
        <v>41386</v>
      </c>
      <c r="G2843" cm="1">
        <f t="array" ref="G2843">PRODUCT( _xlfn._xlws.FILTER($E:$E, ($C:$C=C2843)*($F:$F=F2843)) ) - 1</f>
        <v>-1.2993723859809347E-2</v>
      </c>
    </row>
    <row r="2844" spans="1:7" x14ac:dyDescent="0.2">
      <c r="A2844" s="1">
        <v>41390</v>
      </c>
      <c r="B2844">
        <v>0</v>
      </c>
      <c r="C2844" t="s">
        <v>13</v>
      </c>
      <c r="D2844">
        <v>-7.6059999999999999E-3</v>
      </c>
      <c r="E2844">
        <f t="shared" si="88"/>
        <v>0.992394</v>
      </c>
      <c r="F2844" s="1">
        <f t="shared" si="89"/>
        <v>41386</v>
      </c>
      <c r="G2844" cm="1">
        <f t="array" ref="G2844">PRODUCT( _xlfn._xlws.FILTER($E:$E, ($C:$C=C2844)*($F:$F=F2844)) ) - 1</f>
        <v>-1.2993723859809347E-2</v>
      </c>
    </row>
    <row r="2845" spans="1:7" x14ac:dyDescent="0.2">
      <c r="A2845" s="1">
        <v>41393</v>
      </c>
      <c r="B2845">
        <v>0</v>
      </c>
      <c r="C2845" t="s">
        <v>13</v>
      </c>
      <c r="D2845">
        <v>1.0330000000000001E-2</v>
      </c>
      <c r="E2845">
        <f t="shared" si="88"/>
        <v>1.01033</v>
      </c>
      <c r="F2845" s="1">
        <f t="shared" si="89"/>
        <v>41393</v>
      </c>
      <c r="G2845" cm="1">
        <f t="array" ref="G2845">PRODUCT( _xlfn._xlws.FILTER($E:$E, ($C:$C=C2845)*($F:$F=F2845)) ) - 1</f>
        <v>1.7828391493472706E-2</v>
      </c>
    </row>
    <row r="2846" spans="1:7" x14ac:dyDescent="0.2">
      <c r="A2846" s="1">
        <v>41394</v>
      </c>
      <c r="B2846">
        <v>0</v>
      </c>
      <c r="C2846" t="s">
        <v>13</v>
      </c>
      <c r="D2846">
        <v>2.3089999999999999E-3</v>
      </c>
      <c r="E2846">
        <f t="shared" si="88"/>
        <v>1.0023089999999999</v>
      </c>
      <c r="F2846" s="1">
        <f t="shared" si="89"/>
        <v>41393</v>
      </c>
      <c r="G2846" cm="1">
        <f t="array" ref="G2846">PRODUCT( _xlfn._xlws.FILTER($E:$E, ($C:$C=C2846)*($F:$F=F2846)) ) - 1</f>
        <v>1.7828391493472706E-2</v>
      </c>
    </row>
    <row r="2847" spans="1:7" x14ac:dyDescent="0.2">
      <c r="A2847" s="1">
        <v>41395</v>
      </c>
      <c r="B2847">
        <v>0</v>
      </c>
      <c r="C2847" t="s">
        <v>13</v>
      </c>
      <c r="D2847">
        <v>-3.784E-3</v>
      </c>
      <c r="E2847">
        <f t="shared" si="88"/>
        <v>0.99621599999999999</v>
      </c>
      <c r="F2847" s="1">
        <f t="shared" si="89"/>
        <v>41393</v>
      </c>
      <c r="G2847" cm="1">
        <f t="array" ref="G2847">PRODUCT( _xlfn._xlws.FILTER($E:$E, ($C:$C=C2847)*($F:$F=F2847)) ) - 1</f>
        <v>1.7828391493472706E-2</v>
      </c>
    </row>
    <row r="2848" spans="1:7" x14ac:dyDescent="0.2">
      <c r="A2848" s="1">
        <v>41396</v>
      </c>
      <c r="B2848">
        <v>0</v>
      </c>
      <c r="C2848" t="s">
        <v>13</v>
      </c>
      <c r="D2848">
        <v>4.1289999999999999E-3</v>
      </c>
      <c r="E2848">
        <f t="shared" si="88"/>
        <v>1.004129</v>
      </c>
      <c r="F2848" s="1">
        <f t="shared" si="89"/>
        <v>41393</v>
      </c>
      <c r="G2848" cm="1">
        <f t="array" ref="G2848">PRODUCT( _xlfn._xlws.FILTER($E:$E, ($C:$C=C2848)*($F:$F=F2848)) ) - 1</f>
        <v>1.7828391493472706E-2</v>
      </c>
    </row>
    <row r="2849" spans="1:7" x14ac:dyDescent="0.2">
      <c r="A2849" s="1">
        <v>41397</v>
      </c>
      <c r="B2849">
        <v>0</v>
      </c>
      <c r="C2849" t="s">
        <v>13</v>
      </c>
      <c r="D2849">
        <v>4.7699999999999999E-3</v>
      </c>
      <c r="E2849">
        <f t="shared" si="88"/>
        <v>1.0047699999999999</v>
      </c>
      <c r="F2849" s="1">
        <f t="shared" si="89"/>
        <v>41393</v>
      </c>
      <c r="G2849" cm="1">
        <f t="array" ref="G2849">PRODUCT( _xlfn._xlws.FILTER($E:$E, ($C:$C=C2849)*($F:$F=F2849)) ) - 1</f>
        <v>1.7828391493472706E-2</v>
      </c>
    </row>
    <row r="2850" spans="1:7" x14ac:dyDescent="0.2">
      <c r="A2850" s="1">
        <v>41400</v>
      </c>
      <c r="B2850">
        <v>0</v>
      </c>
      <c r="C2850" t="s">
        <v>13</v>
      </c>
      <c r="D2850">
        <v>4.4200000000000003E-3</v>
      </c>
      <c r="E2850">
        <f t="shared" si="88"/>
        <v>1.0044200000000001</v>
      </c>
      <c r="F2850" s="1">
        <f t="shared" si="89"/>
        <v>41400</v>
      </c>
      <c r="G2850" cm="1">
        <f t="array" ref="G2850">PRODUCT( _xlfn._xlws.FILTER($E:$E, ($C:$C=C2850)*($F:$F=F2850)) ) - 1</f>
        <v>9.1671569053044522E-3</v>
      </c>
    </row>
    <row r="2851" spans="1:7" x14ac:dyDescent="0.2">
      <c r="A2851" s="1">
        <v>41401</v>
      </c>
      <c r="B2851">
        <v>0</v>
      </c>
      <c r="C2851" t="s">
        <v>13</v>
      </c>
      <c r="D2851">
        <v>5.7039999999999999E-3</v>
      </c>
      <c r="E2851">
        <f t="shared" si="88"/>
        <v>1.0057039999999999</v>
      </c>
      <c r="F2851" s="1">
        <f t="shared" si="89"/>
        <v>41400</v>
      </c>
      <c r="G2851" cm="1">
        <f t="array" ref="G2851">PRODUCT( _xlfn._xlws.FILTER($E:$E, ($C:$C=C2851)*($F:$F=F2851)) ) - 1</f>
        <v>9.1671569053044522E-3</v>
      </c>
    </row>
    <row r="2852" spans="1:7" x14ac:dyDescent="0.2">
      <c r="A2852" s="1">
        <v>41402</v>
      </c>
      <c r="B2852">
        <v>0</v>
      </c>
      <c r="C2852" t="s">
        <v>13</v>
      </c>
      <c r="D2852">
        <v>6.6439999999999997E-3</v>
      </c>
      <c r="E2852">
        <f t="shared" si="88"/>
        <v>1.0066440000000001</v>
      </c>
      <c r="F2852" s="1">
        <f t="shared" si="89"/>
        <v>41400</v>
      </c>
      <c r="G2852" cm="1">
        <f t="array" ref="G2852">PRODUCT( _xlfn._xlws.FILTER($E:$E, ($C:$C=C2852)*($F:$F=F2852)) ) - 1</f>
        <v>9.1671569053044522E-3</v>
      </c>
    </row>
    <row r="2853" spans="1:7" x14ac:dyDescent="0.2">
      <c r="A2853" s="1">
        <v>41403</v>
      </c>
      <c r="B2853">
        <v>0</v>
      </c>
      <c r="C2853" t="s">
        <v>13</v>
      </c>
      <c r="D2853">
        <v>-8.0490000000000006E-3</v>
      </c>
      <c r="E2853">
        <f t="shared" si="88"/>
        <v>0.99195100000000003</v>
      </c>
      <c r="F2853" s="1">
        <f t="shared" si="89"/>
        <v>41400</v>
      </c>
      <c r="G2853" cm="1">
        <f t="array" ref="G2853">PRODUCT( _xlfn._xlws.FILTER($E:$E, ($C:$C=C2853)*($F:$F=F2853)) ) - 1</f>
        <v>9.1671569053044522E-3</v>
      </c>
    </row>
    <row r="2854" spans="1:7" x14ac:dyDescent="0.2">
      <c r="A2854" s="1">
        <v>41404</v>
      </c>
      <c r="B2854">
        <v>0</v>
      </c>
      <c r="C2854" t="s">
        <v>13</v>
      </c>
      <c r="D2854">
        <v>4.8700000000000002E-4</v>
      </c>
      <c r="E2854">
        <f t="shared" si="88"/>
        <v>1.0004869999999999</v>
      </c>
      <c r="F2854" s="1">
        <f t="shared" si="89"/>
        <v>41400</v>
      </c>
      <c r="G2854" cm="1">
        <f t="array" ref="G2854">PRODUCT( _xlfn._xlws.FILTER($E:$E, ($C:$C=C2854)*($F:$F=F2854)) ) - 1</f>
        <v>9.1671569053044522E-3</v>
      </c>
    </row>
    <row r="2855" spans="1:7" x14ac:dyDescent="0.2">
      <c r="A2855" s="1">
        <v>41407</v>
      </c>
      <c r="B2855">
        <v>0</v>
      </c>
      <c r="C2855" t="s">
        <v>13</v>
      </c>
      <c r="D2855">
        <v>-5.0280000000000004E-3</v>
      </c>
      <c r="E2855">
        <f t="shared" si="88"/>
        <v>0.99497199999999997</v>
      </c>
      <c r="F2855" s="1">
        <f t="shared" si="89"/>
        <v>41407</v>
      </c>
      <c r="G2855" cm="1">
        <f t="array" ref="G2855">PRODUCT( _xlfn._xlws.FILTER($E:$E, ($C:$C=C2855)*($F:$F=F2855)) ) - 1</f>
        <v>8.4342303464728374E-3</v>
      </c>
    </row>
    <row r="2856" spans="1:7" x14ac:dyDescent="0.2">
      <c r="A2856" s="1">
        <v>41408</v>
      </c>
      <c r="B2856">
        <v>0</v>
      </c>
      <c r="C2856" t="s">
        <v>13</v>
      </c>
      <c r="D2856">
        <v>3.0969999999999999E-3</v>
      </c>
      <c r="E2856">
        <f t="shared" si="88"/>
        <v>1.0030969999999999</v>
      </c>
      <c r="F2856" s="1">
        <f t="shared" si="89"/>
        <v>41407</v>
      </c>
      <c r="G2856" cm="1">
        <f t="array" ref="G2856">PRODUCT( _xlfn._xlws.FILTER($E:$E, ($C:$C=C2856)*($F:$F=F2856)) ) - 1</f>
        <v>8.4342303464728374E-3</v>
      </c>
    </row>
    <row r="2857" spans="1:7" x14ac:dyDescent="0.2">
      <c r="A2857" s="1">
        <v>41409</v>
      </c>
      <c r="B2857">
        <v>0</v>
      </c>
      <c r="C2857" t="s">
        <v>13</v>
      </c>
      <c r="D2857">
        <v>-9.5890000000000003E-3</v>
      </c>
      <c r="E2857">
        <f t="shared" si="88"/>
        <v>0.99041100000000004</v>
      </c>
      <c r="F2857" s="1">
        <f t="shared" si="89"/>
        <v>41407</v>
      </c>
      <c r="G2857" cm="1">
        <f t="array" ref="G2857">PRODUCT( _xlfn._xlws.FILTER($E:$E, ($C:$C=C2857)*($F:$F=F2857)) ) - 1</f>
        <v>8.4342303464728374E-3</v>
      </c>
    </row>
    <row r="2858" spans="1:7" x14ac:dyDescent="0.2">
      <c r="A2858" s="1">
        <v>41410</v>
      </c>
      <c r="B2858">
        <v>0</v>
      </c>
      <c r="C2858" t="s">
        <v>13</v>
      </c>
      <c r="D2858">
        <v>1.477E-3</v>
      </c>
      <c r="E2858">
        <f t="shared" si="88"/>
        <v>1.001477</v>
      </c>
      <c r="F2858" s="1">
        <f t="shared" si="89"/>
        <v>41407</v>
      </c>
      <c r="G2858" cm="1">
        <f t="array" ref="G2858">PRODUCT( _xlfn._xlws.FILTER($E:$E, ($C:$C=C2858)*($F:$F=F2858)) ) - 1</f>
        <v>8.4342303464728374E-3</v>
      </c>
    </row>
    <row r="2859" spans="1:7" x14ac:dyDescent="0.2">
      <c r="A2859" s="1">
        <v>41411</v>
      </c>
      <c r="B2859">
        <v>0</v>
      </c>
      <c r="C2859" t="s">
        <v>13</v>
      </c>
      <c r="D2859">
        <v>1.8679000000000001E-2</v>
      </c>
      <c r="E2859">
        <f t="shared" si="88"/>
        <v>1.0186790000000001</v>
      </c>
      <c r="F2859" s="1">
        <f t="shared" si="89"/>
        <v>41407</v>
      </c>
      <c r="G2859" cm="1">
        <f t="array" ref="G2859">PRODUCT( _xlfn._xlws.FILTER($E:$E, ($C:$C=C2859)*($F:$F=F2859)) ) - 1</f>
        <v>8.4342303464728374E-3</v>
      </c>
    </row>
    <row r="2860" spans="1:7" x14ac:dyDescent="0.2">
      <c r="A2860" s="1">
        <v>41415</v>
      </c>
      <c r="B2860">
        <v>0</v>
      </c>
      <c r="C2860" t="s">
        <v>13</v>
      </c>
      <c r="D2860">
        <v>2.7184E-2</v>
      </c>
      <c r="E2860">
        <f t="shared" si="88"/>
        <v>1.0271840000000001</v>
      </c>
      <c r="F2860" s="1">
        <f t="shared" si="89"/>
        <v>41414</v>
      </c>
      <c r="G2860" cm="1">
        <f t="array" ref="G2860">PRODUCT( _xlfn._xlws.FILTER($E:$E, ($C:$C=C2860)*($F:$F=F2860)) ) - 1</f>
        <v>2.1875452628388858E-2</v>
      </c>
    </row>
    <row r="2861" spans="1:7" x14ac:dyDescent="0.2">
      <c r="A2861" s="1">
        <v>41416</v>
      </c>
      <c r="B2861">
        <v>0</v>
      </c>
      <c r="C2861" t="s">
        <v>13</v>
      </c>
      <c r="D2861">
        <v>-6.2639999999999996E-3</v>
      </c>
      <c r="E2861">
        <f t="shared" si="88"/>
        <v>0.99373599999999995</v>
      </c>
      <c r="F2861" s="1">
        <f t="shared" si="89"/>
        <v>41414</v>
      </c>
      <c r="G2861" cm="1">
        <f t="array" ref="G2861">PRODUCT( _xlfn._xlws.FILTER($E:$E, ($C:$C=C2861)*($F:$F=F2861)) ) - 1</f>
        <v>2.1875452628388858E-2</v>
      </c>
    </row>
    <row r="2862" spans="1:7" x14ac:dyDescent="0.2">
      <c r="A2862" s="1">
        <v>41417</v>
      </c>
      <c r="B2862">
        <v>0</v>
      </c>
      <c r="C2862" t="s">
        <v>13</v>
      </c>
      <c r="D2862">
        <v>-5.0429999999999997E-3</v>
      </c>
      <c r="E2862">
        <f t="shared" si="88"/>
        <v>0.99495699999999998</v>
      </c>
      <c r="F2862" s="1">
        <f t="shared" si="89"/>
        <v>41414</v>
      </c>
      <c r="G2862" cm="1">
        <f t="array" ref="G2862">PRODUCT( _xlfn._xlws.FILTER($E:$E, ($C:$C=C2862)*($F:$F=F2862)) ) - 1</f>
        <v>2.1875452628388858E-2</v>
      </c>
    </row>
    <row r="2863" spans="1:7" x14ac:dyDescent="0.2">
      <c r="A2863" s="1">
        <v>41418</v>
      </c>
      <c r="B2863">
        <v>0</v>
      </c>
      <c r="C2863" t="s">
        <v>13</v>
      </c>
      <c r="D2863">
        <v>6.1770000000000002E-3</v>
      </c>
      <c r="E2863">
        <f t="shared" si="88"/>
        <v>1.0061770000000001</v>
      </c>
      <c r="F2863" s="1">
        <f t="shared" si="89"/>
        <v>41414</v>
      </c>
      <c r="G2863" cm="1">
        <f t="array" ref="G2863">PRODUCT( _xlfn._xlws.FILTER($E:$E, ($C:$C=C2863)*($F:$F=F2863)) ) - 1</f>
        <v>2.1875452628388858E-2</v>
      </c>
    </row>
    <row r="2864" spans="1:7" x14ac:dyDescent="0.2">
      <c r="A2864" s="1">
        <v>41421</v>
      </c>
      <c r="B2864">
        <v>0</v>
      </c>
      <c r="C2864" t="s">
        <v>13</v>
      </c>
      <c r="D2864">
        <v>-4.2500000000000003E-3</v>
      </c>
      <c r="E2864">
        <f t="shared" si="88"/>
        <v>0.99575000000000002</v>
      </c>
      <c r="F2864" s="1">
        <f t="shared" si="89"/>
        <v>41421</v>
      </c>
      <c r="G2864" cm="1">
        <f t="array" ref="G2864">PRODUCT( _xlfn._xlws.FILTER($E:$E, ($C:$C=C2864)*($F:$F=F2864)) ) - 1</f>
        <v>-3.148199896688697E-2</v>
      </c>
    </row>
    <row r="2865" spans="1:7" x14ac:dyDescent="0.2">
      <c r="A2865" s="1">
        <v>41422</v>
      </c>
      <c r="B2865">
        <v>0</v>
      </c>
      <c r="C2865" t="s">
        <v>13</v>
      </c>
      <c r="D2865">
        <v>1.3278E-2</v>
      </c>
      <c r="E2865">
        <f t="shared" si="88"/>
        <v>1.0132779999999999</v>
      </c>
      <c r="F2865" s="1">
        <f t="shared" si="89"/>
        <v>41421</v>
      </c>
      <c r="G2865" cm="1">
        <f t="array" ref="G2865">PRODUCT( _xlfn._xlws.FILTER($E:$E, ($C:$C=C2865)*($F:$F=F2865)) ) - 1</f>
        <v>-3.148199896688697E-2</v>
      </c>
    </row>
    <row r="2866" spans="1:7" x14ac:dyDescent="0.2">
      <c r="A2866" s="1">
        <v>41423</v>
      </c>
      <c r="B2866">
        <v>0</v>
      </c>
      <c r="C2866" t="s">
        <v>13</v>
      </c>
      <c r="D2866">
        <v>-1.872E-3</v>
      </c>
      <c r="E2866">
        <f t="shared" si="88"/>
        <v>0.99812800000000002</v>
      </c>
      <c r="F2866" s="1">
        <f t="shared" si="89"/>
        <v>41421</v>
      </c>
      <c r="G2866" cm="1">
        <f t="array" ref="G2866">PRODUCT( _xlfn._xlws.FILTER($E:$E, ($C:$C=C2866)*($F:$F=F2866)) ) - 1</f>
        <v>-3.148199896688697E-2</v>
      </c>
    </row>
    <row r="2867" spans="1:7" x14ac:dyDescent="0.2">
      <c r="A2867" s="1">
        <v>41424</v>
      </c>
      <c r="B2867">
        <v>0</v>
      </c>
      <c r="C2867" t="s">
        <v>13</v>
      </c>
      <c r="D2867">
        <v>-1.7818000000000001E-2</v>
      </c>
      <c r="E2867">
        <f t="shared" si="88"/>
        <v>0.982182</v>
      </c>
      <c r="F2867" s="1">
        <f t="shared" si="89"/>
        <v>41421</v>
      </c>
      <c r="G2867" cm="1">
        <f t="array" ref="G2867">PRODUCT( _xlfn._xlws.FILTER($E:$E, ($C:$C=C2867)*($F:$F=F2867)) ) - 1</f>
        <v>-3.148199896688697E-2</v>
      </c>
    </row>
    <row r="2868" spans="1:7" x14ac:dyDescent="0.2">
      <c r="A2868" s="1">
        <v>41425</v>
      </c>
      <c r="B2868">
        <v>0</v>
      </c>
      <c r="C2868" t="s">
        <v>13</v>
      </c>
      <c r="D2868">
        <v>-2.0847000000000001E-2</v>
      </c>
      <c r="E2868">
        <f t="shared" si="88"/>
        <v>0.97915300000000005</v>
      </c>
      <c r="F2868" s="1">
        <f t="shared" si="89"/>
        <v>41421</v>
      </c>
      <c r="G2868" cm="1">
        <f t="array" ref="G2868">PRODUCT( _xlfn._xlws.FILTER($E:$E, ($C:$C=C2868)*($F:$F=F2868)) ) - 1</f>
        <v>-3.148199896688697E-2</v>
      </c>
    </row>
    <row r="2869" spans="1:7" x14ac:dyDescent="0.2">
      <c r="A2869" s="1">
        <v>41428</v>
      </c>
      <c r="B2869">
        <v>0</v>
      </c>
      <c r="C2869" t="s">
        <v>13</v>
      </c>
      <c r="D2869">
        <v>-4.8799999999999999E-4</v>
      </c>
      <c r="E2869">
        <f t="shared" si="88"/>
        <v>0.99951199999999996</v>
      </c>
      <c r="F2869" s="1">
        <f t="shared" si="89"/>
        <v>41428</v>
      </c>
      <c r="G2869" cm="1">
        <f t="array" ref="G2869">PRODUCT( _xlfn._xlws.FILTER($E:$E, ($C:$C=C2869)*($F:$F=F2869)) ) - 1</f>
        <v>-2.5029269524877606E-2</v>
      </c>
    </row>
    <row r="2870" spans="1:7" x14ac:dyDescent="0.2">
      <c r="A2870" s="1">
        <v>41429</v>
      </c>
      <c r="B2870">
        <v>0</v>
      </c>
      <c r="C2870" t="s">
        <v>13</v>
      </c>
      <c r="D2870">
        <v>-5.0410000000000003E-3</v>
      </c>
      <c r="E2870">
        <f t="shared" si="88"/>
        <v>0.99495900000000004</v>
      </c>
      <c r="F2870" s="1">
        <f t="shared" si="89"/>
        <v>41428</v>
      </c>
      <c r="G2870" cm="1">
        <f t="array" ref="G2870">PRODUCT( _xlfn._xlws.FILTER($E:$E, ($C:$C=C2870)*($F:$F=F2870)) ) - 1</f>
        <v>-2.5029269524877606E-2</v>
      </c>
    </row>
    <row r="2871" spans="1:7" x14ac:dyDescent="0.2">
      <c r="A2871" s="1">
        <v>41430</v>
      </c>
      <c r="B2871">
        <v>0</v>
      </c>
      <c r="C2871" t="s">
        <v>13</v>
      </c>
      <c r="D2871">
        <v>-1.0786E-2</v>
      </c>
      <c r="E2871">
        <f t="shared" si="88"/>
        <v>0.98921400000000004</v>
      </c>
      <c r="F2871" s="1">
        <f t="shared" si="89"/>
        <v>41428</v>
      </c>
      <c r="G2871" cm="1">
        <f t="array" ref="G2871">PRODUCT( _xlfn._xlws.FILTER($E:$E, ($C:$C=C2871)*($F:$F=F2871)) ) - 1</f>
        <v>-2.5029269524877606E-2</v>
      </c>
    </row>
    <row r="2872" spans="1:7" x14ac:dyDescent="0.2">
      <c r="A2872" s="1">
        <v>41431</v>
      </c>
      <c r="B2872">
        <v>0</v>
      </c>
      <c r="C2872" t="s">
        <v>13</v>
      </c>
      <c r="D2872">
        <v>-1.1730000000000001E-2</v>
      </c>
      <c r="E2872">
        <f t="shared" si="88"/>
        <v>0.98826999999999998</v>
      </c>
      <c r="F2872" s="1">
        <f t="shared" si="89"/>
        <v>41428</v>
      </c>
      <c r="G2872" cm="1">
        <f t="array" ref="G2872">PRODUCT( _xlfn._xlws.FILTER($E:$E, ($C:$C=C2872)*($F:$F=F2872)) ) - 1</f>
        <v>-2.5029269524877606E-2</v>
      </c>
    </row>
    <row r="2873" spans="1:7" x14ac:dyDescent="0.2">
      <c r="A2873" s="1">
        <v>41432</v>
      </c>
      <c r="B2873">
        <v>0</v>
      </c>
      <c r="C2873" t="s">
        <v>13</v>
      </c>
      <c r="D2873">
        <v>2.8419999999999999E-3</v>
      </c>
      <c r="E2873">
        <f t="shared" si="88"/>
        <v>1.002842</v>
      </c>
      <c r="F2873" s="1">
        <f t="shared" si="89"/>
        <v>41428</v>
      </c>
      <c r="G2873" cm="1">
        <f t="array" ref="G2873">PRODUCT( _xlfn._xlws.FILTER($E:$E, ($C:$C=C2873)*($F:$F=F2873)) ) - 1</f>
        <v>-2.5029269524877606E-2</v>
      </c>
    </row>
    <row r="2874" spans="1:7" x14ac:dyDescent="0.2">
      <c r="A2874" s="1">
        <v>41435</v>
      </c>
      <c r="B2874">
        <v>0</v>
      </c>
      <c r="C2874" t="s">
        <v>13</v>
      </c>
      <c r="D2874">
        <v>2.1670000000000001E-3</v>
      </c>
      <c r="E2874">
        <f t="shared" si="88"/>
        <v>1.002167</v>
      </c>
      <c r="F2874" s="1">
        <f t="shared" si="89"/>
        <v>41435</v>
      </c>
      <c r="G2874" cm="1">
        <f t="array" ref="G2874">PRODUCT( _xlfn._xlws.FILTER($E:$E, ($C:$C=C2874)*($F:$F=F2874)) ) - 1</f>
        <v>9.3728623729028016E-7</v>
      </c>
    </row>
    <row r="2875" spans="1:7" x14ac:dyDescent="0.2">
      <c r="A2875" s="1">
        <v>41436</v>
      </c>
      <c r="B2875">
        <v>0</v>
      </c>
      <c r="C2875" t="s">
        <v>13</v>
      </c>
      <c r="D2875">
        <v>-1.1643000000000001E-2</v>
      </c>
      <c r="E2875">
        <f t="shared" si="88"/>
        <v>0.98835700000000004</v>
      </c>
      <c r="F2875" s="1">
        <f t="shared" si="89"/>
        <v>41435</v>
      </c>
      <c r="G2875" cm="1">
        <f t="array" ref="G2875">PRODUCT( _xlfn._xlws.FILTER($E:$E, ($C:$C=C2875)*($F:$F=F2875)) ) - 1</f>
        <v>9.3728623729028016E-7</v>
      </c>
    </row>
    <row r="2876" spans="1:7" x14ac:dyDescent="0.2">
      <c r="A2876" s="1">
        <v>41437</v>
      </c>
      <c r="B2876">
        <v>0</v>
      </c>
      <c r="C2876" t="s">
        <v>13</v>
      </c>
      <c r="D2876">
        <v>-6.5630000000000003E-3</v>
      </c>
      <c r="E2876">
        <f t="shared" si="88"/>
        <v>0.99343700000000001</v>
      </c>
      <c r="F2876" s="1">
        <f t="shared" si="89"/>
        <v>41435</v>
      </c>
      <c r="G2876" cm="1">
        <f t="array" ref="G2876">PRODUCT( _xlfn._xlws.FILTER($E:$E, ($C:$C=C2876)*($F:$F=F2876)) ) - 1</f>
        <v>9.3728623729028016E-7</v>
      </c>
    </row>
    <row r="2877" spans="1:7" x14ac:dyDescent="0.2">
      <c r="A2877" s="1">
        <v>41438</v>
      </c>
      <c r="B2877">
        <v>0</v>
      </c>
      <c r="C2877" t="s">
        <v>13</v>
      </c>
      <c r="D2877">
        <v>2.5919000000000001E-2</v>
      </c>
      <c r="E2877">
        <f t="shared" si="88"/>
        <v>1.025919</v>
      </c>
      <c r="F2877" s="1">
        <f t="shared" si="89"/>
        <v>41435</v>
      </c>
      <c r="G2877" cm="1">
        <f t="array" ref="G2877">PRODUCT( _xlfn._xlws.FILTER($E:$E, ($C:$C=C2877)*($F:$F=F2877)) ) - 1</f>
        <v>9.3728623729028016E-7</v>
      </c>
    </row>
    <row r="2878" spans="1:7" x14ac:dyDescent="0.2">
      <c r="A2878" s="1">
        <v>41439</v>
      </c>
      <c r="B2878">
        <v>0</v>
      </c>
      <c r="C2878" t="s">
        <v>13</v>
      </c>
      <c r="D2878">
        <v>-9.4120000000000002E-3</v>
      </c>
      <c r="E2878">
        <f t="shared" si="88"/>
        <v>0.99058800000000002</v>
      </c>
      <c r="F2878" s="1">
        <f t="shared" si="89"/>
        <v>41435</v>
      </c>
      <c r="G2878" cm="1">
        <f t="array" ref="G2878">PRODUCT( _xlfn._xlws.FILTER($E:$E, ($C:$C=C2878)*($F:$F=F2878)) ) - 1</f>
        <v>9.3728623729028016E-7</v>
      </c>
    </row>
    <row r="2879" spans="1:7" x14ac:dyDescent="0.2">
      <c r="A2879" s="1">
        <v>41442</v>
      </c>
      <c r="B2879">
        <v>0</v>
      </c>
      <c r="C2879" t="s">
        <v>13</v>
      </c>
      <c r="D2879">
        <v>7.3350000000000004E-3</v>
      </c>
      <c r="E2879">
        <f t="shared" si="88"/>
        <v>1.0073350000000001</v>
      </c>
      <c r="F2879" s="1">
        <f t="shared" si="89"/>
        <v>41442</v>
      </c>
      <c r="G2879" cm="1">
        <f t="array" ref="G2879">PRODUCT( _xlfn._xlws.FILTER($E:$E, ($C:$C=C2879)*($F:$F=F2879)) ) - 1</f>
        <v>-1.3502114844057611E-2</v>
      </c>
    </row>
    <row r="2880" spans="1:7" x14ac:dyDescent="0.2">
      <c r="A2880" s="1">
        <v>41443</v>
      </c>
      <c r="B2880">
        <v>0</v>
      </c>
      <c r="C2880" t="s">
        <v>13</v>
      </c>
      <c r="D2880">
        <v>1.1915E-2</v>
      </c>
      <c r="E2880">
        <f t="shared" si="88"/>
        <v>1.0119149999999999</v>
      </c>
      <c r="F2880" s="1">
        <f t="shared" si="89"/>
        <v>41442</v>
      </c>
      <c r="G2880" cm="1">
        <f t="array" ref="G2880">PRODUCT( _xlfn._xlws.FILTER($E:$E, ($C:$C=C2880)*($F:$F=F2880)) ) - 1</f>
        <v>-1.3502114844057611E-2</v>
      </c>
    </row>
    <row r="2881" spans="1:7" x14ac:dyDescent="0.2">
      <c r="A2881" s="1">
        <v>41444</v>
      </c>
      <c r="B2881">
        <v>0</v>
      </c>
      <c r="C2881" t="s">
        <v>13</v>
      </c>
      <c r="D2881">
        <v>-7.5230000000000002E-3</v>
      </c>
      <c r="E2881">
        <f t="shared" si="88"/>
        <v>0.99247700000000005</v>
      </c>
      <c r="F2881" s="1">
        <f t="shared" si="89"/>
        <v>41442</v>
      </c>
      <c r="G2881" cm="1">
        <f t="array" ref="G2881">PRODUCT( _xlfn._xlws.FILTER($E:$E, ($C:$C=C2881)*($F:$F=F2881)) ) - 1</f>
        <v>-1.3502114844057611E-2</v>
      </c>
    </row>
    <row r="2882" spans="1:7" x14ac:dyDescent="0.2">
      <c r="A2882" s="1">
        <v>41445</v>
      </c>
      <c r="B2882">
        <v>0</v>
      </c>
      <c r="C2882" t="s">
        <v>13</v>
      </c>
      <c r="D2882">
        <v>-2.9165E-2</v>
      </c>
      <c r="E2882">
        <f t="shared" si="88"/>
        <v>0.970835</v>
      </c>
      <c r="F2882" s="1">
        <f t="shared" si="89"/>
        <v>41442</v>
      </c>
      <c r="G2882" cm="1">
        <f t="array" ref="G2882">PRODUCT( _xlfn._xlws.FILTER($E:$E, ($C:$C=C2882)*($F:$F=F2882)) ) - 1</f>
        <v>-1.3502114844057611E-2</v>
      </c>
    </row>
    <row r="2883" spans="1:7" x14ac:dyDescent="0.2">
      <c r="A2883" s="1">
        <v>41446</v>
      </c>
      <c r="B2883">
        <v>0</v>
      </c>
      <c r="C2883" t="s">
        <v>13</v>
      </c>
      <c r="D2883">
        <v>4.4130000000000003E-3</v>
      </c>
      <c r="E2883">
        <f t="shared" si="88"/>
        <v>1.004413</v>
      </c>
      <c r="F2883" s="1">
        <f t="shared" si="89"/>
        <v>41442</v>
      </c>
      <c r="G2883" cm="1">
        <f t="array" ref="G2883">PRODUCT( _xlfn._xlws.FILTER($E:$E, ($C:$C=C2883)*($F:$F=F2883)) ) - 1</f>
        <v>-1.3502114844057611E-2</v>
      </c>
    </row>
    <row r="2884" spans="1:7" x14ac:dyDescent="0.2">
      <c r="A2884" s="1">
        <v>41449</v>
      </c>
      <c r="B2884">
        <v>0</v>
      </c>
      <c r="C2884" t="s">
        <v>13</v>
      </c>
      <c r="D2884">
        <v>3.042E-3</v>
      </c>
      <c r="E2884">
        <f t="shared" ref="E2884:E2947" si="90">D2884+1</f>
        <v>1.003042</v>
      </c>
      <c r="F2884" s="1">
        <f t="shared" ref="F2884:F2947" si="91">A2884 - (WEEKDAY(A2884, 2) - 1)</f>
        <v>41449</v>
      </c>
      <c r="G2884" cm="1">
        <f t="array" ref="G2884">PRODUCT( _xlfn._xlws.FILTER($E:$E, ($C:$C=C2884)*($F:$F=F2884)) ) - 1</f>
        <v>3.5485746960497666E-2</v>
      </c>
    </row>
    <row r="2885" spans="1:7" x14ac:dyDescent="0.2">
      <c r="A2885" s="1">
        <v>41450</v>
      </c>
      <c r="B2885">
        <v>0</v>
      </c>
      <c r="C2885" t="s">
        <v>13</v>
      </c>
      <c r="D2885">
        <v>1.3309E-2</v>
      </c>
      <c r="E2885">
        <f t="shared" si="90"/>
        <v>1.013309</v>
      </c>
      <c r="F2885" s="1">
        <f t="shared" si="91"/>
        <v>41449</v>
      </c>
      <c r="G2885" cm="1">
        <f t="array" ref="G2885">PRODUCT( _xlfn._xlws.FILTER($E:$E, ($C:$C=C2885)*($F:$F=F2885)) ) - 1</f>
        <v>3.5485746960497666E-2</v>
      </c>
    </row>
    <row r="2886" spans="1:7" x14ac:dyDescent="0.2">
      <c r="A2886" s="1">
        <v>41451</v>
      </c>
      <c r="B2886">
        <v>0</v>
      </c>
      <c r="C2886" t="s">
        <v>13</v>
      </c>
      <c r="D2886">
        <v>1.3466000000000001E-2</v>
      </c>
      <c r="E2886">
        <f t="shared" si="90"/>
        <v>1.013466</v>
      </c>
      <c r="F2886" s="1">
        <f t="shared" si="91"/>
        <v>41449</v>
      </c>
      <c r="G2886" cm="1">
        <f t="array" ref="G2886">PRODUCT( _xlfn._xlws.FILTER($E:$E, ($C:$C=C2886)*($F:$F=F2886)) ) - 1</f>
        <v>3.5485746960497666E-2</v>
      </c>
    </row>
    <row r="2887" spans="1:7" x14ac:dyDescent="0.2">
      <c r="A2887" s="1">
        <v>41452</v>
      </c>
      <c r="B2887">
        <v>0</v>
      </c>
      <c r="C2887" t="s">
        <v>13</v>
      </c>
      <c r="D2887">
        <v>2.1329999999999999E-3</v>
      </c>
      <c r="E2887">
        <f t="shared" si="90"/>
        <v>1.0021329999999999</v>
      </c>
      <c r="F2887" s="1">
        <f t="shared" si="91"/>
        <v>41449</v>
      </c>
      <c r="G2887" cm="1">
        <f t="array" ref="G2887">PRODUCT( _xlfn._xlws.FILTER($E:$E, ($C:$C=C2887)*($F:$F=F2887)) ) - 1</f>
        <v>3.5485746960497666E-2</v>
      </c>
    </row>
    <row r="2888" spans="1:7" x14ac:dyDescent="0.2">
      <c r="A2888" s="1">
        <v>41453</v>
      </c>
      <c r="B2888">
        <v>0</v>
      </c>
      <c r="C2888" t="s">
        <v>13</v>
      </c>
      <c r="D2888">
        <v>3.1099999999999999E-3</v>
      </c>
      <c r="E2888">
        <f t="shared" si="90"/>
        <v>1.0031099999999999</v>
      </c>
      <c r="F2888" s="1">
        <f t="shared" si="91"/>
        <v>41449</v>
      </c>
      <c r="G2888" cm="1">
        <f t="array" ref="G2888">PRODUCT( _xlfn._xlws.FILTER($E:$E, ($C:$C=C2888)*($F:$F=F2888)) ) - 1</f>
        <v>3.5485746960497666E-2</v>
      </c>
    </row>
    <row r="2889" spans="1:7" x14ac:dyDescent="0.2">
      <c r="A2889" s="1">
        <v>41457</v>
      </c>
      <c r="B2889">
        <v>0</v>
      </c>
      <c r="C2889" t="s">
        <v>13</v>
      </c>
      <c r="D2889">
        <v>-5.7109999999999999E-3</v>
      </c>
      <c r="E2889">
        <f t="shared" si="90"/>
        <v>0.99428899999999998</v>
      </c>
      <c r="F2889" s="1">
        <f t="shared" si="91"/>
        <v>41456</v>
      </c>
      <c r="G2889" cm="1">
        <f t="array" ref="G2889">PRODUCT( _xlfn._xlws.FILTER($E:$E, ($C:$C=C2889)*($F:$F=F2889)) ) - 1</f>
        <v>-6.6906681388079203E-3</v>
      </c>
    </row>
    <row r="2890" spans="1:7" x14ac:dyDescent="0.2">
      <c r="A2890" s="1">
        <v>41458</v>
      </c>
      <c r="B2890">
        <v>0</v>
      </c>
      <c r="C2890" t="s">
        <v>13</v>
      </c>
      <c r="D2890">
        <v>-6.2370000000000004E-3</v>
      </c>
      <c r="E2890">
        <f t="shared" si="90"/>
        <v>0.99376299999999995</v>
      </c>
      <c r="F2890" s="1">
        <f t="shared" si="91"/>
        <v>41456</v>
      </c>
      <c r="G2890" cm="1">
        <f t="array" ref="G2890">PRODUCT( _xlfn._xlws.FILTER($E:$E, ($C:$C=C2890)*($F:$F=F2890)) ) - 1</f>
        <v>-6.6906681388079203E-3</v>
      </c>
    </row>
    <row r="2891" spans="1:7" x14ac:dyDescent="0.2">
      <c r="A2891" s="1">
        <v>41459</v>
      </c>
      <c r="B2891">
        <v>0</v>
      </c>
      <c r="C2891" t="s">
        <v>13</v>
      </c>
      <c r="D2891">
        <v>4.4590000000000003E-3</v>
      </c>
      <c r="E2891">
        <f t="shared" si="90"/>
        <v>1.004459</v>
      </c>
      <c r="F2891" s="1">
        <f t="shared" si="91"/>
        <v>41456</v>
      </c>
      <c r="G2891" cm="1">
        <f t="array" ref="G2891">PRODUCT( _xlfn._xlws.FILTER($E:$E, ($C:$C=C2891)*($F:$F=F2891)) ) - 1</f>
        <v>-6.6906681388079203E-3</v>
      </c>
    </row>
    <row r="2892" spans="1:7" x14ac:dyDescent="0.2">
      <c r="A2892" s="1">
        <v>41460</v>
      </c>
      <c r="B2892">
        <v>0</v>
      </c>
      <c r="C2892" t="s">
        <v>13</v>
      </c>
      <c r="D2892">
        <v>8.2200000000000003E-4</v>
      </c>
      <c r="E2892">
        <f t="shared" si="90"/>
        <v>1.0008220000000001</v>
      </c>
      <c r="F2892" s="1">
        <f t="shared" si="91"/>
        <v>41456</v>
      </c>
      <c r="G2892" cm="1">
        <f t="array" ref="G2892">PRODUCT( _xlfn._xlws.FILTER($E:$E, ($C:$C=C2892)*($F:$F=F2892)) ) - 1</f>
        <v>-6.6906681388079203E-3</v>
      </c>
    </row>
    <row r="2893" spans="1:7" x14ac:dyDescent="0.2">
      <c r="A2893" s="1">
        <v>41463</v>
      </c>
      <c r="B2893">
        <v>0</v>
      </c>
      <c r="C2893" t="s">
        <v>13</v>
      </c>
      <c r="D2893">
        <v>4.764E-3</v>
      </c>
      <c r="E2893">
        <f t="shared" si="90"/>
        <v>1.004764</v>
      </c>
      <c r="F2893" s="1">
        <f t="shared" si="91"/>
        <v>41463</v>
      </c>
      <c r="G2893" cm="1">
        <f t="array" ref="G2893">PRODUCT( _xlfn._xlws.FILTER($E:$E, ($C:$C=C2893)*($F:$F=F2893)) ) - 1</f>
        <v>1.5277814901709652E-2</v>
      </c>
    </row>
    <row r="2894" spans="1:7" x14ac:dyDescent="0.2">
      <c r="A2894" s="1">
        <v>41464</v>
      </c>
      <c r="B2894">
        <v>0</v>
      </c>
      <c r="C2894" t="s">
        <v>13</v>
      </c>
      <c r="D2894">
        <v>6.2129999999999998E-3</v>
      </c>
      <c r="E2894">
        <f t="shared" si="90"/>
        <v>1.006213</v>
      </c>
      <c r="F2894" s="1">
        <f t="shared" si="91"/>
        <v>41463</v>
      </c>
      <c r="G2894" cm="1">
        <f t="array" ref="G2894">PRODUCT( _xlfn._xlws.FILTER($E:$E, ($C:$C=C2894)*($F:$F=F2894)) ) - 1</f>
        <v>1.5277814901709652E-2</v>
      </c>
    </row>
    <row r="2895" spans="1:7" x14ac:dyDescent="0.2">
      <c r="A2895" s="1">
        <v>41465</v>
      </c>
      <c r="B2895">
        <v>0</v>
      </c>
      <c r="C2895" t="s">
        <v>13</v>
      </c>
      <c r="D2895">
        <v>-5.0369999999999998E-3</v>
      </c>
      <c r="E2895">
        <f t="shared" si="90"/>
        <v>0.99496300000000004</v>
      </c>
      <c r="F2895" s="1">
        <f t="shared" si="91"/>
        <v>41463</v>
      </c>
      <c r="G2895" cm="1">
        <f t="array" ref="G2895">PRODUCT( _xlfn._xlws.FILTER($E:$E, ($C:$C=C2895)*($F:$F=F2895)) ) - 1</f>
        <v>1.5277814901709652E-2</v>
      </c>
    </row>
    <row r="2896" spans="1:7" x14ac:dyDescent="0.2">
      <c r="A2896" s="1">
        <v>41466</v>
      </c>
      <c r="B2896">
        <v>0</v>
      </c>
      <c r="C2896" t="s">
        <v>13</v>
      </c>
      <c r="D2896">
        <v>6.3689999999999997E-3</v>
      </c>
      <c r="E2896">
        <f t="shared" si="90"/>
        <v>1.0063690000000001</v>
      </c>
      <c r="F2896" s="1">
        <f t="shared" si="91"/>
        <v>41463</v>
      </c>
      <c r="G2896" cm="1">
        <f t="array" ref="G2896">PRODUCT( _xlfn._xlws.FILTER($E:$E, ($C:$C=C2896)*($F:$F=F2896)) ) - 1</f>
        <v>1.5277814901709652E-2</v>
      </c>
    </row>
    <row r="2897" spans="1:7" x14ac:dyDescent="0.2">
      <c r="A2897" s="1">
        <v>41467</v>
      </c>
      <c r="B2897">
        <v>0</v>
      </c>
      <c r="C2897" t="s">
        <v>13</v>
      </c>
      <c r="D2897">
        <v>2.921E-3</v>
      </c>
      <c r="E2897">
        <f t="shared" si="90"/>
        <v>1.002921</v>
      </c>
      <c r="F2897" s="1">
        <f t="shared" si="91"/>
        <v>41463</v>
      </c>
      <c r="G2897" cm="1">
        <f t="array" ref="G2897">PRODUCT( _xlfn._xlws.FILTER($E:$E, ($C:$C=C2897)*($F:$F=F2897)) ) - 1</f>
        <v>1.5277814901709652E-2</v>
      </c>
    </row>
    <row r="2898" spans="1:7" x14ac:dyDescent="0.2">
      <c r="A2898" s="1">
        <v>41470</v>
      </c>
      <c r="B2898">
        <v>0</v>
      </c>
      <c r="C2898" t="s">
        <v>13</v>
      </c>
      <c r="D2898">
        <v>7.443E-3</v>
      </c>
      <c r="E2898">
        <f t="shared" si="90"/>
        <v>1.0074430000000001</v>
      </c>
      <c r="F2898" s="1">
        <f t="shared" si="91"/>
        <v>41470</v>
      </c>
      <c r="G2898" cm="1">
        <f t="array" ref="G2898">PRODUCT( _xlfn._xlws.FILTER($E:$E, ($C:$C=C2898)*($F:$F=F2898)) ) - 1</f>
        <v>5.323512328083857E-2</v>
      </c>
    </row>
    <row r="2899" spans="1:7" x14ac:dyDescent="0.2">
      <c r="A2899" s="1">
        <v>41471</v>
      </c>
      <c r="B2899">
        <v>0</v>
      </c>
      <c r="C2899" t="s">
        <v>13</v>
      </c>
      <c r="D2899">
        <v>5.1399999999999996E-3</v>
      </c>
      <c r="E2899">
        <f t="shared" si="90"/>
        <v>1.0051399999999999</v>
      </c>
      <c r="F2899" s="1">
        <f t="shared" si="91"/>
        <v>41470</v>
      </c>
      <c r="G2899" cm="1">
        <f t="array" ref="G2899">PRODUCT( _xlfn._xlws.FILTER($E:$E, ($C:$C=C2899)*($F:$F=F2899)) ) - 1</f>
        <v>5.323512328083857E-2</v>
      </c>
    </row>
    <row r="2900" spans="1:7" x14ac:dyDescent="0.2">
      <c r="A2900" s="1">
        <v>41472</v>
      </c>
      <c r="B2900">
        <v>0</v>
      </c>
      <c r="C2900" t="s">
        <v>13</v>
      </c>
      <c r="D2900">
        <v>1.9494999999999998E-2</v>
      </c>
      <c r="E2900">
        <f t="shared" si="90"/>
        <v>1.019495</v>
      </c>
      <c r="F2900" s="1">
        <f t="shared" si="91"/>
        <v>41470</v>
      </c>
      <c r="G2900" cm="1">
        <f t="array" ref="G2900">PRODUCT( _xlfn._xlws.FILTER($E:$E, ($C:$C=C2900)*($F:$F=F2900)) ) - 1</f>
        <v>5.323512328083857E-2</v>
      </c>
    </row>
    <row r="2901" spans="1:7" x14ac:dyDescent="0.2">
      <c r="A2901" s="1">
        <v>41473</v>
      </c>
      <c r="B2901">
        <v>0</v>
      </c>
      <c r="C2901" t="s">
        <v>13</v>
      </c>
      <c r="D2901">
        <v>1.536E-2</v>
      </c>
      <c r="E2901">
        <f t="shared" si="90"/>
        <v>1.01536</v>
      </c>
      <c r="F2901" s="1">
        <f t="shared" si="91"/>
        <v>41470</v>
      </c>
      <c r="G2901" cm="1">
        <f t="array" ref="G2901">PRODUCT( _xlfn._xlws.FILTER($E:$E, ($C:$C=C2901)*($F:$F=F2901)) ) - 1</f>
        <v>5.323512328083857E-2</v>
      </c>
    </row>
    <row r="2902" spans="1:7" x14ac:dyDescent="0.2">
      <c r="A2902" s="1">
        <v>41474</v>
      </c>
      <c r="B2902">
        <v>0</v>
      </c>
      <c r="C2902" t="s">
        <v>13</v>
      </c>
      <c r="D2902">
        <v>4.7850000000000002E-3</v>
      </c>
      <c r="E2902">
        <f t="shared" si="90"/>
        <v>1.004785</v>
      </c>
      <c r="F2902" s="1">
        <f t="shared" si="91"/>
        <v>41470</v>
      </c>
      <c r="G2902" cm="1">
        <f t="array" ref="G2902">PRODUCT( _xlfn._xlws.FILTER($E:$E, ($C:$C=C2902)*($F:$F=F2902)) ) - 1</f>
        <v>5.323512328083857E-2</v>
      </c>
    </row>
    <row r="2903" spans="1:7" x14ac:dyDescent="0.2">
      <c r="A2903" s="1">
        <v>41477</v>
      </c>
      <c r="B2903">
        <v>0</v>
      </c>
      <c r="C2903" t="s">
        <v>13</v>
      </c>
      <c r="D2903">
        <v>8.7569999999999992E-3</v>
      </c>
      <c r="E2903">
        <f t="shared" si="90"/>
        <v>1.0087569999999999</v>
      </c>
      <c r="F2903" s="1">
        <f t="shared" si="91"/>
        <v>41477</v>
      </c>
      <c r="G2903" cm="1">
        <f t="array" ref="G2903">PRODUCT( _xlfn._xlws.FILTER($E:$E, ($C:$C=C2903)*($F:$F=F2903)) ) - 1</f>
        <v>8.2884619462344489E-3</v>
      </c>
    </row>
    <row r="2904" spans="1:7" x14ac:dyDescent="0.2">
      <c r="A2904" s="1">
        <v>41478</v>
      </c>
      <c r="B2904">
        <v>0</v>
      </c>
      <c r="C2904" t="s">
        <v>13</v>
      </c>
      <c r="D2904">
        <v>4.57E-4</v>
      </c>
      <c r="E2904">
        <f t="shared" si="90"/>
        <v>1.0004569999999999</v>
      </c>
      <c r="F2904" s="1">
        <f t="shared" si="91"/>
        <v>41477</v>
      </c>
      <c r="G2904" cm="1">
        <f t="array" ref="G2904">PRODUCT( _xlfn._xlws.FILTER($E:$E, ($C:$C=C2904)*($F:$F=F2904)) ) - 1</f>
        <v>8.2884619462344489E-3</v>
      </c>
    </row>
    <row r="2905" spans="1:7" x14ac:dyDescent="0.2">
      <c r="A2905" s="1">
        <v>41479</v>
      </c>
      <c r="B2905">
        <v>0</v>
      </c>
      <c r="C2905" t="s">
        <v>13</v>
      </c>
      <c r="D2905">
        <v>-2.3050000000000002E-3</v>
      </c>
      <c r="E2905">
        <f t="shared" si="90"/>
        <v>0.997695</v>
      </c>
      <c r="F2905" s="1">
        <f t="shared" si="91"/>
        <v>41477</v>
      </c>
      <c r="G2905" cm="1">
        <f t="array" ref="G2905">PRODUCT( _xlfn._xlws.FILTER($E:$E, ($C:$C=C2905)*($F:$F=F2905)) ) - 1</f>
        <v>8.2884619462344489E-3</v>
      </c>
    </row>
    <row r="2906" spans="1:7" x14ac:dyDescent="0.2">
      <c r="A2906" s="1">
        <v>41480</v>
      </c>
      <c r="B2906">
        <v>0</v>
      </c>
      <c r="C2906" t="s">
        <v>13</v>
      </c>
      <c r="D2906">
        <v>1.8489999999999999E-3</v>
      </c>
      <c r="E2906">
        <f t="shared" si="90"/>
        <v>1.001849</v>
      </c>
      <c r="F2906" s="1">
        <f t="shared" si="91"/>
        <v>41477</v>
      </c>
      <c r="G2906" cm="1">
        <f t="array" ref="G2906">PRODUCT( _xlfn._xlws.FILTER($E:$E, ($C:$C=C2906)*($F:$F=F2906)) ) - 1</f>
        <v>8.2884619462344489E-3</v>
      </c>
    </row>
    <row r="2907" spans="1:7" x14ac:dyDescent="0.2">
      <c r="A2907" s="1">
        <v>41481</v>
      </c>
      <c r="B2907">
        <v>0</v>
      </c>
      <c r="C2907" t="s">
        <v>13</v>
      </c>
      <c r="D2907">
        <v>-4.6099999999999998E-4</v>
      </c>
      <c r="E2907">
        <f t="shared" si="90"/>
        <v>0.99953899999999996</v>
      </c>
      <c r="F2907" s="1">
        <f t="shared" si="91"/>
        <v>41477</v>
      </c>
      <c r="G2907" cm="1">
        <f t="array" ref="G2907">PRODUCT( _xlfn._xlws.FILTER($E:$E, ($C:$C=C2907)*($F:$F=F2907)) ) - 1</f>
        <v>8.2884619462344489E-3</v>
      </c>
    </row>
    <row r="2908" spans="1:7" x14ac:dyDescent="0.2">
      <c r="A2908" s="1">
        <v>41484</v>
      </c>
      <c r="B2908">
        <v>0</v>
      </c>
      <c r="C2908" t="s">
        <v>13</v>
      </c>
      <c r="D2908">
        <v>3.5379999999999999E-3</v>
      </c>
      <c r="E2908">
        <f t="shared" si="90"/>
        <v>1.003538</v>
      </c>
      <c r="F2908" s="1">
        <f t="shared" si="91"/>
        <v>41484</v>
      </c>
      <c r="G2908" cm="1">
        <f t="array" ref="G2908">PRODUCT( _xlfn._xlws.FILTER($E:$E, ($C:$C=C2908)*($F:$F=F2908)) ) - 1</f>
        <v>-8.770054627636692E-3</v>
      </c>
    </row>
    <row r="2909" spans="1:7" x14ac:dyDescent="0.2">
      <c r="A2909" s="1">
        <v>41485</v>
      </c>
      <c r="B2909">
        <v>0</v>
      </c>
      <c r="C2909" t="s">
        <v>13</v>
      </c>
      <c r="D2909">
        <v>-5.2119999999999996E-3</v>
      </c>
      <c r="E2909">
        <f t="shared" si="90"/>
        <v>0.99478800000000001</v>
      </c>
      <c r="F2909" s="1">
        <f t="shared" si="91"/>
        <v>41484</v>
      </c>
      <c r="G2909" cm="1">
        <f t="array" ref="G2909">PRODUCT( _xlfn._xlws.FILTER($E:$E, ($C:$C=C2909)*($F:$F=F2909)) ) - 1</f>
        <v>-8.770054627636692E-3</v>
      </c>
    </row>
    <row r="2910" spans="1:7" x14ac:dyDescent="0.2">
      <c r="A2910" s="1">
        <v>41486</v>
      </c>
      <c r="B2910">
        <v>0</v>
      </c>
      <c r="C2910" t="s">
        <v>13</v>
      </c>
      <c r="D2910">
        <v>-1.125E-2</v>
      </c>
      <c r="E2910">
        <f t="shared" si="90"/>
        <v>0.98875000000000002</v>
      </c>
      <c r="F2910" s="1">
        <f t="shared" si="91"/>
        <v>41484</v>
      </c>
      <c r="G2910" cm="1">
        <f t="array" ref="G2910">PRODUCT( _xlfn._xlws.FILTER($E:$E, ($C:$C=C2910)*($F:$F=F2910)) ) - 1</f>
        <v>-8.770054627636692E-3</v>
      </c>
    </row>
    <row r="2911" spans="1:7" x14ac:dyDescent="0.2">
      <c r="A2911" s="1">
        <v>41487</v>
      </c>
      <c r="B2911">
        <v>0</v>
      </c>
      <c r="C2911" t="s">
        <v>13</v>
      </c>
      <c r="D2911">
        <v>-3.4290000000000002E-3</v>
      </c>
      <c r="E2911">
        <f t="shared" si="90"/>
        <v>0.99657099999999998</v>
      </c>
      <c r="F2911" s="1">
        <f t="shared" si="91"/>
        <v>41484</v>
      </c>
      <c r="G2911" cm="1">
        <f t="array" ref="G2911">PRODUCT( _xlfn._xlws.FILTER($E:$E, ($C:$C=C2911)*($F:$F=F2911)) ) - 1</f>
        <v>-8.770054627636692E-3</v>
      </c>
    </row>
    <row r="2912" spans="1:7" x14ac:dyDescent="0.2">
      <c r="A2912" s="1">
        <v>41488</v>
      </c>
      <c r="B2912">
        <v>0</v>
      </c>
      <c r="C2912" t="s">
        <v>13</v>
      </c>
      <c r="D2912">
        <v>7.6629999999999997E-3</v>
      </c>
      <c r="E2912">
        <f t="shared" si="90"/>
        <v>1.007663</v>
      </c>
      <c r="F2912" s="1">
        <f t="shared" si="91"/>
        <v>41484</v>
      </c>
      <c r="G2912" cm="1">
        <f t="array" ref="G2912">PRODUCT( _xlfn._xlws.FILTER($E:$E, ($C:$C=C2912)*($F:$F=F2912)) ) - 1</f>
        <v>-8.770054627636692E-3</v>
      </c>
    </row>
    <row r="2913" spans="1:7" x14ac:dyDescent="0.2">
      <c r="A2913" s="1">
        <v>41492</v>
      </c>
      <c r="B2913">
        <v>0</v>
      </c>
      <c r="C2913" t="s">
        <v>13</v>
      </c>
      <c r="D2913">
        <v>-6.0530000000000002E-3</v>
      </c>
      <c r="E2913">
        <f t="shared" si="90"/>
        <v>0.99394700000000002</v>
      </c>
      <c r="F2913" s="1">
        <f t="shared" si="91"/>
        <v>41491</v>
      </c>
      <c r="G2913" cm="1">
        <f t="array" ref="G2913">PRODUCT( _xlfn._xlws.FILTER($E:$E, ($C:$C=C2913)*($F:$F=F2913)) ) - 1</f>
        <v>-1.1329189484156288E-2</v>
      </c>
    </row>
    <row r="2914" spans="1:7" x14ac:dyDescent="0.2">
      <c r="A2914" s="1">
        <v>41493</v>
      </c>
      <c r="B2914">
        <v>0</v>
      </c>
      <c r="C2914" t="s">
        <v>13</v>
      </c>
      <c r="D2914">
        <v>-9.5250000000000005E-3</v>
      </c>
      <c r="E2914">
        <f t="shared" si="90"/>
        <v>0.99047499999999999</v>
      </c>
      <c r="F2914" s="1">
        <f t="shared" si="91"/>
        <v>41491</v>
      </c>
      <c r="G2914" cm="1">
        <f t="array" ref="G2914">PRODUCT( _xlfn._xlws.FILTER($E:$E, ($C:$C=C2914)*($F:$F=F2914)) ) - 1</f>
        <v>-1.1329189484156288E-2</v>
      </c>
    </row>
    <row r="2915" spans="1:7" x14ac:dyDescent="0.2">
      <c r="A2915" s="1">
        <v>41494</v>
      </c>
      <c r="B2915">
        <v>0</v>
      </c>
      <c r="C2915" t="s">
        <v>13</v>
      </c>
      <c r="D2915">
        <v>1.0248E-2</v>
      </c>
      <c r="E2915">
        <f t="shared" si="90"/>
        <v>1.010248</v>
      </c>
      <c r="F2915" s="1">
        <f t="shared" si="91"/>
        <v>41491</v>
      </c>
      <c r="G2915" cm="1">
        <f t="array" ref="G2915">PRODUCT( _xlfn._xlws.FILTER($E:$E, ($C:$C=C2915)*($F:$F=F2915)) ) - 1</f>
        <v>-1.1329189484156288E-2</v>
      </c>
    </row>
    <row r="2916" spans="1:7" x14ac:dyDescent="0.2">
      <c r="A2916" s="1">
        <v>41495</v>
      </c>
      <c r="B2916">
        <v>0</v>
      </c>
      <c r="C2916" t="s">
        <v>13</v>
      </c>
      <c r="D2916">
        <v>-5.9300000000000004E-3</v>
      </c>
      <c r="E2916">
        <f t="shared" si="90"/>
        <v>0.99407000000000001</v>
      </c>
      <c r="F2916" s="1">
        <f t="shared" si="91"/>
        <v>41491</v>
      </c>
      <c r="G2916" cm="1">
        <f t="array" ref="G2916">PRODUCT( _xlfn._xlws.FILTER($E:$E, ($C:$C=C2916)*($F:$F=F2916)) ) - 1</f>
        <v>-1.1329189484156288E-2</v>
      </c>
    </row>
    <row r="2917" spans="1:7" x14ac:dyDescent="0.2">
      <c r="A2917" s="1">
        <v>41498</v>
      </c>
      <c r="B2917">
        <v>0</v>
      </c>
      <c r="C2917" t="s">
        <v>13</v>
      </c>
      <c r="D2917">
        <v>-5.8079999999999998E-3</v>
      </c>
      <c r="E2917">
        <f t="shared" si="90"/>
        <v>0.99419199999999996</v>
      </c>
      <c r="F2917" s="1">
        <f t="shared" si="91"/>
        <v>41498</v>
      </c>
      <c r="G2917" cm="1">
        <f t="array" ref="G2917">PRODUCT( _xlfn._xlws.FILTER($E:$E, ($C:$C=C2917)*($F:$F=F2917)) ) - 1</f>
        <v>1.0361384340071389E-2</v>
      </c>
    </row>
    <row r="2918" spans="1:7" x14ac:dyDescent="0.2">
      <c r="A2918" s="1">
        <v>41499</v>
      </c>
      <c r="B2918">
        <v>0</v>
      </c>
      <c r="C2918" t="s">
        <v>13</v>
      </c>
      <c r="D2918">
        <v>1.1369000000000001E-2</v>
      </c>
      <c r="E2918">
        <f t="shared" si="90"/>
        <v>1.011369</v>
      </c>
      <c r="F2918" s="1">
        <f t="shared" si="91"/>
        <v>41498</v>
      </c>
      <c r="G2918" cm="1">
        <f t="array" ref="G2918">PRODUCT( _xlfn._xlws.FILTER($E:$E, ($C:$C=C2918)*($F:$F=F2918)) ) - 1</f>
        <v>1.0361384340071389E-2</v>
      </c>
    </row>
    <row r="2919" spans="1:7" x14ac:dyDescent="0.2">
      <c r="A2919" s="1">
        <v>41500</v>
      </c>
      <c r="B2919">
        <v>0</v>
      </c>
      <c r="C2919" t="s">
        <v>13</v>
      </c>
      <c r="D2919">
        <v>-1.874E-3</v>
      </c>
      <c r="E2919">
        <f t="shared" si="90"/>
        <v>0.99812599999999996</v>
      </c>
      <c r="F2919" s="1">
        <f t="shared" si="91"/>
        <v>41498</v>
      </c>
      <c r="G2919" cm="1">
        <f t="array" ref="G2919">PRODUCT( _xlfn._xlws.FILTER($E:$E, ($C:$C=C2919)*($F:$F=F2919)) ) - 1</f>
        <v>1.0361384340071389E-2</v>
      </c>
    </row>
    <row r="2920" spans="1:7" x14ac:dyDescent="0.2">
      <c r="A2920" s="1">
        <v>41501</v>
      </c>
      <c r="B2920">
        <v>0</v>
      </c>
      <c r="C2920" t="s">
        <v>13</v>
      </c>
      <c r="D2920">
        <v>-1.0950000000000001E-3</v>
      </c>
      <c r="E2920">
        <f t="shared" si="90"/>
        <v>0.99890500000000004</v>
      </c>
      <c r="F2920" s="1">
        <f t="shared" si="91"/>
        <v>41498</v>
      </c>
      <c r="G2920" cm="1">
        <f t="array" ref="G2920">PRODUCT( _xlfn._xlws.FILTER($E:$E, ($C:$C=C2920)*($F:$F=F2920)) ) - 1</f>
        <v>1.0361384340071389E-2</v>
      </c>
    </row>
    <row r="2921" spans="1:7" x14ac:dyDescent="0.2">
      <c r="A2921" s="1">
        <v>41502</v>
      </c>
      <c r="B2921">
        <v>0</v>
      </c>
      <c r="C2921" t="s">
        <v>13</v>
      </c>
      <c r="D2921">
        <v>7.8300000000000002E-3</v>
      </c>
      <c r="E2921">
        <f t="shared" si="90"/>
        <v>1.00783</v>
      </c>
      <c r="F2921" s="1">
        <f t="shared" si="91"/>
        <v>41498</v>
      </c>
      <c r="G2921" cm="1">
        <f t="array" ref="G2921">PRODUCT( _xlfn._xlws.FILTER($E:$E, ($C:$C=C2921)*($F:$F=F2921)) ) - 1</f>
        <v>1.0361384340071389E-2</v>
      </c>
    </row>
    <row r="2922" spans="1:7" x14ac:dyDescent="0.2">
      <c r="A2922" s="1">
        <v>41505</v>
      </c>
      <c r="B2922">
        <v>0</v>
      </c>
      <c r="C2922" t="s">
        <v>13</v>
      </c>
      <c r="D2922">
        <v>-5.2830000000000004E-3</v>
      </c>
      <c r="E2922">
        <f t="shared" si="90"/>
        <v>0.99471699999999996</v>
      </c>
      <c r="F2922" s="1">
        <f t="shared" si="91"/>
        <v>41505</v>
      </c>
      <c r="G2922" cm="1">
        <f t="array" ref="G2922">PRODUCT( _xlfn._xlws.FILTER($E:$E, ($C:$C=C2922)*($F:$F=F2922)) ) - 1</f>
        <v>1.1808211631832544E-2</v>
      </c>
    </row>
    <row r="2923" spans="1:7" x14ac:dyDescent="0.2">
      <c r="A2923" s="1">
        <v>41506</v>
      </c>
      <c r="B2923">
        <v>0</v>
      </c>
      <c r="C2923" t="s">
        <v>13</v>
      </c>
      <c r="D2923">
        <v>1.0153000000000001E-2</v>
      </c>
      <c r="E2923">
        <f t="shared" si="90"/>
        <v>1.0101530000000001</v>
      </c>
      <c r="F2923" s="1">
        <f t="shared" si="91"/>
        <v>41505</v>
      </c>
      <c r="G2923" cm="1">
        <f t="array" ref="G2923">PRODUCT( _xlfn._xlws.FILTER($E:$E, ($C:$C=C2923)*($F:$F=F2923)) ) - 1</f>
        <v>1.1808211631832544E-2</v>
      </c>
    </row>
    <row r="2924" spans="1:7" x14ac:dyDescent="0.2">
      <c r="A2924" s="1">
        <v>41507</v>
      </c>
      <c r="B2924">
        <v>0</v>
      </c>
      <c r="C2924" t="s">
        <v>13</v>
      </c>
      <c r="D2924">
        <v>-1.392E-3</v>
      </c>
      <c r="E2924">
        <f t="shared" si="90"/>
        <v>0.99860800000000005</v>
      </c>
      <c r="F2924" s="1">
        <f t="shared" si="91"/>
        <v>41505</v>
      </c>
      <c r="G2924" cm="1">
        <f t="array" ref="G2924">PRODUCT( _xlfn._xlws.FILTER($E:$E, ($C:$C=C2924)*($F:$F=F2924)) ) - 1</f>
        <v>1.1808211631832544E-2</v>
      </c>
    </row>
    <row r="2925" spans="1:7" x14ac:dyDescent="0.2">
      <c r="A2925" s="1">
        <v>41508</v>
      </c>
      <c r="B2925">
        <v>0</v>
      </c>
      <c r="C2925" t="s">
        <v>13</v>
      </c>
      <c r="D2925">
        <v>-1.8580000000000001E-3</v>
      </c>
      <c r="E2925">
        <f t="shared" si="90"/>
        <v>0.99814199999999997</v>
      </c>
      <c r="F2925" s="1">
        <f t="shared" si="91"/>
        <v>41505</v>
      </c>
      <c r="G2925" cm="1">
        <f t="array" ref="G2925">PRODUCT( _xlfn._xlws.FILTER($E:$E, ($C:$C=C2925)*($F:$F=F2925)) ) - 1</f>
        <v>1.1808211631832544E-2</v>
      </c>
    </row>
    <row r="2926" spans="1:7" x14ac:dyDescent="0.2">
      <c r="A2926" s="1">
        <v>41509</v>
      </c>
      <c r="B2926">
        <v>0</v>
      </c>
      <c r="C2926" t="s">
        <v>13</v>
      </c>
      <c r="D2926">
        <v>1.0239E-2</v>
      </c>
      <c r="E2926">
        <f t="shared" si="90"/>
        <v>1.0102390000000001</v>
      </c>
      <c r="F2926" s="1">
        <f t="shared" si="91"/>
        <v>41505</v>
      </c>
      <c r="G2926" cm="1">
        <f t="array" ref="G2926">PRODUCT( _xlfn._xlws.FILTER($E:$E, ($C:$C=C2926)*($F:$F=F2926)) ) - 1</f>
        <v>1.1808211631832544E-2</v>
      </c>
    </row>
    <row r="2927" spans="1:7" x14ac:dyDescent="0.2">
      <c r="A2927" s="1">
        <v>41512</v>
      </c>
      <c r="B2927">
        <v>0</v>
      </c>
      <c r="C2927" t="s">
        <v>13</v>
      </c>
      <c r="D2927">
        <v>-3.532E-3</v>
      </c>
      <c r="E2927">
        <f t="shared" si="90"/>
        <v>0.99646800000000002</v>
      </c>
      <c r="F2927" s="1">
        <f t="shared" si="91"/>
        <v>41512</v>
      </c>
      <c r="G2927" cm="1">
        <f t="array" ref="G2927">PRODUCT( _xlfn._xlws.FILTER($E:$E, ($C:$C=C2927)*($F:$F=F2927)) ) - 1</f>
        <v>-3.3774542367865923E-3</v>
      </c>
    </row>
    <row r="2928" spans="1:7" x14ac:dyDescent="0.2">
      <c r="A2928" s="1">
        <v>41513</v>
      </c>
      <c r="B2928">
        <v>0</v>
      </c>
      <c r="C2928" t="s">
        <v>13</v>
      </c>
      <c r="D2928">
        <v>-8.3219999999999995E-3</v>
      </c>
      <c r="E2928">
        <f t="shared" si="90"/>
        <v>0.99167799999999995</v>
      </c>
      <c r="F2928" s="1">
        <f t="shared" si="91"/>
        <v>41512</v>
      </c>
      <c r="G2928" cm="1">
        <f t="array" ref="G2928">PRODUCT( _xlfn._xlws.FILTER($E:$E, ($C:$C=C2928)*($F:$F=F2928)) ) - 1</f>
        <v>-3.3774542367865923E-3</v>
      </c>
    </row>
    <row r="2929" spans="1:7" x14ac:dyDescent="0.2">
      <c r="A2929" s="1">
        <v>41514</v>
      </c>
      <c r="B2929">
        <v>0</v>
      </c>
      <c r="C2929" t="s">
        <v>13</v>
      </c>
      <c r="D2929">
        <v>2.176E-3</v>
      </c>
      <c r="E2929">
        <f t="shared" si="90"/>
        <v>1.002176</v>
      </c>
      <c r="F2929" s="1">
        <f t="shared" si="91"/>
        <v>41512</v>
      </c>
      <c r="G2929" cm="1">
        <f t="array" ref="G2929">PRODUCT( _xlfn._xlws.FILTER($E:$E, ($C:$C=C2929)*($F:$F=F2929)) ) - 1</f>
        <v>-3.3774542367865923E-3</v>
      </c>
    </row>
    <row r="2930" spans="1:7" x14ac:dyDescent="0.2">
      <c r="A2930" s="1">
        <v>41515</v>
      </c>
      <c r="B2930">
        <v>0</v>
      </c>
      <c r="C2930" t="s">
        <v>13</v>
      </c>
      <c r="D2930">
        <v>1.163E-2</v>
      </c>
      <c r="E2930">
        <f t="shared" si="90"/>
        <v>1.01163</v>
      </c>
      <c r="F2930" s="1">
        <f t="shared" si="91"/>
        <v>41512</v>
      </c>
      <c r="G2930" cm="1">
        <f t="array" ref="G2930">PRODUCT( _xlfn._xlws.FILTER($E:$E, ($C:$C=C2930)*($F:$F=F2930)) ) - 1</f>
        <v>-3.3774542367865923E-3</v>
      </c>
    </row>
    <row r="2931" spans="1:7" x14ac:dyDescent="0.2">
      <c r="A2931" s="1">
        <v>41516</v>
      </c>
      <c r="B2931">
        <v>0</v>
      </c>
      <c r="C2931" t="s">
        <v>13</v>
      </c>
      <c r="D2931">
        <v>-5.2110000000000004E-3</v>
      </c>
      <c r="E2931">
        <f t="shared" si="90"/>
        <v>0.99478900000000003</v>
      </c>
      <c r="F2931" s="1">
        <f t="shared" si="91"/>
        <v>41512</v>
      </c>
      <c r="G2931" cm="1">
        <f t="array" ref="G2931">PRODUCT( _xlfn._xlws.FILTER($E:$E, ($C:$C=C2931)*($F:$F=F2931)) ) - 1</f>
        <v>-3.3774542367865923E-3</v>
      </c>
    </row>
    <row r="2932" spans="1:7" x14ac:dyDescent="0.2">
      <c r="A2932" s="1">
        <v>41520</v>
      </c>
      <c r="B2932">
        <v>0</v>
      </c>
      <c r="C2932" t="s">
        <v>13</v>
      </c>
      <c r="D2932">
        <v>8.3199999999999993E-3</v>
      </c>
      <c r="E2932">
        <f t="shared" si="90"/>
        <v>1.0083200000000001</v>
      </c>
      <c r="F2932" s="1">
        <f t="shared" si="91"/>
        <v>41519</v>
      </c>
      <c r="G2932" cm="1">
        <f t="array" ref="G2932">PRODUCT( _xlfn._xlws.FILTER($E:$E, ($C:$C=C2932)*($F:$F=F2932)) ) - 1</f>
        <v>2.5576466345495596E-2</v>
      </c>
    </row>
    <row r="2933" spans="1:7" x14ac:dyDescent="0.2">
      <c r="A2933" s="1">
        <v>41521</v>
      </c>
      <c r="B2933">
        <v>0</v>
      </c>
      <c r="C2933" t="s">
        <v>13</v>
      </c>
      <c r="D2933">
        <v>6.11E-4</v>
      </c>
      <c r="E2933">
        <f t="shared" si="90"/>
        <v>1.0006109999999999</v>
      </c>
      <c r="F2933" s="1">
        <f t="shared" si="91"/>
        <v>41519</v>
      </c>
      <c r="G2933" cm="1">
        <f t="array" ref="G2933">PRODUCT( _xlfn._xlws.FILTER($E:$E, ($C:$C=C2933)*($F:$F=F2933)) ) - 1</f>
        <v>2.5576466345495596E-2</v>
      </c>
    </row>
    <row r="2934" spans="1:7" x14ac:dyDescent="0.2">
      <c r="A2934" s="1">
        <v>41522</v>
      </c>
      <c r="B2934">
        <v>0</v>
      </c>
      <c r="C2934" t="s">
        <v>13</v>
      </c>
      <c r="D2934">
        <v>1.6493000000000001E-2</v>
      </c>
      <c r="E2934">
        <f t="shared" si="90"/>
        <v>1.0164930000000001</v>
      </c>
      <c r="F2934" s="1">
        <f t="shared" si="91"/>
        <v>41519</v>
      </c>
      <c r="G2934" cm="1">
        <f t="array" ref="G2934">PRODUCT( _xlfn._xlws.FILTER($E:$E, ($C:$C=C2934)*($F:$F=F2934)) ) - 1</f>
        <v>2.5576466345495596E-2</v>
      </c>
    </row>
    <row r="2935" spans="1:7" x14ac:dyDescent="0.2">
      <c r="A2935" s="1">
        <v>41523</v>
      </c>
      <c r="B2935">
        <v>0</v>
      </c>
      <c r="C2935" t="s">
        <v>13</v>
      </c>
      <c r="D2935">
        <v>0</v>
      </c>
      <c r="E2935">
        <f t="shared" si="90"/>
        <v>1</v>
      </c>
      <c r="F2935" s="1">
        <f t="shared" si="91"/>
        <v>41519</v>
      </c>
      <c r="G2935" cm="1">
        <f t="array" ref="G2935">PRODUCT( _xlfn._xlws.FILTER($E:$E, ($C:$C=C2935)*($F:$F=F2935)) ) - 1</f>
        <v>2.5576466345495596E-2</v>
      </c>
    </row>
    <row r="2936" spans="1:7" x14ac:dyDescent="0.2">
      <c r="A2936" s="1">
        <v>41526</v>
      </c>
      <c r="B2936">
        <v>0</v>
      </c>
      <c r="C2936" t="s">
        <v>13</v>
      </c>
      <c r="D2936">
        <v>-2.7039999999999998E-3</v>
      </c>
      <c r="E2936">
        <f t="shared" si="90"/>
        <v>0.99729599999999996</v>
      </c>
      <c r="F2936" s="1">
        <f t="shared" si="91"/>
        <v>41526</v>
      </c>
      <c r="G2936" cm="1">
        <f t="array" ref="G2936">PRODUCT( _xlfn._xlws.FILTER($E:$E, ($C:$C=C2936)*($F:$F=F2936)) ) - 1</f>
        <v>-1.8930015505470243E-2</v>
      </c>
    </row>
    <row r="2937" spans="1:7" x14ac:dyDescent="0.2">
      <c r="A2937" s="1">
        <v>41527</v>
      </c>
      <c r="B2937">
        <v>0</v>
      </c>
      <c r="C2937" t="s">
        <v>13</v>
      </c>
      <c r="D2937">
        <v>-4.2180000000000004E-3</v>
      </c>
      <c r="E2937">
        <f t="shared" si="90"/>
        <v>0.99578199999999994</v>
      </c>
      <c r="F2937" s="1">
        <f t="shared" si="91"/>
        <v>41526</v>
      </c>
      <c r="G2937" cm="1">
        <f t="array" ref="G2937">PRODUCT( _xlfn._xlws.FILTER($E:$E, ($C:$C=C2937)*($F:$F=F2937)) ) - 1</f>
        <v>-1.8930015505470243E-2</v>
      </c>
    </row>
    <row r="2938" spans="1:7" x14ac:dyDescent="0.2">
      <c r="A2938" s="1">
        <v>41528</v>
      </c>
      <c r="B2938">
        <v>0</v>
      </c>
      <c r="C2938" t="s">
        <v>13</v>
      </c>
      <c r="D2938">
        <v>1.513E-3</v>
      </c>
      <c r="E2938">
        <f t="shared" si="90"/>
        <v>1.0015130000000001</v>
      </c>
      <c r="F2938" s="1">
        <f t="shared" si="91"/>
        <v>41526</v>
      </c>
      <c r="G2938" cm="1">
        <f t="array" ref="G2938">PRODUCT( _xlfn._xlws.FILTER($E:$E, ($C:$C=C2938)*($F:$F=F2938)) ) - 1</f>
        <v>-1.8930015505470243E-2</v>
      </c>
    </row>
    <row r="2939" spans="1:7" x14ac:dyDescent="0.2">
      <c r="A2939" s="1">
        <v>41529</v>
      </c>
      <c r="B2939">
        <v>0</v>
      </c>
      <c r="C2939" t="s">
        <v>13</v>
      </c>
      <c r="D2939">
        <v>-6.9490000000000003E-3</v>
      </c>
      <c r="E2939">
        <f t="shared" si="90"/>
        <v>0.99305100000000002</v>
      </c>
      <c r="F2939" s="1">
        <f t="shared" si="91"/>
        <v>41526</v>
      </c>
      <c r="G2939" cm="1">
        <f t="array" ref="G2939">PRODUCT( _xlfn._xlws.FILTER($E:$E, ($C:$C=C2939)*($F:$F=F2939)) ) - 1</f>
        <v>-1.8930015505470243E-2</v>
      </c>
    </row>
    <row r="2940" spans="1:7" x14ac:dyDescent="0.2">
      <c r="A2940" s="1">
        <v>41530</v>
      </c>
      <c r="B2940">
        <v>0</v>
      </c>
      <c r="C2940" t="s">
        <v>13</v>
      </c>
      <c r="D2940">
        <v>-6.6930000000000002E-3</v>
      </c>
      <c r="E2940">
        <f t="shared" si="90"/>
        <v>0.99330700000000005</v>
      </c>
      <c r="F2940" s="1">
        <f t="shared" si="91"/>
        <v>41526</v>
      </c>
      <c r="G2940" cm="1">
        <f t="array" ref="G2940">PRODUCT( _xlfn._xlws.FILTER($E:$E, ($C:$C=C2940)*($F:$F=F2940)) ) - 1</f>
        <v>-1.8930015505470243E-2</v>
      </c>
    </row>
    <row r="2941" spans="1:7" x14ac:dyDescent="0.2">
      <c r="A2941" s="1">
        <v>41533</v>
      </c>
      <c r="B2941">
        <v>0</v>
      </c>
      <c r="C2941" t="s">
        <v>13</v>
      </c>
      <c r="D2941">
        <v>9.3410000000000003E-3</v>
      </c>
      <c r="E2941">
        <f t="shared" si="90"/>
        <v>1.009341</v>
      </c>
      <c r="F2941" s="1">
        <f t="shared" si="91"/>
        <v>41533</v>
      </c>
      <c r="G2941" cm="1">
        <f t="array" ref="G2941">PRODUCT( _xlfn._xlws.FILTER($E:$E, ($C:$C=C2941)*($F:$F=F2941)) ) - 1</f>
        <v>1.0107684528347427E-2</v>
      </c>
    </row>
    <row r="2942" spans="1:7" x14ac:dyDescent="0.2">
      <c r="A2942" s="1">
        <v>41534</v>
      </c>
      <c r="B2942">
        <v>0</v>
      </c>
      <c r="C2942" t="s">
        <v>13</v>
      </c>
      <c r="D2942">
        <v>6.221E-3</v>
      </c>
      <c r="E2942">
        <f t="shared" si="90"/>
        <v>1.006221</v>
      </c>
      <c r="F2942" s="1">
        <f t="shared" si="91"/>
        <v>41533</v>
      </c>
      <c r="G2942" cm="1">
        <f t="array" ref="G2942">PRODUCT( _xlfn._xlws.FILTER($E:$E, ($C:$C=C2942)*($F:$F=F2942)) ) - 1</f>
        <v>1.0107684528347427E-2</v>
      </c>
    </row>
    <row r="2943" spans="1:7" x14ac:dyDescent="0.2">
      <c r="A2943" s="1">
        <v>41535</v>
      </c>
      <c r="B2943">
        <v>0</v>
      </c>
      <c r="C2943" t="s">
        <v>13</v>
      </c>
      <c r="D2943">
        <v>-7.54E-4</v>
      </c>
      <c r="E2943">
        <f t="shared" si="90"/>
        <v>0.99924599999999997</v>
      </c>
      <c r="F2943" s="1">
        <f t="shared" si="91"/>
        <v>41533</v>
      </c>
      <c r="G2943" cm="1">
        <f t="array" ref="G2943">PRODUCT( _xlfn._xlws.FILTER($E:$E, ($C:$C=C2943)*($F:$F=F2943)) ) - 1</f>
        <v>1.0107684528347427E-2</v>
      </c>
    </row>
    <row r="2944" spans="1:7" x14ac:dyDescent="0.2">
      <c r="A2944" s="1">
        <v>41536</v>
      </c>
      <c r="B2944">
        <v>0</v>
      </c>
      <c r="C2944" t="s">
        <v>13</v>
      </c>
      <c r="D2944">
        <v>-1.0560000000000001E-3</v>
      </c>
      <c r="E2944">
        <f t="shared" si="90"/>
        <v>0.99894400000000005</v>
      </c>
      <c r="F2944" s="1">
        <f t="shared" si="91"/>
        <v>41533</v>
      </c>
      <c r="G2944" cm="1">
        <f t="array" ref="G2944">PRODUCT( _xlfn._xlws.FILTER($E:$E, ($C:$C=C2944)*($F:$F=F2944)) ) - 1</f>
        <v>1.0107684528347427E-2</v>
      </c>
    </row>
    <row r="2945" spans="1:7" x14ac:dyDescent="0.2">
      <c r="A2945" s="1">
        <v>41537</v>
      </c>
      <c r="B2945">
        <v>0</v>
      </c>
      <c r="C2945" t="s">
        <v>13</v>
      </c>
      <c r="D2945">
        <v>-3.6250000000000002E-3</v>
      </c>
      <c r="E2945">
        <f t="shared" si="90"/>
        <v>0.99637500000000001</v>
      </c>
      <c r="F2945" s="1">
        <f t="shared" si="91"/>
        <v>41533</v>
      </c>
      <c r="G2945" cm="1">
        <f t="array" ref="G2945">PRODUCT( _xlfn._xlws.FILTER($E:$E, ($C:$C=C2945)*($F:$F=F2945)) ) - 1</f>
        <v>1.0107684528347427E-2</v>
      </c>
    </row>
    <row r="2946" spans="1:7" x14ac:dyDescent="0.2">
      <c r="A2946" s="1">
        <v>41540</v>
      </c>
      <c r="B2946">
        <v>0</v>
      </c>
      <c r="C2946" t="s">
        <v>13</v>
      </c>
      <c r="D2946">
        <v>4.548E-3</v>
      </c>
      <c r="E2946">
        <f t="shared" si="90"/>
        <v>1.004548</v>
      </c>
      <c r="F2946" s="1">
        <f t="shared" si="91"/>
        <v>41540</v>
      </c>
      <c r="G2946" cm="1">
        <f t="array" ref="G2946">PRODUCT( _xlfn._xlws.FILTER($E:$E, ($C:$C=C2946)*($F:$F=F2946)) ) - 1</f>
        <v>8.7926369111741565E-3</v>
      </c>
    </row>
    <row r="2947" spans="1:7" x14ac:dyDescent="0.2">
      <c r="A2947" s="1">
        <v>41541</v>
      </c>
      <c r="B2947">
        <v>0</v>
      </c>
      <c r="C2947" t="s">
        <v>13</v>
      </c>
      <c r="D2947">
        <v>4.3769999999999998E-3</v>
      </c>
      <c r="E2947">
        <f t="shared" si="90"/>
        <v>1.0043770000000001</v>
      </c>
      <c r="F2947" s="1">
        <f t="shared" si="91"/>
        <v>41540</v>
      </c>
      <c r="G2947" cm="1">
        <f t="array" ref="G2947">PRODUCT( _xlfn._xlws.FILTER($E:$E, ($C:$C=C2947)*($F:$F=F2947)) ) - 1</f>
        <v>8.7926369111741565E-3</v>
      </c>
    </row>
    <row r="2948" spans="1:7" x14ac:dyDescent="0.2">
      <c r="A2948" s="1">
        <v>41542</v>
      </c>
      <c r="B2948">
        <v>0</v>
      </c>
      <c r="C2948" t="s">
        <v>13</v>
      </c>
      <c r="D2948">
        <v>-3.4559999999999999E-3</v>
      </c>
      <c r="E2948">
        <f t="shared" ref="E2948:E3011" si="92">D2948+1</f>
        <v>0.99654399999999999</v>
      </c>
      <c r="F2948" s="1">
        <f t="shared" ref="F2948:F3011" si="93">A2948 - (WEEKDAY(A2948, 2) - 1)</f>
        <v>41540</v>
      </c>
      <c r="G2948" cm="1">
        <f t="array" ref="G2948">PRODUCT( _xlfn._xlws.FILTER($E:$E, ($C:$C=C2948)*($F:$F=F2948)) ) - 1</f>
        <v>8.7926369111741565E-3</v>
      </c>
    </row>
    <row r="2949" spans="1:7" x14ac:dyDescent="0.2">
      <c r="A2949" s="1">
        <v>41543</v>
      </c>
      <c r="B2949">
        <v>0</v>
      </c>
      <c r="C2949" t="s">
        <v>13</v>
      </c>
      <c r="D2949">
        <v>1.206E-3</v>
      </c>
      <c r="E2949">
        <f t="shared" si="92"/>
        <v>1.001206</v>
      </c>
      <c r="F2949" s="1">
        <f t="shared" si="93"/>
        <v>41540</v>
      </c>
      <c r="G2949" cm="1">
        <f t="array" ref="G2949">PRODUCT( _xlfn._xlws.FILTER($E:$E, ($C:$C=C2949)*($F:$F=F2949)) ) - 1</f>
        <v>8.7926369111741565E-3</v>
      </c>
    </row>
    <row r="2950" spans="1:7" x14ac:dyDescent="0.2">
      <c r="A2950" s="1">
        <v>41544</v>
      </c>
      <c r="B2950">
        <v>0</v>
      </c>
      <c r="C2950" t="s">
        <v>13</v>
      </c>
      <c r="D2950">
        <v>2.1080000000000001E-3</v>
      </c>
      <c r="E2950">
        <f t="shared" si="92"/>
        <v>1.002108</v>
      </c>
      <c r="F2950" s="1">
        <f t="shared" si="93"/>
        <v>41540</v>
      </c>
      <c r="G2950" cm="1">
        <f t="array" ref="G2950">PRODUCT( _xlfn._xlws.FILTER($E:$E, ($C:$C=C2950)*($F:$F=F2950)) ) - 1</f>
        <v>8.7926369111741565E-3</v>
      </c>
    </row>
    <row r="2951" spans="1:7" x14ac:dyDescent="0.2">
      <c r="A2951" s="1">
        <v>41547</v>
      </c>
      <c r="B2951">
        <v>0</v>
      </c>
      <c r="C2951" t="s">
        <v>13</v>
      </c>
      <c r="D2951">
        <v>-8.1150000000000007E-3</v>
      </c>
      <c r="E2951">
        <f t="shared" si="92"/>
        <v>0.99188500000000002</v>
      </c>
      <c r="F2951" s="1">
        <f t="shared" si="93"/>
        <v>41547</v>
      </c>
      <c r="G2951" cm="1">
        <f t="array" ref="G2951">PRODUCT( _xlfn._xlws.FILTER($E:$E, ($C:$C=C2951)*($F:$F=F2951)) ) - 1</f>
        <v>-3.7557071104319384E-3</v>
      </c>
    </row>
    <row r="2952" spans="1:7" x14ac:dyDescent="0.2">
      <c r="A2952" s="1">
        <v>41548</v>
      </c>
      <c r="B2952">
        <v>0</v>
      </c>
      <c r="C2952" t="s">
        <v>13</v>
      </c>
      <c r="D2952">
        <v>1.0758E-2</v>
      </c>
      <c r="E2952">
        <f t="shared" si="92"/>
        <v>1.010758</v>
      </c>
      <c r="F2952" s="1">
        <f t="shared" si="93"/>
        <v>41547</v>
      </c>
      <c r="G2952" cm="1">
        <f t="array" ref="G2952">PRODUCT( _xlfn._xlws.FILTER($E:$E, ($C:$C=C2952)*($F:$F=F2952)) ) - 1</f>
        <v>-3.7557071104319384E-3</v>
      </c>
    </row>
    <row r="2953" spans="1:7" x14ac:dyDescent="0.2">
      <c r="A2953" s="1">
        <v>41549</v>
      </c>
      <c r="B2953">
        <v>0</v>
      </c>
      <c r="C2953" t="s">
        <v>13</v>
      </c>
      <c r="D2953">
        <v>-5.3959999999999998E-3</v>
      </c>
      <c r="E2953">
        <f t="shared" si="92"/>
        <v>0.99460400000000004</v>
      </c>
      <c r="F2953" s="1">
        <f t="shared" si="93"/>
        <v>41547</v>
      </c>
      <c r="G2953" cm="1">
        <f t="array" ref="G2953">PRODUCT( _xlfn._xlws.FILTER($E:$E, ($C:$C=C2953)*($F:$F=F2953)) ) - 1</f>
        <v>-3.7557071104319384E-3</v>
      </c>
    </row>
    <row r="2954" spans="1:7" x14ac:dyDescent="0.2">
      <c r="A2954" s="1">
        <v>41550</v>
      </c>
      <c r="B2954">
        <v>0</v>
      </c>
      <c r="C2954" t="s">
        <v>13</v>
      </c>
      <c r="D2954">
        <v>-5.5760000000000002E-3</v>
      </c>
      <c r="E2954">
        <f t="shared" si="92"/>
        <v>0.99442399999999997</v>
      </c>
      <c r="F2954" s="1">
        <f t="shared" si="93"/>
        <v>41547</v>
      </c>
      <c r="G2954" cm="1">
        <f t="array" ref="G2954">PRODUCT( _xlfn._xlws.FILTER($E:$E, ($C:$C=C2954)*($F:$F=F2954)) ) - 1</f>
        <v>-3.7557071104319384E-3</v>
      </c>
    </row>
    <row r="2955" spans="1:7" x14ac:dyDescent="0.2">
      <c r="A2955" s="1">
        <v>41551</v>
      </c>
      <c r="B2955">
        <v>0</v>
      </c>
      <c r="C2955" t="s">
        <v>13</v>
      </c>
      <c r="D2955">
        <v>4.6979999999999999E-3</v>
      </c>
      <c r="E2955">
        <f t="shared" si="92"/>
        <v>1.0046980000000001</v>
      </c>
      <c r="F2955" s="1">
        <f t="shared" si="93"/>
        <v>41547</v>
      </c>
      <c r="G2955" cm="1">
        <f t="array" ref="G2955">PRODUCT( _xlfn._xlws.FILTER($E:$E, ($C:$C=C2955)*($F:$F=F2955)) ) - 1</f>
        <v>-3.7557071104319384E-3</v>
      </c>
    </row>
    <row r="2956" spans="1:7" x14ac:dyDescent="0.2">
      <c r="A2956" s="1">
        <v>41554</v>
      </c>
      <c r="B2956">
        <v>0</v>
      </c>
      <c r="C2956" t="s">
        <v>13</v>
      </c>
      <c r="D2956">
        <v>3.62E-3</v>
      </c>
      <c r="E2956">
        <f t="shared" si="92"/>
        <v>1.00362</v>
      </c>
      <c r="F2956" s="1">
        <f t="shared" si="93"/>
        <v>41554</v>
      </c>
      <c r="G2956" cm="1">
        <f t="array" ref="G2956">PRODUCT( _xlfn._xlws.FILTER($E:$E, ($C:$C=C2956)*($F:$F=F2956)) ) - 1</f>
        <v>2.6248148145650019E-2</v>
      </c>
    </row>
    <row r="2957" spans="1:7" x14ac:dyDescent="0.2">
      <c r="A2957" s="1">
        <v>41555</v>
      </c>
      <c r="B2957">
        <v>0</v>
      </c>
      <c r="C2957" t="s">
        <v>13</v>
      </c>
      <c r="D2957">
        <v>-2.405E-3</v>
      </c>
      <c r="E2957">
        <f t="shared" si="92"/>
        <v>0.99759500000000001</v>
      </c>
      <c r="F2957" s="1">
        <f t="shared" si="93"/>
        <v>41554</v>
      </c>
      <c r="G2957" cm="1">
        <f t="array" ref="G2957">PRODUCT( _xlfn._xlws.FILTER($E:$E, ($C:$C=C2957)*($F:$F=F2957)) ) - 1</f>
        <v>2.6248148145650019E-2</v>
      </c>
    </row>
    <row r="2958" spans="1:7" x14ac:dyDescent="0.2">
      <c r="A2958" s="1">
        <v>41556</v>
      </c>
      <c r="B2958">
        <v>0</v>
      </c>
      <c r="C2958" t="s">
        <v>13</v>
      </c>
      <c r="D2958">
        <v>4.5199999999999998E-4</v>
      </c>
      <c r="E2958">
        <f t="shared" si="92"/>
        <v>1.0004519999999999</v>
      </c>
      <c r="F2958" s="1">
        <f t="shared" si="93"/>
        <v>41554</v>
      </c>
      <c r="G2958" cm="1">
        <f t="array" ref="G2958">PRODUCT( _xlfn._xlws.FILTER($E:$E, ($C:$C=C2958)*($F:$F=F2958)) ) - 1</f>
        <v>2.6248148145650019E-2</v>
      </c>
    </row>
    <row r="2959" spans="1:7" x14ac:dyDescent="0.2">
      <c r="A2959" s="1">
        <v>41557</v>
      </c>
      <c r="B2959">
        <v>0</v>
      </c>
      <c r="C2959" t="s">
        <v>13</v>
      </c>
      <c r="D2959">
        <v>1.9428000000000001E-2</v>
      </c>
      <c r="E2959">
        <f t="shared" si="92"/>
        <v>1.019428</v>
      </c>
      <c r="F2959" s="1">
        <f t="shared" si="93"/>
        <v>41554</v>
      </c>
      <c r="G2959" cm="1">
        <f t="array" ref="G2959">PRODUCT( _xlfn._xlws.FILTER($E:$E, ($C:$C=C2959)*($F:$F=F2959)) ) - 1</f>
        <v>2.6248148145650019E-2</v>
      </c>
    </row>
    <row r="2960" spans="1:7" x14ac:dyDescent="0.2">
      <c r="A2960" s="1">
        <v>41558</v>
      </c>
      <c r="B2960">
        <v>0</v>
      </c>
      <c r="C2960" t="s">
        <v>13</v>
      </c>
      <c r="D2960">
        <v>5.0229999999999997E-3</v>
      </c>
      <c r="E2960">
        <f t="shared" si="92"/>
        <v>1.005023</v>
      </c>
      <c r="F2960" s="1">
        <f t="shared" si="93"/>
        <v>41554</v>
      </c>
      <c r="G2960" cm="1">
        <f t="array" ref="G2960">PRODUCT( _xlfn._xlws.FILTER($E:$E, ($C:$C=C2960)*($F:$F=F2960)) ) - 1</f>
        <v>2.6248148145650019E-2</v>
      </c>
    </row>
    <row r="2961" spans="1:7" x14ac:dyDescent="0.2">
      <c r="A2961" s="1">
        <v>41562</v>
      </c>
      <c r="B2961">
        <v>0</v>
      </c>
      <c r="C2961" t="s">
        <v>13</v>
      </c>
      <c r="D2961">
        <v>2.7929999999999999E-3</v>
      </c>
      <c r="E2961">
        <f t="shared" si="92"/>
        <v>1.002793</v>
      </c>
      <c r="F2961" s="1">
        <f t="shared" si="93"/>
        <v>41561</v>
      </c>
      <c r="G2961" cm="1">
        <f t="array" ref="G2961">PRODUCT( _xlfn._xlws.FILTER($E:$E, ($C:$C=C2961)*($F:$F=F2961)) ) - 1</f>
        <v>2.2050366990162384E-2</v>
      </c>
    </row>
    <row r="2962" spans="1:7" x14ac:dyDescent="0.2">
      <c r="A2962" s="1">
        <v>41563</v>
      </c>
      <c r="B2962">
        <v>0</v>
      </c>
      <c r="C2962" t="s">
        <v>13</v>
      </c>
      <c r="D2962">
        <v>2.6389999999999999E-3</v>
      </c>
      <c r="E2962">
        <f t="shared" si="92"/>
        <v>1.0026390000000001</v>
      </c>
      <c r="F2962" s="1">
        <f t="shared" si="93"/>
        <v>41561</v>
      </c>
      <c r="G2962" cm="1">
        <f t="array" ref="G2962">PRODUCT( _xlfn._xlws.FILTER($E:$E, ($C:$C=C2962)*($F:$F=F2962)) ) - 1</f>
        <v>2.2050366990162384E-2</v>
      </c>
    </row>
    <row r="2963" spans="1:7" x14ac:dyDescent="0.2">
      <c r="A2963" s="1">
        <v>41564</v>
      </c>
      <c r="B2963">
        <v>0</v>
      </c>
      <c r="C2963" t="s">
        <v>13</v>
      </c>
      <c r="D2963">
        <v>4.9709999999999997E-3</v>
      </c>
      <c r="E2963">
        <f t="shared" si="92"/>
        <v>1.0049710000000001</v>
      </c>
      <c r="F2963" s="1">
        <f t="shared" si="93"/>
        <v>41561</v>
      </c>
      <c r="G2963" cm="1">
        <f t="array" ref="G2963">PRODUCT( _xlfn._xlws.FILTER($E:$E, ($C:$C=C2963)*($F:$F=F2963)) ) - 1</f>
        <v>2.2050366990162384E-2</v>
      </c>
    </row>
    <row r="2964" spans="1:7" x14ac:dyDescent="0.2">
      <c r="A2964" s="1">
        <v>41565</v>
      </c>
      <c r="B2964">
        <v>0</v>
      </c>
      <c r="C2964" t="s">
        <v>13</v>
      </c>
      <c r="D2964">
        <v>1.1493E-2</v>
      </c>
      <c r="E2964">
        <f t="shared" si="92"/>
        <v>1.011493</v>
      </c>
      <c r="F2964" s="1">
        <f t="shared" si="93"/>
        <v>41561</v>
      </c>
      <c r="G2964" cm="1">
        <f t="array" ref="G2964">PRODUCT( _xlfn._xlws.FILTER($E:$E, ($C:$C=C2964)*($F:$F=F2964)) ) - 1</f>
        <v>2.2050366990162384E-2</v>
      </c>
    </row>
    <row r="2965" spans="1:7" x14ac:dyDescent="0.2">
      <c r="A2965" s="1">
        <v>41568</v>
      </c>
      <c r="B2965">
        <v>0</v>
      </c>
      <c r="C2965" t="s">
        <v>13</v>
      </c>
      <c r="D2965">
        <v>5.3220000000000003E-3</v>
      </c>
      <c r="E2965">
        <f t="shared" si="92"/>
        <v>1.005322</v>
      </c>
      <c r="F2965" s="1">
        <f t="shared" si="93"/>
        <v>41568</v>
      </c>
      <c r="G2965" cm="1">
        <f t="array" ref="G2965">PRODUCT( _xlfn._xlws.FILTER($E:$E, ($C:$C=C2965)*($F:$F=F2965)) ) - 1</f>
        <v>8.5266082145338817E-3</v>
      </c>
    </row>
    <row r="2966" spans="1:7" x14ac:dyDescent="0.2">
      <c r="A2966" s="1">
        <v>41569</v>
      </c>
      <c r="B2966">
        <v>0</v>
      </c>
      <c r="C2966" t="s">
        <v>13</v>
      </c>
      <c r="D2966">
        <v>-1.145E-3</v>
      </c>
      <c r="E2966">
        <f t="shared" si="92"/>
        <v>0.99885500000000005</v>
      </c>
      <c r="F2966" s="1">
        <f t="shared" si="93"/>
        <v>41568</v>
      </c>
      <c r="G2966" cm="1">
        <f t="array" ref="G2966">PRODUCT( _xlfn._xlws.FILTER($E:$E, ($C:$C=C2966)*($F:$F=F2966)) ) - 1</f>
        <v>8.5266082145338817E-3</v>
      </c>
    </row>
    <row r="2967" spans="1:7" x14ac:dyDescent="0.2">
      <c r="A2967" s="1">
        <v>41570</v>
      </c>
      <c r="B2967">
        <v>0</v>
      </c>
      <c r="C2967" t="s">
        <v>13</v>
      </c>
      <c r="D2967">
        <v>7.2300000000000001E-4</v>
      </c>
      <c r="E2967">
        <f t="shared" si="92"/>
        <v>1.000723</v>
      </c>
      <c r="F2967" s="1">
        <f t="shared" si="93"/>
        <v>41568</v>
      </c>
      <c r="G2967" cm="1">
        <f t="array" ref="G2967">PRODUCT( _xlfn._xlws.FILTER($E:$E, ($C:$C=C2967)*($F:$F=F2967)) ) - 1</f>
        <v>8.5266082145338817E-3</v>
      </c>
    </row>
    <row r="2968" spans="1:7" x14ac:dyDescent="0.2">
      <c r="A2968" s="1">
        <v>41571</v>
      </c>
      <c r="B2968">
        <v>0</v>
      </c>
      <c r="C2968" t="s">
        <v>13</v>
      </c>
      <c r="D2968">
        <v>2.3119999999999998E-3</v>
      </c>
      <c r="E2968">
        <f t="shared" si="92"/>
        <v>1.0023120000000001</v>
      </c>
      <c r="F2968" s="1">
        <f t="shared" si="93"/>
        <v>41568</v>
      </c>
      <c r="G2968" cm="1">
        <f t="array" ref="G2968">PRODUCT( _xlfn._xlws.FILTER($E:$E, ($C:$C=C2968)*($F:$F=F2968)) ) - 1</f>
        <v>8.5266082145338817E-3</v>
      </c>
    </row>
    <row r="2969" spans="1:7" x14ac:dyDescent="0.2">
      <c r="A2969" s="1">
        <v>41572</v>
      </c>
      <c r="B2969">
        <v>0</v>
      </c>
      <c r="C2969" t="s">
        <v>13</v>
      </c>
      <c r="D2969">
        <v>1.297E-3</v>
      </c>
      <c r="E2969">
        <f t="shared" si="92"/>
        <v>1.0012970000000001</v>
      </c>
      <c r="F2969" s="1">
        <f t="shared" si="93"/>
        <v>41568</v>
      </c>
      <c r="G2969" cm="1">
        <f t="array" ref="G2969">PRODUCT( _xlfn._xlws.FILTER($E:$E, ($C:$C=C2969)*($F:$F=F2969)) ) - 1</f>
        <v>8.5266082145338817E-3</v>
      </c>
    </row>
    <row r="2970" spans="1:7" x14ac:dyDescent="0.2">
      <c r="A2970" s="1">
        <v>41575</v>
      </c>
      <c r="B2970">
        <v>0</v>
      </c>
      <c r="C2970" t="s">
        <v>13</v>
      </c>
      <c r="D2970">
        <v>2.3040000000000001E-3</v>
      </c>
      <c r="E2970">
        <f t="shared" si="92"/>
        <v>1.0023040000000001</v>
      </c>
      <c r="F2970" s="1">
        <f t="shared" si="93"/>
        <v>41575</v>
      </c>
      <c r="G2970" cm="1">
        <f t="array" ref="G2970">PRODUCT( _xlfn._xlws.FILTER($E:$E, ($C:$C=C2970)*($F:$F=F2970)) ) - 1</f>
        <v>1.3824099945805468E-2</v>
      </c>
    </row>
    <row r="2971" spans="1:7" x14ac:dyDescent="0.2">
      <c r="A2971" s="1">
        <v>41576</v>
      </c>
      <c r="B2971">
        <v>0</v>
      </c>
      <c r="C2971" t="s">
        <v>13</v>
      </c>
      <c r="D2971">
        <v>6.4650000000000003E-3</v>
      </c>
      <c r="E2971">
        <f t="shared" si="92"/>
        <v>1.0064649999999999</v>
      </c>
      <c r="F2971" s="1">
        <f t="shared" si="93"/>
        <v>41575</v>
      </c>
      <c r="G2971" cm="1">
        <f t="array" ref="G2971">PRODUCT( _xlfn._xlws.FILTER($E:$E, ($C:$C=C2971)*($F:$F=F2971)) ) - 1</f>
        <v>1.3824099945805468E-2</v>
      </c>
    </row>
    <row r="2972" spans="1:7" x14ac:dyDescent="0.2">
      <c r="A2972" s="1">
        <v>41577</v>
      </c>
      <c r="B2972">
        <v>0</v>
      </c>
      <c r="C2972" t="s">
        <v>13</v>
      </c>
      <c r="D2972">
        <v>2.284E-3</v>
      </c>
      <c r="E2972">
        <f t="shared" si="92"/>
        <v>1.002284</v>
      </c>
      <c r="F2972" s="1">
        <f t="shared" si="93"/>
        <v>41575</v>
      </c>
      <c r="G2972" cm="1">
        <f t="array" ref="G2972">PRODUCT( _xlfn._xlws.FILTER($E:$E, ($C:$C=C2972)*($F:$F=F2972)) ) - 1</f>
        <v>1.3824099945805468E-2</v>
      </c>
    </row>
    <row r="2973" spans="1:7" x14ac:dyDescent="0.2">
      <c r="A2973" s="1">
        <v>41578</v>
      </c>
      <c r="B2973">
        <v>0</v>
      </c>
      <c r="C2973" t="s">
        <v>13</v>
      </c>
      <c r="D2973">
        <v>-2.8479999999999998E-3</v>
      </c>
      <c r="E2973">
        <f t="shared" si="92"/>
        <v>0.99715200000000004</v>
      </c>
      <c r="F2973" s="1">
        <f t="shared" si="93"/>
        <v>41575</v>
      </c>
      <c r="G2973" cm="1">
        <f t="array" ref="G2973">PRODUCT( _xlfn._xlws.FILTER($E:$E, ($C:$C=C2973)*($F:$F=F2973)) ) - 1</f>
        <v>1.3824099945805468E-2</v>
      </c>
    </row>
    <row r="2974" spans="1:7" x14ac:dyDescent="0.2">
      <c r="A2974" s="1">
        <v>41579</v>
      </c>
      <c r="B2974">
        <v>0</v>
      </c>
      <c r="C2974" t="s">
        <v>13</v>
      </c>
      <c r="D2974">
        <v>5.5700000000000003E-3</v>
      </c>
      <c r="E2974">
        <f t="shared" si="92"/>
        <v>1.0055700000000001</v>
      </c>
      <c r="F2974" s="1">
        <f t="shared" si="93"/>
        <v>41575</v>
      </c>
      <c r="G2974" cm="1">
        <f t="array" ref="G2974">PRODUCT( _xlfn._xlws.FILTER($E:$E, ($C:$C=C2974)*($F:$F=F2974)) ) - 1</f>
        <v>1.3824099945805468E-2</v>
      </c>
    </row>
    <row r="2975" spans="1:7" x14ac:dyDescent="0.2">
      <c r="A2975" s="1">
        <v>41582</v>
      </c>
      <c r="B2975">
        <v>0</v>
      </c>
      <c r="C2975" t="s">
        <v>13</v>
      </c>
      <c r="D2975">
        <v>-1.42E-3</v>
      </c>
      <c r="E2975">
        <f t="shared" si="92"/>
        <v>0.99858000000000002</v>
      </c>
      <c r="F2975" s="1">
        <f t="shared" si="93"/>
        <v>41582</v>
      </c>
      <c r="G2975" cm="1">
        <f t="array" ref="G2975">PRODUCT( _xlfn._xlws.FILTER($E:$E, ($C:$C=C2975)*($F:$F=F2975)) ) - 1</f>
        <v>-1.420093652110932E-3</v>
      </c>
    </row>
    <row r="2976" spans="1:7" x14ac:dyDescent="0.2">
      <c r="A2976" s="1">
        <v>41583</v>
      </c>
      <c r="B2976">
        <v>0</v>
      </c>
      <c r="C2976" t="s">
        <v>13</v>
      </c>
      <c r="D2976">
        <v>-3.271E-3</v>
      </c>
      <c r="E2976">
        <f t="shared" si="92"/>
        <v>0.99672899999999998</v>
      </c>
      <c r="F2976" s="1">
        <f t="shared" si="93"/>
        <v>41582</v>
      </c>
      <c r="G2976" cm="1">
        <f t="array" ref="G2976">PRODUCT( _xlfn._xlws.FILTER($E:$E, ($C:$C=C2976)*($F:$F=F2976)) ) - 1</f>
        <v>-1.420093652110932E-3</v>
      </c>
    </row>
    <row r="2977" spans="1:7" x14ac:dyDescent="0.2">
      <c r="A2977" s="1">
        <v>41584</v>
      </c>
      <c r="B2977">
        <v>0</v>
      </c>
      <c r="C2977" t="s">
        <v>13</v>
      </c>
      <c r="D2977">
        <v>1.4270000000000001E-3</v>
      </c>
      <c r="E2977">
        <f t="shared" si="92"/>
        <v>1.0014270000000001</v>
      </c>
      <c r="F2977" s="1">
        <f t="shared" si="93"/>
        <v>41582</v>
      </c>
      <c r="G2977" cm="1">
        <f t="array" ref="G2977">PRODUCT( _xlfn._xlws.FILTER($E:$E, ($C:$C=C2977)*($F:$F=F2977)) ) - 1</f>
        <v>-1.420093652110932E-3</v>
      </c>
    </row>
    <row r="2978" spans="1:7" x14ac:dyDescent="0.2">
      <c r="A2978" s="1">
        <v>41585</v>
      </c>
      <c r="B2978">
        <v>0</v>
      </c>
      <c r="C2978" t="s">
        <v>13</v>
      </c>
      <c r="D2978">
        <v>-5.13E-3</v>
      </c>
      <c r="E2978">
        <f t="shared" si="92"/>
        <v>0.99487000000000003</v>
      </c>
      <c r="F2978" s="1">
        <f t="shared" si="93"/>
        <v>41582</v>
      </c>
      <c r="G2978" cm="1">
        <f t="array" ref="G2978">PRODUCT( _xlfn._xlws.FILTER($E:$E, ($C:$C=C2978)*($F:$F=F2978)) ) - 1</f>
        <v>-1.420093652110932E-3</v>
      </c>
    </row>
    <row r="2979" spans="1:7" x14ac:dyDescent="0.2">
      <c r="A2979" s="1">
        <v>41586</v>
      </c>
      <c r="B2979">
        <v>0</v>
      </c>
      <c r="C2979" t="s">
        <v>13</v>
      </c>
      <c r="D2979">
        <v>7.0179999999999999E-3</v>
      </c>
      <c r="E2979">
        <f t="shared" si="92"/>
        <v>1.007018</v>
      </c>
      <c r="F2979" s="1">
        <f t="shared" si="93"/>
        <v>41582</v>
      </c>
      <c r="G2979" cm="1">
        <f t="array" ref="G2979">PRODUCT( _xlfn._xlws.FILTER($E:$E, ($C:$C=C2979)*($F:$F=F2979)) ) - 1</f>
        <v>-1.420093652110932E-3</v>
      </c>
    </row>
    <row r="2980" spans="1:7" x14ac:dyDescent="0.2">
      <c r="A2980" s="1">
        <v>41589</v>
      </c>
      <c r="B2980">
        <v>0</v>
      </c>
      <c r="C2980" t="s">
        <v>13</v>
      </c>
      <c r="D2980">
        <v>-3.1289999999999998E-3</v>
      </c>
      <c r="E2980">
        <f t="shared" si="92"/>
        <v>0.99687099999999995</v>
      </c>
      <c r="F2980" s="1">
        <f t="shared" si="93"/>
        <v>41589</v>
      </c>
      <c r="G2980" cm="1">
        <f t="array" ref="G2980">PRODUCT( _xlfn._xlws.FILTER($E:$E, ($C:$C=C2980)*($F:$F=F2980)) ) - 1</f>
        <v>1.4080052029819656E-2</v>
      </c>
    </row>
    <row r="2981" spans="1:7" x14ac:dyDescent="0.2">
      <c r="A2981" s="1">
        <v>41590</v>
      </c>
      <c r="B2981">
        <v>0</v>
      </c>
      <c r="C2981" t="s">
        <v>13</v>
      </c>
      <c r="D2981">
        <v>-2.996E-3</v>
      </c>
      <c r="E2981">
        <f t="shared" si="92"/>
        <v>0.997004</v>
      </c>
      <c r="F2981" s="1">
        <f t="shared" si="93"/>
        <v>41589</v>
      </c>
      <c r="G2981" cm="1">
        <f t="array" ref="G2981">PRODUCT( _xlfn._xlws.FILTER($E:$E, ($C:$C=C2981)*($F:$F=F2981)) ) - 1</f>
        <v>1.4080052029819656E-2</v>
      </c>
    </row>
    <row r="2982" spans="1:7" x14ac:dyDescent="0.2">
      <c r="A2982" s="1">
        <v>41591</v>
      </c>
      <c r="B2982">
        <v>0</v>
      </c>
      <c r="C2982" t="s">
        <v>13</v>
      </c>
      <c r="D2982">
        <v>1.6886000000000002E-2</v>
      </c>
      <c r="E2982">
        <f t="shared" si="92"/>
        <v>1.016886</v>
      </c>
      <c r="F2982" s="1">
        <f t="shared" si="93"/>
        <v>41589</v>
      </c>
      <c r="G2982" cm="1">
        <f t="array" ref="G2982">PRODUCT( _xlfn._xlws.FILTER($E:$E, ($C:$C=C2982)*($F:$F=F2982)) ) - 1</f>
        <v>1.4080052029819656E-2</v>
      </c>
    </row>
    <row r="2983" spans="1:7" x14ac:dyDescent="0.2">
      <c r="A2983" s="1">
        <v>41592</v>
      </c>
      <c r="B2983">
        <v>0</v>
      </c>
      <c r="C2983" t="s">
        <v>13</v>
      </c>
      <c r="D2983">
        <v>-1.126E-3</v>
      </c>
      <c r="E2983">
        <f t="shared" si="92"/>
        <v>0.99887400000000004</v>
      </c>
      <c r="F2983" s="1">
        <f t="shared" si="93"/>
        <v>41589</v>
      </c>
      <c r="G2983" cm="1">
        <f t="array" ref="G2983">PRODUCT( _xlfn._xlws.FILTER($E:$E, ($C:$C=C2983)*($F:$F=F2983)) ) - 1</f>
        <v>1.4080052029819656E-2</v>
      </c>
    </row>
    <row r="2984" spans="1:7" x14ac:dyDescent="0.2">
      <c r="A2984" s="1">
        <v>41593</v>
      </c>
      <c r="B2984">
        <v>0</v>
      </c>
      <c r="C2984" t="s">
        <v>13</v>
      </c>
      <c r="D2984">
        <v>4.5079999999999999E-3</v>
      </c>
      <c r="E2984">
        <f t="shared" si="92"/>
        <v>1.004508</v>
      </c>
      <c r="F2984" s="1">
        <f t="shared" si="93"/>
        <v>41589</v>
      </c>
      <c r="G2984" cm="1">
        <f t="array" ref="G2984">PRODUCT( _xlfn._xlws.FILTER($E:$E, ($C:$C=C2984)*($F:$F=F2984)) ) - 1</f>
        <v>1.4080052029819656E-2</v>
      </c>
    </row>
    <row r="2985" spans="1:7" x14ac:dyDescent="0.2">
      <c r="A2985" s="1">
        <v>41596</v>
      </c>
      <c r="B2985">
        <v>0</v>
      </c>
      <c r="C2985" t="s">
        <v>13</v>
      </c>
      <c r="D2985">
        <v>2.5240000000000002E-3</v>
      </c>
      <c r="E2985">
        <f t="shared" si="92"/>
        <v>1.002524</v>
      </c>
      <c r="F2985" s="1">
        <f t="shared" si="93"/>
        <v>41596</v>
      </c>
      <c r="G2985" cm="1">
        <f t="array" ref="G2985">PRODUCT( _xlfn._xlws.FILTER($E:$E, ($C:$C=C2985)*($F:$F=F2985)) ) - 1</f>
        <v>2.8052856808298277E-3</v>
      </c>
    </row>
    <row r="2986" spans="1:7" x14ac:dyDescent="0.2">
      <c r="A2986" s="1">
        <v>41597</v>
      </c>
      <c r="B2986">
        <v>0</v>
      </c>
      <c r="C2986" t="s">
        <v>13</v>
      </c>
      <c r="D2986">
        <v>3.777E-3</v>
      </c>
      <c r="E2986">
        <f t="shared" si="92"/>
        <v>1.0037769999999999</v>
      </c>
      <c r="F2986" s="1">
        <f t="shared" si="93"/>
        <v>41596</v>
      </c>
      <c r="G2986" cm="1">
        <f t="array" ref="G2986">PRODUCT( _xlfn._xlws.FILTER($E:$E, ($C:$C=C2986)*($F:$F=F2986)) ) - 1</f>
        <v>2.8052856808298277E-3</v>
      </c>
    </row>
    <row r="2987" spans="1:7" x14ac:dyDescent="0.2">
      <c r="A2987" s="1">
        <v>41598</v>
      </c>
      <c r="B2987">
        <v>0</v>
      </c>
      <c r="C2987" t="s">
        <v>13</v>
      </c>
      <c r="D2987">
        <v>-5.5699999999999999E-4</v>
      </c>
      <c r="E2987">
        <f t="shared" si="92"/>
        <v>0.99944299999999997</v>
      </c>
      <c r="F2987" s="1">
        <f t="shared" si="93"/>
        <v>41596</v>
      </c>
      <c r="G2987" cm="1">
        <f t="array" ref="G2987">PRODUCT( _xlfn._xlws.FILTER($E:$E, ($C:$C=C2987)*($F:$F=F2987)) ) - 1</f>
        <v>2.8052856808298277E-3</v>
      </c>
    </row>
    <row r="2988" spans="1:7" x14ac:dyDescent="0.2">
      <c r="A2988" s="1">
        <v>41599</v>
      </c>
      <c r="B2988">
        <v>0</v>
      </c>
      <c r="C2988" t="s">
        <v>13</v>
      </c>
      <c r="D2988">
        <v>-1.673E-3</v>
      </c>
      <c r="E2988">
        <f t="shared" si="92"/>
        <v>0.99832699999999996</v>
      </c>
      <c r="F2988" s="1">
        <f t="shared" si="93"/>
        <v>41596</v>
      </c>
      <c r="G2988" cm="1">
        <f t="array" ref="G2988">PRODUCT( _xlfn._xlws.FILTER($E:$E, ($C:$C=C2988)*($F:$F=F2988)) ) - 1</f>
        <v>2.8052856808298277E-3</v>
      </c>
    </row>
    <row r="2989" spans="1:7" x14ac:dyDescent="0.2">
      <c r="A2989" s="1">
        <v>41600</v>
      </c>
      <c r="B2989">
        <v>0</v>
      </c>
      <c r="C2989" t="s">
        <v>13</v>
      </c>
      <c r="D2989">
        <v>-1.2570000000000001E-3</v>
      </c>
      <c r="E2989">
        <f t="shared" si="92"/>
        <v>0.99874300000000005</v>
      </c>
      <c r="F2989" s="1">
        <f t="shared" si="93"/>
        <v>41596</v>
      </c>
      <c r="G2989" cm="1">
        <f t="array" ref="G2989">PRODUCT( _xlfn._xlws.FILTER($E:$E, ($C:$C=C2989)*($F:$F=F2989)) ) - 1</f>
        <v>2.8052856808298277E-3</v>
      </c>
    </row>
    <row r="2990" spans="1:7" x14ac:dyDescent="0.2">
      <c r="A2990" s="1">
        <v>41603</v>
      </c>
      <c r="B2990">
        <v>0</v>
      </c>
      <c r="C2990" t="s">
        <v>13</v>
      </c>
      <c r="D2990">
        <v>0</v>
      </c>
      <c r="E2990">
        <f t="shared" si="92"/>
        <v>1</v>
      </c>
      <c r="F2990" s="1">
        <f t="shared" si="93"/>
        <v>41603</v>
      </c>
      <c r="G2990" cm="1">
        <f t="array" ref="G2990">PRODUCT( _xlfn._xlws.FILTER($E:$E, ($C:$C=C2990)*($F:$F=F2990)) ) - 1</f>
        <v>-1.4824750173756063E-2</v>
      </c>
    </row>
    <row r="2991" spans="1:7" x14ac:dyDescent="0.2">
      <c r="A2991" s="1">
        <v>41604</v>
      </c>
      <c r="B2991">
        <v>0</v>
      </c>
      <c r="C2991" t="s">
        <v>13</v>
      </c>
      <c r="D2991">
        <v>-1.3846000000000001E-2</v>
      </c>
      <c r="E2991">
        <f t="shared" si="92"/>
        <v>0.98615399999999998</v>
      </c>
      <c r="F2991" s="1">
        <f t="shared" si="93"/>
        <v>41603</v>
      </c>
      <c r="G2991" cm="1">
        <f t="array" ref="G2991">PRODUCT( _xlfn._xlws.FILTER($E:$E, ($C:$C=C2991)*($F:$F=F2991)) ) - 1</f>
        <v>-1.4824750173756063E-2</v>
      </c>
    </row>
    <row r="2992" spans="1:7" x14ac:dyDescent="0.2">
      <c r="A2992" s="1">
        <v>41605</v>
      </c>
      <c r="B2992">
        <v>0</v>
      </c>
      <c r="C2992" t="s">
        <v>13</v>
      </c>
      <c r="D2992">
        <v>-2.8400000000000002E-4</v>
      </c>
      <c r="E2992">
        <f t="shared" si="92"/>
        <v>0.99971600000000005</v>
      </c>
      <c r="F2992" s="1">
        <f t="shared" si="93"/>
        <v>41603</v>
      </c>
      <c r="G2992" cm="1">
        <f t="array" ref="G2992">PRODUCT( _xlfn._xlws.FILTER($E:$E, ($C:$C=C2992)*($F:$F=F2992)) ) - 1</f>
        <v>-1.4824750173756063E-2</v>
      </c>
    </row>
    <row r="2993" spans="1:7" x14ac:dyDescent="0.2">
      <c r="A2993" s="1">
        <v>41606</v>
      </c>
      <c r="B2993">
        <v>0</v>
      </c>
      <c r="C2993" t="s">
        <v>13</v>
      </c>
      <c r="D2993">
        <v>-1.702E-3</v>
      </c>
      <c r="E2993">
        <f t="shared" si="92"/>
        <v>0.99829800000000002</v>
      </c>
      <c r="F2993" s="1">
        <f t="shared" si="93"/>
        <v>41603</v>
      </c>
      <c r="G2993" cm="1">
        <f t="array" ref="G2993">PRODUCT( _xlfn._xlws.FILTER($E:$E, ($C:$C=C2993)*($F:$F=F2993)) ) - 1</f>
        <v>-1.4824750173756063E-2</v>
      </c>
    </row>
    <row r="2994" spans="1:7" x14ac:dyDescent="0.2">
      <c r="A2994" s="1">
        <v>41607</v>
      </c>
      <c r="B2994">
        <v>0</v>
      </c>
      <c r="C2994" t="s">
        <v>13</v>
      </c>
      <c r="D2994">
        <v>9.9500000000000001E-4</v>
      </c>
      <c r="E2994">
        <f t="shared" si="92"/>
        <v>1.0009950000000001</v>
      </c>
      <c r="F2994" s="1">
        <f t="shared" si="93"/>
        <v>41603</v>
      </c>
      <c r="G2994" cm="1">
        <f t="array" ref="G2994">PRODUCT( _xlfn._xlws.FILTER($E:$E, ($C:$C=C2994)*($F:$F=F2994)) ) - 1</f>
        <v>-1.4824750173756063E-2</v>
      </c>
    </row>
    <row r="2995" spans="1:7" x14ac:dyDescent="0.2">
      <c r="A2995" s="1">
        <v>41610</v>
      </c>
      <c r="B2995">
        <v>0</v>
      </c>
      <c r="C2995" t="s">
        <v>13</v>
      </c>
      <c r="D2995">
        <v>0</v>
      </c>
      <c r="E2995">
        <f t="shared" si="92"/>
        <v>1</v>
      </c>
      <c r="F2995" s="1">
        <f t="shared" si="93"/>
        <v>41610</v>
      </c>
      <c r="G2995" cm="1">
        <f t="array" ref="G2995">PRODUCT( _xlfn._xlws.FILTER($E:$E, ($C:$C=C2995)*($F:$F=F2995)) ) - 1</f>
        <v>-1.9733516924247074E-2</v>
      </c>
    </row>
    <row r="2996" spans="1:7" x14ac:dyDescent="0.2">
      <c r="A2996" s="1">
        <v>41611</v>
      </c>
      <c r="B2996">
        <v>0</v>
      </c>
      <c r="C2996" t="s">
        <v>13</v>
      </c>
      <c r="D2996">
        <v>-1.2493000000000001E-2</v>
      </c>
      <c r="E2996">
        <f t="shared" si="92"/>
        <v>0.98750700000000002</v>
      </c>
      <c r="F2996" s="1">
        <f t="shared" si="93"/>
        <v>41610</v>
      </c>
      <c r="G2996" cm="1">
        <f t="array" ref="G2996">PRODUCT( _xlfn._xlws.FILTER($E:$E, ($C:$C=C2996)*($F:$F=F2996)) ) - 1</f>
        <v>-1.9733516924247074E-2</v>
      </c>
    </row>
    <row r="2997" spans="1:7" x14ac:dyDescent="0.2">
      <c r="A2997" s="1">
        <v>41612</v>
      </c>
      <c r="B2997">
        <v>0</v>
      </c>
      <c r="C2997" t="s">
        <v>13</v>
      </c>
      <c r="D2997">
        <v>-8.0510000000000009E-3</v>
      </c>
      <c r="E2997">
        <f t="shared" si="92"/>
        <v>0.99194899999999997</v>
      </c>
      <c r="F2997" s="1">
        <f t="shared" si="93"/>
        <v>41610</v>
      </c>
      <c r="G2997" cm="1">
        <f t="array" ref="G2997">PRODUCT( _xlfn._xlws.FILTER($E:$E, ($C:$C=C2997)*($F:$F=F2997)) ) - 1</f>
        <v>-1.9733516924247074E-2</v>
      </c>
    </row>
    <row r="2998" spans="1:7" x14ac:dyDescent="0.2">
      <c r="A2998" s="1">
        <v>41613</v>
      </c>
      <c r="B2998">
        <v>0</v>
      </c>
      <c r="C2998" t="s">
        <v>13</v>
      </c>
      <c r="D2998">
        <v>-1.2029E-2</v>
      </c>
      <c r="E2998">
        <f t="shared" si="92"/>
        <v>0.98797100000000004</v>
      </c>
      <c r="F2998" s="1">
        <f t="shared" si="93"/>
        <v>41610</v>
      </c>
      <c r="G2998" cm="1">
        <f t="array" ref="G2998">PRODUCT( _xlfn._xlws.FILTER($E:$E, ($C:$C=C2998)*($F:$F=F2998)) ) - 1</f>
        <v>-1.9733516924247074E-2</v>
      </c>
    </row>
    <row r="2999" spans="1:7" x14ac:dyDescent="0.2">
      <c r="A2999" s="1">
        <v>41614</v>
      </c>
      <c r="B2999">
        <v>0</v>
      </c>
      <c r="C2999" t="s">
        <v>13</v>
      </c>
      <c r="D2999">
        <v>1.2909E-2</v>
      </c>
      <c r="E2999">
        <f t="shared" si="92"/>
        <v>1.0129090000000001</v>
      </c>
      <c r="F2999" s="1">
        <f t="shared" si="93"/>
        <v>41610</v>
      </c>
      <c r="G2999" cm="1">
        <f t="array" ref="G2999">PRODUCT( _xlfn._xlws.FILTER($E:$E, ($C:$C=C2999)*($F:$F=F2999)) ) - 1</f>
        <v>-1.9733516924247074E-2</v>
      </c>
    </row>
    <row r="3000" spans="1:7" x14ac:dyDescent="0.2">
      <c r="A3000" s="1">
        <v>41617</v>
      </c>
      <c r="B3000">
        <v>0</v>
      </c>
      <c r="C3000" t="s">
        <v>13</v>
      </c>
      <c r="D3000">
        <v>1.0137999999999999E-2</v>
      </c>
      <c r="E3000">
        <f t="shared" si="92"/>
        <v>1.010138</v>
      </c>
      <c r="F3000" s="1">
        <f t="shared" si="93"/>
        <v>41617</v>
      </c>
      <c r="G3000" cm="1">
        <f t="array" ref="G3000">PRODUCT( _xlfn._xlws.FILTER($E:$E, ($C:$C=C3000)*($F:$F=F3000)) ) - 1</f>
        <v>-1.1875388633598938E-2</v>
      </c>
    </row>
    <row r="3001" spans="1:7" x14ac:dyDescent="0.2">
      <c r="A3001" s="1">
        <v>41618</v>
      </c>
      <c r="B3001">
        <v>0</v>
      </c>
      <c r="C3001" t="s">
        <v>13</v>
      </c>
      <c r="D3001">
        <v>-5.7349999999999996E-3</v>
      </c>
      <c r="E3001">
        <f t="shared" si="92"/>
        <v>0.99426499999999995</v>
      </c>
      <c r="F3001" s="1">
        <f t="shared" si="93"/>
        <v>41617</v>
      </c>
      <c r="G3001" cm="1">
        <f t="array" ref="G3001">PRODUCT( _xlfn._xlws.FILTER($E:$E, ($C:$C=C3001)*($F:$F=F3001)) ) - 1</f>
        <v>-1.1875388633598938E-2</v>
      </c>
    </row>
    <row r="3002" spans="1:7" x14ac:dyDescent="0.2">
      <c r="A3002" s="1">
        <v>41619</v>
      </c>
      <c r="B3002">
        <v>0</v>
      </c>
      <c r="C3002" t="s">
        <v>13</v>
      </c>
      <c r="D3002">
        <v>-1.2978E-2</v>
      </c>
      <c r="E3002">
        <f t="shared" si="92"/>
        <v>0.98702199999999995</v>
      </c>
      <c r="F3002" s="1">
        <f t="shared" si="93"/>
        <v>41617</v>
      </c>
      <c r="G3002" cm="1">
        <f t="array" ref="G3002">PRODUCT( _xlfn._xlws.FILTER($E:$E, ($C:$C=C3002)*($F:$F=F3002)) ) - 1</f>
        <v>-1.1875388633598938E-2</v>
      </c>
    </row>
    <row r="3003" spans="1:7" x14ac:dyDescent="0.2">
      <c r="A3003" s="1">
        <v>41620</v>
      </c>
      <c r="B3003">
        <v>0</v>
      </c>
      <c r="C3003" t="s">
        <v>13</v>
      </c>
      <c r="D3003">
        <v>-4.8209999999999998E-3</v>
      </c>
      <c r="E3003">
        <f t="shared" si="92"/>
        <v>0.99517900000000004</v>
      </c>
      <c r="F3003" s="1">
        <f t="shared" si="93"/>
        <v>41617</v>
      </c>
      <c r="G3003" cm="1">
        <f t="array" ref="G3003">PRODUCT( _xlfn._xlws.FILTER($E:$E, ($C:$C=C3003)*($F:$F=F3003)) ) - 1</f>
        <v>-1.1875388633598938E-2</v>
      </c>
    </row>
    <row r="3004" spans="1:7" x14ac:dyDescent="0.2">
      <c r="A3004" s="1">
        <v>41621</v>
      </c>
      <c r="B3004">
        <v>0</v>
      </c>
      <c r="C3004" t="s">
        <v>13</v>
      </c>
      <c r="D3004">
        <v>1.6149999999999999E-3</v>
      </c>
      <c r="E3004">
        <f t="shared" si="92"/>
        <v>1.0016149999999999</v>
      </c>
      <c r="F3004" s="1">
        <f t="shared" si="93"/>
        <v>41617</v>
      </c>
      <c r="G3004" cm="1">
        <f t="array" ref="G3004">PRODUCT( _xlfn._xlws.FILTER($E:$E, ($C:$C=C3004)*($F:$F=F3004)) ) - 1</f>
        <v>-1.1875388633598938E-2</v>
      </c>
    </row>
    <row r="3005" spans="1:7" x14ac:dyDescent="0.2">
      <c r="A3005" s="1">
        <v>41624</v>
      </c>
      <c r="B3005">
        <v>0</v>
      </c>
      <c r="C3005" t="s">
        <v>13</v>
      </c>
      <c r="D3005">
        <v>1.1285E-2</v>
      </c>
      <c r="E3005">
        <f t="shared" si="92"/>
        <v>1.011285</v>
      </c>
      <c r="F3005" s="1">
        <f t="shared" si="93"/>
        <v>41624</v>
      </c>
      <c r="G3005" cm="1">
        <f t="array" ref="G3005">PRODUCT( _xlfn._xlws.FILTER($E:$E, ($C:$C=C3005)*($F:$F=F3005)) ) - 1</f>
        <v>2.9752030021847009E-2</v>
      </c>
    </row>
    <row r="3006" spans="1:7" x14ac:dyDescent="0.2">
      <c r="A3006" s="1">
        <v>41625</v>
      </c>
      <c r="B3006">
        <v>0</v>
      </c>
      <c r="C3006" t="s">
        <v>13</v>
      </c>
      <c r="D3006">
        <v>-3.6229999999999999E-3</v>
      </c>
      <c r="E3006">
        <f t="shared" si="92"/>
        <v>0.99637699999999996</v>
      </c>
      <c r="F3006" s="1">
        <f t="shared" si="93"/>
        <v>41624</v>
      </c>
      <c r="G3006" cm="1">
        <f t="array" ref="G3006">PRODUCT( _xlfn._xlws.FILTER($E:$E, ($C:$C=C3006)*($F:$F=F3006)) ) - 1</f>
        <v>2.9752030021847009E-2</v>
      </c>
    </row>
    <row r="3007" spans="1:7" x14ac:dyDescent="0.2">
      <c r="A3007" s="1">
        <v>41626</v>
      </c>
      <c r="B3007">
        <v>0</v>
      </c>
      <c r="C3007" t="s">
        <v>13</v>
      </c>
      <c r="D3007">
        <v>1.6E-2</v>
      </c>
      <c r="E3007">
        <f t="shared" si="92"/>
        <v>1.016</v>
      </c>
      <c r="F3007" s="1">
        <f t="shared" si="93"/>
        <v>41624</v>
      </c>
      <c r="G3007" cm="1">
        <f t="array" ref="G3007">PRODUCT( _xlfn._xlws.FILTER($E:$E, ($C:$C=C3007)*($F:$F=F3007)) ) - 1</f>
        <v>2.9752030021847009E-2</v>
      </c>
    </row>
    <row r="3008" spans="1:7" x14ac:dyDescent="0.2">
      <c r="A3008" s="1">
        <v>41627</v>
      </c>
      <c r="B3008">
        <v>0</v>
      </c>
      <c r="C3008" t="s">
        <v>13</v>
      </c>
      <c r="D3008">
        <v>1.0451E-2</v>
      </c>
      <c r="E3008">
        <f t="shared" si="92"/>
        <v>1.010451</v>
      </c>
      <c r="F3008" s="1">
        <f t="shared" si="93"/>
        <v>41624</v>
      </c>
      <c r="G3008" cm="1">
        <f t="array" ref="G3008">PRODUCT( _xlfn._xlws.FILTER($E:$E, ($C:$C=C3008)*($F:$F=F3008)) ) - 1</f>
        <v>2.9752030021847009E-2</v>
      </c>
    </row>
    <row r="3009" spans="1:7" x14ac:dyDescent="0.2">
      <c r="A3009" s="1">
        <v>41628</v>
      </c>
      <c r="B3009">
        <v>0</v>
      </c>
      <c r="C3009" t="s">
        <v>13</v>
      </c>
      <c r="D3009">
        <v>-4.5339999999999998E-3</v>
      </c>
      <c r="E3009">
        <f t="shared" si="92"/>
        <v>0.99546599999999996</v>
      </c>
      <c r="F3009" s="1">
        <f t="shared" si="93"/>
        <v>41624</v>
      </c>
      <c r="G3009" cm="1">
        <f t="array" ref="G3009">PRODUCT( _xlfn._xlws.FILTER($E:$E, ($C:$C=C3009)*($F:$F=F3009)) ) - 1</f>
        <v>2.9752030021847009E-2</v>
      </c>
    </row>
    <row r="3010" spans="1:7" x14ac:dyDescent="0.2">
      <c r="A3010" s="1">
        <v>41631</v>
      </c>
      <c r="B3010">
        <v>0</v>
      </c>
      <c r="C3010" t="s">
        <v>13</v>
      </c>
      <c r="D3010">
        <v>7.6860000000000001E-3</v>
      </c>
      <c r="E3010">
        <f t="shared" si="92"/>
        <v>1.0076860000000001</v>
      </c>
      <c r="F3010" s="1">
        <f t="shared" si="93"/>
        <v>41631</v>
      </c>
      <c r="G3010" cm="1">
        <f t="array" ref="G3010">PRODUCT( _xlfn._xlws.FILTER($E:$E, ($C:$C=C3010)*($F:$F=F3010)) ) - 1</f>
        <v>1.4659510853235247E-2</v>
      </c>
    </row>
    <row r="3011" spans="1:7" x14ac:dyDescent="0.2">
      <c r="A3011" s="1">
        <v>41632</v>
      </c>
      <c r="B3011">
        <v>0</v>
      </c>
      <c r="C3011" t="s">
        <v>13</v>
      </c>
      <c r="D3011">
        <v>4.2370000000000003E-3</v>
      </c>
      <c r="E3011">
        <f t="shared" si="92"/>
        <v>1.004237</v>
      </c>
      <c r="F3011" s="1">
        <f t="shared" si="93"/>
        <v>41631</v>
      </c>
      <c r="G3011" cm="1">
        <f t="array" ref="G3011">PRODUCT( _xlfn._xlws.FILTER($E:$E, ($C:$C=C3011)*($F:$F=F3011)) ) - 1</f>
        <v>1.4659510853235247E-2</v>
      </c>
    </row>
    <row r="3012" spans="1:7" x14ac:dyDescent="0.2">
      <c r="A3012" s="1">
        <v>41635</v>
      </c>
      <c r="B3012">
        <v>0</v>
      </c>
      <c r="C3012" t="s">
        <v>13</v>
      </c>
      <c r="D3012">
        <v>2.6719999999999999E-3</v>
      </c>
      <c r="E3012">
        <f t="shared" ref="E3012:E3075" si="94">D3012+1</f>
        <v>1.002672</v>
      </c>
      <c r="F3012" s="1">
        <f t="shared" ref="F3012:F3075" si="95">A3012 - (WEEKDAY(A3012, 2) - 1)</f>
        <v>41631</v>
      </c>
      <c r="G3012" cm="1">
        <f t="array" ref="G3012">PRODUCT( _xlfn._xlws.FILTER($E:$E, ($C:$C=C3012)*($F:$F=F3012)) ) - 1</f>
        <v>1.4659510853235247E-2</v>
      </c>
    </row>
    <row r="3013" spans="1:7" x14ac:dyDescent="0.2">
      <c r="A3013" s="1">
        <v>41638</v>
      </c>
      <c r="B3013">
        <v>0</v>
      </c>
      <c r="C3013" t="s">
        <v>13</v>
      </c>
      <c r="D3013">
        <v>2.6649999999999998E-3</v>
      </c>
      <c r="E3013">
        <f t="shared" si="94"/>
        <v>1.0026649999999999</v>
      </c>
      <c r="F3013" s="1">
        <f t="shared" si="95"/>
        <v>41638</v>
      </c>
      <c r="G3013" cm="1">
        <f t="array" ref="G3013">PRODUCT( _xlfn._xlws.FILTER($E:$E, ($C:$C=C3013)*($F:$F=F3013)) ) - 1</f>
        <v>1.4028758680093567E-3</v>
      </c>
    </row>
    <row r="3014" spans="1:7" x14ac:dyDescent="0.2">
      <c r="A3014" s="1">
        <v>41639</v>
      </c>
      <c r="B3014">
        <v>0</v>
      </c>
      <c r="C3014" t="s">
        <v>13</v>
      </c>
      <c r="D3014">
        <v>-9.7900000000000005E-4</v>
      </c>
      <c r="E3014">
        <f t="shared" si="94"/>
        <v>0.99902100000000005</v>
      </c>
      <c r="F3014" s="1">
        <f t="shared" si="95"/>
        <v>41638</v>
      </c>
      <c r="G3014" cm="1">
        <f t="array" ref="G3014">PRODUCT( _xlfn._xlws.FILTER($E:$E, ($C:$C=C3014)*($F:$F=F3014)) ) - 1</f>
        <v>1.4028758680093567E-3</v>
      </c>
    </row>
    <row r="3015" spans="1:7" x14ac:dyDescent="0.2">
      <c r="A3015" s="1">
        <v>41641</v>
      </c>
      <c r="B3015">
        <v>0</v>
      </c>
      <c r="C3015" t="s">
        <v>13</v>
      </c>
      <c r="D3015">
        <v>2.5209999999999998E-3</v>
      </c>
      <c r="E3015">
        <f t="shared" si="94"/>
        <v>1.002521</v>
      </c>
      <c r="F3015" s="1">
        <f t="shared" si="95"/>
        <v>41638</v>
      </c>
      <c r="G3015" cm="1">
        <f t="array" ref="G3015">PRODUCT( _xlfn._xlws.FILTER($E:$E, ($C:$C=C3015)*($F:$F=F3015)) ) - 1</f>
        <v>1.4028758680093567E-3</v>
      </c>
    </row>
    <row r="3016" spans="1:7" x14ac:dyDescent="0.2">
      <c r="A3016" s="1">
        <v>41642</v>
      </c>
      <c r="B3016">
        <v>0</v>
      </c>
      <c r="C3016" t="s">
        <v>13</v>
      </c>
      <c r="D3016">
        <v>-2.794E-3</v>
      </c>
      <c r="E3016">
        <f t="shared" si="94"/>
        <v>0.99720600000000004</v>
      </c>
      <c r="F3016" s="1">
        <f t="shared" si="95"/>
        <v>41638</v>
      </c>
      <c r="G3016" cm="1">
        <f t="array" ref="G3016">PRODUCT( _xlfn._xlws.FILTER($E:$E, ($C:$C=C3016)*($F:$F=F3016)) ) - 1</f>
        <v>1.4028758680093567E-3</v>
      </c>
    </row>
    <row r="3017" spans="1:7" x14ac:dyDescent="0.2">
      <c r="A3017" s="1">
        <v>41645</v>
      </c>
      <c r="B3017">
        <v>0</v>
      </c>
      <c r="C3017" t="s">
        <v>13</v>
      </c>
      <c r="D3017">
        <v>-9.665E-3</v>
      </c>
      <c r="E3017">
        <f t="shared" si="94"/>
        <v>0.99033499999999997</v>
      </c>
      <c r="F3017" s="1">
        <f t="shared" si="95"/>
        <v>41645</v>
      </c>
      <c r="G3017" cm="1">
        <f t="array" ref="G3017">PRODUCT( _xlfn._xlws.FILTER($E:$E, ($C:$C=C3017)*($F:$F=F3017)) ) - 1</f>
        <v>-2.9408222568813036E-3</v>
      </c>
    </row>
    <row r="3018" spans="1:7" x14ac:dyDescent="0.2">
      <c r="A3018" s="1">
        <v>41646</v>
      </c>
      <c r="B3018">
        <v>0</v>
      </c>
      <c r="C3018" t="s">
        <v>13</v>
      </c>
      <c r="D3018">
        <v>3.8189999999999999E-3</v>
      </c>
      <c r="E3018">
        <f t="shared" si="94"/>
        <v>1.003819</v>
      </c>
      <c r="F3018" s="1">
        <f t="shared" si="95"/>
        <v>41645</v>
      </c>
      <c r="G3018" cm="1">
        <f t="array" ref="G3018">PRODUCT( _xlfn._xlws.FILTER($E:$E, ($C:$C=C3018)*($F:$F=F3018)) ) - 1</f>
        <v>-2.9408222568813036E-3</v>
      </c>
    </row>
    <row r="3019" spans="1:7" x14ac:dyDescent="0.2">
      <c r="A3019" s="1">
        <v>41647</v>
      </c>
      <c r="B3019">
        <v>0</v>
      </c>
      <c r="C3019" t="s">
        <v>13</v>
      </c>
      <c r="D3019">
        <v>4.2299999999999998E-4</v>
      </c>
      <c r="E3019">
        <f t="shared" si="94"/>
        <v>1.0004230000000001</v>
      </c>
      <c r="F3019" s="1">
        <f t="shared" si="95"/>
        <v>41645</v>
      </c>
      <c r="G3019" cm="1">
        <f t="array" ref="G3019">PRODUCT( _xlfn._xlws.FILTER($E:$E, ($C:$C=C3019)*($F:$F=F3019)) ) - 1</f>
        <v>-2.9408222568813036E-3</v>
      </c>
    </row>
    <row r="3020" spans="1:7" x14ac:dyDescent="0.2">
      <c r="A3020" s="1">
        <v>41648</v>
      </c>
      <c r="B3020">
        <v>0</v>
      </c>
      <c r="C3020" t="s">
        <v>13</v>
      </c>
      <c r="D3020">
        <v>1.6900000000000001E-3</v>
      </c>
      <c r="E3020">
        <f t="shared" si="94"/>
        <v>1.00169</v>
      </c>
      <c r="F3020" s="1">
        <f t="shared" si="95"/>
        <v>41645</v>
      </c>
      <c r="G3020" cm="1">
        <f t="array" ref="G3020">PRODUCT( _xlfn._xlws.FILTER($E:$E, ($C:$C=C3020)*($F:$F=F3020)) ) - 1</f>
        <v>-2.9408222568813036E-3</v>
      </c>
    </row>
    <row r="3021" spans="1:7" x14ac:dyDescent="0.2">
      <c r="A3021" s="1">
        <v>41649</v>
      </c>
      <c r="B3021">
        <v>0</v>
      </c>
      <c r="C3021" t="s">
        <v>13</v>
      </c>
      <c r="D3021">
        <v>8.4400000000000002E-4</v>
      </c>
      <c r="E3021">
        <f t="shared" si="94"/>
        <v>1.0008440000000001</v>
      </c>
      <c r="F3021" s="1">
        <f t="shared" si="95"/>
        <v>41645</v>
      </c>
      <c r="G3021" cm="1">
        <f t="array" ref="G3021">PRODUCT( _xlfn._xlws.FILTER($E:$E, ($C:$C=C3021)*($F:$F=F3021)) ) - 1</f>
        <v>-2.9408222568813036E-3</v>
      </c>
    </row>
    <row r="3022" spans="1:7" x14ac:dyDescent="0.2">
      <c r="A3022" s="1">
        <v>41652</v>
      </c>
      <c r="B3022">
        <v>0</v>
      </c>
      <c r="C3022" t="s">
        <v>13</v>
      </c>
      <c r="D3022">
        <v>4.2099999999999999E-4</v>
      </c>
      <c r="E3022">
        <f t="shared" si="94"/>
        <v>1.000421</v>
      </c>
      <c r="F3022" s="1">
        <f t="shared" si="95"/>
        <v>41652</v>
      </c>
      <c r="G3022" cm="1">
        <f t="array" ref="G3022">PRODUCT( _xlfn._xlws.FILTER($E:$E, ($C:$C=C3022)*($F:$F=F3022)) ) - 1</f>
        <v>9.553893559575144E-3</v>
      </c>
    </row>
    <row r="3023" spans="1:7" x14ac:dyDescent="0.2">
      <c r="A3023" s="1">
        <v>41653</v>
      </c>
      <c r="B3023">
        <v>0</v>
      </c>
      <c r="C3023" t="s">
        <v>13</v>
      </c>
      <c r="D3023">
        <v>-4.3530000000000001E-3</v>
      </c>
      <c r="E3023">
        <f t="shared" si="94"/>
        <v>0.99564699999999995</v>
      </c>
      <c r="F3023" s="1">
        <f t="shared" si="95"/>
        <v>41652</v>
      </c>
      <c r="G3023" cm="1">
        <f t="array" ref="G3023">PRODUCT( _xlfn._xlws.FILTER($E:$E, ($C:$C=C3023)*($F:$F=F3023)) ) - 1</f>
        <v>9.553893559575144E-3</v>
      </c>
    </row>
    <row r="3024" spans="1:7" x14ac:dyDescent="0.2">
      <c r="A3024" s="1">
        <v>41654</v>
      </c>
      <c r="B3024">
        <v>0</v>
      </c>
      <c r="C3024" t="s">
        <v>13</v>
      </c>
      <c r="D3024">
        <v>2.2569999999999999E-3</v>
      </c>
      <c r="E3024">
        <f t="shared" si="94"/>
        <v>1.002257</v>
      </c>
      <c r="F3024" s="1">
        <f t="shared" si="95"/>
        <v>41652</v>
      </c>
      <c r="G3024" cm="1">
        <f t="array" ref="G3024">PRODUCT( _xlfn._xlws.FILTER($E:$E, ($C:$C=C3024)*($F:$F=F3024)) ) - 1</f>
        <v>9.553893559575144E-3</v>
      </c>
    </row>
    <row r="3025" spans="1:7" x14ac:dyDescent="0.2">
      <c r="A3025" s="1">
        <v>41655</v>
      </c>
      <c r="B3025">
        <v>0</v>
      </c>
      <c r="C3025" t="s">
        <v>13</v>
      </c>
      <c r="D3025">
        <v>4.2220000000000001E-3</v>
      </c>
      <c r="E3025">
        <f t="shared" si="94"/>
        <v>1.0042219999999999</v>
      </c>
      <c r="F3025" s="1">
        <f t="shared" si="95"/>
        <v>41652</v>
      </c>
      <c r="G3025" cm="1">
        <f t="array" ref="G3025">PRODUCT( _xlfn._xlws.FILTER($E:$E, ($C:$C=C3025)*($F:$F=F3025)) ) - 1</f>
        <v>9.553893559575144E-3</v>
      </c>
    </row>
    <row r="3026" spans="1:7" x14ac:dyDescent="0.2">
      <c r="A3026" s="1">
        <v>41656</v>
      </c>
      <c r="B3026">
        <v>0</v>
      </c>
      <c r="C3026" t="s">
        <v>13</v>
      </c>
      <c r="D3026">
        <v>7.0070000000000002E-3</v>
      </c>
      <c r="E3026">
        <f t="shared" si="94"/>
        <v>1.007007</v>
      </c>
      <c r="F3026" s="1">
        <f t="shared" si="95"/>
        <v>41652</v>
      </c>
      <c r="G3026" cm="1">
        <f t="array" ref="G3026">PRODUCT( _xlfn._xlws.FILTER($E:$E, ($C:$C=C3026)*($F:$F=F3026)) ) - 1</f>
        <v>9.553893559575144E-3</v>
      </c>
    </row>
    <row r="3027" spans="1:7" x14ac:dyDescent="0.2">
      <c r="A3027" s="1">
        <v>41659</v>
      </c>
      <c r="B3027">
        <v>0</v>
      </c>
      <c r="C3027" t="s">
        <v>13</v>
      </c>
      <c r="D3027">
        <v>1.3916E-2</v>
      </c>
      <c r="E3027">
        <f t="shared" si="94"/>
        <v>1.013916</v>
      </c>
      <c r="F3027" s="1">
        <f t="shared" si="95"/>
        <v>41659</v>
      </c>
      <c r="G3027" cm="1">
        <f t="array" ref="G3027">PRODUCT( _xlfn._xlws.FILTER($E:$E, ($C:$C=C3027)*($F:$F=F3027)) ) - 1</f>
        <v>-9.8636463163538357E-3</v>
      </c>
    </row>
    <row r="3028" spans="1:7" x14ac:dyDescent="0.2">
      <c r="A3028" s="1">
        <v>41660</v>
      </c>
      <c r="B3028">
        <v>0</v>
      </c>
      <c r="C3028" t="s">
        <v>13</v>
      </c>
      <c r="D3028">
        <v>1.647E-3</v>
      </c>
      <c r="E3028">
        <f t="shared" si="94"/>
        <v>1.001647</v>
      </c>
      <c r="F3028" s="1">
        <f t="shared" si="95"/>
        <v>41659</v>
      </c>
      <c r="G3028" cm="1">
        <f t="array" ref="G3028">PRODUCT( _xlfn._xlws.FILTER($E:$E, ($C:$C=C3028)*($F:$F=F3028)) ) - 1</f>
        <v>-9.8636463163538357E-3</v>
      </c>
    </row>
    <row r="3029" spans="1:7" x14ac:dyDescent="0.2">
      <c r="A3029" s="1">
        <v>41661</v>
      </c>
      <c r="B3029">
        <v>0</v>
      </c>
      <c r="C3029" t="s">
        <v>13</v>
      </c>
      <c r="D3029">
        <v>2.7399999999999998E-3</v>
      </c>
      <c r="E3029">
        <f t="shared" si="94"/>
        <v>1.00274</v>
      </c>
      <c r="F3029" s="1">
        <f t="shared" si="95"/>
        <v>41659</v>
      </c>
      <c r="G3029" cm="1">
        <f t="array" ref="G3029">PRODUCT( _xlfn._xlws.FILTER($E:$E, ($C:$C=C3029)*($F:$F=F3029)) ) - 1</f>
        <v>-9.8636463163538357E-3</v>
      </c>
    </row>
    <row r="3030" spans="1:7" x14ac:dyDescent="0.2">
      <c r="A3030" s="1">
        <v>41662</v>
      </c>
      <c r="B3030">
        <v>0</v>
      </c>
      <c r="C3030" t="s">
        <v>13</v>
      </c>
      <c r="D3030">
        <v>-1.4895E-2</v>
      </c>
      <c r="E3030">
        <f t="shared" si="94"/>
        <v>0.98510500000000001</v>
      </c>
      <c r="F3030" s="1">
        <f t="shared" si="95"/>
        <v>41659</v>
      </c>
      <c r="G3030" cm="1">
        <f t="array" ref="G3030">PRODUCT( _xlfn._xlws.FILTER($E:$E, ($C:$C=C3030)*($F:$F=F3030)) ) - 1</f>
        <v>-9.8636463163538357E-3</v>
      </c>
    </row>
    <row r="3031" spans="1:7" x14ac:dyDescent="0.2">
      <c r="A3031" s="1">
        <v>41663</v>
      </c>
      <c r="B3031">
        <v>0</v>
      </c>
      <c r="C3031" t="s">
        <v>13</v>
      </c>
      <c r="D3031">
        <v>-1.3022000000000001E-2</v>
      </c>
      <c r="E3031">
        <f t="shared" si="94"/>
        <v>0.98697800000000002</v>
      </c>
      <c r="F3031" s="1">
        <f t="shared" si="95"/>
        <v>41659</v>
      </c>
      <c r="G3031" cm="1">
        <f t="array" ref="G3031">PRODUCT( _xlfn._xlws.FILTER($E:$E, ($C:$C=C3031)*($F:$F=F3031)) ) - 1</f>
        <v>-9.8636463163538357E-3</v>
      </c>
    </row>
    <row r="3032" spans="1:7" x14ac:dyDescent="0.2">
      <c r="A3032" s="1">
        <v>41666</v>
      </c>
      <c r="B3032">
        <v>0</v>
      </c>
      <c r="C3032" t="s">
        <v>13</v>
      </c>
      <c r="D3032">
        <v>-1.5747000000000001E-2</v>
      </c>
      <c r="E3032">
        <f t="shared" si="94"/>
        <v>0.98425300000000004</v>
      </c>
      <c r="F3032" s="1">
        <f t="shared" si="95"/>
        <v>41666</v>
      </c>
      <c r="G3032" cm="1">
        <f t="array" ref="G3032">PRODUCT( _xlfn._xlws.FILTER($E:$E, ($C:$C=C3032)*($F:$F=F3032)) ) - 1</f>
        <v>-2.2131373197425863E-2</v>
      </c>
    </row>
    <row r="3033" spans="1:7" x14ac:dyDescent="0.2">
      <c r="A3033" s="1">
        <v>41667</v>
      </c>
      <c r="B3033">
        <v>0</v>
      </c>
      <c r="C3033" t="s">
        <v>13</v>
      </c>
      <c r="D3033">
        <v>2.3059999999999999E-3</v>
      </c>
      <c r="E3033">
        <f t="shared" si="94"/>
        <v>1.0023059999999999</v>
      </c>
      <c r="F3033" s="1">
        <f t="shared" si="95"/>
        <v>41666</v>
      </c>
      <c r="G3033" cm="1">
        <f t="array" ref="G3033">PRODUCT( _xlfn._xlws.FILTER($E:$E, ($C:$C=C3033)*($F:$F=F3033)) ) - 1</f>
        <v>-2.2131373197425863E-2</v>
      </c>
    </row>
    <row r="3034" spans="1:7" x14ac:dyDescent="0.2">
      <c r="A3034" s="1">
        <v>41668</v>
      </c>
      <c r="B3034">
        <v>0</v>
      </c>
      <c r="C3034" t="s">
        <v>13</v>
      </c>
      <c r="D3034">
        <v>-1.1073E-2</v>
      </c>
      <c r="E3034">
        <f t="shared" si="94"/>
        <v>0.988927</v>
      </c>
      <c r="F3034" s="1">
        <f t="shared" si="95"/>
        <v>41666</v>
      </c>
      <c r="G3034" cm="1">
        <f t="array" ref="G3034">PRODUCT( _xlfn._xlws.FILTER($E:$E, ($C:$C=C3034)*($F:$F=F3034)) ) - 1</f>
        <v>-2.2131373197425863E-2</v>
      </c>
    </row>
    <row r="3035" spans="1:7" x14ac:dyDescent="0.2">
      <c r="A3035" s="1">
        <v>41669</v>
      </c>
      <c r="B3035">
        <v>0</v>
      </c>
      <c r="C3035" t="s">
        <v>13</v>
      </c>
      <c r="D3035">
        <v>1.3814E-2</v>
      </c>
      <c r="E3035">
        <f t="shared" si="94"/>
        <v>1.013814</v>
      </c>
      <c r="F3035" s="1">
        <f t="shared" si="95"/>
        <v>41666</v>
      </c>
      <c r="G3035" cm="1">
        <f t="array" ref="G3035">PRODUCT( _xlfn._xlws.FILTER($E:$E, ($C:$C=C3035)*($F:$F=F3035)) ) - 1</f>
        <v>-2.2131373197425863E-2</v>
      </c>
    </row>
    <row r="3036" spans="1:7" x14ac:dyDescent="0.2">
      <c r="A3036" s="1">
        <v>41670</v>
      </c>
      <c r="B3036">
        <v>0</v>
      </c>
      <c r="C3036" t="s">
        <v>13</v>
      </c>
      <c r="D3036">
        <v>-1.1331000000000001E-2</v>
      </c>
      <c r="E3036">
        <f t="shared" si="94"/>
        <v>0.98866900000000002</v>
      </c>
      <c r="F3036" s="1">
        <f t="shared" si="95"/>
        <v>41666</v>
      </c>
      <c r="G3036" cm="1">
        <f t="array" ref="G3036">PRODUCT( _xlfn._xlws.FILTER($E:$E, ($C:$C=C3036)*($F:$F=F3036)) ) - 1</f>
        <v>-2.2131373197425863E-2</v>
      </c>
    </row>
    <row r="3037" spans="1:7" x14ac:dyDescent="0.2">
      <c r="A3037" s="1">
        <v>41673</v>
      </c>
      <c r="B3037">
        <v>0</v>
      </c>
      <c r="C3037" t="s">
        <v>13</v>
      </c>
      <c r="D3037">
        <v>-6.2379999999999996E-3</v>
      </c>
      <c r="E3037">
        <f t="shared" si="94"/>
        <v>0.99376200000000003</v>
      </c>
      <c r="F3037" s="1">
        <f t="shared" si="95"/>
        <v>41673</v>
      </c>
      <c r="G3037" cm="1">
        <f t="array" ref="G3037">PRODUCT( _xlfn._xlws.FILTER($E:$E, ($C:$C=C3037)*($F:$F=F3037)) ) - 1</f>
        <v>1.6974402688727519E-2</v>
      </c>
    </row>
    <row r="3038" spans="1:7" x14ac:dyDescent="0.2">
      <c r="A3038" s="1">
        <v>41674</v>
      </c>
      <c r="B3038">
        <v>0</v>
      </c>
      <c r="C3038" t="s">
        <v>13</v>
      </c>
      <c r="D3038">
        <v>-6.4229999999999999E-3</v>
      </c>
      <c r="E3038">
        <f t="shared" si="94"/>
        <v>0.99357700000000004</v>
      </c>
      <c r="F3038" s="1">
        <f t="shared" si="95"/>
        <v>41673</v>
      </c>
      <c r="G3038" cm="1">
        <f t="array" ref="G3038">PRODUCT( _xlfn._xlws.FILTER($E:$E, ($C:$C=C3038)*($F:$F=F3038)) ) - 1</f>
        <v>1.6974402688727519E-2</v>
      </c>
    </row>
    <row r="3039" spans="1:7" x14ac:dyDescent="0.2">
      <c r="A3039" s="1">
        <v>41675</v>
      </c>
      <c r="B3039">
        <v>0</v>
      </c>
      <c r="C3039" t="s">
        <v>13</v>
      </c>
      <c r="D3039">
        <v>1.4987E-2</v>
      </c>
      <c r="E3039">
        <f t="shared" si="94"/>
        <v>1.0149870000000001</v>
      </c>
      <c r="F3039" s="1">
        <f t="shared" si="95"/>
        <v>41673</v>
      </c>
      <c r="G3039" cm="1">
        <f t="array" ref="G3039">PRODUCT( _xlfn._xlws.FILTER($E:$E, ($C:$C=C3039)*($F:$F=F3039)) ) - 1</f>
        <v>1.6974402688727519E-2</v>
      </c>
    </row>
    <row r="3040" spans="1:7" x14ac:dyDescent="0.2">
      <c r="A3040" s="1">
        <v>41676</v>
      </c>
      <c r="B3040">
        <v>0</v>
      </c>
      <c r="C3040" t="s">
        <v>13</v>
      </c>
      <c r="D3040">
        <v>1.3028E-2</v>
      </c>
      <c r="E3040">
        <f t="shared" si="94"/>
        <v>1.013028</v>
      </c>
      <c r="F3040" s="1">
        <f t="shared" si="95"/>
        <v>41673</v>
      </c>
      <c r="G3040" cm="1">
        <f t="array" ref="G3040">PRODUCT( _xlfn._xlws.FILTER($E:$E, ($C:$C=C3040)*($F:$F=F3040)) ) - 1</f>
        <v>1.6974402688727519E-2</v>
      </c>
    </row>
    <row r="3041" spans="1:7" x14ac:dyDescent="0.2">
      <c r="A3041" s="1">
        <v>41677</v>
      </c>
      <c r="B3041">
        <v>0</v>
      </c>
      <c r="C3041" t="s">
        <v>13</v>
      </c>
      <c r="D3041">
        <v>1.7149999999999999E-3</v>
      </c>
      <c r="E3041">
        <f t="shared" si="94"/>
        <v>1.0017149999999999</v>
      </c>
      <c r="F3041" s="1">
        <f t="shared" si="95"/>
        <v>41673</v>
      </c>
      <c r="G3041" cm="1">
        <f t="array" ref="G3041">PRODUCT( _xlfn._xlws.FILTER($E:$E, ($C:$C=C3041)*($F:$F=F3041)) ) - 1</f>
        <v>1.6974402688727519E-2</v>
      </c>
    </row>
    <row r="3042" spans="1:7" x14ac:dyDescent="0.2">
      <c r="A3042" s="1">
        <v>41680</v>
      </c>
      <c r="B3042">
        <v>0</v>
      </c>
      <c r="C3042" t="s">
        <v>13</v>
      </c>
      <c r="D3042">
        <v>-1.712E-3</v>
      </c>
      <c r="E3042">
        <f t="shared" si="94"/>
        <v>0.99828799999999995</v>
      </c>
      <c r="F3042" s="1">
        <f t="shared" si="95"/>
        <v>41680</v>
      </c>
      <c r="G3042" cm="1">
        <f t="array" ref="G3042">PRODUCT( _xlfn._xlws.FILTER($E:$E, ($C:$C=C3042)*($F:$F=F3042)) ) - 1</f>
        <v>1.5833663480050664E-2</v>
      </c>
    </row>
    <row r="3043" spans="1:7" x14ac:dyDescent="0.2">
      <c r="A3043" s="1">
        <v>41681</v>
      </c>
      <c r="B3043">
        <v>0</v>
      </c>
      <c r="C3043" t="s">
        <v>13</v>
      </c>
      <c r="D3043">
        <v>2.0010000000000002E-3</v>
      </c>
      <c r="E3043">
        <f t="shared" si="94"/>
        <v>1.0020009999999999</v>
      </c>
      <c r="F3043" s="1">
        <f t="shared" si="95"/>
        <v>41680</v>
      </c>
      <c r="G3043" cm="1">
        <f t="array" ref="G3043">PRODUCT( _xlfn._xlws.FILTER($E:$E, ($C:$C=C3043)*($F:$F=F3043)) ) - 1</f>
        <v>1.5833663480050664E-2</v>
      </c>
    </row>
    <row r="3044" spans="1:7" x14ac:dyDescent="0.2">
      <c r="A3044" s="1">
        <v>41682</v>
      </c>
      <c r="B3044">
        <v>0</v>
      </c>
      <c r="C3044" t="s">
        <v>13</v>
      </c>
      <c r="D3044">
        <v>6.1320000000000003E-3</v>
      </c>
      <c r="E3044">
        <f t="shared" si="94"/>
        <v>1.006132</v>
      </c>
      <c r="F3044" s="1">
        <f t="shared" si="95"/>
        <v>41680</v>
      </c>
      <c r="G3044" cm="1">
        <f t="array" ref="G3044">PRODUCT( _xlfn._xlws.FILTER($E:$E, ($C:$C=C3044)*($F:$F=F3044)) ) - 1</f>
        <v>1.5833663480050664E-2</v>
      </c>
    </row>
    <row r="3045" spans="1:7" x14ac:dyDescent="0.2">
      <c r="A3045" s="1">
        <v>41683</v>
      </c>
      <c r="B3045">
        <v>0</v>
      </c>
      <c r="C3045" t="s">
        <v>13</v>
      </c>
      <c r="D3045">
        <v>9.2130000000000007E-3</v>
      </c>
      <c r="E3045">
        <f t="shared" si="94"/>
        <v>1.0092129999999999</v>
      </c>
      <c r="F3045" s="1">
        <f t="shared" si="95"/>
        <v>41680</v>
      </c>
      <c r="G3045" cm="1">
        <f t="array" ref="G3045">PRODUCT( _xlfn._xlws.FILTER($E:$E, ($C:$C=C3045)*($F:$F=F3045)) ) - 1</f>
        <v>1.5833663480050664E-2</v>
      </c>
    </row>
    <row r="3046" spans="1:7" x14ac:dyDescent="0.2">
      <c r="A3046" s="1">
        <v>41684</v>
      </c>
      <c r="B3046">
        <v>0</v>
      </c>
      <c r="C3046" t="s">
        <v>13</v>
      </c>
      <c r="D3046">
        <v>1.3999999999999999E-4</v>
      </c>
      <c r="E3046">
        <f t="shared" si="94"/>
        <v>1.00014</v>
      </c>
      <c r="F3046" s="1">
        <f t="shared" si="95"/>
        <v>41680</v>
      </c>
      <c r="G3046" cm="1">
        <f t="array" ref="G3046">PRODUCT( _xlfn._xlws.FILTER($E:$E, ($C:$C=C3046)*($F:$F=F3046)) ) - 1</f>
        <v>1.5833663480050664E-2</v>
      </c>
    </row>
    <row r="3047" spans="1:7" x14ac:dyDescent="0.2">
      <c r="A3047" s="1">
        <v>41688</v>
      </c>
      <c r="B3047">
        <v>0</v>
      </c>
      <c r="C3047" t="s">
        <v>13</v>
      </c>
      <c r="D3047">
        <v>3.3700000000000002E-3</v>
      </c>
      <c r="E3047">
        <f t="shared" si="94"/>
        <v>1.0033700000000001</v>
      </c>
      <c r="F3047" s="1">
        <f t="shared" si="95"/>
        <v>41687</v>
      </c>
      <c r="G3047" cm="1">
        <f t="array" ref="G3047">PRODUCT( _xlfn._xlws.FILTER($E:$E, ($C:$C=C3047)*($F:$F=F3047)) ) - 1</f>
        <v>1.8957574058753313E-2</v>
      </c>
    </row>
    <row r="3048" spans="1:7" x14ac:dyDescent="0.2">
      <c r="A3048" s="1">
        <v>41689</v>
      </c>
      <c r="B3048">
        <v>0</v>
      </c>
      <c r="C3048" t="s">
        <v>13</v>
      </c>
      <c r="D3048">
        <v>1.3155999999999999E-2</v>
      </c>
      <c r="E3048">
        <f t="shared" si="94"/>
        <v>1.0131559999999999</v>
      </c>
      <c r="F3048" s="1">
        <f t="shared" si="95"/>
        <v>41687</v>
      </c>
      <c r="G3048" cm="1">
        <f t="array" ref="G3048">PRODUCT( _xlfn._xlws.FILTER($E:$E, ($C:$C=C3048)*($F:$F=F3048)) ) - 1</f>
        <v>1.8957574058753313E-2</v>
      </c>
    </row>
    <row r="3049" spans="1:7" x14ac:dyDescent="0.2">
      <c r="A3049" s="1">
        <v>41690</v>
      </c>
      <c r="B3049">
        <v>0</v>
      </c>
      <c r="C3049" t="s">
        <v>13</v>
      </c>
      <c r="D3049">
        <v>5.6639999999999998E-3</v>
      </c>
      <c r="E3049">
        <f t="shared" si="94"/>
        <v>1.0056639999999999</v>
      </c>
      <c r="F3049" s="1">
        <f t="shared" si="95"/>
        <v>41687</v>
      </c>
      <c r="G3049" cm="1">
        <f t="array" ref="G3049">PRODUCT( _xlfn._xlws.FILTER($E:$E, ($C:$C=C3049)*($F:$F=F3049)) ) - 1</f>
        <v>1.8957574058753313E-2</v>
      </c>
    </row>
    <row r="3050" spans="1:7" x14ac:dyDescent="0.2">
      <c r="A3050" s="1">
        <v>41691</v>
      </c>
      <c r="B3050">
        <v>0</v>
      </c>
      <c r="C3050" t="s">
        <v>13</v>
      </c>
      <c r="D3050">
        <v>-3.297E-3</v>
      </c>
      <c r="E3050">
        <f t="shared" si="94"/>
        <v>0.99670300000000001</v>
      </c>
      <c r="F3050" s="1">
        <f t="shared" si="95"/>
        <v>41687</v>
      </c>
      <c r="G3050" cm="1">
        <f t="array" ref="G3050">PRODUCT( _xlfn._xlws.FILTER($E:$E, ($C:$C=C3050)*($F:$F=F3050)) ) - 1</f>
        <v>1.8957574058753313E-2</v>
      </c>
    </row>
    <row r="3051" spans="1:7" x14ac:dyDescent="0.2">
      <c r="A3051" s="1">
        <v>41694</v>
      </c>
      <c r="B3051">
        <v>0</v>
      </c>
      <c r="C3051" t="s">
        <v>13</v>
      </c>
      <c r="D3051">
        <v>-9.6500000000000004E-4</v>
      </c>
      <c r="E3051">
        <f t="shared" si="94"/>
        <v>0.99903500000000001</v>
      </c>
      <c r="F3051" s="1">
        <f t="shared" si="95"/>
        <v>41694</v>
      </c>
      <c r="G3051" cm="1">
        <f t="array" ref="G3051">PRODUCT( _xlfn._xlws.FILTER($E:$E, ($C:$C=C3051)*($F:$F=F3051)) ) - 1</f>
        <v>-8.4076919907768444E-3</v>
      </c>
    </row>
    <row r="3052" spans="1:7" x14ac:dyDescent="0.2">
      <c r="A3052" s="1">
        <v>41695</v>
      </c>
      <c r="B3052">
        <v>0</v>
      </c>
      <c r="C3052" t="s">
        <v>13</v>
      </c>
      <c r="D3052">
        <v>2.8969999999999998E-3</v>
      </c>
      <c r="E3052">
        <f t="shared" si="94"/>
        <v>1.0028969999999999</v>
      </c>
      <c r="F3052" s="1">
        <f t="shared" si="95"/>
        <v>41694</v>
      </c>
      <c r="G3052" cm="1">
        <f t="array" ref="G3052">PRODUCT( _xlfn._xlws.FILTER($E:$E, ($C:$C=C3052)*($F:$F=F3052)) ) - 1</f>
        <v>-8.4076919907768444E-3</v>
      </c>
    </row>
    <row r="3053" spans="1:7" x14ac:dyDescent="0.2">
      <c r="A3053" s="1">
        <v>41696</v>
      </c>
      <c r="B3053">
        <v>0</v>
      </c>
      <c r="C3053" t="s">
        <v>13</v>
      </c>
      <c r="D3053">
        <v>-8.3909999999999992E-3</v>
      </c>
      <c r="E3053">
        <f t="shared" si="94"/>
        <v>0.99160899999999996</v>
      </c>
      <c r="F3053" s="1">
        <f t="shared" si="95"/>
        <v>41694</v>
      </c>
      <c r="G3053" cm="1">
        <f t="array" ref="G3053">PRODUCT( _xlfn._xlws.FILTER($E:$E, ($C:$C=C3053)*($F:$F=F3053)) ) - 1</f>
        <v>-8.4076919907768444E-3</v>
      </c>
    </row>
    <row r="3054" spans="1:7" x14ac:dyDescent="0.2">
      <c r="A3054" s="1">
        <v>41697</v>
      </c>
      <c r="B3054">
        <v>0</v>
      </c>
      <c r="C3054" t="s">
        <v>13</v>
      </c>
      <c r="D3054">
        <v>4.1609999999999998E-3</v>
      </c>
      <c r="E3054">
        <f t="shared" si="94"/>
        <v>1.0041610000000001</v>
      </c>
      <c r="F3054" s="1">
        <f t="shared" si="95"/>
        <v>41694</v>
      </c>
      <c r="G3054" cm="1">
        <f t="array" ref="G3054">PRODUCT( _xlfn._xlws.FILTER($E:$E, ($C:$C=C3054)*($F:$F=F3054)) ) - 1</f>
        <v>-8.4076919907768444E-3</v>
      </c>
    </row>
    <row r="3055" spans="1:7" x14ac:dyDescent="0.2">
      <c r="A3055" s="1">
        <v>41698</v>
      </c>
      <c r="B3055">
        <v>0</v>
      </c>
      <c r="C3055" t="s">
        <v>13</v>
      </c>
      <c r="D3055">
        <v>-6.0780000000000001E-3</v>
      </c>
      <c r="E3055">
        <f t="shared" si="94"/>
        <v>0.99392199999999997</v>
      </c>
      <c r="F3055" s="1">
        <f t="shared" si="95"/>
        <v>41694</v>
      </c>
      <c r="G3055" cm="1">
        <f t="array" ref="G3055">PRODUCT( _xlfn._xlws.FILTER($E:$E, ($C:$C=C3055)*($F:$F=F3055)) ) - 1</f>
        <v>-8.4076919907768444E-3</v>
      </c>
    </row>
    <row r="3056" spans="1:7" x14ac:dyDescent="0.2">
      <c r="A3056" s="1">
        <v>41701</v>
      </c>
      <c r="B3056">
        <v>0</v>
      </c>
      <c r="C3056" t="s">
        <v>13</v>
      </c>
      <c r="D3056">
        <v>-6.9499999999999998E-4</v>
      </c>
      <c r="E3056">
        <f t="shared" si="94"/>
        <v>0.999305</v>
      </c>
      <c r="F3056" s="1">
        <f t="shared" si="95"/>
        <v>41701</v>
      </c>
      <c r="G3056" cm="1">
        <f t="array" ref="G3056">PRODUCT( _xlfn._xlws.FILTER($E:$E, ($C:$C=C3056)*($F:$F=F3056)) ) - 1</f>
        <v>-3.4746472204015832E-3</v>
      </c>
    </row>
    <row r="3057" spans="1:7" x14ac:dyDescent="0.2">
      <c r="A3057" s="1">
        <v>41702</v>
      </c>
      <c r="B3057">
        <v>0</v>
      </c>
      <c r="C3057" t="s">
        <v>13</v>
      </c>
      <c r="D3057">
        <v>-8.3500000000000002E-4</v>
      </c>
      <c r="E3057">
        <f t="shared" si="94"/>
        <v>0.99916499999999997</v>
      </c>
      <c r="F3057" s="1">
        <f t="shared" si="95"/>
        <v>41701</v>
      </c>
      <c r="G3057" cm="1">
        <f t="array" ref="G3057">PRODUCT( _xlfn._xlws.FILTER($E:$E, ($C:$C=C3057)*($F:$F=F3057)) ) - 1</f>
        <v>-3.4746472204015832E-3</v>
      </c>
    </row>
    <row r="3058" spans="1:7" x14ac:dyDescent="0.2">
      <c r="A3058" s="1">
        <v>41703</v>
      </c>
      <c r="B3058">
        <v>0</v>
      </c>
      <c r="C3058" t="s">
        <v>13</v>
      </c>
      <c r="D3058">
        <v>6.96E-3</v>
      </c>
      <c r="E3058">
        <f t="shared" si="94"/>
        <v>1.0069600000000001</v>
      </c>
      <c r="F3058" s="1">
        <f t="shared" si="95"/>
        <v>41701</v>
      </c>
      <c r="G3058" cm="1">
        <f t="array" ref="G3058">PRODUCT( _xlfn._xlws.FILTER($E:$E, ($C:$C=C3058)*($F:$F=F3058)) ) - 1</f>
        <v>-3.4746472204015832E-3</v>
      </c>
    </row>
    <row r="3059" spans="1:7" x14ac:dyDescent="0.2">
      <c r="A3059" s="1">
        <v>41704</v>
      </c>
      <c r="B3059">
        <v>0</v>
      </c>
      <c r="C3059" t="s">
        <v>13</v>
      </c>
      <c r="D3059">
        <v>-6.4970000000000002E-3</v>
      </c>
      <c r="E3059">
        <f t="shared" si="94"/>
        <v>0.99350300000000002</v>
      </c>
      <c r="F3059" s="1">
        <f t="shared" si="95"/>
        <v>41701</v>
      </c>
      <c r="G3059" cm="1">
        <f t="array" ref="G3059">PRODUCT( _xlfn._xlws.FILTER($E:$E, ($C:$C=C3059)*($F:$F=F3059)) ) - 1</f>
        <v>-3.4746472204015832E-3</v>
      </c>
    </row>
    <row r="3060" spans="1:7" x14ac:dyDescent="0.2">
      <c r="A3060" s="1">
        <v>41705</v>
      </c>
      <c r="B3060">
        <v>0</v>
      </c>
      <c r="C3060" t="s">
        <v>13</v>
      </c>
      <c r="D3060">
        <v>-2.3649999999999999E-3</v>
      </c>
      <c r="E3060">
        <f t="shared" si="94"/>
        <v>0.99763500000000005</v>
      </c>
      <c r="F3060" s="1">
        <f t="shared" si="95"/>
        <v>41701</v>
      </c>
      <c r="G3060" cm="1">
        <f t="array" ref="G3060">PRODUCT( _xlfn._xlws.FILTER($E:$E, ($C:$C=C3060)*($F:$F=F3060)) ) - 1</f>
        <v>-3.4746472204015832E-3</v>
      </c>
    </row>
    <row r="3061" spans="1:7" x14ac:dyDescent="0.2">
      <c r="A3061" s="1">
        <v>41708</v>
      </c>
      <c r="B3061">
        <v>0</v>
      </c>
      <c r="C3061" t="s">
        <v>13</v>
      </c>
      <c r="D3061">
        <v>-1.3899999999999999E-4</v>
      </c>
      <c r="E3061">
        <f t="shared" si="94"/>
        <v>0.999861</v>
      </c>
      <c r="F3061" s="1">
        <f t="shared" si="95"/>
        <v>41708</v>
      </c>
      <c r="G3061" cm="1">
        <f t="array" ref="G3061">PRODUCT( _xlfn._xlws.FILTER($E:$E, ($C:$C=C3061)*($F:$F=F3061)) ) - 1</f>
        <v>-7.3910961264710417E-3</v>
      </c>
    </row>
    <row r="3062" spans="1:7" x14ac:dyDescent="0.2">
      <c r="A3062" s="1">
        <v>41709</v>
      </c>
      <c r="B3062">
        <v>0</v>
      </c>
      <c r="C3062" t="s">
        <v>13</v>
      </c>
      <c r="D3062">
        <v>8.9269999999999992E-3</v>
      </c>
      <c r="E3062">
        <f t="shared" si="94"/>
        <v>1.0089269999999999</v>
      </c>
      <c r="F3062" s="1">
        <f t="shared" si="95"/>
        <v>41708</v>
      </c>
      <c r="G3062" cm="1">
        <f t="array" ref="G3062">PRODUCT( _xlfn._xlws.FILTER($E:$E, ($C:$C=C3062)*($F:$F=F3062)) ) - 1</f>
        <v>-7.3910961264710417E-3</v>
      </c>
    </row>
    <row r="3063" spans="1:7" x14ac:dyDescent="0.2">
      <c r="A3063" s="1">
        <v>41710</v>
      </c>
      <c r="B3063">
        <v>0</v>
      </c>
      <c r="C3063" t="s">
        <v>13</v>
      </c>
      <c r="D3063">
        <v>1.3799999999999999E-4</v>
      </c>
      <c r="E3063">
        <f t="shared" si="94"/>
        <v>1.000138</v>
      </c>
      <c r="F3063" s="1">
        <f t="shared" si="95"/>
        <v>41708</v>
      </c>
      <c r="G3063" cm="1">
        <f t="array" ref="G3063">PRODUCT( _xlfn._xlws.FILTER($E:$E, ($C:$C=C3063)*($F:$F=F3063)) ) - 1</f>
        <v>-7.3910961264710417E-3</v>
      </c>
    </row>
    <row r="3064" spans="1:7" x14ac:dyDescent="0.2">
      <c r="A3064" s="1">
        <v>41711</v>
      </c>
      <c r="B3064">
        <v>0</v>
      </c>
      <c r="C3064" t="s">
        <v>13</v>
      </c>
      <c r="D3064">
        <v>-7.326E-3</v>
      </c>
      <c r="E3064">
        <f t="shared" si="94"/>
        <v>0.99267399999999995</v>
      </c>
      <c r="F3064" s="1">
        <f t="shared" si="95"/>
        <v>41708</v>
      </c>
      <c r="G3064" cm="1">
        <f t="array" ref="G3064">PRODUCT( _xlfn._xlws.FILTER($E:$E, ($C:$C=C3064)*($F:$F=F3064)) ) - 1</f>
        <v>-7.3910961264710417E-3</v>
      </c>
    </row>
    <row r="3065" spans="1:7" x14ac:dyDescent="0.2">
      <c r="A3065" s="1">
        <v>41712</v>
      </c>
      <c r="B3065">
        <v>0</v>
      </c>
      <c r="C3065" t="s">
        <v>13</v>
      </c>
      <c r="D3065">
        <v>-8.9119999999999998E-3</v>
      </c>
      <c r="E3065">
        <f t="shared" si="94"/>
        <v>0.99108799999999997</v>
      </c>
      <c r="F3065" s="1">
        <f t="shared" si="95"/>
        <v>41708</v>
      </c>
      <c r="G3065" cm="1">
        <f t="array" ref="G3065">PRODUCT( _xlfn._xlws.FILTER($E:$E, ($C:$C=C3065)*($F:$F=F3065)) ) - 1</f>
        <v>-7.3910961264710417E-3</v>
      </c>
    </row>
    <row r="3066" spans="1:7" x14ac:dyDescent="0.2">
      <c r="A3066" s="1">
        <v>41715</v>
      </c>
      <c r="B3066">
        <v>0</v>
      </c>
      <c r="C3066" t="s">
        <v>13</v>
      </c>
      <c r="D3066">
        <v>3.934E-3</v>
      </c>
      <c r="E3066">
        <f t="shared" si="94"/>
        <v>1.0039340000000001</v>
      </c>
      <c r="F3066" s="1">
        <f t="shared" si="95"/>
        <v>41715</v>
      </c>
      <c r="G3066" cm="1">
        <f t="array" ref="G3066">PRODUCT( _xlfn._xlws.FILTER($E:$E, ($C:$C=C3066)*($F:$F=F3066)) ) - 1</f>
        <v>1.3909111365849158E-2</v>
      </c>
    </row>
    <row r="3067" spans="1:7" x14ac:dyDescent="0.2">
      <c r="A3067" s="1">
        <v>41716</v>
      </c>
      <c r="B3067">
        <v>0</v>
      </c>
      <c r="C3067" t="s">
        <v>13</v>
      </c>
      <c r="D3067">
        <v>6.2979999999999998E-3</v>
      </c>
      <c r="E3067">
        <f t="shared" si="94"/>
        <v>1.0062979999999999</v>
      </c>
      <c r="F3067" s="1">
        <f t="shared" si="95"/>
        <v>41715</v>
      </c>
      <c r="G3067" cm="1">
        <f t="array" ref="G3067">PRODUCT( _xlfn._xlws.FILTER($E:$E, ($C:$C=C3067)*($F:$F=F3067)) ) - 1</f>
        <v>1.3909111365849158E-2</v>
      </c>
    </row>
    <row r="3068" spans="1:7" x14ac:dyDescent="0.2">
      <c r="A3068" s="1">
        <v>41717</v>
      </c>
      <c r="B3068">
        <v>0</v>
      </c>
      <c r="C3068" t="s">
        <v>13</v>
      </c>
      <c r="D3068">
        <v>-8.3500000000000002E-4</v>
      </c>
      <c r="E3068">
        <f t="shared" si="94"/>
        <v>0.99916499999999997</v>
      </c>
      <c r="F3068" s="1">
        <f t="shared" si="95"/>
        <v>41715</v>
      </c>
      <c r="G3068" cm="1">
        <f t="array" ref="G3068">PRODUCT( _xlfn._xlws.FILTER($E:$E, ($C:$C=C3068)*($F:$F=F3068)) ) - 1</f>
        <v>1.3909111365849158E-2</v>
      </c>
    </row>
    <row r="3069" spans="1:7" x14ac:dyDescent="0.2">
      <c r="A3069" s="1">
        <v>41718</v>
      </c>
      <c r="B3069">
        <v>0</v>
      </c>
      <c r="C3069" t="s">
        <v>13</v>
      </c>
      <c r="D3069">
        <v>4.8719999999999996E-3</v>
      </c>
      <c r="E3069">
        <f t="shared" si="94"/>
        <v>1.004872</v>
      </c>
      <c r="F3069" s="1">
        <f t="shared" si="95"/>
        <v>41715</v>
      </c>
      <c r="G3069" cm="1">
        <f t="array" ref="G3069">PRODUCT( _xlfn._xlws.FILTER($E:$E, ($C:$C=C3069)*($F:$F=F3069)) ) - 1</f>
        <v>1.3909111365849158E-2</v>
      </c>
    </row>
    <row r="3070" spans="1:7" x14ac:dyDescent="0.2">
      <c r="A3070" s="1">
        <v>41719</v>
      </c>
      <c r="B3070">
        <v>0</v>
      </c>
      <c r="C3070" t="s">
        <v>13</v>
      </c>
      <c r="D3070">
        <v>-4.1599999999999997E-4</v>
      </c>
      <c r="E3070">
        <f t="shared" si="94"/>
        <v>0.99958400000000003</v>
      </c>
      <c r="F3070" s="1">
        <f t="shared" si="95"/>
        <v>41715</v>
      </c>
      <c r="G3070" cm="1">
        <f t="array" ref="G3070">PRODUCT( _xlfn._xlws.FILTER($E:$E, ($C:$C=C3070)*($F:$F=F3070)) ) - 1</f>
        <v>1.3909111365849158E-2</v>
      </c>
    </row>
    <row r="3071" spans="1:7" x14ac:dyDescent="0.2">
      <c r="A3071" s="1">
        <v>41722</v>
      </c>
      <c r="B3071">
        <v>0</v>
      </c>
      <c r="C3071" t="s">
        <v>13</v>
      </c>
      <c r="D3071">
        <v>3.7420000000000001E-3</v>
      </c>
      <c r="E3071">
        <f t="shared" si="94"/>
        <v>1.0037419999999999</v>
      </c>
      <c r="F3071" s="1">
        <f t="shared" si="95"/>
        <v>41722</v>
      </c>
      <c r="G3071" cm="1">
        <f t="array" ref="G3071">PRODUCT( _xlfn._xlws.FILTER($E:$E, ($C:$C=C3071)*($F:$F=F3071)) ) - 1</f>
        <v>3.8805999355508991E-3</v>
      </c>
    </row>
    <row r="3072" spans="1:7" x14ac:dyDescent="0.2">
      <c r="A3072" s="1">
        <v>41723</v>
      </c>
      <c r="B3072">
        <v>0</v>
      </c>
      <c r="C3072" t="s">
        <v>13</v>
      </c>
      <c r="D3072">
        <v>3.728E-3</v>
      </c>
      <c r="E3072">
        <f t="shared" si="94"/>
        <v>1.003728</v>
      </c>
      <c r="F3072" s="1">
        <f t="shared" si="95"/>
        <v>41722</v>
      </c>
      <c r="G3072" cm="1">
        <f t="array" ref="G3072">PRODUCT( _xlfn._xlws.FILTER($E:$E, ($C:$C=C3072)*($F:$F=F3072)) ) - 1</f>
        <v>3.8805999355508991E-3</v>
      </c>
    </row>
    <row r="3073" spans="1:7" x14ac:dyDescent="0.2">
      <c r="A3073" s="1">
        <v>41724</v>
      </c>
      <c r="B3073">
        <v>0</v>
      </c>
      <c r="C3073" t="s">
        <v>13</v>
      </c>
      <c r="D3073">
        <v>-8.25E-4</v>
      </c>
      <c r="E3073">
        <f t="shared" si="94"/>
        <v>0.99917500000000004</v>
      </c>
      <c r="F3073" s="1">
        <f t="shared" si="95"/>
        <v>41722</v>
      </c>
      <c r="G3073" cm="1">
        <f t="array" ref="G3073">PRODUCT( _xlfn._xlws.FILTER($E:$E, ($C:$C=C3073)*($F:$F=F3073)) ) - 1</f>
        <v>3.8805999355508991E-3</v>
      </c>
    </row>
    <row r="3074" spans="1:7" x14ac:dyDescent="0.2">
      <c r="A3074" s="1">
        <v>41725</v>
      </c>
      <c r="B3074">
        <v>0</v>
      </c>
      <c r="C3074" t="s">
        <v>13</v>
      </c>
      <c r="D3074">
        <v>-5.9199999999999999E-3</v>
      </c>
      <c r="E3074">
        <f t="shared" si="94"/>
        <v>0.99407999999999996</v>
      </c>
      <c r="F3074" s="1">
        <f t="shared" si="95"/>
        <v>41722</v>
      </c>
      <c r="G3074" cm="1">
        <f t="array" ref="G3074">PRODUCT( _xlfn._xlws.FILTER($E:$E, ($C:$C=C3074)*($F:$F=F3074)) ) - 1</f>
        <v>3.8805999355508991E-3</v>
      </c>
    </row>
    <row r="3075" spans="1:7" x14ac:dyDescent="0.2">
      <c r="A3075" s="1">
        <v>41726</v>
      </c>
      <c r="B3075">
        <v>0</v>
      </c>
      <c r="C3075" t="s">
        <v>13</v>
      </c>
      <c r="D3075">
        <v>3.1849999999999999E-3</v>
      </c>
      <c r="E3075">
        <f t="shared" si="94"/>
        <v>1.003185</v>
      </c>
      <c r="F3075" s="1">
        <f t="shared" si="95"/>
        <v>41722</v>
      </c>
      <c r="G3075" cm="1">
        <f t="array" ref="G3075">PRODUCT( _xlfn._xlws.FILTER($E:$E, ($C:$C=C3075)*($F:$F=F3075)) ) - 1</f>
        <v>3.8805999355508991E-3</v>
      </c>
    </row>
    <row r="3076" spans="1:7" x14ac:dyDescent="0.2">
      <c r="A3076" s="1">
        <v>41729</v>
      </c>
      <c r="B3076">
        <v>0</v>
      </c>
      <c r="C3076" t="s">
        <v>13</v>
      </c>
      <c r="D3076">
        <v>6.2119999999999996E-3</v>
      </c>
      <c r="E3076">
        <f t="shared" ref="E3076:E3139" si="96">D3076+1</f>
        <v>1.0062120000000001</v>
      </c>
      <c r="F3076" s="1">
        <f t="shared" ref="F3076:F3139" si="97">A3076 - (WEEKDAY(A3076, 2) - 1)</f>
        <v>41729</v>
      </c>
      <c r="G3076" cm="1">
        <f t="array" ref="G3076">PRODUCT( _xlfn._xlws.FILTER($E:$E, ($C:$C=C3076)*($F:$F=F3076)) ) - 1</f>
        <v>6.4885022492746636E-3</v>
      </c>
    </row>
    <row r="3077" spans="1:7" x14ac:dyDescent="0.2">
      <c r="A3077" s="1">
        <v>41730</v>
      </c>
      <c r="B3077">
        <v>0</v>
      </c>
      <c r="C3077" t="s">
        <v>13</v>
      </c>
      <c r="D3077">
        <v>3.9789999999999999E-3</v>
      </c>
      <c r="E3077">
        <f t="shared" si="96"/>
        <v>1.003979</v>
      </c>
      <c r="F3077" s="1">
        <f t="shared" si="97"/>
        <v>41729</v>
      </c>
      <c r="G3077" cm="1">
        <f t="array" ref="G3077">PRODUCT( _xlfn._xlws.FILTER($E:$E, ($C:$C=C3077)*($F:$F=F3077)) ) - 1</f>
        <v>6.4885022492746636E-3</v>
      </c>
    </row>
    <row r="3078" spans="1:7" x14ac:dyDescent="0.2">
      <c r="A3078" s="1">
        <v>41731</v>
      </c>
      <c r="B3078">
        <v>0</v>
      </c>
      <c r="C3078" t="s">
        <v>13</v>
      </c>
      <c r="D3078">
        <v>1.37E-4</v>
      </c>
      <c r="E3078">
        <f t="shared" si="96"/>
        <v>1.0001370000000001</v>
      </c>
      <c r="F3078" s="1">
        <f t="shared" si="97"/>
        <v>41729</v>
      </c>
      <c r="G3078" cm="1">
        <f t="array" ref="G3078">PRODUCT( _xlfn._xlws.FILTER($E:$E, ($C:$C=C3078)*($F:$F=F3078)) ) - 1</f>
        <v>6.4885022492746636E-3</v>
      </c>
    </row>
    <row r="3079" spans="1:7" x14ac:dyDescent="0.2">
      <c r="A3079" s="1">
        <v>41732</v>
      </c>
      <c r="B3079">
        <v>0</v>
      </c>
      <c r="C3079" t="s">
        <v>13</v>
      </c>
      <c r="D3079">
        <v>-3.826E-3</v>
      </c>
      <c r="E3079">
        <f t="shared" si="96"/>
        <v>0.996174</v>
      </c>
      <c r="F3079" s="1">
        <f t="shared" si="97"/>
        <v>41729</v>
      </c>
      <c r="G3079" cm="1">
        <f t="array" ref="G3079">PRODUCT( _xlfn._xlws.FILTER($E:$E, ($C:$C=C3079)*($F:$F=F3079)) ) - 1</f>
        <v>6.4885022492746636E-3</v>
      </c>
    </row>
    <row r="3080" spans="1:7" x14ac:dyDescent="0.2">
      <c r="A3080" s="1">
        <v>41733</v>
      </c>
      <c r="B3080">
        <v>0</v>
      </c>
      <c r="C3080" t="s">
        <v>13</v>
      </c>
      <c r="D3080">
        <v>0</v>
      </c>
      <c r="E3080">
        <f t="shared" si="96"/>
        <v>1</v>
      </c>
      <c r="F3080" s="1">
        <f t="shared" si="97"/>
        <v>41729</v>
      </c>
      <c r="G3080" cm="1">
        <f t="array" ref="G3080">PRODUCT( _xlfn._xlws.FILTER($E:$E, ($C:$C=C3080)*($F:$F=F3080)) ) - 1</f>
        <v>6.4885022492746636E-3</v>
      </c>
    </row>
    <row r="3081" spans="1:7" x14ac:dyDescent="0.2">
      <c r="A3081" s="1">
        <v>41736</v>
      </c>
      <c r="B3081">
        <v>0</v>
      </c>
      <c r="C3081" t="s">
        <v>13</v>
      </c>
      <c r="D3081">
        <v>1.5089999999999999E-3</v>
      </c>
      <c r="E3081">
        <f t="shared" si="96"/>
        <v>1.001509</v>
      </c>
      <c r="F3081" s="1">
        <f t="shared" si="97"/>
        <v>41736</v>
      </c>
      <c r="G3081" cm="1">
        <f t="array" ref="G3081">PRODUCT( _xlfn._xlws.FILTER($E:$E, ($C:$C=C3081)*($F:$F=F3081)) ) - 1</f>
        <v>-8.2246740111280303E-4</v>
      </c>
    </row>
    <row r="3082" spans="1:7" x14ac:dyDescent="0.2">
      <c r="A3082" s="1">
        <v>41737</v>
      </c>
      <c r="B3082">
        <v>0</v>
      </c>
      <c r="C3082" t="s">
        <v>13</v>
      </c>
      <c r="D3082">
        <v>1.096E-3</v>
      </c>
      <c r="E3082">
        <f t="shared" si="96"/>
        <v>1.001096</v>
      </c>
      <c r="F3082" s="1">
        <f t="shared" si="97"/>
        <v>41736</v>
      </c>
      <c r="G3082" cm="1">
        <f t="array" ref="G3082">PRODUCT( _xlfn._xlws.FILTER($E:$E, ($C:$C=C3082)*($F:$F=F3082)) ) - 1</f>
        <v>-8.2246740111280303E-4</v>
      </c>
    </row>
    <row r="3083" spans="1:7" x14ac:dyDescent="0.2">
      <c r="A3083" s="1">
        <v>41738</v>
      </c>
      <c r="B3083">
        <v>0</v>
      </c>
      <c r="C3083" t="s">
        <v>13</v>
      </c>
      <c r="D3083">
        <v>2.052E-3</v>
      </c>
      <c r="E3083">
        <f t="shared" si="96"/>
        <v>1.0020519999999999</v>
      </c>
      <c r="F3083" s="1">
        <f t="shared" si="97"/>
        <v>41736</v>
      </c>
      <c r="G3083" cm="1">
        <f t="array" ref="G3083">PRODUCT( _xlfn._xlws.FILTER($E:$E, ($C:$C=C3083)*($F:$F=F3083)) ) - 1</f>
        <v>-8.2246740111280303E-4</v>
      </c>
    </row>
    <row r="3084" spans="1:7" x14ac:dyDescent="0.2">
      <c r="A3084" s="1">
        <v>41739</v>
      </c>
      <c r="B3084">
        <v>0</v>
      </c>
      <c r="C3084" t="s">
        <v>13</v>
      </c>
      <c r="D3084">
        <v>-5.4609999999999997E-3</v>
      </c>
      <c r="E3084">
        <f t="shared" si="96"/>
        <v>0.99453899999999995</v>
      </c>
      <c r="F3084" s="1">
        <f t="shared" si="97"/>
        <v>41736</v>
      </c>
      <c r="G3084" cm="1">
        <f t="array" ref="G3084">PRODUCT( _xlfn._xlws.FILTER($E:$E, ($C:$C=C3084)*($F:$F=F3084)) ) - 1</f>
        <v>-8.2246740111280303E-4</v>
      </c>
    </row>
    <row r="3085" spans="1:7" x14ac:dyDescent="0.2">
      <c r="A3085" s="1">
        <v>41740</v>
      </c>
      <c r="B3085">
        <v>0</v>
      </c>
      <c r="C3085" t="s">
        <v>13</v>
      </c>
      <c r="D3085">
        <v>0</v>
      </c>
      <c r="E3085">
        <f t="shared" si="96"/>
        <v>1</v>
      </c>
      <c r="F3085" s="1">
        <f t="shared" si="97"/>
        <v>41736</v>
      </c>
      <c r="G3085" cm="1">
        <f t="array" ref="G3085">PRODUCT( _xlfn._xlws.FILTER($E:$E, ($C:$C=C3085)*($F:$F=F3085)) ) - 1</f>
        <v>-8.2246740111280303E-4</v>
      </c>
    </row>
    <row r="3086" spans="1:7" x14ac:dyDescent="0.2">
      <c r="A3086" s="1">
        <v>41743</v>
      </c>
      <c r="B3086">
        <v>0</v>
      </c>
      <c r="C3086" t="s">
        <v>13</v>
      </c>
      <c r="D3086">
        <v>-1.37E-4</v>
      </c>
      <c r="E3086">
        <f t="shared" si="96"/>
        <v>0.99986299999999995</v>
      </c>
      <c r="F3086" s="1">
        <f t="shared" si="97"/>
        <v>41743</v>
      </c>
      <c r="G3086" cm="1">
        <f t="array" ref="G3086">PRODUCT( _xlfn._xlws.FILTER($E:$E, ($C:$C=C3086)*($F:$F=F3086)) ) - 1</f>
        <v>7.8238596668569471E-3</v>
      </c>
    </row>
    <row r="3087" spans="1:7" x14ac:dyDescent="0.2">
      <c r="A3087" s="1">
        <v>41744</v>
      </c>
      <c r="B3087">
        <v>0</v>
      </c>
      <c r="C3087" t="s">
        <v>13</v>
      </c>
      <c r="D3087">
        <v>9.6100000000000005E-4</v>
      </c>
      <c r="E3087">
        <f t="shared" si="96"/>
        <v>1.000961</v>
      </c>
      <c r="F3087" s="1">
        <f t="shared" si="97"/>
        <v>41743</v>
      </c>
      <c r="G3087" cm="1">
        <f t="array" ref="G3087">PRODUCT( _xlfn._xlws.FILTER($E:$E, ($C:$C=C3087)*($F:$F=F3087)) ) - 1</f>
        <v>7.8238596668569471E-3</v>
      </c>
    </row>
    <row r="3088" spans="1:7" x14ac:dyDescent="0.2">
      <c r="A3088" s="1">
        <v>41745</v>
      </c>
      <c r="B3088">
        <v>0</v>
      </c>
      <c r="C3088" t="s">
        <v>13</v>
      </c>
      <c r="D3088">
        <v>5.4860000000000004E-3</v>
      </c>
      <c r="E3088">
        <f t="shared" si="96"/>
        <v>1.0054860000000001</v>
      </c>
      <c r="F3088" s="1">
        <f t="shared" si="97"/>
        <v>41743</v>
      </c>
      <c r="G3088" cm="1">
        <f t="array" ref="G3088">PRODUCT( _xlfn._xlws.FILTER($E:$E, ($C:$C=C3088)*($F:$F=F3088)) ) - 1</f>
        <v>7.8238596668569471E-3</v>
      </c>
    </row>
    <row r="3089" spans="1:7" x14ac:dyDescent="0.2">
      <c r="A3089" s="1">
        <v>41746</v>
      </c>
      <c r="B3089">
        <v>0</v>
      </c>
      <c r="C3089" t="s">
        <v>13</v>
      </c>
      <c r="D3089">
        <v>1.5E-3</v>
      </c>
      <c r="E3089">
        <f t="shared" si="96"/>
        <v>1.0015000000000001</v>
      </c>
      <c r="F3089" s="1">
        <f t="shared" si="97"/>
        <v>41743</v>
      </c>
      <c r="G3089" cm="1">
        <f t="array" ref="G3089">PRODUCT( _xlfn._xlws.FILTER($E:$E, ($C:$C=C3089)*($F:$F=F3089)) ) - 1</f>
        <v>7.8238596668569471E-3</v>
      </c>
    </row>
    <row r="3090" spans="1:7" x14ac:dyDescent="0.2">
      <c r="A3090" s="1">
        <v>41750</v>
      </c>
      <c r="B3090">
        <v>0</v>
      </c>
      <c r="C3090" t="s">
        <v>13</v>
      </c>
      <c r="D3090">
        <v>1.634E-3</v>
      </c>
      <c r="E3090">
        <f t="shared" si="96"/>
        <v>1.0016339999999999</v>
      </c>
      <c r="F3090" s="1">
        <f t="shared" si="97"/>
        <v>41750</v>
      </c>
      <c r="G3090" cm="1">
        <f t="array" ref="G3090">PRODUCT( _xlfn._xlws.FILTER($E:$E, ($C:$C=C3090)*($F:$F=F3090)) ) - 1</f>
        <v>-4.0927891483519829E-3</v>
      </c>
    </row>
    <row r="3091" spans="1:7" x14ac:dyDescent="0.2">
      <c r="A3091" s="1">
        <v>41751</v>
      </c>
      <c r="B3091">
        <v>0</v>
      </c>
      <c r="C3091" t="s">
        <v>13</v>
      </c>
      <c r="D3091">
        <v>-5.0309999999999999E-3</v>
      </c>
      <c r="E3091">
        <f t="shared" si="96"/>
        <v>0.99496899999999999</v>
      </c>
      <c r="F3091" s="1">
        <f t="shared" si="97"/>
        <v>41750</v>
      </c>
      <c r="G3091" cm="1">
        <f t="array" ref="G3091">PRODUCT( _xlfn._xlws.FILTER($E:$E, ($C:$C=C3091)*($F:$F=F3091)) ) - 1</f>
        <v>-4.0927891483519829E-3</v>
      </c>
    </row>
    <row r="3092" spans="1:7" x14ac:dyDescent="0.2">
      <c r="A3092" s="1">
        <v>41752</v>
      </c>
      <c r="B3092">
        <v>0</v>
      </c>
      <c r="C3092" t="s">
        <v>13</v>
      </c>
      <c r="D3092">
        <v>-4.5539999999999999E-3</v>
      </c>
      <c r="E3092">
        <f t="shared" si="96"/>
        <v>0.99544600000000005</v>
      </c>
      <c r="F3092" s="1">
        <f t="shared" si="97"/>
        <v>41750</v>
      </c>
      <c r="G3092" cm="1">
        <f t="array" ref="G3092">PRODUCT( _xlfn._xlws.FILTER($E:$E, ($C:$C=C3092)*($F:$F=F3092)) ) - 1</f>
        <v>-4.0927891483519829E-3</v>
      </c>
    </row>
    <row r="3093" spans="1:7" x14ac:dyDescent="0.2">
      <c r="A3093" s="1">
        <v>41753</v>
      </c>
      <c r="B3093">
        <v>0</v>
      </c>
      <c r="C3093" t="s">
        <v>13</v>
      </c>
      <c r="D3093">
        <v>1.941E-3</v>
      </c>
      <c r="E3093">
        <f t="shared" si="96"/>
        <v>1.001941</v>
      </c>
      <c r="F3093" s="1">
        <f t="shared" si="97"/>
        <v>41750</v>
      </c>
      <c r="G3093" cm="1">
        <f t="array" ref="G3093">PRODUCT( _xlfn._xlws.FILTER($E:$E, ($C:$C=C3093)*($F:$F=F3093)) ) - 1</f>
        <v>-4.0927891483519829E-3</v>
      </c>
    </row>
    <row r="3094" spans="1:7" x14ac:dyDescent="0.2">
      <c r="A3094" s="1">
        <v>41754</v>
      </c>
      <c r="B3094">
        <v>0</v>
      </c>
      <c r="C3094" t="s">
        <v>13</v>
      </c>
      <c r="D3094">
        <v>1.9369999999999999E-3</v>
      </c>
      <c r="E3094">
        <f t="shared" si="96"/>
        <v>1.0019370000000001</v>
      </c>
      <c r="F3094" s="1">
        <f t="shared" si="97"/>
        <v>41750</v>
      </c>
      <c r="G3094" cm="1">
        <f t="array" ref="G3094">PRODUCT( _xlfn._xlws.FILTER($E:$E, ($C:$C=C3094)*($F:$F=F3094)) ) - 1</f>
        <v>-4.0927891483519829E-3</v>
      </c>
    </row>
    <row r="3095" spans="1:7" x14ac:dyDescent="0.2">
      <c r="A3095" s="1">
        <v>41757</v>
      </c>
      <c r="B3095">
        <v>0</v>
      </c>
      <c r="C3095" t="s">
        <v>13</v>
      </c>
      <c r="D3095">
        <v>1.1050000000000001E-3</v>
      </c>
      <c r="E3095">
        <f t="shared" si="96"/>
        <v>1.0011049999999999</v>
      </c>
      <c r="F3095" s="1">
        <f t="shared" si="97"/>
        <v>41757</v>
      </c>
      <c r="G3095" cm="1">
        <f t="array" ref="G3095">PRODUCT( _xlfn._xlws.FILTER($E:$E, ($C:$C=C3095)*($F:$F=F3095)) ) - 1</f>
        <v>1.0772532092734988E-2</v>
      </c>
    </row>
    <row r="3096" spans="1:7" x14ac:dyDescent="0.2">
      <c r="A3096" s="1">
        <v>41758</v>
      </c>
      <c r="B3096">
        <v>0</v>
      </c>
      <c r="C3096" t="s">
        <v>13</v>
      </c>
      <c r="D3096">
        <v>3.5869999999999999E-3</v>
      </c>
      <c r="E3096">
        <f t="shared" si="96"/>
        <v>1.003587</v>
      </c>
      <c r="F3096" s="1">
        <f t="shared" si="97"/>
        <v>41757</v>
      </c>
      <c r="G3096" cm="1">
        <f t="array" ref="G3096">PRODUCT( _xlfn._xlws.FILTER($E:$E, ($C:$C=C3096)*($F:$F=F3096)) ) - 1</f>
        <v>1.0772532092734988E-2</v>
      </c>
    </row>
    <row r="3097" spans="1:7" x14ac:dyDescent="0.2">
      <c r="A3097" s="1">
        <v>41759</v>
      </c>
      <c r="B3097">
        <v>0</v>
      </c>
      <c r="C3097" t="s">
        <v>13</v>
      </c>
      <c r="D3097">
        <v>5.4980000000000003E-3</v>
      </c>
      <c r="E3097">
        <f t="shared" si="96"/>
        <v>1.005498</v>
      </c>
      <c r="F3097" s="1">
        <f t="shared" si="97"/>
        <v>41757</v>
      </c>
      <c r="G3097" cm="1">
        <f t="array" ref="G3097">PRODUCT( _xlfn._xlws.FILTER($E:$E, ($C:$C=C3097)*($F:$F=F3097)) ) - 1</f>
        <v>1.0772532092734988E-2</v>
      </c>
    </row>
    <row r="3098" spans="1:7" x14ac:dyDescent="0.2">
      <c r="A3098" s="1">
        <v>41760</v>
      </c>
      <c r="B3098">
        <v>0</v>
      </c>
      <c r="C3098" t="s">
        <v>13</v>
      </c>
      <c r="D3098">
        <v>-2.8709999999999999E-3</v>
      </c>
      <c r="E3098">
        <f t="shared" si="96"/>
        <v>0.99712900000000004</v>
      </c>
      <c r="F3098" s="1">
        <f t="shared" si="97"/>
        <v>41757</v>
      </c>
      <c r="G3098" cm="1">
        <f t="array" ref="G3098">PRODUCT( _xlfn._xlws.FILTER($E:$E, ($C:$C=C3098)*($F:$F=F3098)) ) - 1</f>
        <v>1.0772532092734988E-2</v>
      </c>
    </row>
    <row r="3099" spans="1:7" x14ac:dyDescent="0.2">
      <c r="A3099" s="1">
        <v>41761</v>
      </c>
      <c r="B3099">
        <v>0</v>
      </c>
      <c r="C3099" t="s">
        <v>13</v>
      </c>
      <c r="D3099">
        <v>3.4280000000000001E-3</v>
      </c>
      <c r="E3099">
        <f t="shared" si="96"/>
        <v>1.003428</v>
      </c>
      <c r="F3099" s="1">
        <f t="shared" si="97"/>
        <v>41757</v>
      </c>
      <c r="G3099" cm="1">
        <f t="array" ref="G3099">PRODUCT( _xlfn._xlws.FILTER($E:$E, ($C:$C=C3099)*($F:$F=F3099)) ) - 1</f>
        <v>1.0772532092734988E-2</v>
      </c>
    </row>
    <row r="3100" spans="1:7" x14ac:dyDescent="0.2">
      <c r="A3100" s="1">
        <v>41764</v>
      </c>
      <c r="B3100">
        <v>0</v>
      </c>
      <c r="C3100" t="s">
        <v>13</v>
      </c>
      <c r="D3100">
        <v>-1.23E-3</v>
      </c>
      <c r="E3100">
        <f t="shared" si="96"/>
        <v>0.99877000000000005</v>
      </c>
      <c r="F3100" s="1">
        <f t="shared" si="97"/>
        <v>41764</v>
      </c>
      <c r="G3100" cm="1">
        <f t="array" ref="G3100">PRODUCT( _xlfn._xlws.FILTER($E:$E, ($C:$C=C3100)*($F:$F=F3100)) ) - 1</f>
        <v>-1.3670679068190639E-3</v>
      </c>
    </row>
    <row r="3101" spans="1:7" x14ac:dyDescent="0.2">
      <c r="A3101" s="1">
        <v>41765</v>
      </c>
      <c r="B3101">
        <v>0</v>
      </c>
      <c r="C3101" t="s">
        <v>13</v>
      </c>
      <c r="D3101">
        <v>-1.3680000000000001E-3</v>
      </c>
      <c r="E3101">
        <f t="shared" si="96"/>
        <v>0.99863199999999996</v>
      </c>
      <c r="F3101" s="1">
        <f t="shared" si="97"/>
        <v>41764</v>
      </c>
      <c r="G3101" cm="1">
        <f t="array" ref="G3101">PRODUCT( _xlfn._xlws.FILTER($E:$E, ($C:$C=C3101)*($F:$F=F3101)) ) - 1</f>
        <v>-1.3670679068190639E-3</v>
      </c>
    </row>
    <row r="3102" spans="1:7" x14ac:dyDescent="0.2">
      <c r="A3102" s="1">
        <v>41766</v>
      </c>
      <c r="B3102">
        <v>0</v>
      </c>
      <c r="C3102" t="s">
        <v>13</v>
      </c>
      <c r="D3102">
        <v>1.5070000000000001E-3</v>
      </c>
      <c r="E3102">
        <f t="shared" si="96"/>
        <v>1.0015069999999999</v>
      </c>
      <c r="F3102" s="1">
        <f t="shared" si="97"/>
        <v>41764</v>
      </c>
      <c r="G3102" cm="1">
        <f t="array" ref="G3102">PRODUCT( _xlfn._xlws.FILTER($E:$E, ($C:$C=C3102)*($F:$F=F3102)) ) - 1</f>
        <v>-1.3670679068190639E-3</v>
      </c>
    </row>
    <row r="3103" spans="1:7" x14ac:dyDescent="0.2">
      <c r="A3103" s="1">
        <v>41767</v>
      </c>
      <c r="B3103">
        <v>0</v>
      </c>
      <c r="C3103" t="s">
        <v>13</v>
      </c>
      <c r="D3103">
        <v>1.6410000000000001E-3</v>
      </c>
      <c r="E3103">
        <f t="shared" si="96"/>
        <v>1.001641</v>
      </c>
      <c r="F3103" s="1">
        <f t="shared" si="97"/>
        <v>41764</v>
      </c>
      <c r="G3103" cm="1">
        <f t="array" ref="G3103">PRODUCT( _xlfn._xlws.FILTER($E:$E, ($C:$C=C3103)*($F:$F=F3103)) ) - 1</f>
        <v>-1.3670679068190639E-3</v>
      </c>
    </row>
    <row r="3104" spans="1:7" x14ac:dyDescent="0.2">
      <c r="A3104" s="1">
        <v>41768</v>
      </c>
      <c r="B3104">
        <v>0</v>
      </c>
      <c r="C3104" t="s">
        <v>13</v>
      </c>
      <c r="D3104">
        <v>-1.9120000000000001E-3</v>
      </c>
      <c r="E3104">
        <f t="shared" si="96"/>
        <v>0.99808799999999998</v>
      </c>
      <c r="F3104" s="1">
        <f t="shared" si="97"/>
        <v>41764</v>
      </c>
      <c r="G3104" cm="1">
        <f t="array" ref="G3104">PRODUCT( _xlfn._xlws.FILTER($E:$E, ($C:$C=C3104)*($F:$F=F3104)) ) - 1</f>
        <v>-1.3670679068190639E-3</v>
      </c>
    </row>
    <row r="3105" spans="1:7" x14ac:dyDescent="0.2">
      <c r="A3105" s="1">
        <v>41771</v>
      </c>
      <c r="B3105">
        <v>0</v>
      </c>
      <c r="C3105" t="s">
        <v>13</v>
      </c>
      <c r="D3105">
        <v>6.0200000000000002E-3</v>
      </c>
      <c r="E3105">
        <f t="shared" si="96"/>
        <v>1.0060199999999999</v>
      </c>
      <c r="F3105" s="1">
        <f t="shared" si="97"/>
        <v>41771</v>
      </c>
      <c r="G3105" cm="1">
        <f t="array" ref="G3105">PRODUCT( _xlfn._xlws.FILTER($E:$E, ($C:$C=C3105)*($F:$F=F3105)) ) - 1</f>
        <v>-3.421380749251357E-3</v>
      </c>
    </row>
    <row r="3106" spans="1:7" x14ac:dyDescent="0.2">
      <c r="A3106" s="1">
        <v>41772</v>
      </c>
      <c r="B3106">
        <v>0</v>
      </c>
      <c r="C3106" t="s">
        <v>13</v>
      </c>
      <c r="D3106">
        <v>6.8000000000000005E-4</v>
      </c>
      <c r="E3106">
        <f t="shared" si="96"/>
        <v>1.00068</v>
      </c>
      <c r="F3106" s="1">
        <f t="shared" si="97"/>
        <v>41771</v>
      </c>
      <c r="G3106" cm="1">
        <f t="array" ref="G3106">PRODUCT( _xlfn._xlws.FILTER($E:$E, ($C:$C=C3106)*($F:$F=F3106)) ) - 1</f>
        <v>-3.421380749251357E-3</v>
      </c>
    </row>
    <row r="3107" spans="1:7" x14ac:dyDescent="0.2">
      <c r="A3107" s="1">
        <v>41773</v>
      </c>
      <c r="B3107">
        <v>0</v>
      </c>
      <c r="C3107" t="s">
        <v>13</v>
      </c>
      <c r="D3107">
        <v>-8.1599999999999999E-4</v>
      </c>
      <c r="E3107">
        <f t="shared" si="96"/>
        <v>0.99918399999999996</v>
      </c>
      <c r="F3107" s="1">
        <f t="shared" si="97"/>
        <v>41771</v>
      </c>
      <c r="G3107" cm="1">
        <f t="array" ref="G3107">PRODUCT( _xlfn._xlws.FILTER($E:$E, ($C:$C=C3107)*($F:$F=F3107)) ) - 1</f>
        <v>-3.421380749251357E-3</v>
      </c>
    </row>
    <row r="3108" spans="1:7" x14ac:dyDescent="0.2">
      <c r="A3108" s="1">
        <v>41774</v>
      </c>
      <c r="B3108">
        <v>0</v>
      </c>
      <c r="C3108" t="s">
        <v>13</v>
      </c>
      <c r="D3108">
        <v>-4.3530000000000001E-3</v>
      </c>
      <c r="E3108">
        <f t="shared" si="96"/>
        <v>0.99564699999999995</v>
      </c>
      <c r="F3108" s="1">
        <f t="shared" si="97"/>
        <v>41771</v>
      </c>
      <c r="G3108" cm="1">
        <f t="array" ref="G3108">PRODUCT( _xlfn._xlws.FILTER($E:$E, ($C:$C=C3108)*($F:$F=F3108)) ) - 1</f>
        <v>-3.421380749251357E-3</v>
      </c>
    </row>
    <row r="3109" spans="1:7" x14ac:dyDescent="0.2">
      <c r="A3109" s="1">
        <v>41775</v>
      </c>
      <c r="B3109">
        <v>0</v>
      </c>
      <c r="C3109" t="s">
        <v>13</v>
      </c>
      <c r="D3109">
        <v>-4.9179999999999996E-3</v>
      </c>
      <c r="E3109">
        <f t="shared" si="96"/>
        <v>0.99508200000000002</v>
      </c>
      <c r="F3109" s="1">
        <f t="shared" si="97"/>
        <v>41771</v>
      </c>
      <c r="G3109" cm="1">
        <f t="array" ref="G3109">PRODUCT( _xlfn._xlws.FILTER($E:$E, ($C:$C=C3109)*($F:$F=F3109)) ) - 1</f>
        <v>-3.421380749251357E-3</v>
      </c>
    </row>
    <row r="3110" spans="1:7" x14ac:dyDescent="0.2">
      <c r="A3110" s="1">
        <v>41779</v>
      </c>
      <c r="B3110">
        <v>0</v>
      </c>
      <c r="C3110" t="s">
        <v>13</v>
      </c>
      <c r="D3110">
        <v>7.6880000000000004E-3</v>
      </c>
      <c r="E3110">
        <f t="shared" si="96"/>
        <v>1.0076879999999999</v>
      </c>
      <c r="F3110" s="1">
        <f t="shared" si="97"/>
        <v>41778</v>
      </c>
      <c r="G3110" cm="1">
        <f t="array" ref="G3110">PRODUCT( _xlfn._xlws.FILTER($E:$E, ($C:$C=C3110)*($F:$F=F3110)) ) - 1</f>
        <v>3.3772466325108663E-2</v>
      </c>
    </row>
    <row r="3111" spans="1:7" x14ac:dyDescent="0.2">
      <c r="A3111" s="1">
        <v>41780</v>
      </c>
      <c r="B3111">
        <v>0</v>
      </c>
      <c r="C3111" t="s">
        <v>13</v>
      </c>
      <c r="D3111">
        <v>1.2125E-2</v>
      </c>
      <c r="E3111">
        <f t="shared" si="96"/>
        <v>1.0121249999999999</v>
      </c>
      <c r="F3111" s="1">
        <f t="shared" si="97"/>
        <v>41778</v>
      </c>
      <c r="G3111" cm="1">
        <f t="array" ref="G3111">PRODUCT( _xlfn._xlws.FILTER($E:$E, ($C:$C=C3111)*($F:$F=F3111)) ) - 1</f>
        <v>3.3772466325108663E-2</v>
      </c>
    </row>
    <row r="3112" spans="1:7" x14ac:dyDescent="0.2">
      <c r="A3112" s="1">
        <v>41781</v>
      </c>
      <c r="B3112">
        <v>0</v>
      </c>
      <c r="C3112" t="s">
        <v>13</v>
      </c>
      <c r="D3112">
        <v>1.5748999999999999E-2</v>
      </c>
      <c r="E3112">
        <f t="shared" si="96"/>
        <v>1.015749</v>
      </c>
      <c r="F3112" s="1">
        <f t="shared" si="97"/>
        <v>41778</v>
      </c>
      <c r="G3112" cm="1">
        <f t="array" ref="G3112">PRODUCT( _xlfn._xlws.FILTER($E:$E, ($C:$C=C3112)*($F:$F=F3112)) ) - 1</f>
        <v>3.3772466325108663E-2</v>
      </c>
    </row>
    <row r="3113" spans="1:7" x14ac:dyDescent="0.2">
      <c r="A3113" s="1">
        <v>41782</v>
      </c>
      <c r="B3113">
        <v>0</v>
      </c>
      <c r="C3113" t="s">
        <v>13</v>
      </c>
      <c r="D3113">
        <v>-2.1199999999999999E-3</v>
      </c>
      <c r="E3113">
        <f t="shared" si="96"/>
        <v>0.99787999999999999</v>
      </c>
      <c r="F3113" s="1">
        <f t="shared" si="97"/>
        <v>41778</v>
      </c>
      <c r="G3113" cm="1">
        <f t="array" ref="G3113">PRODUCT( _xlfn._xlws.FILTER($E:$E, ($C:$C=C3113)*($F:$F=F3113)) ) - 1</f>
        <v>3.3772466325108663E-2</v>
      </c>
    </row>
    <row r="3114" spans="1:7" x14ac:dyDescent="0.2">
      <c r="A3114" s="1">
        <v>41785</v>
      </c>
      <c r="B3114">
        <v>0</v>
      </c>
      <c r="C3114" t="s">
        <v>13</v>
      </c>
      <c r="D3114">
        <v>-6.6399999999999999E-4</v>
      </c>
      <c r="E3114">
        <f t="shared" si="96"/>
        <v>0.999336</v>
      </c>
      <c r="F3114" s="1">
        <f t="shared" si="97"/>
        <v>41785</v>
      </c>
      <c r="G3114" cm="1">
        <f t="array" ref="G3114">PRODUCT( _xlfn._xlws.FILTER($E:$E, ($C:$C=C3114)*($F:$F=F3114)) ) - 1</f>
        <v>-8.7647767150402789E-3</v>
      </c>
    </row>
    <row r="3115" spans="1:7" x14ac:dyDescent="0.2">
      <c r="A3115" s="1">
        <v>41786</v>
      </c>
      <c r="B3115">
        <v>0</v>
      </c>
      <c r="C3115" t="s">
        <v>13</v>
      </c>
      <c r="D3115">
        <v>9.3000000000000005E-4</v>
      </c>
      <c r="E3115">
        <f t="shared" si="96"/>
        <v>1.0009300000000001</v>
      </c>
      <c r="F3115" s="1">
        <f t="shared" si="97"/>
        <v>41785</v>
      </c>
      <c r="G3115" cm="1">
        <f t="array" ref="G3115">PRODUCT( _xlfn._xlws.FILTER($E:$E, ($C:$C=C3115)*($F:$F=F3115)) ) - 1</f>
        <v>-8.7647767150402789E-3</v>
      </c>
    </row>
    <row r="3116" spans="1:7" x14ac:dyDescent="0.2">
      <c r="A3116" s="1">
        <v>41787</v>
      </c>
      <c r="B3116">
        <v>0</v>
      </c>
      <c r="C3116" t="s">
        <v>13</v>
      </c>
      <c r="D3116">
        <v>-2.124E-3</v>
      </c>
      <c r="E3116">
        <f t="shared" si="96"/>
        <v>0.99787599999999999</v>
      </c>
      <c r="F3116" s="1">
        <f t="shared" si="97"/>
        <v>41785</v>
      </c>
      <c r="G3116" cm="1">
        <f t="array" ref="G3116">PRODUCT( _xlfn._xlws.FILTER($E:$E, ($C:$C=C3116)*($F:$F=F3116)) ) - 1</f>
        <v>-8.7647767150402789E-3</v>
      </c>
    </row>
    <row r="3117" spans="1:7" x14ac:dyDescent="0.2">
      <c r="A3117" s="1">
        <v>41788</v>
      </c>
      <c r="B3117">
        <v>0</v>
      </c>
      <c r="C3117" t="s">
        <v>13</v>
      </c>
      <c r="D3117">
        <v>-5.3220000000000003E-3</v>
      </c>
      <c r="E3117">
        <f t="shared" si="96"/>
        <v>0.99467799999999995</v>
      </c>
      <c r="F3117" s="1">
        <f t="shared" si="97"/>
        <v>41785</v>
      </c>
      <c r="G3117" cm="1">
        <f t="array" ref="G3117">PRODUCT( _xlfn._xlws.FILTER($E:$E, ($C:$C=C3117)*($F:$F=F3117)) ) - 1</f>
        <v>-8.7647767150402789E-3</v>
      </c>
    </row>
    <row r="3118" spans="1:7" x14ac:dyDescent="0.2">
      <c r="A3118" s="1">
        <v>41789</v>
      </c>
      <c r="B3118">
        <v>0</v>
      </c>
      <c r="C3118" t="s">
        <v>13</v>
      </c>
      <c r="D3118">
        <v>-1.6050000000000001E-3</v>
      </c>
      <c r="E3118">
        <f t="shared" si="96"/>
        <v>0.99839500000000003</v>
      </c>
      <c r="F3118" s="1">
        <f t="shared" si="97"/>
        <v>41785</v>
      </c>
      <c r="G3118" cm="1">
        <f t="array" ref="G3118">PRODUCT( _xlfn._xlws.FILTER($E:$E, ($C:$C=C3118)*($F:$F=F3118)) ) - 1</f>
        <v>-8.7647767150402789E-3</v>
      </c>
    </row>
    <row r="3119" spans="1:7" x14ac:dyDescent="0.2">
      <c r="A3119" s="1">
        <v>41792</v>
      </c>
      <c r="B3119">
        <v>0</v>
      </c>
      <c r="C3119" t="s">
        <v>13</v>
      </c>
      <c r="D3119">
        <v>2.6800000000000001E-4</v>
      </c>
      <c r="E3119">
        <f t="shared" si="96"/>
        <v>1.0002679999999999</v>
      </c>
      <c r="F3119" s="1">
        <f t="shared" si="97"/>
        <v>41792</v>
      </c>
      <c r="G3119" cm="1">
        <f t="array" ref="G3119">PRODUCT( _xlfn._xlws.FILTER($E:$E, ($C:$C=C3119)*($F:$F=F3119)) ) - 1</f>
        <v>1.206394247763809E-3</v>
      </c>
    </row>
    <row r="3120" spans="1:7" x14ac:dyDescent="0.2">
      <c r="A3120" s="1">
        <v>41793</v>
      </c>
      <c r="B3120">
        <v>0</v>
      </c>
      <c r="C3120" t="s">
        <v>13</v>
      </c>
      <c r="D3120">
        <v>-1.3389999999999999E-3</v>
      </c>
      <c r="E3120">
        <f t="shared" si="96"/>
        <v>0.99866100000000002</v>
      </c>
      <c r="F3120" s="1">
        <f t="shared" si="97"/>
        <v>41792</v>
      </c>
      <c r="G3120" cm="1">
        <f t="array" ref="G3120">PRODUCT( _xlfn._xlws.FILTER($E:$E, ($C:$C=C3120)*($F:$F=F3120)) ) - 1</f>
        <v>1.206394247763809E-3</v>
      </c>
    </row>
    <row r="3121" spans="1:7" x14ac:dyDescent="0.2">
      <c r="A3121" s="1">
        <v>41794</v>
      </c>
      <c r="B3121">
        <v>0</v>
      </c>
      <c r="C3121" t="s">
        <v>13</v>
      </c>
      <c r="D3121">
        <v>4.5599999999999998E-3</v>
      </c>
      <c r="E3121">
        <f t="shared" si="96"/>
        <v>1.0045599999999999</v>
      </c>
      <c r="F3121" s="1">
        <f t="shared" si="97"/>
        <v>41792</v>
      </c>
      <c r="G3121" cm="1">
        <f t="array" ref="G3121">PRODUCT( _xlfn._xlws.FILTER($E:$E, ($C:$C=C3121)*($F:$F=F3121)) ) - 1</f>
        <v>1.206394247763809E-3</v>
      </c>
    </row>
    <row r="3122" spans="1:7" x14ac:dyDescent="0.2">
      <c r="A3122" s="1">
        <v>41795</v>
      </c>
      <c r="B3122">
        <v>0</v>
      </c>
      <c r="C3122" t="s">
        <v>13</v>
      </c>
      <c r="D3122">
        <v>-4.4060000000000002E-3</v>
      </c>
      <c r="E3122">
        <f t="shared" si="96"/>
        <v>0.99559399999999998</v>
      </c>
      <c r="F3122" s="1">
        <f t="shared" si="97"/>
        <v>41792</v>
      </c>
      <c r="G3122" cm="1">
        <f t="array" ref="G3122">PRODUCT( _xlfn._xlws.FILTER($E:$E, ($C:$C=C3122)*($F:$F=F3122)) ) - 1</f>
        <v>1.206394247763809E-3</v>
      </c>
    </row>
    <row r="3123" spans="1:7" x14ac:dyDescent="0.2">
      <c r="A3123" s="1">
        <v>41796</v>
      </c>
      <c r="B3123">
        <v>0</v>
      </c>
      <c r="C3123" t="s">
        <v>13</v>
      </c>
      <c r="D3123">
        <v>2.1459999999999999E-3</v>
      </c>
      <c r="E3123">
        <f t="shared" si="96"/>
        <v>1.002146</v>
      </c>
      <c r="F3123" s="1">
        <f t="shared" si="97"/>
        <v>41792</v>
      </c>
      <c r="G3123" cm="1">
        <f t="array" ref="G3123">PRODUCT( _xlfn._xlws.FILTER($E:$E, ($C:$C=C3123)*($F:$F=F3123)) ) - 1</f>
        <v>1.206394247763809E-3</v>
      </c>
    </row>
    <row r="3124" spans="1:7" x14ac:dyDescent="0.2">
      <c r="A3124" s="1">
        <v>41799</v>
      </c>
      <c r="B3124">
        <v>0</v>
      </c>
      <c r="C3124" t="s">
        <v>13</v>
      </c>
      <c r="D3124">
        <v>6.8240000000000002E-3</v>
      </c>
      <c r="E3124">
        <f t="shared" si="96"/>
        <v>1.0068239999999999</v>
      </c>
      <c r="F3124" s="1">
        <f t="shared" si="97"/>
        <v>41799</v>
      </c>
      <c r="G3124" cm="1">
        <f t="array" ref="G3124">PRODUCT( _xlfn._xlws.FILTER($E:$E, ($C:$C=C3124)*($F:$F=F3124)) ) - 1</f>
        <v>6.690367293049837E-3</v>
      </c>
    </row>
    <row r="3125" spans="1:7" x14ac:dyDescent="0.2">
      <c r="A3125" s="1">
        <v>41800</v>
      </c>
      <c r="B3125">
        <v>0</v>
      </c>
      <c r="C3125" t="s">
        <v>13</v>
      </c>
      <c r="D3125">
        <v>-1.3300000000000001E-4</v>
      </c>
      <c r="E3125">
        <f t="shared" si="96"/>
        <v>0.99986699999999995</v>
      </c>
      <c r="F3125" s="1">
        <f t="shared" si="97"/>
        <v>41799</v>
      </c>
      <c r="G3125" cm="1">
        <f t="array" ref="G3125">PRODUCT( _xlfn._xlws.FILTER($E:$E, ($C:$C=C3125)*($F:$F=F3125)) ) - 1</f>
        <v>6.690367293049837E-3</v>
      </c>
    </row>
    <row r="3126" spans="1:7" x14ac:dyDescent="0.2">
      <c r="A3126" s="1">
        <v>41801</v>
      </c>
      <c r="B3126">
        <v>0</v>
      </c>
      <c r="C3126" t="s">
        <v>13</v>
      </c>
      <c r="D3126">
        <v>-4.9179999999999996E-3</v>
      </c>
      <c r="E3126">
        <f t="shared" si="96"/>
        <v>0.99508200000000002</v>
      </c>
      <c r="F3126" s="1">
        <f t="shared" si="97"/>
        <v>41799</v>
      </c>
      <c r="G3126" cm="1">
        <f t="array" ref="G3126">PRODUCT( _xlfn._xlws.FILTER($E:$E, ($C:$C=C3126)*($F:$F=F3126)) ) - 1</f>
        <v>6.690367293049837E-3</v>
      </c>
    </row>
    <row r="3127" spans="1:7" x14ac:dyDescent="0.2">
      <c r="A3127" s="1">
        <v>41802</v>
      </c>
      <c r="B3127">
        <v>0</v>
      </c>
      <c r="C3127" t="s">
        <v>13</v>
      </c>
      <c r="D3127">
        <v>-2.271E-3</v>
      </c>
      <c r="E3127">
        <f t="shared" si="96"/>
        <v>0.99772899999999998</v>
      </c>
      <c r="F3127" s="1">
        <f t="shared" si="97"/>
        <v>41799</v>
      </c>
      <c r="G3127" cm="1">
        <f t="array" ref="G3127">PRODUCT( _xlfn._xlws.FILTER($E:$E, ($C:$C=C3127)*($F:$F=F3127)) ) - 1</f>
        <v>6.690367293049837E-3</v>
      </c>
    </row>
    <row r="3128" spans="1:7" x14ac:dyDescent="0.2">
      <c r="A3128" s="1">
        <v>41803</v>
      </c>
      <c r="B3128">
        <v>0</v>
      </c>
      <c r="C3128" t="s">
        <v>13</v>
      </c>
      <c r="D3128">
        <v>7.2300000000000003E-3</v>
      </c>
      <c r="E3128">
        <f t="shared" si="96"/>
        <v>1.0072300000000001</v>
      </c>
      <c r="F3128" s="1">
        <f t="shared" si="97"/>
        <v>41799</v>
      </c>
      <c r="G3128" cm="1">
        <f t="array" ref="G3128">PRODUCT( _xlfn._xlws.FILTER($E:$E, ($C:$C=C3128)*($F:$F=F3128)) ) - 1</f>
        <v>6.690367293049837E-3</v>
      </c>
    </row>
    <row r="3129" spans="1:7" x14ac:dyDescent="0.2">
      <c r="A3129" s="1">
        <v>41806</v>
      </c>
      <c r="B3129">
        <v>0</v>
      </c>
      <c r="C3129" t="s">
        <v>13</v>
      </c>
      <c r="D3129">
        <v>-1.462E-3</v>
      </c>
      <c r="E3129">
        <f t="shared" si="96"/>
        <v>0.99853800000000004</v>
      </c>
      <c r="F3129" s="1">
        <f t="shared" si="97"/>
        <v>41806</v>
      </c>
      <c r="G3129" cm="1">
        <f t="array" ref="G3129">PRODUCT( _xlfn._xlws.FILTER($E:$E, ($C:$C=C3129)*($F:$F=F3129)) ) - 1</f>
        <v>-3.4557299065395286E-3</v>
      </c>
    </row>
    <row r="3130" spans="1:7" x14ac:dyDescent="0.2">
      <c r="A3130" s="1">
        <v>41807</v>
      </c>
      <c r="B3130">
        <v>0</v>
      </c>
      <c r="C3130" t="s">
        <v>13</v>
      </c>
      <c r="D3130">
        <v>7.9900000000000001E-4</v>
      </c>
      <c r="E3130">
        <f t="shared" si="96"/>
        <v>1.000799</v>
      </c>
      <c r="F3130" s="1">
        <f t="shared" si="97"/>
        <v>41806</v>
      </c>
      <c r="G3130" cm="1">
        <f t="array" ref="G3130">PRODUCT( _xlfn._xlws.FILTER($E:$E, ($C:$C=C3130)*($F:$F=F3130)) ) - 1</f>
        <v>-3.4557299065395286E-3</v>
      </c>
    </row>
    <row r="3131" spans="1:7" x14ac:dyDescent="0.2">
      <c r="A3131" s="1">
        <v>41808</v>
      </c>
      <c r="B3131">
        <v>0</v>
      </c>
      <c r="C3131" t="s">
        <v>13</v>
      </c>
      <c r="D3131">
        <v>2.3939999999999999E-3</v>
      </c>
      <c r="E3131">
        <f t="shared" si="96"/>
        <v>1.002394</v>
      </c>
      <c r="F3131" s="1">
        <f t="shared" si="97"/>
        <v>41806</v>
      </c>
      <c r="G3131" cm="1">
        <f t="array" ref="G3131">PRODUCT( _xlfn._xlws.FILTER($E:$E, ($C:$C=C3131)*($F:$F=F3131)) ) - 1</f>
        <v>-3.4557299065395286E-3</v>
      </c>
    </row>
    <row r="3132" spans="1:7" x14ac:dyDescent="0.2">
      <c r="A3132" s="1">
        <v>41809</v>
      </c>
      <c r="B3132">
        <v>0</v>
      </c>
      <c r="C3132" t="s">
        <v>13</v>
      </c>
      <c r="D3132">
        <v>-3.4499999999999999E-3</v>
      </c>
      <c r="E3132">
        <f t="shared" si="96"/>
        <v>0.99655000000000005</v>
      </c>
      <c r="F3132" s="1">
        <f t="shared" si="97"/>
        <v>41806</v>
      </c>
      <c r="G3132" cm="1">
        <f t="array" ref="G3132">PRODUCT( _xlfn._xlws.FILTER($E:$E, ($C:$C=C3132)*($F:$F=F3132)) ) - 1</f>
        <v>-3.4557299065395286E-3</v>
      </c>
    </row>
    <row r="3133" spans="1:7" x14ac:dyDescent="0.2">
      <c r="A3133" s="1">
        <v>41810</v>
      </c>
      <c r="B3133">
        <v>0</v>
      </c>
      <c r="C3133" t="s">
        <v>13</v>
      </c>
      <c r="D3133">
        <v>-1.7309999999999999E-3</v>
      </c>
      <c r="E3133">
        <f t="shared" si="96"/>
        <v>0.99826899999999996</v>
      </c>
      <c r="F3133" s="1">
        <f t="shared" si="97"/>
        <v>41806</v>
      </c>
      <c r="G3133" cm="1">
        <f t="array" ref="G3133">PRODUCT( _xlfn._xlws.FILTER($E:$E, ($C:$C=C3133)*($F:$F=F3133)) ) - 1</f>
        <v>-3.4557299065395286E-3</v>
      </c>
    </row>
    <row r="3134" spans="1:7" x14ac:dyDescent="0.2">
      <c r="A3134" s="1">
        <v>41813</v>
      </c>
      <c r="B3134">
        <v>0</v>
      </c>
      <c r="C3134" t="s">
        <v>13</v>
      </c>
      <c r="D3134">
        <v>2.9350000000000001E-3</v>
      </c>
      <c r="E3134">
        <f t="shared" si="96"/>
        <v>1.0029349999999999</v>
      </c>
      <c r="F3134" s="1">
        <f t="shared" si="97"/>
        <v>41813</v>
      </c>
      <c r="G3134" cm="1">
        <f t="array" ref="G3134">PRODUCT( _xlfn._xlws.FILTER($E:$E, ($C:$C=C3134)*($F:$F=F3134)) ) - 1</f>
        <v>1.4138779714451433E-2</v>
      </c>
    </row>
    <row r="3135" spans="1:7" x14ac:dyDescent="0.2">
      <c r="A3135" s="1">
        <v>41814</v>
      </c>
      <c r="B3135">
        <v>0</v>
      </c>
      <c r="C3135" t="s">
        <v>13</v>
      </c>
      <c r="D3135">
        <v>-1.4630000000000001E-3</v>
      </c>
      <c r="E3135">
        <f t="shared" si="96"/>
        <v>0.99853700000000001</v>
      </c>
      <c r="F3135" s="1">
        <f t="shared" si="97"/>
        <v>41813</v>
      </c>
      <c r="G3135" cm="1">
        <f t="array" ref="G3135">PRODUCT( _xlfn._xlws.FILTER($E:$E, ($C:$C=C3135)*($F:$F=F3135)) ) - 1</f>
        <v>1.4138779714451433E-2</v>
      </c>
    </row>
    <row r="3136" spans="1:7" x14ac:dyDescent="0.2">
      <c r="A3136" s="1">
        <v>41815</v>
      </c>
      <c r="B3136">
        <v>0</v>
      </c>
      <c r="C3136" t="s">
        <v>13</v>
      </c>
      <c r="D3136">
        <v>-2.5309999999999998E-3</v>
      </c>
      <c r="E3136">
        <f t="shared" si="96"/>
        <v>0.99746900000000005</v>
      </c>
      <c r="F3136" s="1">
        <f t="shared" si="97"/>
        <v>41813</v>
      </c>
      <c r="G3136" cm="1">
        <f t="array" ref="G3136">PRODUCT( _xlfn._xlws.FILTER($E:$E, ($C:$C=C3136)*($F:$F=F3136)) ) - 1</f>
        <v>1.4138779714451433E-2</v>
      </c>
    </row>
    <row r="3137" spans="1:7" x14ac:dyDescent="0.2">
      <c r="A3137" s="1">
        <v>41816</v>
      </c>
      <c r="B3137">
        <v>0</v>
      </c>
      <c r="C3137" t="s">
        <v>13</v>
      </c>
      <c r="D3137">
        <v>6.0089999999999996E-3</v>
      </c>
      <c r="E3137">
        <f t="shared" si="96"/>
        <v>1.0060089999999999</v>
      </c>
      <c r="F3137" s="1">
        <f t="shared" si="97"/>
        <v>41813</v>
      </c>
      <c r="G3137" cm="1">
        <f t="array" ref="G3137">PRODUCT( _xlfn._xlws.FILTER($E:$E, ($C:$C=C3137)*($F:$F=F3137)) ) - 1</f>
        <v>1.4138779714451433E-2</v>
      </c>
    </row>
    <row r="3138" spans="1:7" x14ac:dyDescent="0.2">
      <c r="A3138" s="1">
        <v>41817</v>
      </c>
      <c r="B3138">
        <v>0</v>
      </c>
      <c r="C3138" t="s">
        <v>13</v>
      </c>
      <c r="D3138">
        <v>9.1579999999999995E-3</v>
      </c>
      <c r="E3138">
        <f t="shared" si="96"/>
        <v>1.009158</v>
      </c>
      <c r="F3138" s="1">
        <f t="shared" si="97"/>
        <v>41813</v>
      </c>
      <c r="G3138" cm="1">
        <f t="array" ref="G3138">PRODUCT( _xlfn._xlws.FILTER($E:$E, ($C:$C=C3138)*($F:$F=F3138)) ) - 1</f>
        <v>1.4138779714451433E-2</v>
      </c>
    </row>
    <row r="3139" spans="1:7" x14ac:dyDescent="0.2">
      <c r="A3139" s="1">
        <v>41820</v>
      </c>
      <c r="B3139">
        <v>0</v>
      </c>
      <c r="C3139" t="s">
        <v>13</v>
      </c>
      <c r="D3139">
        <v>3.2880000000000001E-3</v>
      </c>
      <c r="E3139">
        <f t="shared" si="96"/>
        <v>1.003288</v>
      </c>
      <c r="F3139" s="1">
        <f t="shared" si="97"/>
        <v>41820</v>
      </c>
      <c r="G3139" cm="1">
        <f t="array" ref="G3139">PRODUCT( _xlfn._xlws.FILTER($E:$E, ($C:$C=C3139)*($F:$F=F3139)) ) - 1</f>
        <v>1.4862414552347492E-2</v>
      </c>
    </row>
    <row r="3140" spans="1:7" x14ac:dyDescent="0.2">
      <c r="A3140" s="1">
        <v>41822</v>
      </c>
      <c r="B3140">
        <v>0</v>
      </c>
      <c r="C3140" t="s">
        <v>13</v>
      </c>
      <c r="D3140">
        <v>9.5700000000000004E-3</v>
      </c>
      <c r="E3140">
        <f t="shared" ref="E3140:E3203" si="98">D3140+1</f>
        <v>1.0095700000000001</v>
      </c>
      <c r="F3140" s="1">
        <f t="shared" ref="F3140:F3203" si="99">A3140 - (WEEKDAY(A3140, 2) - 1)</f>
        <v>41820</v>
      </c>
      <c r="G3140" cm="1">
        <f t="array" ref="G3140">PRODUCT( _xlfn._xlws.FILTER($E:$E, ($C:$C=C3140)*($F:$F=F3140)) ) - 1</f>
        <v>1.4862414552347492E-2</v>
      </c>
    </row>
    <row r="3141" spans="1:7" x14ac:dyDescent="0.2">
      <c r="A3141" s="1">
        <v>41823</v>
      </c>
      <c r="B3141">
        <v>0</v>
      </c>
      <c r="C3141" t="s">
        <v>13</v>
      </c>
      <c r="D3141">
        <v>1.299E-3</v>
      </c>
      <c r="E3141">
        <f t="shared" si="98"/>
        <v>1.0012989999999999</v>
      </c>
      <c r="F3141" s="1">
        <f t="shared" si="99"/>
        <v>41820</v>
      </c>
      <c r="G3141" cm="1">
        <f t="array" ref="G3141">PRODUCT( _xlfn._xlws.FILTER($E:$E, ($C:$C=C3141)*($F:$F=F3141)) ) - 1</f>
        <v>1.4862414552347492E-2</v>
      </c>
    </row>
    <row r="3142" spans="1:7" x14ac:dyDescent="0.2">
      <c r="A3142" s="1">
        <v>41824</v>
      </c>
      <c r="B3142">
        <v>0</v>
      </c>
      <c r="C3142" t="s">
        <v>13</v>
      </c>
      <c r="D3142">
        <v>6.4800000000000003E-4</v>
      </c>
      <c r="E3142">
        <f t="shared" si="98"/>
        <v>1.000648</v>
      </c>
      <c r="F3142" s="1">
        <f t="shared" si="99"/>
        <v>41820</v>
      </c>
      <c r="G3142" cm="1">
        <f t="array" ref="G3142">PRODUCT( _xlfn._xlws.FILTER($E:$E, ($C:$C=C3142)*($F:$F=F3142)) ) - 1</f>
        <v>1.4862414552347492E-2</v>
      </c>
    </row>
    <row r="3143" spans="1:7" x14ac:dyDescent="0.2">
      <c r="A3143" s="1">
        <v>41827</v>
      </c>
      <c r="B3143">
        <v>0</v>
      </c>
      <c r="C3143" t="s">
        <v>13</v>
      </c>
      <c r="D3143">
        <v>5.1840000000000002E-3</v>
      </c>
      <c r="E3143">
        <f t="shared" si="98"/>
        <v>1.0051840000000001</v>
      </c>
      <c r="F3143" s="1">
        <f t="shared" si="99"/>
        <v>41827</v>
      </c>
      <c r="G3143" cm="1">
        <f t="array" ref="G3143">PRODUCT( _xlfn._xlws.FILTER($E:$E, ($C:$C=C3143)*($F:$F=F3143)) ) - 1</f>
        <v>1.5292397681391012E-2</v>
      </c>
    </row>
    <row r="3144" spans="1:7" x14ac:dyDescent="0.2">
      <c r="A3144" s="1">
        <v>41828</v>
      </c>
      <c r="B3144">
        <v>0</v>
      </c>
      <c r="C3144" t="s">
        <v>13</v>
      </c>
      <c r="D3144">
        <v>3.4810000000000002E-3</v>
      </c>
      <c r="E3144">
        <f t="shared" si="98"/>
        <v>1.0034810000000001</v>
      </c>
      <c r="F3144" s="1">
        <f t="shared" si="99"/>
        <v>41827</v>
      </c>
      <c r="G3144" cm="1">
        <f t="array" ref="G3144">PRODUCT( _xlfn._xlws.FILTER($E:$E, ($C:$C=C3144)*($F:$F=F3144)) ) - 1</f>
        <v>1.5292397681391012E-2</v>
      </c>
    </row>
    <row r="3145" spans="1:7" x14ac:dyDescent="0.2">
      <c r="A3145" s="1">
        <v>41829</v>
      </c>
      <c r="B3145">
        <v>0</v>
      </c>
      <c r="C3145" t="s">
        <v>13</v>
      </c>
      <c r="D3145">
        <v>8.6079999999999993E-3</v>
      </c>
      <c r="E3145">
        <f t="shared" si="98"/>
        <v>1.0086079999999999</v>
      </c>
      <c r="F3145" s="1">
        <f t="shared" si="99"/>
        <v>41827</v>
      </c>
      <c r="G3145" cm="1">
        <f t="array" ref="G3145">PRODUCT( _xlfn._xlws.FILTER($E:$E, ($C:$C=C3145)*($F:$F=F3145)) ) - 1</f>
        <v>1.5292397681391012E-2</v>
      </c>
    </row>
    <row r="3146" spans="1:7" x14ac:dyDescent="0.2">
      <c r="A3146" s="1">
        <v>41830</v>
      </c>
      <c r="B3146">
        <v>0</v>
      </c>
      <c r="C3146" t="s">
        <v>13</v>
      </c>
      <c r="D3146">
        <v>-2.0379999999999999E-3</v>
      </c>
      <c r="E3146">
        <f t="shared" si="98"/>
        <v>0.99796200000000002</v>
      </c>
      <c r="F3146" s="1">
        <f t="shared" si="99"/>
        <v>41827</v>
      </c>
      <c r="G3146" cm="1">
        <f t="array" ref="G3146">PRODUCT( _xlfn._xlws.FILTER($E:$E, ($C:$C=C3146)*($F:$F=F3146)) ) - 1</f>
        <v>1.5292397681391012E-2</v>
      </c>
    </row>
    <row r="3147" spans="1:7" x14ac:dyDescent="0.2">
      <c r="A3147" s="1">
        <v>41831</v>
      </c>
      <c r="B3147">
        <v>0</v>
      </c>
      <c r="C3147" t="s">
        <v>13</v>
      </c>
      <c r="D3147">
        <v>0</v>
      </c>
      <c r="E3147">
        <f t="shared" si="98"/>
        <v>1</v>
      </c>
      <c r="F3147" s="1">
        <f t="shared" si="99"/>
        <v>41827</v>
      </c>
      <c r="G3147" cm="1">
        <f t="array" ref="G3147">PRODUCT( _xlfn._xlws.FILTER($E:$E, ($C:$C=C3147)*($F:$F=F3147)) ) - 1</f>
        <v>1.5292397681391012E-2</v>
      </c>
    </row>
    <row r="3148" spans="1:7" x14ac:dyDescent="0.2">
      <c r="A3148" s="1">
        <v>41834</v>
      </c>
      <c r="B3148">
        <v>0</v>
      </c>
      <c r="C3148" t="s">
        <v>13</v>
      </c>
      <c r="D3148">
        <v>5.3610000000000003E-3</v>
      </c>
      <c r="E3148">
        <f t="shared" si="98"/>
        <v>1.0053609999999999</v>
      </c>
      <c r="F3148" s="1">
        <f t="shared" si="99"/>
        <v>41834</v>
      </c>
      <c r="G3148" cm="1">
        <f t="array" ref="G3148">PRODUCT( _xlfn._xlws.FILTER($E:$E, ($C:$C=C3148)*($F:$F=F3148)) ) - 1</f>
        <v>1.7360139671897201E-2</v>
      </c>
    </row>
    <row r="3149" spans="1:7" x14ac:dyDescent="0.2">
      <c r="A3149" s="1">
        <v>41835</v>
      </c>
      <c r="B3149">
        <v>0</v>
      </c>
      <c r="C3149" t="s">
        <v>13</v>
      </c>
      <c r="D3149">
        <v>5.4599999999999996E-3</v>
      </c>
      <c r="E3149">
        <f t="shared" si="98"/>
        <v>1.00546</v>
      </c>
      <c r="F3149" s="1">
        <f t="shared" si="99"/>
        <v>41834</v>
      </c>
      <c r="G3149" cm="1">
        <f t="array" ref="G3149">PRODUCT( _xlfn._xlws.FILTER($E:$E, ($C:$C=C3149)*($F:$F=F3149)) ) - 1</f>
        <v>1.7360139671897201E-2</v>
      </c>
    </row>
    <row r="3150" spans="1:7" x14ac:dyDescent="0.2">
      <c r="A3150" s="1">
        <v>41836</v>
      </c>
      <c r="B3150">
        <v>0</v>
      </c>
      <c r="C3150" t="s">
        <v>13</v>
      </c>
      <c r="D3150">
        <v>6.4400000000000004E-3</v>
      </c>
      <c r="E3150">
        <f t="shared" si="98"/>
        <v>1.00644</v>
      </c>
      <c r="F3150" s="1">
        <f t="shared" si="99"/>
        <v>41834</v>
      </c>
      <c r="G3150" cm="1">
        <f t="array" ref="G3150">PRODUCT( _xlfn._xlws.FILTER($E:$E, ($C:$C=C3150)*($F:$F=F3150)) ) - 1</f>
        <v>1.7360139671897201E-2</v>
      </c>
    </row>
    <row r="3151" spans="1:7" x14ac:dyDescent="0.2">
      <c r="A3151" s="1">
        <v>41837</v>
      </c>
      <c r="B3151">
        <v>0</v>
      </c>
      <c r="C3151" t="s">
        <v>13</v>
      </c>
      <c r="D3151">
        <v>1.0039999999999999E-3</v>
      </c>
      <c r="E3151">
        <f t="shared" si="98"/>
        <v>1.001004</v>
      </c>
      <c r="F3151" s="1">
        <f t="shared" si="99"/>
        <v>41834</v>
      </c>
      <c r="G3151" cm="1">
        <f t="array" ref="G3151">PRODUCT( _xlfn._xlws.FILTER($E:$E, ($C:$C=C3151)*($F:$F=F3151)) ) - 1</f>
        <v>1.7360139671897201E-2</v>
      </c>
    </row>
    <row r="3152" spans="1:7" x14ac:dyDescent="0.2">
      <c r="A3152" s="1">
        <v>41838</v>
      </c>
      <c r="B3152">
        <v>0</v>
      </c>
      <c r="C3152" t="s">
        <v>13</v>
      </c>
      <c r="D3152">
        <v>-1.003E-3</v>
      </c>
      <c r="E3152">
        <f t="shared" si="98"/>
        <v>0.99899700000000002</v>
      </c>
      <c r="F3152" s="1">
        <f t="shared" si="99"/>
        <v>41834</v>
      </c>
      <c r="G3152" cm="1">
        <f t="array" ref="G3152">PRODUCT( _xlfn._xlws.FILTER($E:$E, ($C:$C=C3152)*($F:$F=F3152)) ) - 1</f>
        <v>1.7360139671897201E-2</v>
      </c>
    </row>
    <row r="3153" spans="1:7" x14ac:dyDescent="0.2">
      <c r="A3153" s="1">
        <v>41841</v>
      </c>
      <c r="B3153">
        <v>0</v>
      </c>
      <c r="C3153" t="s">
        <v>13</v>
      </c>
      <c r="D3153">
        <v>3.137E-3</v>
      </c>
      <c r="E3153">
        <f t="shared" si="98"/>
        <v>1.0031369999999999</v>
      </c>
      <c r="F3153" s="1">
        <f t="shared" si="99"/>
        <v>41841</v>
      </c>
      <c r="G3153" cm="1">
        <f t="array" ref="G3153">PRODUCT( _xlfn._xlws.FILTER($E:$E, ($C:$C=C3153)*($F:$F=F3153)) ) - 1</f>
        <v>1.1347626659045984E-2</v>
      </c>
    </row>
    <row r="3154" spans="1:7" x14ac:dyDescent="0.2">
      <c r="A3154" s="1">
        <v>41842</v>
      </c>
      <c r="B3154">
        <v>0</v>
      </c>
      <c r="C3154" t="s">
        <v>13</v>
      </c>
      <c r="D3154">
        <v>2.0010000000000002E-3</v>
      </c>
      <c r="E3154">
        <f t="shared" si="98"/>
        <v>1.0020009999999999</v>
      </c>
      <c r="F3154" s="1">
        <f t="shared" si="99"/>
        <v>41841</v>
      </c>
      <c r="G3154" cm="1">
        <f t="array" ref="G3154">PRODUCT( _xlfn._xlws.FILTER($E:$E, ($C:$C=C3154)*($F:$F=F3154)) ) - 1</f>
        <v>1.1347626659045984E-2</v>
      </c>
    </row>
    <row r="3155" spans="1:7" x14ac:dyDescent="0.2">
      <c r="A3155" s="1">
        <v>41843</v>
      </c>
      <c r="B3155">
        <v>0</v>
      </c>
      <c r="C3155" t="s">
        <v>13</v>
      </c>
      <c r="D3155">
        <v>-1.763E-3</v>
      </c>
      <c r="E3155">
        <f t="shared" si="98"/>
        <v>0.99823700000000004</v>
      </c>
      <c r="F3155" s="1">
        <f t="shared" si="99"/>
        <v>41841</v>
      </c>
      <c r="G3155" cm="1">
        <f t="array" ref="G3155">PRODUCT( _xlfn._xlws.FILTER($E:$E, ($C:$C=C3155)*($F:$F=F3155)) ) - 1</f>
        <v>1.1347626659045984E-2</v>
      </c>
    </row>
    <row r="3156" spans="1:7" x14ac:dyDescent="0.2">
      <c r="A3156" s="1">
        <v>41844</v>
      </c>
      <c r="B3156">
        <v>0</v>
      </c>
      <c r="C3156" t="s">
        <v>13</v>
      </c>
      <c r="D3156">
        <v>6.3100000000000005E-4</v>
      </c>
      <c r="E3156">
        <f t="shared" si="98"/>
        <v>1.000631</v>
      </c>
      <c r="F3156" s="1">
        <f t="shared" si="99"/>
        <v>41841</v>
      </c>
      <c r="G3156" cm="1">
        <f t="array" ref="G3156">PRODUCT( _xlfn._xlws.FILTER($E:$E, ($C:$C=C3156)*($F:$F=F3156)) ) - 1</f>
        <v>1.1347626659045984E-2</v>
      </c>
    </row>
    <row r="3157" spans="1:7" x14ac:dyDescent="0.2">
      <c r="A3157" s="1">
        <v>41845</v>
      </c>
      <c r="B3157">
        <v>0</v>
      </c>
      <c r="C3157" t="s">
        <v>13</v>
      </c>
      <c r="D3157">
        <v>7.3130000000000001E-3</v>
      </c>
      <c r="E3157">
        <f t="shared" si="98"/>
        <v>1.0073129999999999</v>
      </c>
      <c r="F3157" s="1">
        <f t="shared" si="99"/>
        <v>41841</v>
      </c>
      <c r="G3157" cm="1">
        <f t="array" ref="G3157">PRODUCT( _xlfn._xlws.FILTER($E:$E, ($C:$C=C3157)*($F:$F=F3157)) ) - 1</f>
        <v>1.1347626659045984E-2</v>
      </c>
    </row>
    <row r="3158" spans="1:7" x14ac:dyDescent="0.2">
      <c r="A3158" s="1">
        <v>41848</v>
      </c>
      <c r="B3158">
        <v>0</v>
      </c>
      <c r="C3158" t="s">
        <v>13</v>
      </c>
      <c r="D3158">
        <v>-2.5000000000000001E-4</v>
      </c>
      <c r="E3158">
        <f t="shared" si="98"/>
        <v>0.99975000000000003</v>
      </c>
      <c r="F3158" s="1">
        <f t="shared" si="99"/>
        <v>41848</v>
      </c>
      <c r="G3158" cm="1">
        <f t="array" ref="G3158">PRODUCT( _xlfn._xlws.FILTER($E:$E, ($C:$C=C3158)*($F:$F=F3158)) ) - 1</f>
        <v>-6.509205802192608E-3</v>
      </c>
    </row>
    <row r="3159" spans="1:7" x14ac:dyDescent="0.2">
      <c r="A3159" s="1">
        <v>41849</v>
      </c>
      <c r="B3159">
        <v>0</v>
      </c>
      <c r="C3159" t="s">
        <v>13</v>
      </c>
      <c r="D3159">
        <v>1.25E-4</v>
      </c>
      <c r="E3159">
        <f t="shared" si="98"/>
        <v>1.0001249999999999</v>
      </c>
      <c r="F3159" s="1">
        <f t="shared" si="99"/>
        <v>41848</v>
      </c>
      <c r="G3159" cm="1">
        <f t="array" ref="G3159">PRODUCT( _xlfn._xlws.FILTER($E:$E, ($C:$C=C3159)*($F:$F=F3159)) ) - 1</f>
        <v>-6.509205802192608E-3</v>
      </c>
    </row>
    <row r="3160" spans="1:7" x14ac:dyDescent="0.2">
      <c r="A3160" s="1">
        <v>41850</v>
      </c>
      <c r="B3160">
        <v>0</v>
      </c>
      <c r="C3160" t="s">
        <v>13</v>
      </c>
      <c r="D3160">
        <v>9.7649999999999994E-3</v>
      </c>
      <c r="E3160">
        <f t="shared" si="98"/>
        <v>1.009765</v>
      </c>
      <c r="F3160" s="1">
        <f t="shared" si="99"/>
        <v>41848</v>
      </c>
      <c r="G3160" cm="1">
        <f t="array" ref="G3160">PRODUCT( _xlfn._xlws.FILTER($E:$E, ($C:$C=C3160)*($F:$F=F3160)) ) - 1</f>
        <v>-6.509205802192608E-3</v>
      </c>
    </row>
    <row r="3161" spans="1:7" x14ac:dyDescent="0.2">
      <c r="A3161" s="1">
        <v>41851</v>
      </c>
      <c r="B3161">
        <v>0</v>
      </c>
      <c r="C3161" t="s">
        <v>13</v>
      </c>
      <c r="D3161">
        <v>-2.356E-3</v>
      </c>
      <c r="E3161">
        <f t="shared" si="98"/>
        <v>0.99764399999999998</v>
      </c>
      <c r="F3161" s="1">
        <f t="shared" si="99"/>
        <v>41848</v>
      </c>
      <c r="G3161" cm="1">
        <f t="array" ref="G3161">PRODUCT( _xlfn._xlws.FILTER($E:$E, ($C:$C=C3161)*($F:$F=F3161)) ) - 1</f>
        <v>-6.509205802192608E-3</v>
      </c>
    </row>
    <row r="3162" spans="1:7" x14ac:dyDescent="0.2">
      <c r="A3162" s="1">
        <v>41852</v>
      </c>
      <c r="B3162">
        <v>0</v>
      </c>
      <c r="C3162" t="s">
        <v>13</v>
      </c>
      <c r="D3162">
        <v>-1.367E-2</v>
      </c>
      <c r="E3162">
        <f t="shared" si="98"/>
        <v>0.98633000000000004</v>
      </c>
      <c r="F3162" s="1">
        <f t="shared" si="99"/>
        <v>41848</v>
      </c>
      <c r="G3162" cm="1">
        <f t="array" ref="G3162">PRODUCT( _xlfn._xlws.FILTER($E:$E, ($C:$C=C3162)*($F:$F=F3162)) ) - 1</f>
        <v>-6.509205802192608E-3</v>
      </c>
    </row>
    <row r="3163" spans="1:7" x14ac:dyDescent="0.2">
      <c r="A3163" s="1">
        <v>41856</v>
      </c>
      <c r="B3163">
        <v>0</v>
      </c>
      <c r="C3163" t="s">
        <v>13</v>
      </c>
      <c r="D3163">
        <v>2.5200000000000001E-3</v>
      </c>
      <c r="E3163">
        <f t="shared" si="98"/>
        <v>1.0025200000000001</v>
      </c>
      <c r="F3163" s="1">
        <f t="shared" si="99"/>
        <v>41855</v>
      </c>
      <c r="G3163" cm="1">
        <f t="array" ref="G3163">PRODUCT( _xlfn._xlws.FILTER($E:$E, ($C:$C=C3163)*($F:$F=F3163)) ) - 1</f>
        <v>-5.1646428363798513E-3</v>
      </c>
    </row>
    <row r="3164" spans="1:7" x14ac:dyDescent="0.2">
      <c r="A3164" s="1">
        <v>41857</v>
      </c>
      <c r="B3164">
        <v>0</v>
      </c>
      <c r="C3164" t="s">
        <v>13</v>
      </c>
      <c r="D3164">
        <v>2.0110000000000002E-3</v>
      </c>
      <c r="E3164">
        <f t="shared" si="98"/>
        <v>1.002011</v>
      </c>
      <c r="F3164" s="1">
        <f t="shared" si="99"/>
        <v>41855</v>
      </c>
      <c r="G3164" cm="1">
        <f t="array" ref="G3164">PRODUCT( _xlfn._xlws.FILTER($E:$E, ($C:$C=C3164)*($F:$F=F3164)) ) - 1</f>
        <v>-5.1646428363798513E-3</v>
      </c>
    </row>
    <row r="3165" spans="1:7" x14ac:dyDescent="0.2">
      <c r="A3165" s="1">
        <v>41858</v>
      </c>
      <c r="B3165">
        <v>0</v>
      </c>
      <c r="C3165" t="s">
        <v>13</v>
      </c>
      <c r="D3165">
        <v>-4.2640000000000004E-3</v>
      </c>
      <c r="E3165">
        <f t="shared" si="98"/>
        <v>0.99573599999999995</v>
      </c>
      <c r="F3165" s="1">
        <f t="shared" si="99"/>
        <v>41855</v>
      </c>
      <c r="G3165" cm="1">
        <f t="array" ref="G3165">PRODUCT( _xlfn._xlws.FILTER($E:$E, ($C:$C=C3165)*($F:$F=F3165)) ) - 1</f>
        <v>-5.1646428363798513E-3</v>
      </c>
    </row>
    <row r="3166" spans="1:7" x14ac:dyDescent="0.2">
      <c r="A3166" s="1">
        <v>41859</v>
      </c>
      <c r="B3166">
        <v>0</v>
      </c>
      <c r="C3166" t="s">
        <v>13</v>
      </c>
      <c r="D3166">
        <v>-5.4159999999999998E-3</v>
      </c>
      <c r="E3166">
        <f t="shared" si="98"/>
        <v>0.99458400000000002</v>
      </c>
      <c r="F3166" s="1">
        <f t="shared" si="99"/>
        <v>41855</v>
      </c>
      <c r="G3166" cm="1">
        <f t="array" ref="G3166">PRODUCT( _xlfn._xlws.FILTER($E:$E, ($C:$C=C3166)*($F:$F=F3166)) ) - 1</f>
        <v>-5.1646428363798513E-3</v>
      </c>
    </row>
    <row r="3167" spans="1:7" x14ac:dyDescent="0.2">
      <c r="A3167" s="1">
        <v>41862</v>
      </c>
      <c r="B3167">
        <v>0</v>
      </c>
      <c r="C3167" t="s">
        <v>13</v>
      </c>
      <c r="D3167">
        <v>5.1929999999999997E-3</v>
      </c>
      <c r="E3167">
        <f t="shared" si="98"/>
        <v>1.005193</v>
      </c>
      <c r="F3167" s="1">
        <f t="shared" si="99"/>
        <v>41862</v>
      </c>
      <c r="G3167" cm="1">
        <f t="array" ref="G3167">PRODUCT( _xlfn._xlws.FILTER($E:$E, ($C:$C=C3167)*($F:$F=F3167)) ) - 1</f>
        <v>1.1272273764705076E-2</v>
      </c>
    </row>
    <row r="3168" spans="1:7" x14ac:dyDescent="0.2">
      <c r="A3168" s="1">
        <v>41863</v>
      </c>
      <c r="B3168">
        <v>0</v>
      </c>
      <c r="C3168" t="s">
        <v>13</v>
      </c>
      <c r="D3168">
        <v>3.4020000000000001E-3</v>
      </c>
      <c r="E3168">
        <f t="shared" si="98"/>
        <v>1.0034019999999999</v>
      </c>
      <c r="F3168" s="1">
        <f t="shared" si="99"/>
        <v>41862</v>
      </c>
      <c r="G3168" cm="1">
        <f t="array" ref="G3168">PRODUCT( _xlfn._xlws.FILTER($E:$E, ($C:$C=C3168)*($F:$F=F3168)) ) - 1</f>
        <v>1.1272273764705076E-2</v>
      </c>
    </row>
    <row r="3169" spans="1:7" x14ac:dyDescent="0.2">
      <c r="A3169" s="1">
        <v>41864</v>
      </c>
      <c r="B3169">
        <v>0</v>
      </c>
      <c r="C3169" t="s">
        <v>13</v>
      </c>
      <c r="D3169">
        <v>-1.1299999999999999E-3</v>
      </c>
      <c r="E3169">
        <f t="shared" si="98"/>
        <v>0.99887000000000004</v>
      </c>
      <c r="F3169" s="1">
        <f t="shared" si="99"/>
        <v>41862</v>
      </c>
      <c r="G3169" cm="1">
        <f t="array" ref="G3169">PRODUCT( _xlfn._xlws.FILTER($E:$E, ($C:$C=C3169)*($F:$F=F3169)) ) - 1</f>
        <v>1.1272273764705076E-2</v>
      </c>
    </row>
    <row r="3170" spans="1:7" x14ac:dyDescent="0.2">
      <c r="A3170" s="1">
        <v>41865</v>
      </c>
      <c r="B3170">
        <v>0</v>
      </c>
      <c r="C3170" t="s">
        <v>13</v>
      </c>
      <c r="D3170">
        <v>7.417E-3</v>
      </c>
      <c r="E3170">
        <f t="shared" si="98"/>
        <v>1.007417</v>
      </c>
      <c r="F3170" s="1">
        <f t="shared" si="99"/>
        <v>41862</v>
      </c>
      <c r="G3170" cm="1">
        <f t="array" ref="G3170">PRODUCT( _xlfn._xlws.FILTER($E:$E, ($C:$C=C3170)*($F:$F=F3170)) ) - 1</f>
        <v>1.1272273764705076E-2</v>
      </c>
    </row>
    <row r="3171" spans="1:7" x14ac:dyDescent="0.2">
      <c r="A3171" s="1">
        <v>41866</v>
      </c>
      <c r="B3171">
        <v>0</v>
      </c>
      <c r="C3171" t="s">
        <v>13</v>
      </c>
      <c r="D3171">
        <v>-3.6189999999999998E-3</v>
      </c>
      <c r="E3171">
        <f t="shared" si="98"/>
        <v>0.99638099999999996</v>
      </c>
      <c r="F3171" s="1">
        <f t="shared" si="99"/>
        <v>41862</v>
      </c>
      <c r="G3171" cm="1">
        <f t="array" ref="G3171">PRODUCT( _xlfn._xlws.FILTER($E:$E, ($C:$C=C3171)*($F:$F=F3171)) ) - 1</f>
        <v>1.1272273764705076E-2</v>
      </c>
    </row>
    <row r="3172" spans="1:7" x14ac:dyDescent="0.2">
      <c r="A3172" s="1">
        <v>41869</v>
      </c>
      <c r="B3172">
        <v>0</v>
      </c>
      <c r="C3172" t="s">
        <v>13</v>
      </c>
      <c r="D3172">
        <v>7.0130000000000001E-3</v>
      </c>
      <c r="E3172">
        <f t="shared" si="98"/>
        <v>1.0070129999999999</v>
      </c>
      <c r="F3172" s="1">
        <f t="shared" si="99"/>
        <v>41869</v>
      </c>
      <c r="G3172" cm="1">
        <f t="array" ref="G3172">PRODUCT( _xlfn._xlws.FILTER($E:$E, ($C:$C=C3172)*($F:$F=F3172)) ) - 1</f>
        <v>1.1897188433924066E-2</v>
      </c>
    </row>
    <row r="3173" spans="1:7" x14ac:dyDescent="0.2">
      <c r="A3173" s="1">
        <v>41870</v>
      </c>
      <c r="B3173">
        <v>0</v>
      </c>
      <c r="C3173" t="s">
        <v>13</v>
      </c>
      <c r="D3173">
        <v>1.4799E-2</v>
      </c>
      <c r="E3173">
        <f t="shared" si="98"/>
        <v>1.014799</v>
      </c>
      <c r="F3173" s="1">
        <f t="shared" si="99"/>
        <v>41869</v>
      </c>
      <c r="G3173" cm="1">
        <f t="array" ref="G3173">PRODUCT( _xlfn._xlws.FILTER($E:$E, ($C:$C=C3173)*($F:$F=F3173)) ) - 1</f>
        <v>1.1897188433924066E-2</v>
      </c>
    </row>
    <row r="3174" spans="1:7" x14ac:dyDescent="0.2">
      <c r="A3174" s="1">
        <v>41871</v>
      </c>
      <c r="B3174">
        <v>0</v>
      </c>
      <c r="C3174" t="s">
        <v>13</v>
      </c>
      <c r="D3174">
        <v>0</v>
      </c>
      <c r="E3174">
        <f t="shared" si="98"/>
        <v>1</v>
      </c>
      <c r="F3174" s="1">
        <f t="shared" si="99"/>
        <v>41869</v>
      </c>
      <c r="G3174" cm="1">
        <f t="array" ref="G3174">PRODUCT( _xlfn._xlws.FILTER($E:$E, ($C:$C=C3174)*($F:$F=F3174)) ) - 1</f>
        <v>1.1897188433924066E-2</v>
      </c>
    </row>
    <row r="3175" spans="1:7" x14ac:dyDescent="0.2">
      <c r="A3175" s="1">
        <v>41872</v>
      </c>
      <c r="B3175">
        <v>0</v>
      </c>
      <c r="C3175" t="s">
        <v>13</v>
      </c>
      <c r="D3175">
        <v>7.3499999999999998E-4</v>
      </c>
      <c r="E3175">
        <f t="shared" si="98"/>
        <v>1.0007349999999999</v>
      </c>
      <c r="F3175" s="1">
        <f t="shared" si="99"/>
        <v>41869</v>
      </c>
      <c r="G3175" cm="1">
        <f t="array" ref="G3175">PRODUCT( _xlfn._xlws.FILTER($E:$E, ($C:$C=C3175)*($F:$F=F3175)) ) - 1</f>
        <v>1.1897188433924066E-2</v>
      </c>
    </row>
    <row r="3176" spans="1:7" x14ac:dyDescent="0.2">
      <c r="A3176" s="1">
        <v>41873</v>
      </c>
      <c r="B3176">
        <v>0</v>
      </c>
      <c r="C3176" t="s">
        <v>13</v>
      </c>
      <c r="D3176">
        <v>-1.0531E-2</v>
      </c>
      <c r="E3176">
        <f t="shared" si="98"/>
        <v>0.98946900000000004</v>
      </c>
      <c r="F3176" s="1">
        <f t="shared" si="99"/>
        <v>41869</v>
      </c>
      <c r="G3176" cm="1">
        <f t="array" ref="G3176">PRODUCT( _xlfn._xlws.FILTER($E:$E, ($C:$C=C3176)*($F:$F=F3176)) ) - 1</f>
        <v>1.1897188433924066E-2</v>
      </c>
    </row>
    <row r="3177" spans="1:7" x14ac:dyDescent="0.2">
      <c r="A3177" s="1">
        <v>41876</v>
      </c>
      <c r="B3177">
        <v>0</v>
      </c>
      <c r="C3177" t="s">
        <v>13</v>
      </c>
      <c r="D3177">
        <v>2.2279999999999999E-3</v>
      </c>
      <c r="E3177">
        <f t="shared" si="98"/>
        <v>1.0022279999999999</v>
      </c>
      <c r="F3177" s="1">
        <f t="shared" si="99"/>
        <v>41876</v>
      </c>
      <c r="G3177" cm="1">
        <f t="array" ref="G3177">PRODUCT( _xlfn._xlws.FILTER($E:$E, ($C:$C=C3177)*($F:$F=F3177)) ) - 1</f>
        <v>-3.7205483377444892E-4</v>
      </c>
    </row>
    <row r="3178" spans="1:7" x14ac:dyDescent="0.2">
      <c r="A3178" s="1">
        <v>41877</v>
      </c>
      <c r="B3178">
        <v>0</v>
      </c>
      <c r="C3178" t="s">
        <v>13</v>
      </c>
      <c r="D3178">
        <v>-3.705E-3</v>
      </c>
      <c r="E3178">
        <f t="shared" si="98"/>
        <v>0.99629500000000004</v>
      </c>
      <c r="F3178" s="1">
        <f t="shared" si="99"/>
        <v>41876</v>
      </c>
      <c r="G3178" cm="1">
        <f t="array" ref="G3178">PRODUCT( _xlfn._xlws.FILTER($E:$E, ($C:$C=C3178)*($F:$F=F3178)) ) - 1</f>
        <v>-3.7205483377444892E-4</v>
      </c>
    </row>
    <row r="3179" spans="1:7" x14ac:dyDescent="0.2">
      <c r="A3179" s="1">
        <v>41878</v>
      </c>
      <c r="B3179">
        <v>0</v>
      </c>
      <c r="C3179" t="s">
        <v>13</v>
      </c>
      <c r="D3179">
        <v>3.718E-3</v>
      </c>
      <c r="E3179">
        <f t="shared" si="98"/>
        <v>1.0037180000000001</v>
      </c>
      <c r="F3179" s="1">
        <f t="shared" si="99"/>
        <v>41876</v>
      </c>
      <c r="G3179" cm="1">
        <f t="array" ref="G3179">PRODUCT( _xlfn._xlws.FILTER($E:$E, ($C:$C=C3179)*($F:$F=F3179)) ) - 1</f>
        <v>-3.7205483377444892E-4</v>
      </c>
    </row>
    <row r="3180" spans="1:7" x14ac:dyDescent="0.2">
      <c r="A3180" s="1">
        <v>41879</v>
      </c>
      <c r="B3180">
        <v>0</v>
      </c>
      <c r="C3180" t="s">
        <v>13</v>
      </c>
      <c r="D3180">
        <v>-5.3099999999999996E-3</v>
      </c>
      <c r="E3180">
        <f t="shared" si="98"/>
        <v>0.99468999999999996</v>
      </c>
      <c r="F3180" s="1">
        <f t="shared" si="99"/>
        <v>41876</v>
      </c>
      <c r="G3180" cm="1">
        <f t="array" ref="G3180">PRODUCT( _xlfn._xlws.FILTER($E:$E, ($C:$C=C3180)*($F:$F=F3180)) ) - 1</f>
        <v>-3.7205483377444892E-4</v>
      </c>
    </row>
    <row r="3181" spans="1:7" x14ac:dyDescent="0.2">
      <c r="A3181" s="1">
        <v>41880</v>
      </c>
      <c r="B3181">
        <v>0</v>
      </c>
      <c r="C3181" t="s">
        <v>13</v>
      </c>
      <c r="D3181">
        <v>2.7309999999999999E-3</v>
      </c>
      <c r="E3181">
        <f t="shared" si="98"/>
        <v>1.002731</v>
      </c>
      <c r="F3181" s="1">
        <f t="shared" si="99"/>
        <v>41876</v>
      </c>
      <c r="G3181" cm="1">
        <f t="array" ref="G3181">PRODUCT( _xlfn._xlws.FILTER($E:$E, ($C:$C=C3181)*($F:$F=F3181)) ) - 1</f>
        <v>-3.7205483377444892E-4</v>
      </c>
    </row>
    <row r="3182" spans="1:7" x14ac:dyDescent="0.2">
      <c r="A3182" s="1">
        <v>41884</v>
      </c>
      <c r="B3182">
        <v>0</v>
      </c>
      <c r="C3182" t="s">
        <v>13</v>
      </c>
      <c r="D3182">
        <v>4.581E-3</v>
      </c>
      <c r="E3182">
        <f t="shared" si="98"/>
        <v>1.0045809999999999</v>
      </c>
      <c r="F3182" s="1">
        <f t="shared" si="99"/>
        <v>41883</v>
      </c>
      <c r="G3182" cm="1">
        <f t="array" ref="G3182">PRODUCT( _xlfn._xlws.FILTER($E:$E, ($C:$C=C3182)*($F:$F=F3182)) ) - 1</f>
        <v>-1.2346478437585962E-4</v>
      </c>
    </row>
    <row r="3183" spans="1:7" x14ac:dyDescent="0.2">
      <c r="A3183" s="1">
        <v>41885</v>
      </c>
      <c r="B3183">
        <v>0</v>
      </c>
      <c r="C3183" t="s">
        <v>13</v>
      </c>
      <c r="D3183">
        <v>6.1600000000000001E-4</v>
      </c>
      <c r="E3183">
        <f t="shared" si="98"/>
        <v>1.0006159999999999</v>
      </c>
      <c r="F3183" s="1">
        <f t="shared" si="99"/>
        <v>41883</v>
      </c>
      <c r="G3183" cm="1">
        <f t="array" ref="G3183">PRODUCT( _xlfn._xlws.FILTER($E:$E, ($C:$C=C3183)*($F:$F=F3183)) ) - 1</f>
        <v>-1.2346478437585962E-4</v>
      </c>
    </row>
    <row r="3184" spans="1:7" x14ac:dyDescent="0.2">
      <c r="A3184" s="1">
        <v>41886</v>
      </c>
      <c r="B3184">
        <v>0</v>
      </c>
      <c r="C3184" t="s">
        <v>13</v>
      </c>
      <c r="D3184">
        <v>-9.8499999999999998E-4</v>
      </c>
      <c r="E3184">
        <f t="shared" si="98"/>
        <v>0.99901499999999999</v>
      </c>
      <c r="F3184" s="1">
        <f t="shared" si="99"/>
        <v>41883</v>
      </c>
      <c r="G3184" cm="1">
        <f t="array" ref="G3184">PRODUCT( _xlfn._xlws.FILTER($E:$E, ($C:$C=C3184)*($F:$F=F3184)) ) - 1</f>
        <v>-1.2346478437585962E-4</v>
      </c>
    </row>
    <row r="3185" spans="1:7" x14ac:dyDescent="0.2">
      <c r="A3185" s="1">
        <v>41887</v>
      </c>
      <c r="B3185">
        <v>0</v>
      </c>
      <c r="C3185" t="s">
        <v>13</v>
      </c>
      <c r="D3185">
        <v>-4.3150000000000003E-3</v>
      </c>
      <c r="E3185">
        <f t="shared" si="98"/>
        <v>0.99568500000000004</v>
      </c>
      <c r="F3185" s="1">
        <f t="shared" si="99"/>
        <v>41883</v>
      </c>
      <c r="G3185" cm="1">
        <f t="array" ref="G3185">PRODUCT( _xlfn._xlws.FILTER($E:$E, ($C:$C=C3185)*($F:$F=F3185)) ) - 1</f>
        <v>-1.2346478437585962E-4</v>
      </c>
    </row>
    <row r="3186" spans="1:7" x14ac:dyDescent="0.2">
      <c r="A3186" s="1">
        <v>41890</v>
      </c>
      <c r="B3186">
        <v>0</v>
      </c>
      <c r="C3186" t="s">
        <v>13</v>
      </c>
      <c r="D3186">
        <v>6.1899999999999998E-4</v>
      </c>
      <c r="E3186">
        <f t="shared" si="98"/>
        <v>1.0006189999999999</v>
      </c>
      <c r="F3186" s="1">
        <f t="shared" si="99"/>
        <v>41890</v>
      </c>
      <c r="G3186" cm="1">
        <f t="array" ref="G3186">PRODUCT( _xlfn._xlws.FILTER($E:$E, ($C:$C=C3186)*($F:$F=F3186)) ) - 1</f>
        <v>1.7335397086552184E-2</v>
      </c>
    </row>
    <row r="3187" spans="1:7" x14ac:dyDescent="0.2">
      <c r="A3187" s="1">
        <v>41891</v>
      </c>
      <c r="B3187">
        <v>0</v>
      </c>
      <c r="C3187" t="s">
        <v>13</v>
      </c>
      <c r="D3187">
        <v>4.9500000000000004E-3</v>
      </c>
      <c r="E3187">
        <f t="shared" si="98"/>
        <v>1.00495</v>
      </c>
      <c r="F3187" s="1">
        <f t="shared" si="99"/>
        <v>41890</v>
      </c>
      <c r="G3187" cm="1">
        <f t="array" ref="G3187">PRODUCT( _xlfn._xlws.FILTER($E:$E, ($C:$C=C3187)*($F:$F=F3187)) ) - 1</f>
        <v>1.7335397086552184E-2</v>
      </c>
    </row>
    <row r="3188" spans="1:7" x14ac:dyDescent="0.2">
      <c r="A3188" s="1">
        <v>41892</v>
      </c>
      <c r="B3188">
        <v>0</v>
      </c>
      <c r="C3188" t="s">
        <v>13</v>
      </c>
      <c r="D3188">
        <v>3.6900000000000002E-4</v>
      </c>
      <c r="E3188">
        <f t="shared" si="98"/>
        <v>1.0003690000000001</v>
      </c>
      <c r="F3188" s="1">
        <f t="shared" si="99"/>
        <v>41890</v>
      </c>
      <c r="G3188" cm="1">
        <f t="array" ref="G3188">PRODUCT( _xlfn._xlws.FILTER($E:$E, ($C:$C=C3188)*($F:$F=F3188)) ) - 1</f>
        <v>1.7335397086552184E-2</v>
      </c>
    </row>
    <row r="3189" spans="1:7" x14ac:dyDescent="0.2">
      <c r="A3189" s="1">
        <v>41893</v>
      </c>
      <c r="B3189">
        <v>0</v>
      </c>
      <c r="C3189" t="s">
        <v>13</v>
      </c>
      <c r="D3189">
        <v>7.6319999999999999E-3</v>
      </c>
      <c r="E3189">
        <f t="shared" si="98"/>
        <v>1.0076320000000001</v>
      </c>
      <c r="F3189" s="1">
        <f t="shared" si="99"/>
        <v>41890</v>
      </c>
      <c r="G3189" cm="1">
        <f t="array" ref="G3189">PRODUCT( _xlfn._xlws.FILTER($E:$E, ($C:$C=C3189)*($F:$F=F3189)) ) - 1</f>
        <v>1.7335397086552184E-2</v>
      </c>
    </row>
    <row r="3190" spans="1:7" x14ac:dyDescent="0.2">
      <c r="A3190" s="1">
        <v>41894</v>
      </c>
      <c r="B3190">
        <v>0</v>
      </c>
      <c r="C3190" t="s">
        <v>13</v>
      </c>
      <c r="D3190">
        <v>3.6649999999999999E-3</v>
      </c>
      <c r="E3190">
        <f t="shared" si="98"/>
        <v>1.003665</v>
      </c>
      <c r="F3190" s="1">
        <f t="shared" si="99"/>
        <v>41890</v>
      </c>
      <c r="G3190" cm="1">
        <f t="array" ref="G3190">PRODUCT( _xlfn._xlws.FILTER($E:$E, ($C:$C=C3190)*($F:$F=F3190)) ) - 1</f>
        <v>1.7335397086552184E-2</v>
      </c>
    </row>
    <row r="3191" spans="1:7" x14ac:dyDescent="0.2">
      <c r="A3191" s="1">
        <v>41897</v>
      </c>
      <c r="B3191">
        <v>0</v>
      </c>
      <c r="C3191" t="s">
        <v>13</v>
      </c>
      <c r="D3191">
        <v>-3.408E-3</v>
      </c>
      <c r="E3191">
        <f t="shared" si="98"/>
        <v>0.99659200000000003</v>
      </c>
      <c r="F3191" s="1">
        <f t="shared" si="99"/>
        <v>41897</v>
      </c>
      <c r="G3191" cm="1">
        <f t="array" ref="G3191">PRODUCT( _xlfn._xlws.FILTER($E:$E, ($C:$C=C3191)*($F:$F=F3191)) ) - 1</f>
        <v>-4.3806478245479452E-3</v>
      </c>
    </row>
    <row r="3192" spans="1:7" x14ac:dyDescent="0.2">
      <c r="A3192" s="1">
        <v>41898</v>
      </c>
      <c r="B3192">
        <v>0</v>
      </c>
      <c r="C3192" t="s">
        <v>13</v>
      </c>
      <c r="D3192">
        <v>5.13E-3</v>
      </c>
      <c r="E3192">
        <f t="shared" si="98"/>
        <v>1.0051300000000001</v>
      </c>
      <c r="F3192" s="1">
        <f t="shared" si="99"/>
        <v>41897</v>
      </c>
      <c r="G3192" cm="1">
        <f t="array" ref="G3192">PRODUCT( _xlfn._xlws.FILTER($E:$E, ($C:$C=C3192)*($F:$F=F3192)) ) - 1</f>
        <v>-4.3806478245479452E-3</v>
      </c>
    </row>
    <row r="3193" spans="1:7" x14ac:dyDescent="0.2">
      <c r="A3193" s="1">
        <v>41899</v>
      </c>
      <c r="B3193">
        <v>0</v>
      </c>
      <c r="C3193" t="s">
        <v>13</v>
      </c>
      <c r="D3193">
        <v>1.944E-3</v>
      </c>
      <c r="E3193">
        <f t="shared" si="98"/>
        <v>1.0019439999999999</v>
      </c>
      <c r="F3193" s="1">
        <f t="shared" si="99"/>
        <v>41897</v>
      </c>
      <c r="G3193" cm="1">
        <f t="array" ref="G3193">PRODUCT( _xlfn._xlws.FILTER($E:$E, ($C:$C=C3193)*($F:$F=F3193)) ) - 1</f>
        <v>-4.3806478245479452E-3</v>
      </c>
    </row>
    <row r="3194" spans="1:7" x14ac:dyDescent="0.2">
      <c r="A3194" s="1">
        <v>41900</v>
      </c>
      <c r="B3194">
        <v>0</v>
      </c>
      <c r="C3194" t="s">
        <v>13</v>
      </c>
      <c r="D3194">
        <v>7.8829999999999994E-3</v>
      </c>
      <c r="E3194">
        <f t="shared" si="98"/>
        <v>1.0078830000000001</v>
      </c>
      <c r="F3194" s="1">
        <f t="shared" si="99"/>
        <v>41897</v>
      </c>
      <c r="G3194" cm="1">
        <f t="array" ref="G3194">PRODUCT( _xlfn._xlws.FILTER($E:$E, ($C:$C=C3194)*($F:$F=F3194)) ) - 1</f>
        <v>-4.3806478245479452E-3</v>
      </c>
    </row>
    <row r="3195" spans="1:7" x14ac:dyDescent="0.2">
      <c r="A3195" s="1">
        <v>41901</v>
      </c>
      <c r="B3195">
        <v>0</v>
      </c>
      <c r="C3195" t="s">
        <v>13</v>
      </c>
      <c r="D3195">
        <v>-1.5762000000000002E-2</v>
      </c>
      <c r="E3195">
        <f t="shared" si="98"/>
        <v>0.98423799999999995</v>
      </c>
      <c r="F3195" s="1">
        <f t="shared" si="99"/>
        <v>41897</v>
      </c>
      <c r="G3195" cm="1">
        <f t="array" ref="G3195">PRODUCT( _xlfn._xlws.FILTER($E:$E, ($C:$C=C3195)*($F:$F=F3195)) ) - 1</f>
        <v>-4.3806478245479452E-3</v>
      </c>
    </row>
    <row r="3196" spans="1:7" x14ac:dyDescent="0.2">
      <c r="A3196" s="1">
        <v>41904</v>
      </c>
      <c r="B3196">
        <v>0</v>
      </c>
      <c r="C3196" t="s">
        <v>13</v>
      </c>
      <c r="D3196">
        <v>-2.2000000000000001E-3</v>
      </c>
      <c r="E3196">
        <f t="shared" si="98"/>
        <v>0.99780000000000002</v>
      </c>
      <c r="F3196" s="1">
        <f t="shared" si="99"/>
        <v>41904</v>
      </c>
      <c r="G3196" cm="1">
        <f t="array" ref="G3196">PRODUCT( _xlfn._xlws.FILTER($E:$E, ($C:$C=C3196)*($F:$F=F3196)) ) - 1</f>
        <v>-1.6626007319589742E-2</v>
      </c>
    </row>
    <row r="3197" spans="1:7" x14ac:dyDescent="0.2">
      <c r="A3197" s="1">
        <v>41905</v>
      </c>
      <c r="B3197">
        <v>0</v>
      </c>
      <c r="C3197" t="s">
        <v>13</v>
      </c>
      <c r="D3197">
        <v>-1.348E-3</v>
      </c>
      <c r="E3197">
        <f t="shared" si="98"/>
        <v>0.99865199999999998</v>
      </c>
      <c r="F3197" s="1">
        <f t="shared" si="99"/>
        <v>41904</v>
      </c>
      <c r="G3197" cm="1">
        <f t="array" ref="G3197">PRODUCT( _xlfn._xlws.FILTER($E:$E, ($C:$C=C3197)*($F:$F=F3197)) ) - 1</f>
        <v>-1.6626007319589742E-2</v>
      </c>
    </row>
    <row r="3198" spans="1:7" x14ac:dyDescent="0.2">
      <c r="A3198" s="1">
        <v>41906</v>
      </c>
      <c r="B3198">
        <v>0</v>
      </c>
      <c r="C3198" t="s">
        <v>13</v>
      </c>
      <c r="D3198">
        <v>-3.558E-3</v>
      </c>
      <c r="E3198">
        <f t="shared" si="98"/>
        <v>0.99644200000000005</v>
      </c>
      <c r="F3198" s="1">
        <f t="shared" si="99"/>
        <v>41904</v>
      </c>
      <c r="G3198" cm="1">
        <f t="array" ref="G3198">PRODUCT( _xlfn._xlws.FILTER($E:$E, ($C:$C=C3198)*($F:$F=F3198)) ) - 1</f>
        <v>-1.6626007319589742E-2</v>
      </c>
    </row>
    <row r="3199" spans="1:7" x14ac:dyDescent="0.2">
      <c r="A3199" s="1">
        <v>41907</v>
      </c>
      <c r="B3199">
        <v>0</v>
      </c>
      <c r="C3199" t="s">
        <v>13</v>
      </c>
      <c r="D3199">
        <v>-1.7729999999999999E-2</v>
      </c>
      <c r="E3199">
        <f t="shared" si="98"/>
        <v>0.98226999999999998</v>
      </c>
      <c r="F3199" s="1">
        <f t="shared" si="99"/>
        <v>41904</v>
      </c>
      <c r="G3199" cm="1">
        <f t="array" ref="G3199">PRODUCT( _xlfn._xlws.FILTER($E:$E, ($C:$C=C3199)*($F:$F=F3199)) ) - 1</f>
        <v>-1.6626007319589742E-2</v>
      </c>
    </row>
    <row r="3200" spans="1:7" x14ac:dyDescent="0.2">
      <c r="A3200" s="1">
        <v>41908</v>
      </c>
      <c r="B3200">
        <v>0</v>
      </c>
      <c r="C3200" t="s">
        <v>13</v>
      </c>
      <c r="D3200">
        <v>8.2730000000000008E-3</v>
      </c>
      <c r="E3200">
        <f t="shared" si="98"/>
        <v>1.008273</v>
      </c>
      <c r="F3200" s="1">
        <f t="shared" si="99"/>
        <v>41904</v>
      </c>
      <c r="G3200" cm="1">
        <f t="array" ref="G3200">PRODUCT( _xlfn._xlws.FILTER($E:$E, ($C:$C=C3200)*($F:$F=F3200)) ) - 1</f>
        <v>-1.6626007319589742E-2</v>
      </c>
    </row>
    <row r="3201" spans="1:7" x14ac:dyDescent="0.2">
      <c r="A3201" s="1">
        <v>41911</v>
      </c>
      <c r="B3201">
        <v>0</v>
      </c>
      <c r="C3201" t="s">
        <v>13</v>
      </c>
      <c r="D3201">
        <v>-1.0815999999999999E-2</v>
      </c>
      <c r="E3201">
        <f t="shared" si="98"/>
        <v>0.98918399999999995</v>
      </c>
      <c r="F3201" s="1">
        <f t="shared" si="99"/>
        <v>41911</v>
      </c>
      <c r="G3201" cm="1">
        <f t="array" ref="G3201">PRODUCT( _xlfn._xlws.FILTER($E:$E, ($C:$C=C3201)*($F:$F=F3201)) ) - 1</f>
        <v>-5.222208954230867E-3</v>
      </c>
    </row>
    <row r="3202" spans="1:7" x14ac:dyDescent="0.2">
      <c r="A3202" s="1">
        <v>41912</v>
      </c>
      <c r="B3202">
        <v>0</v>
      </c>
      <c r="C3202" t="s">
        <v>13</v>
      </c>
      <c r="D3202">
        <v>6.032E-3</v>
      </c>
      <c r="E3202">
        <f t="shared" si="98"/>
        <v>1.006032</v>
      </c>
      <c r="F3202" s="1">
        <f t="shared" si="99"/>
        <v>41911</v>
      </c>
      <c r="G3202" cm="1">
        <f t="array" ref="G3202">PRODUCT( _xlfn._xlws.FILTER($E:$E, ($C:$C=C3202)*($F:$F=F3202)) ) - 1</f>
        <v>-5.222208954230867E-3</v>
      </c>
    </row>
    <row r="3203" spans="1:7" x14ac:dyDescent="0.2">
      <c r="A3203" s="1">
        <v>41913</v>
      </c>
      <c r="B3203">
        <v>0</v>
      </c>
      <c r="C3203" t="s">
        <v>13</v>
      </c>
      <c r="D3203">
        <v>-5.1219999999999998E-3</v>
      </c>
      <c r="E3203">
        <f t="shared" si="98"/>
        <v>0.99487800000000004</v>
      </c>
      <c r="F3203" s="1">
        <f t="shared" si="99"/>
        <v>41911</v>
      </c>
      <c r="G3203" cm="1">
        <f t="array" ref="G3203">PRODUCT( _xlfn._xlws.FILTER($E:$E, ($C:$C=C3203)*($F:$F=F3203)) ) - 1</f>
        <v>-5.222208954230867E-3</v>
      </c>
    </row>
    <row r="3204" spans="1:7" x14ac:dyDescent="0.2">
      <c r="A3204" s="1">
        <v>41914</v>
      </c>
      <c r="B3204">
        <v>0</v>
      </c>
      <c r="C3204" t="s">
        <v>13</v>
      </c>
      <c r="D3204">
        <v>3.77E-4</v>
      </c>
      <c r="E3204">
        <f t="shared" ref="E3204:E3267" si="100">D3204+1</f>
        <v>1.0003770000000001</v>
      </c>
      <c r="F3204" s="1">
        <f t="shared" ref="F3204:F3267" si="101">A3204 - (WEEKDAY(A3204, 2) - 1)</f>
        <v>41911</v>
      </c>
      <c r="G3204" cm="1">
        <f t="array" ref="G3204">PRODUCT( _xlfn._xlws.FILTER($E:$E, ($C:$C=C3204)*($F:$F=F3204)) ) - 1</f>
        <v>-5.222208954230867E-3</v>
      </c>
    </row>
    <row r="3205" spans="1:7" x14ac:dyDescent="0.2">
      <c r="A3205" s="1">
        <v>41915</v>
      </c>
      <c r="B3205">
        <v>0</v>
      </c>
      <c r="C3205" t="s">
        <v>13</v>
      </c>
      <c r="D3205">
        <v>4.3930000000000002E-3</v>
      </c>
      <c r="E3205">
        <f t="shared" si="100"/>
        <v>1.0043930000000001</v>
      </c>
      <c r="F3205" s="1">
        <f t="shared" si="101"/>
        <v>41911</v>
      </c>
      <c r="G3205" cm="1">
        <f t="array" ref="G3205">PRODUCT( _xlfn._xlws.FILTER($E:$E, ($C:$C=C3205)*($F:$F=F3205)) ) - 1</f>
        <v>-5.222208954230867E-3</v>
      </c>
    </row>
    <row r="3206" spans="1:7" x14ac:dyDescent="0.2">
      <c r="A3206" s="1">
        <v>41918</v>
      </c>
      <c r="B3206">
        <v>0</v>
      </c>
      <c r="C3206" t="s">
        <v>13</v>
      </c>
      <c r="D3206">
        <v>8.7500000000000002E-4</v>
      </c>
      <c r="E3206">
        <f t="shared" si="100"/>
        <v>1.000875</v>
      </c>
      <c r="F3206" s="1">
        <f t="shared" si="101"/>
        <v>41918</v>
      </c>
      <c r="G3206" cm="1">
        <f t="array" ref="G3206">PRODUCT( _xlfn._xlws.FILTER($E:$E, ($C:$C=C3206)*($F:$F=F3206)) ) - 1</f>
        <v>-4.7483726571875273E-3</v>
      </c>
    </row>
    <row r="3207" spans="1:7" x14ac:dyDescent="0.2">
      <c r="A3207" s="1">
        <v>41919</v>
      </c>
      <c r="B3207">
        <v>0</v>
      </c>
      <c r="C3207" t="s">
        <v>13</v>
      </c>
      <c r="D3207">
        <v>-5.2440000000000004E-3</v>
      </c>
      <c r="E3207">
        <f t="shared" si="100"/>
        <v>0.99475599999999997</v>
      </c>
      <c r="F3207" s="1">
        <f t="shared" si="101"/>
        <v>41918</v>
      </c>
      <c r="G3207" cm="1">
        <f t="array" ref="G3207">PRODUCT( _xlfn._xlws.FILTER($E:$E, ($C:$C=C3207)*($F:$F=F3207)) ) - 1</f>
        <v>-4.7483726571875273E-3</v>
      </c>
    </row>
    <row r="3208" spans="1:7" x14ac:dyDescent="0.2">
      <c r="A3208" s="1">
        <v>41920</v>
      </c>
      <c r="B3208">
        <v>0</v>
      </c>
      <c r="C3208" t="s">
        <v>13</v>
      </c>
      <c r="D3208">
        <v>1.6567999999999999E-2</v>
      </c>
      <c r="E3208">
        <f t="shared" si="100"/>
        <v>1.0165679999999999</v>
      </c>
      <c r="F3208" s="1">
        <f t="shared" si="101"/>
        <v>41918</v>
      </c>
      <c r="G3208" cm="1">
        <f t="array" ref="G3208">PRODUCT( _xlfn._xlws.FILTER($E:$E, ($C:$C=C3208)*($F:$F=F3208)) ) - 1</f>
        <v>-4.7483726571875273E-3</v>
      </c>
    </row>
    <row r="3209" spans="1:7" x14ac:dyDescent="0.2">
      <c r="A3209" s="1">
        <v>41921</v>
      </c>
      <c r="B3209">
        <v>0</v>
      </c>
      <c r="C3209" t="s">
        <v>13</v>
      </c>
      <c r="D3209">
        <v>-2.9629999999999999E-3</v>
      </c>
      <c r="E3209">
        <f t="shared" si="100"/>
        <v>0.99703699999999995</v>
      </c>
      <c r="F3209" s="1">
        <f t="shared" si="101"/>
        <v>41918</v>
      </c>
      <c r="G3209" cm="1">
        <f t="array" ref="G3209">PRODUCT( _xlfn._xlws.FILTER($E:$E, ($C:$C=C3209)*($F:$F=F3209)) ) - 1</f>
        <v>-4.7483726571875273E-3</v>
      </c>
    </row>
    <row r="3210" spans="1:7" x14ac:dyDescent="0.2">
      <c r="A3210" s="1">
        <v>41922</v>
      </c>
      <c r="B3210">
        <v>0</v>
      </c>
      <c r="C3210" t="s">
        <v>13</v>
      </c>
      <c r="D3210">
        <v>-1.3746E-2</v>
      </c>
      <c r="E3210">
        <f t="shared" si="100"/>
        <v>0.98625399999999996</v>
      </c>
      <c r="F3210" s="1">
        <f t="shared" si="101"/>
        <v>41918</v>
      </c>
      <c r="G3210" cm="1">
        <f t="array" ref="G3210">PRODUCT( _xlfn._xlws.FILTER($E:$E, ($C:$C=C3210)*($F:$F=F3210)) ) - 1</f>
        <v>-4.7483726571875273E-3</v>
      </c>
    </row>
    <row r="3211" spans="1:7" x14ac:dyDescent="0.2">
      <c r="A3211" s="1">
        <v>41926</v>
      </c>
      <c r="B3211">
        <v>0</v>
      </c>
      <c r="C3211" t="s">
        <v>13</v>
      </c>
      <c r="D3211">
        <v>-1.0673E-2</v>
      </c>
      <c r="E3211">
        <f t="shared" si="100"/>
        <v>0.98932699999999996</v>
      </c>
      <c r="F3211" s="1">
        <f t="shared" si="101"/>
        <v>41925</v>
      </c>
      <c r="G3211" cm="1">
        <f t="array" ref="G3211">PRODUCT( _xlfn._xlws.FILTER($E:$E, ($C:$C=C3211)*($F:$F=F3211)) ) - 1</f>
        <v>-1.0297332253981439E-2</v>
      </c>
    </row>
    <row r="3212" spans="1:7" x14ac:dyDescent="0.2">
      <c r="A3212" s="1">
        <v>41927</v>
      </c>
      <c r="B3212">
        <v>0</v>
      </c>
      <c r="C3212" t="s">
        <v>13</v>
      </c>
      <c r="D3212">
        <v>-1.9418999999999999E-2</v>
      </c>
      <c r="E3212">
        <f t="shared" si="100"/>
        <v>0.98058100000000004</v>
      </c>
      <c r="F3212" s="1">
        <f t="shared" si="101"/>
        <v>41925</v>
      </c>
      <c r="G3212" cm="1">
        <f t="array" ref="G3212">PRODUCT( _xlfn._xlws.FILTER($E:$E, ($C:$C=C3212)*($F:$F=F3212)) ) - 1</f>
        <v>-1.0297332253981439E-2</v>
      </c>
    </row>
    <row r="3213" spans="1:7" x14ac:dyDescent="0.2">
      <c r="A3213" s="1">
        <v>41928</v>
      </c>
      <c r="B3213">
        <v>0</v>
      </c>
      <c r="C3213" t="s">
        <v>13</v>
      </c>
      <c r="D3213">
        <v>1.0349999999999999E-3</v>
      </c>
      <c r="E3213">
        <f t="shared" si="100"/>
        <v>1.0010349999999999</v>
      </c>
      <c r="F3213" s="1">
        <f t="shared" si="101"/>
        <v>41925</v>
      </c>
      <c r="G3213" cm="1">
        <f t="array" ref="G3213">PRODUCT( _xlfn._xlws.FILTER($E:$E, ($C:$C=C3213)*($F:$F=F3213)) ) - 1</f>
        <v>-1.0297332253981439E-2</v>
      </c>
    </row>
    <row r="3214" spans="1:7" x14ac:dyDescent="0.2">
      <c r="A3214" s="1">
        <v>41929</v>
      </c>
      <c r="B3214">
        <v>0</v>
      </c>
      <c r="C3214" t="s">
        <v>13</v>
      </c>
      <c r="D3214">
        <v>1.9136E-2</v>
      </c>
      <c r="E3214">
        <f t="shared" si="100"/>
        <v>1.019136</v>
      </c>
      <c r="F3214" s="1">
        <f t="shared" si="101"/>
        <v>41925</v>
      </c>
      <c r="G3214" cm="1">
        <f t="array" ref="G3214">PRODUCT( _xlfn._xlws.FILTER($E:$E, ($C:$C=C3214)*($F:$F=F3214)) ) - 1</f>
        <v>-1.0297332253981439E-2</v>
      </c>
    </row>
    <row r="3215" spans="1:7" x14ac:dyDescent="0.2">
      <c r="A3215" s="1">
        <v>41932</v>
      </c>
      <c r="B3215">
        <v>0</v>
      </c>
      <c r="C3215" t="s">
        <v>13</v>
      </c>
      <c r="D3215">
        <v>4.8209999999999998E-3</v>
      </c>
      <c r="E3215">
        <f t="shared" si="100"/>
        <v>1.004821</v>
      </c>
      <c r="F3215" s="1">
        <f t="shared" si="101"/>
        <v>41932</v>
      </c>
      <c r="G3215" cm="1">
        <f t="array" ref="G3215">PRODUCT( _xlfn._xlws.FILTER($E:$E, ($C:$C=C3215)*($F:$F=F3215)) ) - 1</f>
        <v>1.5347798475348506E-2</v>
      </c>
    </row>
    <row r="3216" spans="1:7" x14ac:dyDescent="0.2">
      <c r="A3216" s="1">
        <v>41933</v>
      </c>
      <c r="B3216">
        <v>0</v>
      </c>
      <c r="C3216" t="s">
        <v>13</v>
      </c>
      <c r="D3216">
        <v>1.1237E-2</v>
      </c>
      <c r="E3216">
        <f t="shared" si="100"/>
        <v>1.0112369999999999</v>
      </c>
      <c r="F3216" s="1">
        <f t="shared" si="101"/>
        <v>41932</v>
      </c>
      <c r="G3216" cm="1">
        <f t="array" ref="G3216">PRODUCT( _xlfn._xlws.FILTER($E:$E, ($C:$C=C3216)*($F:$F=F3216)) ) - 1</f>
        <v>1.5347798475348506E-2</v>
      </c>
    </row>
    <row r="3217" spans="1:7" x14ac:dyDescent="0.2">
      <c r="A3217" s="1">
        <v>41934</v>
      </c>
      <c r="B3217">
        <v>0</v>
      </c>
      <c r="C3217" t="s">
        <v>13</v>
      </c>
      <c r="D3217">
        <v>-7.8659999999999997E-3</v>
      </c>
      <c r="E3217">
        <f t="shared" si="100"/>
        <v>0.99213399999999996</v>
      </c>
      <c r="F3217" s="1">
        <f t="shared" si="101"/>
        <v>41932</v>
      </c>
      <c r="G3217" cm="1">
        <f t="array" ref="G3217">PRODUCT( _xlfn._xlws.FILTER($E:$E, ($C:$C=C3217)*($F:$F=F3217)) ) - 1</f>
        <v>1.5347798475348506E-2</v>
      </c>
    </row>
    <row r="3218" spans="1:7" x14ac:dyDescent="0.2">
      <c r="A3218" s="1">
        <v>41935</v>
      </c>
      <c r="B3218">
        <v>0</v>
      </c>
      <c r="C3218" t="s">
        <v>13</v>
      </c>
      <c r="D3218">
        <v>7.5510000000000004E-3</v>
      </c>
      <c r="E3218">
        <f t="shared" si="100"/>
        <v>1.0075510000000001</v>
      </c>
      <c r="F3218" s="1">
        <f t="shared" si="101"/>
        <v>41932</v>
      </c>
      <c r="G3218" cm="1">
        <f t="array" ref="G3218">PRODUCT( _xlfn._xlws.FILTER($E:$E, ($C:$C=C3218)*($F:$F=F3218)) ) - 1</f>
        <v>1.5347798475348506E-2</v>
      </c>
    </row>
    <row r="3219" spans="1:7" x14ac:dyDescent="0.2">
      <c r="A3219" s="1">
        <v>41936</v>
      </c>
      <c r="B3219">
        <v>0</v>
      </c>
      <c r="C3219" t="s">
        <v>13</v>
      </c>
      <c r="D3219">
        <v>-3.7800000000000003E-4</v>
      </c>
      <c r="E3219">
        <f t="shared" si="100"/>
        <v>0.99962200000000001</v>
      </c>
      <c r="F3219" s="1">
        <f t="shared" si="101"/>
        <v>41932</v>
      </c>
      <c r="G3219" cm="1">
        <f t="array" ref="G3219">PRODUCT( _xlfn._xlws.FILTER($E:$E, ($C:$C=C3219)*($F:$F=F3219)) ) - 1</f>
        <v>1.5347798475348506E-2</v>
      </c>
    </row>
    <row r="3220" spans="1:7" x14ac:dyDescent="0.2">
      <c r="A3220" s="1">
        <v>41939</v>
      </c>
      <c r="B3220">
        <v>0</v>
      </c>
      <c r="C3220" t="s">
        <v>13</v>
      </c>
      <c r="D3220">
        <v>-2.6489999999999999E-3</v>
      </c>
      <c r="E3220">
        <f t="shared" si="100"/>
        <v>0.99735099999999999</v>
      </c>
      <c r="F3220" s="1">
        <f t="shared" si="101"/>
        <v>41939</v>
      </c>
      <c r="G3220" cm="1">
        <f t="array" ref="G3220">PRODUCT( _xlfn._xlws.FILTER($E:$E, ($C:$C=C3220)*($F:$F=F3220)) ) - 1</f>
        <v>9.2087897151378328E-3</v>
      </c>
    </row>
    <row r="3221" spans="1:7" x14ac:dyDescent="0.2">
      <c r="A3221" s="1">
        <v>41940</v>
      </c>
      <c r="B3221">
        <v>0</v>
      </c>
      <c r="C3221" t="s">
        <v>13</v>
      </c>
      <c r="D3221">
        <v>5.0590000000000001E-3</v>
      </c>
      <c r="E3221">
        <f t="shared" si="100"/>
        <v>1.0050589999999999</v>
      </c>
      <c r="F3221" s="1">
        <f t="shared" si="101"/>
        <v>41939</v>
      </c>
      <c r="G3221" cm="1">
        <f t="array" ref="G3221">PRODUCT( _xlfn._xlws.FILTER($E:$E, ($C:$C=C3221)*($F:$F=F3221)) ) - 1</f>
        <v>9.2087897151378328E-3</v>
      </c>
    </row>
    <row r="3222" spans="1:7" x14ac:dyDescent="0.2">
      <c r="A3222" s="1">
        <v>41941</v>
      </c>
      <c r="B3222">
        <v>0</v>
      </c>
      <c r="C3222" t="s">
        <v>13</v>
      </c>
      <c r="D3222">
        <v>-4.2779999999999997E-3</v>
      </c>
      <c r="E3222">
        <f t="shared" si="100"/>
        <v>0.995722</v>
      </c>
      <c r="F3222" s="1">
        <f t="shared" si="101"/>
        <v>41939</v>
      </c>
      <c r="G3222" cm="1">
        <f t="array" ref="G3222">PRODUCT( _xlfn._xlws.FILTER($E:$E, ($C:$C=C3222)*($F:$F=F3222)) ) - 1</f>
        <v>9.2087897151378328E-3</v>
      </c>
    </row>
    <row r="3223" spans="1:7" x14ac:dyDescent="0.2">
      <c r="A3223" s="1">
        <v>41942</v>
      </c>
      <c r="B3223">
        <v>0</v>
      </c>
      <c r="C3223" t="s">
        <v>13</v>
      </c>
      <c r="D3223">
        <v>6.0660000000000002E-3</v>
      </c>
      <c r="E3223">
        <f t="shared" si="100"/>
        <v>1.0060659999999999</v>
      </c>
      <c r="F3223" s="1">
        <f t="shared" si="101"/>
        <v>41939</v>
      </c>
      <c r="G3223" cm="1">
        <f t="array" ref="G3223">PRODUCT( _xlfn._xlws.FILTER($E:$E, ($C:$C=C3223)*($F:$F=F3223)) ) - 1</f>
        <v>9.2087897151378328E-3</v>
      </c>
    </row>
    <row r="3224" spans="1:7" x14ac:dyDescent="0.2">
      <c r="A3224" s="1">
        <v>41943</v>
      </c>
      <c r="B3224">
        <v>0</v>
      </c>
      <c r="C3224" t="s">
        <v>13</v>
      </c>
      <c r="D3224">
        <v>5.025E-3</v>
      </c>
      <c r="E3224">
        <f t="shared" si="100"/>
        <v>1.0050250000000001</v>
      </c>
      <c r="F3224" s="1">
        <f t="shared" si="101"/>
        <v>41939</v>
      </c>
      <c r="G3224" cm="1">
        <f t="array" ref="G3224">PRODUCT( _xlfn._xlws.FILTER($E:$E, ($C:$C=C3224)*($F:$F=F3224)) ) - 1</f>
        <v>9.2087897151378328E-3</v>
      </c>
    </row>
    <row r="3225" spans="1:7" x14ac:dyDescent="0.2">
      <c r="A3225" s="1">
        <v>41946</v>
      </c>
      <c r="B3225">
        <v>0</v>
      </c>
      <c r="C3225" t="s">
        <v>13</v>
      </c>
      <c r="D3225">
        <v>0</v>
      </c>
      <c r="E3225">
        <f t="shared" si="100"/>
        <v>1</v>
      </c>
      <c r="F3225" s="1">
        <f t="shared" si="101"/>
        <v>41946</v>
      </c>
      <c r="G3225" cm="1">
        <f t="array" ref="G3225">PRODUCT( _xlfn._xlws.FILTER($E:$E, ($C:$C=C3225)*($F:$F=F3225)) ) - 1</f>
        <v>1.3374352046300775E-2</v>
      </c>
    </row>
    <row r="3226" spans="1:7" x14ac:dyDescent="0.2">
      <c r="A3226" s="1">
        <v>41947</v>
      </c>
      <c r="B3226">
        <v>0</v>
      </c>
      <c r="C3226" t="s">
        <v>13</v>
      </c>
      <c r="D3226">
        <v>3.875E-3</v>
      </c>
      <c r="E3226">
        <f t="shared" si="100"/>
        <v>1.0038750000000001</v>
      </c>
      <c r="F3226" s="1">
        <f t="shared" si="101"/>
        <v>41946</v>
      </c>
      <c r="G3226" cm="1">
        <f t="array" ref="G3226">PRODUCT( _xlfn._xlws.FILTER($E:$E, ($C:$C=C3226)*($F:$F=F3226)) ) - 1</f>
        <v>1.3374352046300775E-2</v>
      </c>
    </row>
    <row r="3227" spans="1:7" x14ac:dyDescent="0.2">
      <c r="A3227" s="1">
        <v>41948</v>
      </c>
      <c r="B3227">
        <v>0</v>
      </c>
      <c r="C3227" t="s">
        <v>13</v>
      </c>
      <c r="D3227">
        <v>1.1828E-2</v>
      </c>
      <c r="E3227">
        <f t="shared" si="100"/>
        <v>1.0118279999999999</v>
      </c>
      <c r="F3227" s="1">
        <f t="shared" si="101"/>
        <v>41946</v>
      </c>
      <c r="G3227" cm="1">
        <f t="array" ref="G3227">PRODUCT( _xlfn._xlws.FILTER($E:$E, ($C:$C=C3227)*($F:$F=F3227)) ) - 1</f>
        <v>1.3374352046300775E-2</v>
      </c>
    </row>
    <row r="3228" spans="1:7" x14ac:dyDescent="0.2">
      <c r="A3228" s="1">
        <v>41949</v>
      </c>
      <c r="B3228">
        <v>0</v>
      </c>
      <c r="C3228" t="s">
        <v>13</v>
      </c>
      <c r="D3228">
        <v>-1.353E-3</v>
      </c>
      <c r="E3228">
        <f t="shared" si="100"/>
        <v>0.99864699999999995</v>
      </c>
      <c r="F3228" s="1">
        <f t="shared" si="101"/>
        <v>41946</v>
      </c>
      <c r="G3228" cm="1">
        <f t="array" ref="G3228">PRODUCT( _xlfn._xlws.FILTER($E:$E, ($C:$C=C3228)*($F:$F=F3228)) ) - 1</f>
        <v>1.3374352046300775E-2</v>
      </c>
    </row>
    <row r="3229" spans="1:7" x14ac:dyDescent="0.2">
      <c r="A3229" s="1">
        <v>41950</v>
      </c>
      <c r="B3229">
        <v>0</v>
      </c>
      <c r="C3229" t="s">
        <v>13</v>
      </c>
      <c r="D3229">
        <v>-9.859999999999999E-4</v>
      </c>
      <c r="E3229">
        <f t="shared" si="100"/>
        <v>0.99901399999999996</v>
      </c>
      <c r="F3229" s="1">
        <f t="shared" si="101"/>
        <v>41946</v>
      </c>
      <c r="G3229" cm="1">
        <f t="array" ref="G3229">PRODUCT( _xlfn._xlws.FILTER($E:$E, ($C:$C=C3229)*($F:$F=F3229)) ) - 1</f>
        <v>1.3374352046300775E-2</v>
      </c>
    </row>
    <row r="3230" spans="1:7" x14ac:dyDescent="0.2">
      <c r="A3230" s="1">
        <v>41953</v>
      </c>
      <c r="B3230">
        <v>0</v>
      </c>
      <c r="C3230" t="s">
        <v>13</v>
      </c>
      <c r="D3230">
        <v>6.1669999999999997E-3</v>
      </c>
      <c r="E3230">
        <f t="shared" si="100"/>
        <v>1.006167</v>
      </c>
      <c r="F3230" s="1">
        <f t="shared" si="101"/>
        <v>41953</v>
      </c>
      <c r="G3230" cm="1">
        <f t="array" ref="G3230">PRODUCT( _xlfn._xlws.FILTER($E:$E, ($C:$C=C3230)*($F:$F=F3230)) ) - 1</f>
        <v>1.3936208987703314E-2</v>
      </c>
    </row>
    <row r="3231" spans="1:7" x14ac:dyDescent="0.2">
      <c r="A3231" s="1">
        <v>41954</v>
      </c>
      <c r="B3231">
        <v>0</v>
      </c>
      <c r="C3231" t="s">
        <v>13</v>
      </c>
      <c r="D3231">
        <v>2.5739999999999999E-3</v>
      </c>
      <c r="E3231">
        <f t="shared" si="100"/>
        <v>1.0025740000000001</v>
      </c>
      <c r="F3231" s="1">
        <f t="shared" si="101"/>
        <v>41953</v>
      </c>
      <c r="G3231" cm="1">
        <f t="array" ref="G3231">PRODUCT( _xlfn._xlws.FILTER($E:$E, ($C:$C=C3231)*($F:$F=F3231)) ) - 1</f>
        <v>1.3936208987703314E-2</v>
      </c>
    </row>
    <row r="3232" spans="1:7" x14ac:dyDescent="0.2">
      <c r="A3232" s="1">
        <v>41955</v>
      </c>
      <c r="B3232">
        <v>0</v>
      </c>
      <c r="C3232" t="s">
        <v>13</v>
      </c>
      <c r="D3232">
        <v>5.6239999999999997E-3</v>
      </c>
      <c r="E3232">
        <f t="shared" si="100"/>
        <v>1.0056240000000001</v>
      </c>
      <c r="F3232" s="1">
        <f t="shared" si="101"/>
        <v>41953</v>
      </c>
      <c r="G3232" cm="1">
        <f t="array" ref="G3232">PRODUCT( _xlfn._xlws.FILTER($E:$E, ($C:$C=C3232)*($F:$F=F3232)) ) - 1</f>
        <v>1.3936208987703314E-2</v>
      </c>
    </row>
    <row r="3233" spans="1:7" x14ac:dyDescent="0.2">
      <c r="A3233" s="1">
        <v>41956</v>
      </c>
      <c r="B3233">
        <v>0</v>
      </c>
      <c r="C3233" t="s">
        <v>13</v>
      </c>
      <c r="D3233">
        <v>-1.2160000000000001E-3</v>
      </c>
      <c r="E3233">
        <f t="shared" si="100"/>
        <v>0.99878400000000001</v>
      </c>
      <c r="F3233" s="1">
        <f t="shared" si="101"/>
        <v>41953</v>
      </c>
      <c r="G3233" cm="1">
        <f t="array" ref="G3233">PRODUCT( _xlfn._xlws.FILTER($E:$E, ($C:$C=C3233)*($F:$F=F3233)) ) - 1</f>
        <v>1.3936208987703314E-2</v>
      </c>
    </row>
    <row r="3234" spans="1:7" x14ac:dyDescent="0.2">
      <c r="A3234" s="1">
        <v>41957</v>
      </c>
      <c r="B3234">
        <v>0</v>
      </c>
      <c r="C3234" t="s">
        <v>13</v>
      </c>
      <c r="D3234">
        <v>7.2999999999999996E-4</v>
      </c>
      <c r="E3234">
        <f t="shared" si="100"/>
        <v>1.0007299999999999</v>
      </c>
      <c r="F3234" s="1">
        <f t="shared" si="101"/>
        <v>41953</v>
      </c>
      <c r="G3234" cm="1">
        <f t="array" ref="G3234">PRODUCT( _xlfn._xlws.FILTER($E:$E, ($C:$C=C3234)*($F:$F=F3234)) ) - 1</f>
        <v>1.3936208987703314E-2</v>
      </c>
    </row>
    <row r="3235" spans="1:7" x14ac:dyDescent="0.2">
      <c r="A3235" s="1">
        <v>41960</v>
      </c>
      <c r="B3235">
        <v>0</v>
      </c>
      <c r="C3235" t="s">
        <v>13</v>
      </c>
      <c r="D3235">
        <v>2.43E-4</v>
      </c>
      <c r="E3235">
        <f t="shared" si="100"/>
        <v>1.000243</v>
      </c>
      <c r="F3235" s="1">
        <f t="shared" si="101"/>
        <v>41960</v>
      </c>
      <c r="G3235" cm="1">
        <f t="array" ref="G3235">PRODUCT( _xlfn._xlws.FILTER($E:$E, ($C:$C=C3235)*($F:$F=F3235)) ) - 1</f>
        <v>3.8920136411861872E-3</v>
      </c>
    </row>
    <row r="3236" spans="1:7" x14ac:dyDescent="0.2">
      <c r="A3236" s="1">
        <v>41961</v>
      </c>
      <c r="B3236">
        <v>0</v>
      </c>
      <c r="C3236" t="s">
        <v>13</v>
      </c>
      <c r="D3236">
        <v>-1.0950000000000001E-3</v>
      </c>
      <c r="E3236">
        <f t="shared" si="100"/>
        <v>0.99890500000000004</v>
      </c>
      <c r="F3236" s="1">
        <f t="shared" si="101"/>
        <v>41960</v>
      </c>
      <c r="G3236" cm="1">
        <f t="array" ref="G3236">PRODUCT( _xlfn._xlws.FILTER($E:$E, ($C:$C=C3236)*($F:$F=F3236)) ) - 1</f>
        <v>3.8920136411861872E-3</v>
      </c>
    </row>
    <row r="3237" spans="1:7" x14ac:dyDescent="0.2">
      <c r="A3237" s="1">
        <v>41962</v>
      </c>
      <c r="B3237">
        <v>0</v>
      </c>
      <c r="C3237" t="s">
        <v>13</v>
      </c>
      <c r="D3237">
        <v>9.2530000000000008E-3</v>
      </c>
      <c r="E3237">
        <f t="shared" si="100"/>
        <v>1.009253</v>
      </c>
      <c r="F3237" s="1">
        <f t="shared" si="101"/>
        <v>41960</v>
      </c>
      <c r="G3237" cm="1">
        <f t="array" ref="G3237">PRODUCT( _xlfn._xlws.FILTER($E:$E, ($C:$C=C3237)*($F:$F=F3237)) ) - 1</f>
        <v>3.8920136411861872E-3</v>
      </c>
    </row>
    <row r="3238" spans="1:7" x14ac:dyDescent="0.2">
      <c r="A3238" s="1">
        <v>41963</v>
      </c>
      <c r="B3238">
        <v>0</v>
      </c>
      <c r="C3238" t="s">
        <v>13</v>
      </c>
      <c r="D3238">
        <v>1.689E-3</v>
      </c>
      <c r="E3238">
        <f t="shared" si="100"/>
        <v>1.0016890000000001</v>
      </c>
      <c r="F3238" s="1">
        <f t="shared" si="101"/>
        <v>41960</v>
      </c>
      <c r="G3238" cm="1">
        <f t="array" ref="G3238">PRODUCT( _xlfn._xlws.FILTER($E:$E, ($C:$C=C3238)*($F:$F=F3238)) ) - 1</f>
        <v>3.8920136411861872E-3</v>
      </c>
    </row>
    <row r="3239" spans="1:7" x14ac:dyDescent="0.2">
      <c r="A3239" s="1">
        <v>41964</v>
      </c>
      <c r="B3239">
        <v>0</v>
      </c>
      <c r="C3239" t="s">
        <v>13</v>
      </c>
      <c r="D3239">
        <v>-6.1419999999999999E-3</v>
      </c>
      <c r="E3239">
        <f t="shared" si="100"/>
        <v>0.99385800000000002</v>
      </c>
      <c r="F3239" s="1">
        <f t="shared" si="101"/>
        <v>41960</v>
      </c>
      <c r="G3239" cm="1">
        <f t="array" ref="G3239">PRODUCT( _xlfn._xlws.FILTER($E:$E, ($C:$C=C3239)*($F:$F=F3239)) ) - 1</f>
        <v>3.8920136411861872E-3</v>
      </c>
    </row>
    <row r="3240" spans="1:7" x14ac:dyDescent="0.2">
      <c r="A3240" s="1">
        <v>41967</v>
      </c>
      <c r="B3240">
        <v>0</v>
      </c>
      <c r="C3240" t="s">
        <v>13</v>
      </c>
      <c r="D3240">
        <v>-7.27E-4</v>
      </c>
      <c r="E3240">
        <f t="shared" si="100"/>
        <v>0.99927299999999997</v>
      </c>
      <c r="F3240" s="1">
        <f t="shared" si="101"/>
        <v>41967</v>
      </c>
      <c r="G3240" cm="1">
        <f t="array" ref="G3240">PRODUCT( _xlfn._xlws.FILTER($E:$E, ($C:$C=C3240)*($F:$F=F3240)) ) - 1</f>
        <v>7.6335665448941104E-3</v>
      </c>
    </row>
    <row r="3241" spans="1:7" x14ac:dyDescent="0.2">
      <c r="A3241" s="1">
        <v>41968</v>
      </c>
      <c r="B3241">
        <v>0</v>
      </c>
      <c r="C3241" t="s">
        <v>13</v>
      </c>
      <c r="D3241">
        <v>-1.8190000000000001E-3</v>
      </c>
      <c r="E3241">
        <f t="shared" si="100"/>
        <v>0.99818099999999998</v>
      </c>
      <c r="F3241" s="1">
        <f t="shared" si="101"/>
        <v>41967</v>
      </c>
      <c r="G3241" cm="1">
        <f t="array" ref="G3241">PRODUCT( _xlfn._xlws.FILTER($E:$E, ($C:$C=C3241)*($F:$F=F3241)) ) - 1</f>
        <v>7.6335665448941104E-3</v>
      </c>
    </row>
    <row r="3242" spans="1:7" x14ac:dyDescent="0.2">
      <c r="A3242" s="1">
        <v>41969</v>
      </c>
      <c r="B3242">
        <v>0</v>
      </c>
      <c r="C3242" t="s">
        <v>13</v>
      </c>
      <c r="D3242">
        <v>5.7089999999999997E-3</v>
      </c>
      <c r="E3242">
        <f t="shared" si="100"/>
        <v>1.005709</v>
      </c>
      <c r="F3242" s="1">
        <f t="shared" si="101"/>
        <v>41967</v>
      </c>
      <c r="G3242" cm="1">
        <f t="array" ref="G3242">PRODUCT( _xlfn._xlws.FILTER($E:$E, ($C:$C=C3242)*($F:$F=F3242)) ) - 1</f>
        <v>7.6335665448941104E-3</v>
      </c>
    </row>
    <row r="3243" spans="1:7" x14ac:dyDescent="0.2">
      <c r="A3243" s="1">
        <v>41970</v>
      </c>
      <c r="B3243">
        <v>0</v>
      </c>
      <c r="C3243" t="s">
        <v>13</v>
      </c>
      <c r="D3243">
        <v>6.5230000000000002E-3</v>
      </c>
      <c r="E3243">
        <f t="shared" si="100"/>
        <v>1.0065230000000001</v>
      </c>
      <c r="F3243" s="1">
        <f t="shared" si="101"/>
        <v>41967</v>
      </c>
      <c r="G3243" cm="1">
        <f t="array" ref="G3243">PRODUCT( _xlfn._xlws.FILTER($E:$E, ($C:$C=C3243)*($F:$F=F3243)) ) - 1</f>
        <v>7.6335665448941104E-3</v>
      </c>
    </row>
    <row r="3244" spans="1:7" x14ac:dyDescent="0.2">
      <c r="A3244" s="1">
        <v>41971</v>
      </c>
      <c r="B3244">
        <v>0</v>
      </c>
      <c r="C3244" t="s">
        <v>13</v>
      </c>
      <c r="D3244">
        <v>-2.0400000000000001E-3</v>
      </c>
      <c r="E3244">
        <f t="shared" si="100"/>
        <v>0.99795999999999996</v>
      </c>
      <c r="F3244" s="1">
        <f t="shared" si="101"/>
        <v>41967</v>
      </c>
      <c r="G3244" cm="1">
        <f t="array" ref="G3244">PRODUCT( _xlfn._xlws.FILTER($E:$E, ($C:$C=C3244)*($F:$F=F3244)) ) - 1</f>
        <v>7.6335665448941104E-3</v>
      </c>
    </row>
    <row r="3245" spans="1:7" x14ac:dyDescent="0.2">
      <c r="A3245" s="1">
        <v>41974</v>
      </c>
      <c r="B3245">
        <v>0</v>
      </c>
      <c r="C3245" t="s">
        <v>13</v>
      </c>
      <c r="D3245">
        <v>-4.5700000000000003E-3</v>
      </c>
      <c r="E3245">
        <f t="shared" si="100"/>
        <v>0.99543000000000004</v>
      </c>
      <c r="F3245" s="1">
        <f t="shared" si="101"/>
        <v>41974</v>
      </c>
      <c r="G3245" cm="1">
        <f t="array" ref="G3245">PRODUCT( _xlfn._xlws.FILTER($E:$E, ($C:$C=C3245)*($F:$F=F3245)) ) - 1</f>
        <v>-3.3188703399214425E-2</v>
      </c>
    </row>
    <row r="3246" spans="1:7" x14ac:dyDescent="0.2">
      <c r="A3246" s="1">
        <v>41975</v>
      </c>
      <c r="B3246">
        <v>0</v>
      </c>
      <c r="C3246" t="s">
        <v>13</v>
      </c>
      <c r="D3246">
        <v>-1.6428999999999999E-2</v>
      </c>
      <c r="E3246">
        <f t="shared" si="100"/>
        <v>0.98357099999999997</v>
      </c>
      <c r="F3246" s="1">
        <f t="shared" si="101"/>
        <v>41974</v>
      </c>
      <c r="G3246" cm="1">
        <f t="array" ref="G3246">PRODUCT( _xlfn._xlws.FILTER($E:$E, ($C:$C=C3246)*($F:$F=F3246)) ) - 1</f>
        <v>-3.3188703399214425E-2</v>
      </c>
    </row>
    <row r="3247" spans="1:7" x14ac:dyDescent="0.2">
      <c r="A3247" s="1">
        <v>41976</v>
      </c>
      <c r="B3247">
        <v>0</v>
      </c>
      <c r="C3247" t="s">
        <v>13</v>
      </c>
      <c r="D3247">
        <v>2.088E-3</v>
      </c>
      <c r="E3247">
        <f t="shared" si="100"/>
        <v>1.0020880000000001</v>
      </c>
      <c r="F3247" s="1">
        <f t="shared" si="101"/>
        <v>41974</v>
      </c>
      <c r="G3247" cm="1">
        <f t="array" ref="G3247">PRODUCT( _xlfn._xlws.FILTER($E:$E, ($C:$C=C3247)*($F:$F=F3247)) ) - 1</f>
        <v>-3.3188703399214425E-2</v>
      </c>
    </row>
    <row r="3248" spans="1:7" x14ac:dyDescent="0.2">
      <c r="A3248" s="1">
        <v>41977</v>
      </c>
      <c r="B3248">
        <v>0</v>
      </c>
      <c r="C3248" t="s">
        <v>13</v>
      </c>
      <c r="D3248">
        <v>-1.1766E-2</v>
      </c>
      <c r="E3248">
        <f t="shared" si="100"/>
        <v>0.98823399999999995</v>
      </c>
      <c r="F3248" s="1">
        <f t="shared" si="101"/>
        <v>41974</v>
      </c>
      <c r="G3248" cm="1">
        <f t="array" ref="G3248">PRODUCT( _xlfn._xlws.FILTER($E:$E, ($C:$C=C3248)*($F:$F=F3248)) ) - 1</f>
        <v>-3.3188703399214425E-2</v>
      </c>
    </row>
    <row r="3249" spans="1:7" x14ac:dyDescent="0.2">
      <c r="A3249" s="1">
        <v>41978</v>
      </c>
      <c r="B3249">
        <v>0</v>
      </c>
      <c r="C3249" t="s">
        <v>13</v>
      </c>
      <c r="D3249">
        <v>-2.8519999999999999E-3</v>
      </c>
      <c r="E3249">
        <f t="shared" si="100"/>
        <v>0.99714800000000003</v>
      </c>
      <c r="F3249" s="1">
        <f t="shared" si="101"/>
        <v>41974</v>
      </c>
      <c r="G3249" cm="1">
        <f t="array" ref="G3249">PRODUCT( _xlfn._xlws.FILTER($E:$E, ($C:$C=C3249)*($F:$F=F3249)) ) - 1</f>
        <v>-3.3188703399214425E-2</v>
      </c>
    </row>
    <row r="3250" spans="1:7" x14ac:dyDescent="0.2">
      <c r="A3250" s="1">
        <v>41981</v>
      </c>
      <c r="B3250">
        <v>0</v>
      </c>
      <c r="C3250" t="s">
        <v>13</v>
      </c>
      <c r="D3250">
        <v>-6.8409999999999999E-3</v>
      </c>
      <c r="E3250">
        <f t="shared" si="100"/>
        <v>0.99315900000000001</v>
      </c>
      <c r="F3250" s="1">
        <f t="shared" si="101"/>
        <v>41981</v>
      </c>
      <c r="G3250" cm="1">
        <f t="array" ref="G3250">PRODUCT( _xlfn._xlws.FILTER($E:$E, ($C:$C=C3250)*($F:$F=F3250)) ) - 1</f>
        <v>-3.7190088681577027E-2</v>
      </c>
    </row>
    <row r="3251" spans="1:7" x14ac:dyDescent="0.2">
      <c r="A3251" s="1">
        <v>41982</v>
      </c>
      <c r="B3251">
        <v>0</v>
      </c>
      <c r="C3251" t="s">
        <v>13</v>
      </c>
      <c r="D3251">
        <v>7.5100000000000004E-4</v>
      </c>
      <c r="E3251">
        <f t="shared" si="100"/>
        <v>1.0007509999999999</v>
      </c>
      <c r="F3251" s="1">
        <f t="shared" si="101"/>
        <v>41981</v>
      </c>
      <c r="G3251" cm="1">
        <f t="array" ref="G3251">PRODUCT( _xlfn._xlws.FILTER($E:$E, ($C:$C=C3251)*($F:$F=F3251)) ) - 1</f>
        <v>-3.7190088681577027E-2</v>
      </c>
    </row>
    <row r="3252" spans="1:7" x14ac:dyDescent="0.2">
      <c r="A3252" s="1">
        <v>41983</v>
      </c>
      <c r="B3252">
        <v>0</v>
      </c>
      <c r="C3252" t="s">
        <v>13</v>
      </c>
      <c r="D3252">
        <v>-1.6268000000000001E-2</v>
      </c>
      <c r="E3252">
        <f t="shared" si="100"/>
        <v>0.98373200000000005</v>
      </c>
      <c r="F3252" s="1">
        <f t="shared" si="101"/>
        <v>41981</v>
      </c>
      <c r="G3252" cm="1">
        <f t="array" ref="G3252">PRODUCT( _xlfn._xlws.FILTER($E:$E, ($C:$C=C3252)*($F:$F=F3252)) ) - 1</f>
        <v>-3.7190088681577027E-2</v>
      </c>
    </row>
    <row r="3253" spans="1:7" x14ac:dyDescent="0.2">
      <c r="A3253" s="1">
        <v>41984</v>
      </c>
      <c r="B3253">
        <v>0</v>
      </c>
      <c r="C3253" t="s">
        <v>13</v>
      </c>
      <c r="D3253">
        <v>-1.5269999999999999E-3</v>
      </c>
      <c r="E3253">
        <f t="shared" si="100"/>
        <v>0.99847300000000005</v>
      </c>
      <c r="F3253" s="1">
        <f t="shared" si="101"/>
        <v>41981</v>
      </c>
      <c r="G3253" cm="1">
        <f t="array" ref="G3253">PRODUCT( _xlfn._xlws.FILTER($E:$E, ($C:$C=C3253)*($F:$F=F3253)) ) - 1</f>
        <v>-3.7190088681577027E-2</v>
      </c>
    </row>
    <row r="3254" spans="1:7" x14ac:dyDescent="0.2">
      <c r="A3254" s="1">
        <v>41985</v>
      </c>
      <c r="B3254">
        <v>0</v>
      </c>
      <c r="C3254" t="s">
        <v>13</v>
      </c>
      <c r="D3254">
        <v>-1.376E-2</v>
      </c>
      <c r="E3254">
        <f t="shared" si="100"/>
        <v>0.98624000000000001</v>
      </c>
      <c r="F3254" s="1">
        <f t="shared" si="101"/>
        <v>41981</v>
      </c>
      <c r="G3254" cm="1">
        <f t="array" ref="G3254">PRODUCT( _xlfn._xlws.FILTER($E:$E, ($C:$C=C3254)*($F:$F=F3254)) ) - 1</f>
        <v>-3.7190088681577027E-2</v>
      </c>
    </row>
    <row r="3255" spans="1:7" x14ac:dyDescent="0.2">
      <c r="A3255" s="1">
        <v>41988</v>
      </c>
      <c r="B3255">
        <v>0</v>
      </c>
      <c r="C3255" t="s">
        <v>13</v>
      </c>
      <c r="D3255">
        <v>2.196E-3</v>
      </c>
      <c r="E3255">
        <f t="shared" si="100"/>
        <v>1.0021960000000001</v>
      </c>
      <c r="F3255" s="1">
        <f t="shared" si="101"/>
        <v>41988</v>
      </c>
      <c r="G3255" cm="1">
        <f t="array" ref="G3255">PRODUCT( _xlfn._xlws.FILTER($E:$E, ($C:$C=C3255)*($F:$F=F3255)) ) - 1</f>
        <v>2.3381767799838915E-2</v>
      </c>
    </row>
    <row r="3256" spans="1:7" x14ac:dyDescent="0.2">
      <c r="A3256" s="1">
        <v>41989</v>
      </c>
      <c r="B3256">
        <v>0</v>
      </c>
      <c r="C3256" t="s">
        <v>13</v>
      </c>
      <c r="D3256">
        <v>1.2632000000000001E-2</v>
      </c>
      <c r="E3256">
        <f t="shared" si="100"/>
        <v>1.012632</v>
      </c>
      <c r="F3256" s="1">
        <f t="shared" si="101"/>
        <v>41988</v>
      </c>
      <c r="G3256" cm="1">
        <f t="array" ref="G3256">PRODUCT( _xlfn._xlws.FILTER($E:$E, ($C:$C=C3256)*($F:$F=F3256)) ) - 1</f>
        <v>2.3381767799838915E-2</v>
      </c>
    </row>
    <row r="3257" spans="1:7" x14ac:dyDescent="0.2">
      <c r="A3257" s="1">
        <v>41990</v>
      </c>
      <c r="B3257">
        <v>0</v>
      </c>
      <c r="C3257" t="s">
        <v>13</v>
      </c>
      <c r="D3257">
        <v>1.362E-2</v>
      </c>
      <c r="E3257">
        <f t="shared" si="100"/>
        <v>1.01362</v>
      </c>
      <c r="F3257" s="1">
        <f t="shared" si="101"/>
        <v>41988</v>
      </c>
      <c r="G3257" cm="1">
        <f t="array" ref="G3257">PRODUCT( _xlfn._xlws.FILTER($E:$E, ($C:$C=C3257)*($F:$F=F3257)) ) - 1</f>
        <v>2.3381767799838915E-2</v>
      </c>
    </row>
    <row r="3258" spans="1:7" x14ac:dyDescent="0.2">
      <c r="A3258" s="1">
        <v>41991</v>
      </c>
      <c r="B3258">
        <v>0</v>
      </c>
      <c r="C3258" t="s">
        <v>13</v>
      </c>
      <c r="D3258">
        <v>-4.646E-3</v>
      </c>
      <c r="E3258">
        <f t="shared" si="100"/>
        <v>0.99535399999999996</v>
      </c>
      <c r="F3258" s="1">
        <f t="shared" si="101"/>
        <v>41988</v>
      </c>
      <c r="G3258" cm="1">
        <f t="array" ref="G3258">PRODUCT( _xlfn._xlws.FILTER($E:$E, ($C:$C=C3258)*($F:$F=F3258)) ) - 1</f>
        <v>2.3381767799838915E-2</v>
      </c>
    </row>
    <row r="3259" spans="1:7" x14ac:dyDescent="0.2">
      <c r="A3259" s="1">
        <v>41992</v>
      </c>
      <c r="B3259">
        <v>0</v>
      </c>
      <c r="C3259" t="s">
        <v>13</v>
      </c>
      <c r="D3259">
        <v>-5.0500000000000002E-4</v>
      </c>
      <c r="E3259">
        <f t="shared" si="100"/>
        <v>0.99949500000000002</v>
      </c>
      <c r="F3259" s="1">
        <f t="shared" si="101"/>
        <v>41988</v>
      </c>
      <c r="G3259" cm="1">
        <f t="array" ref="G3259">PRODUCT( _xlfn._xlws.FILTER($E:$E, ($C:$C=C3259)*($F:$F=F3259)) ) - 1</f>
        <v>2.3381767799838915E-2</v>
      </c>
    </row>
    <row r="3260" spans="1:7" x14ac:dyDescent="0.2">
      <c r="A3260" s="1">
        <v>41995</v>
      </c>
      <c r="B3260">
        <v>0</v>
      </c>
      <c r="C3260" t="s">
        <v>13</v>
      </c>
      <c r="D3260">
        <v>3.156E-3</v>
      </c>
      <c r="E3260">
        <f t="shared" si="100"/>
        <v>1.0031559999999999</v>
      </c>
      <c r="F3260" s="1">
        <f t="shared" si="101"/>
        <v>41995</v>
      </c>
      <c r="G3260" cm="1">
        <f t="array" ref="G3260">PRODUCT( _xlfn._xlws.FILTER($E:$E, ($C:$C=C3260)*($F:$F=F3260)) ) - 1</f>
        <v>1.3758805988437928E-2</v>
      </c>
    </row>
    <row r="3261" spans="1:7" x14ac:dyDescent="0.2">
      <c r="A3261" s="1">
        <v>41996</v>
      </c>
      <c r="B3261">
        <v>0</v>
      </c>
      <c r="C3261" t="s">
        <v>13</v>
      </c>
      <c r="D3261">
        <v>9.6889999999999997E-3</v>
      </c>
      <c r="E3261">
        <f t="shared" si="100"/>
        <v>1.0096890000000001</v>
      </c>
      <c r="F3261" s="1">
        <f t="shared" si="101"/>
        <v>41995</v>
      </c>
      <c r="G3261" cm="1">
        <f t="array" ref="G3261">PRODUCT( _xlfn._xlws.FILTER($E:$E, ($C:$C=C3261)*($F:$F=F3261)) ) - 1</f>
        <v>1.3758805988437928E-2</v>
      </c>
    </row>
    <row r="3262" spans="1:7" x14ac:dyDescent="0.2">
      <c r="A3262" s="1">
        <v>41997</v>
      </c>
      <c r="B3262">
        <v>0</v>
      </c>
      <c r="C3262" t="s">
        <v>13</v>
      </c>
      <c r="D3262">
        <v>8.7200000000000005E-4</v>
      </c>
      <c r="E3262">
        <f t="shared" si="100"/>
        <v>1.000872</v>
      </c>
      <c r="F3262" s="1">
        <f t="shared" si="101"/>
        <v>41995</v>
      </c>
      <c r="G3262" cm="1">
        <f t="array" ref="G3262">PRODUCT( _xlfn._xlws.FILTER($E:$E, ($C:$C=C3262)*($F:$F=F3262)) ) - 1</f>
        <v>1.3758805988437928E-2</v>
      </c>
    </row>
    <row r="3263" spans="1:7" x14ac:dyDescent="0.2">
      <c r="A3263" s="1">
        <v>42002</v>
      </c>
      <c r="B3263">
        <v>0</v>
      </c>
      <c r="C3263" t="s">
        <v>13</v>
      </c>
      <c r="D3263">
        <v>6.3499999999999997E-3</v>
      </c>
      <c r="E3263">
        <f t="shared" si="100"/>
        <v>1.0063500000000001</v>
      </c>
      <c r="F3263" s="1">
        <f t="shared" si="101"/>
        <v>42002</v>
      </c>
      <c r="G3263" cm="1">
        <f t="array" ref="G3263">PRODUCT( _xlfn._xlws.FILTER($E:$E, ($C:$C=C3263)*($F:$F=F3263)) ) - 1</f>
        <v>4.8558274313326155E-3</v>
      </c>
    </row>
    <row r="3264" spans="1:7" x14ac:dyDescent="0.2">
      <c r="A3264" s="1">
        <v>42003</v>
      </c>
      <c r="B3264">
        <v>0</v>
      </c>
      <c r="C3264" t="s">
        <v>13</v>
      </c>
      <c r="D3264">
        <v>-4.8260000000000004E-3</v>
      </c>
      <c r="E3264">
        <f t="shared" si="100"/>
        <v>0.995174</v>
      </c>
      <c r="F3264" s="1">
        <f t="shared" si="101"/>
        <v>42002</v>
      </c>
      <c r="G3264" cm="1">
        <f t="array" ref="G3264">PRODUCT( _xlfn._xlws.FILTER($E:$E, ($C:$C=C3264)*($F:$F=F3264)) ) - 1</f>
        <v>4.8558274313326155E-3</v>
      </c>
    </row>
    <row r="3265" spans="1:7" x14ac:dyDescent="0.2">
      <c r="A3265" s="1">
        <v>42004</v>
      </c>
      <c r="B3265">
        <v>0</v>
      </c>
      <c r="C3265" t="s">
        <v>13</v>
      </c>
      <c r="D3265">
        <v>-2.362E-3</v>
      </c>
      <c r="E3265">
        <f t="shared" si="100"/>
        <v>0.99763800000000002</v>
      </c>
      <c r="F3265" s="1">
        <f t="shared" si="101"/>
        <v>42002</v>
      </c>
      <c r="G3265" cm="1">
        <f t="array" ref="G3265">PRODUCT( _xlfn._xlws.FILTER($E:$E, ($C:$C=C3265)*($F:$F=F3265)) ) - 1</f>
        <v>4.8558274313326155E-3</v>
      </c>
    </row>
    <row r="3266" spans="1:7" x14ac:dyDescent="0.2">
      <c r="A3266" s="1">
        <v>42006</v>
      </c>
      <c r="B3266">
        <v>0</v>
      </c>
      <c r="C3266" t="s">
        <v>13</v>
      </c>
      <c r="D3266">
        <v>5.7330000000000002E-3</v>
      </c>
      <c r="E3266">
        <f t="shared" si="100"/>
        <v>1.005733</v>
      </c>
      <c r="F3266" s="1">
        <f t="shared" si="101"/>
        <v>42002</v>
      </c>
      <c r="G3266" cm="1">
        <f t="array" ref="G3266">PRODUCT( _xlfn._xlws.FILTER($E:$E, ($C:$C=C3266)*($F:$F=F3266)) ) - 1</f>
        <v>4.8558274313326155E-3</v>
      </c>
    </row>
    <row r="3267" spans="1:7" x14ac:dyDescent="0.2">
      <c r="A3267" s="1">
        <v>42009</v>
      </c>
      <c r="B3267">
        <v>0</v>
      </c>
      <c r="C3267" t="s">
        <v>13</v>
      </c>
      <c r="D3267">
        <v>-2.2553E-2</v>
      </c>
      <c r="E3267">
        <f t="shared" si="100"/>
        <v>0.97744699999999995</v>
      </c>
      <c r="F3267" s="1">
        <f t="shared" si="101"/>
        <v>42009</v>
      </c>
      <c r="G3267" cm="1">
        <f t="array" ref="G3267">PRODUCT( _xlfn._xlws.FILTER($E:$E, ($C:$C=C3267)*($F:$F=F3267)) ) - 1</f>
        <v>-3.9900751477529028E-2</v>
      </c>
    </row>
    <row r="3268" spans="1:7" x14ac:dyDescent="0.2">
      <c r="A3268" s="1">
        <v>42010</v>
      </c>
      <c r="B3268">
        <v>0</v>
      </c>
      <c r="C3268" t="s">
        <v>13</v>
      </c>
      <c r="D3268">
        <v>-7.0990000000000003E-3</v>
      </c>
      <c r="E3268">
        <f t="shared" ref="E3268:E3331" si="102">D3268+1</f>
        <v>0.99290100000000003</v>
      </c>
      <c r="F3268" s="1">
        <f t="shared" ref="F3268:F3331" si="103">A3268 - (WEEKDAY(A3268, 2) - 1)</f>
        <v>42009</v>
      </c>
      <c r="G3268" cm="1">
        <f t="array" ref="G3268">PRODUCT( _xlfn._xlws.FILTER($E:$E, ($C:$C=C3268)*($F:$F=F3268)) ) - 1</f>
        <v>-3.9900751477529028E-2</v>
      </c>
    </row>
    <row r="3269" spans="1:7" x14ac:dyDescent="0.2">
      <c r="A3269" s="1">
        <v>42011</v>
      </c>
      <c r="B3269">
        <v>0</v>
      </c>
      <c r="C3269" t="s">
        <v>13</v>
      </c>
      <c r="D3269">
        <v>3.8299999999999999E-4</v>
      </c>
      <c r="E3269">
        <f t="shared" si="102"/>
        <v>1.000383</v>
      </c>
      <c r="F3269" s="1">
        <f t="shared" si="103"/>
        <v>42009</v>
      </c>
      <c r="G3269" cm="1">
        <f t="array" ref="G3269">PRODUCT( _xlfn._xlws.FILTER($E:$E, ($C:$C=C3269)*($F:$F=F3269)) ) - 1</f>
        <v>-3.9900751477529028E-2</v>
      </c>
    </row>
    <row r="3270" spans="1:7" x14ac:dyDescent="0.2">
      <c r="A3270" s="1">
        <v>42012</v>
      </c>
      <c r="B3270">
        <v>0</v>
      </c>
      <c r="C3270" t="s">
        <v>13</v>
      </c>
      <c r="D3270">
        <v>6.1260000000000004E-3</v>
      </c>
      <c r="E3270">
        <f t="shared" si="102"/>
        <v>1.0061260000000001</v>
      </c>
      <c r="F3270" s="1">
        <f t="shared" si="103"/>
        <v>42009</v>
      </c>
      <c r="G3270" cm="1">
        <f t="array" ref="G3270">PRODUCT( _xlfn._xlws.FILTER($E:$E, ($C:$C=C3270)*($F:$F=F3270)) ) - 1</f>
        <v>-3.9900751477529028E-2</v>
      </c>
    </row>
    <row r="3271" spans="1:7" x14ac:dyDescent="0.2">
      <c r="A3271" s="1">
        <v>42013</v>
      </c>
      <c r="B3271">
        <v>0</v>
      </c>
      <c r="C3271" t="s">
        <v>13</v>
      </c>
      <c r="D3271">
        <v>-1.7125000000000001E-2</v>
      </c>
      <c r="E3271">
        <f t="shared" si="102"/>
        <v>0.98287499999999994</v>
      </c>
      <c r="F3271" s="1">
        <f t="shared" si="103"/>
        <v>42009</v>
      </c>
      <c r="G3271" cm="1">
        <f t="array" ref="G3271">PRODUCT( _xlfn._xlws.FILTER($E:$E, ($C:$C=C3271)*($F:$F=F3271)) ) - 1</f>
        <v>-3.9900751477529028E-2</v>
      </c>
    </row>
    <row r="3272" spans="1:7" x14ac:dyDescent="0.2">
      <c r="A3272" s="1">
        <v>42016</v>
      </c>
      <c r="B3272">
        <v>0</v>
      </c>
      <c r="C3272" t="s">
        <v>13</v>
      </c>
      <c r="D3272">
        <v>-8.6470000000000002E-3</v>
      </c>
      <c r="E3272">
        <f t="shared" si="102"/>
        <v>0.99135300000000004</v>
      </c>
      <c r="F3272" s="1">
        <f t="shared" si="103"/>
        <v>42016</v>
      </c>
      <c r="G3272" cm="1">
        <f t="array" ref="G3272">PRODUCT( _xlfn._xlws.FILTER($E:$E, ($C:$C=C3272)*($F:$F=F3272)) ) - 1</f>
        <v>-2.5425661323807414E-2</v>
      </c>
    </row>
    <row r="3273" spans="1:7" x14ac:dyDescent="0.2">
      <c r="A3273" s="1">
        <v>42017</v>
      </c>
      <c r="B3273">
        <v>0</v>
      </c>
      <c r="C3273" t="s">
        <v>13</v>
      </c>
      <c r="D3273">
        <v>-2.0830000000000002E-3</v>
      </c>
      <c r="E3273">
        <f t="shared" si="102"/>
        <v>0.99791700000000005</v>
      </c>
      <c r="F3273" s="1">
        <f t="shared" si="103"/>
        <v>42016</v>
      </c>
      <c r="G3273" cm="1">
        <f t="array" ref="G3273">PRODUCT( _xlfn._xlws.FILTER($E:$E, ($C:$C=C3273)*($F:$F=F3273)) ) - 1</f>
        <v>-2.5425661323807414E-2</v>
      </c>
    </row>
    <row r="3274" spans="1:7" x14ac:dyDescent="0.2">
      <c r="A3274" s="1">
        <v>42018</v>
      </c>
      <c r="B3274">
        <v>0</v>
      </c>
      <c r="C3274" t="s">
        <v>13</v>
      </c>
      <c r="D3274">
        <v>-1.2655E-2</v>
      </c>
      <c r="E3274">
        <f t="shared" si="102"/>
        <v>0.98734500000000003</v>
      </c>
      <c r="F3274" s="1">
        <f t="shared" si="103"/>
        <v>42016</v>
      </c>
      <c r="G3274" cm="1">
        <f t="array" ref="G3274">PRODUCT( _xlfn._xlws.FILTER($E:$E, ($C:$C=C3274)*($F:$F=F3274)) ) - 1</f>
        <v>-2.5425661323807414E-2</v>
      </c>
    </row>
    <row r="3275" spans="1:7" x14ac:dyDescent="0.2">
      <c r="A3275" s="1">
        <v>42019</v>
      </c>
      <c r="B3275">
        <v>0</v>
      </c>
      <c r="C3275" t="s">
        <v>13</v>
      </c>
      <c r="D3275">
        <v>-7.4000000000000003E-3</v>
      </c>
      <c r="E3275">
        <f t="shared" si="102"/>
        <v>0.99260000000000004</v>
      </c>
      <c r="F3275" s="1">
        <f t="shared" si="103"/>
        <v>42016</v>
      </c>
      <c r="G3275" cm="1">
        <f t="array" ref="G3275">PRODUCT( _xlfn._xlws.FILTER($E:$E, ($C:$C=C3275)*($F:$F=F3275)) ) - 1</f>
        <v>-2.5425661323807414E-2</v>
      </c>
    </row>
    <row r="3276" spans="1:7" x14ac:dyDescent="0.2">
      <c r="A3276" s="1">
        <v>42020</v>
      </c>
      <c r="B3276">
        <v>0</v>
      </c>
      <c r="C3276" t="s">
        <v>13</v>
      </c>
      <c r="D3276">
        <v>5.1919999999999996E-3</v>
      </c>
      <c r="E3276">
        <f t="shared" si="102"/>
        <v>1.0051920000000001</v>
      </c>
      <c r="F3276" s="1">
        <f t="shared" si="103"/>
        <v>42016</v>
      </c>
      <c r="G3276" cm="1">
        <f t="array" ref="G3276">PRODUCT( _xlfn._xlws.FILTER($E:$E, ($C:$C=C3276)*($F:$F=F3276)) ) - 1</f>
        <v>-2.5425661323807414E-2</v>
      </c>
    </row>
    <row r="3277" spans="1:7" x14ac:dyDescent="0.2">
      <c r="A3277" s="1">
        <v>42023</v>
      </c>
      <c r="B3277">
        <v>0</v>
      </c>
      <c r="C3277" t="s">
        <v>13</v>
      </c>
      <c r="D3277">
        <v>3.8409999999999998E-3</v>
      </c>
      <c r="E3277">
        <f t="shared" si="102"/>
        <v>1.003841</v>
      </c>
      <c r="F3277" s="1">
        <f t="shared" si="103"/>
        <v>42023</v>
      </c>
      <c r="G3277" cm="1">
        <f t="array" ref="G3277">PRODUCT( _xlfn._xlws.FILTER($E:$E, ($C:$C=C3277)*($F:$F=F3277)) ) - 1</f>
        <v>8.8352038580341574E-3</v>
      </c>
    </row>
    <row r="3278" spans="1:7" x14ac:dyDescent="0.2">
      <c r="A3278" s="1">
        <v>42024</v>
      </c>
      <c r="B3278">
        <v>0</v>
      </c>
      <c r="C3278" t="s">
        <v>13</v>
      </c>
      <c r="D3278">
        <v>-5.1450000000000003E-3</v>
      </c>
      <c r="E3278">
        <f t="shared" si="102"/>
        <v>0.99485500000000004</v>
      </c>
      <c r="F3278" s="1">
        <f t="shared" si="103"/>
        <v>42023</v>
      </c>
      <c r="G3278" cm="1">
        <f t="array" ref="G3278">PRODUCT( _xlfn._xlws.FILTER($E:$E, ($C:$C=C3278)*($F:$F=F3278)) ) - 1</f>
        <v>8.8352038580341574E-3</v>
      </c>
    </row>
    <row r="3279" spans="1:7" x14ac:dyDescent="0.2">
      <c r="A3279" s="1">
        <v>42025</v>
      </c>
      <c r="B3279">
        <v>0</v>
      </c>
      <c r="C3279" t="s">
        <v>13</v>
      </c>
      <c r="D3279">
        <v>1.5913E-2</v>
      </c>
      <c r="E3279">
        <f t="shared" si="102"/>
        <v>1.0159130000000001</v>
      </c>
      <c r="F3279" s="1">
        <f t="shared" si="103"/>
        <v>42023</v>
      </c>
      <c r="G3279" cm="1">
        <f t="array" ref="G3279">PRODUCT( _xlfn._xlws.FILTER($E:$E, ($C:$C=C3279)*($F:$F=F3279)) ) - 1</f>
        <v>8.8352038580341574E-3</v>
      </c>
    </row>
    <row r="3280" spans="1:7" x14ac:dyDescent="0.2">
      <c r="A3280" s="1">
        <v>42026</v>
      </c>
      <c r="B3280">
        <v>0</v>
      </c>
      <c r="C3280" t="s">
        <v>13</v>
      </c>
      <c r="D3280">
        <v>-1.5011E-2</v>
      </c>
      <c r="E3280">
        <f t="shared" si="102"/>
        <v>0.984989</v>
      </c>
      <c r="F3280" s="1">
        <f t="shared" si="103"/>
        <v>42023</v>
      </c>
      <c r="G3280" cm="1">
        <f t="array" ref="G3280">PRODUCT( _xlfn._xlws.FILTER($E:$E, ($C:$C=C3280)*($F:$F=F3280)) ) - 1</f>
        <v>8.8352038580341574E-3</v>
      </c>
    </row>
    <row r="3281" spans="1:7" x14ac:dyDescent="0.2">
      <c r="A3281" s="1">
        <v>42027</v>
      </c>
      <c r="B3281">
        <v>0</v>
      </c>
      <c r="C3281" t="s">
        <v>13</v>
      </c>
      <c r="D3281">
        <v>9.5029999999999993E-3</v>
      </c>
      <c r="E3281">
        <f t="shared" si="102"/>
        <v>1.009503</v>
      </c>
      <c r="F3281" s="1">
        <f t="shared" si="103"/>
        <v>42023</v>
      </c>
      <c r="G3281" cm="1">
        <f t="array" ref="G3281">PRODUCT( _xlfn._xlws.FILTER($E:$E, ($C:$C=C3281)*($F:$F=F3281)) ) - 1</f>
        <v>8.8352038580341574E-3</v>
      </c>
    </row>
    <row r="3282" spans="1:7" x14ac:dyDescent="0.2">
      <c r="A3282" s="1">
        <v>42030</v>
      </c>
      <c r="B3282">
        <v>0</v>
      </c>
      <c r="C3282" t="s">
        <v>13</v>
      </c>
      <c r="D3282">
        <v>-1.459E-3</v>
      </c>
      <c r="E3282">
        <f t="shared" si="102"/>
        <v>0.99854100000000001</v>
      </c>
      <c r="F3282" s="1">
        <f t="shared" si="103"/>
        <v>42030</v>
      </c>
      <c r="G3282" cm="1">
        <f t="array" ref="G3282">PRODUCT( _xlfn._xlws.FILTER($E:$E, ($C:$C=C3282)*($F:$F=F3282)) ) - 1</f>
        <v>-4.8793931407974944E-2</v>
      </c>
    </row>
    <row r="3283" spans="1:7" x14ac:dyDescent="0.2">
      <c r="A3283" s="1">
        <v>42031</v>
      </c>
      <c r="B3283">
        <v>0</v>
      </c>
      <c r="C3283" t="s">
        <v>13</v>
      </c>
      <c r="D3283">
        <v>-2.5230000000000001E-3</v>
      </c>
      <c r="E3283">
        <f t="shared" si="102"/>
        <v>0.99747699999999995</v>
      </c>
      <c r="F3283" s="1">
        <f t="shared" si="103"/>
        <v>42030</v>
      </c>
      <c r="G3283" cm="1">
        <f t="array" ref="G3283">PRODUCT( _xlfn._xlws.FILTER($E:$E, ($C:$C=C3283)*($F:$F=F3283)) ) - 1</f>
        <v>-4.8793931407974944E-2</v>
      </c>
    </row>
    <row r="3284" spans="1:7" x14ac:dyDescent="0.2">
      <c r="A3284" s="1">
        <v>42032</v>
      </c>
      <c r="B3284">
        <v>0</v>
      </c>
      <c r="C3284" t="s">
        <v>13</v>
      </c>
      <c r="D3284">
        <v>-1.5841000000000001E-2</v>
      </c>
      <c r="E3284">
        <f t="shared" si="102"/>
        <v>0.98415900000000001</v>
      </c>
      <c r="F3284" s="1">
        <f t="shared" si="103"/>
        <v>42030</v>
      </c>
      <c r="G3284" cm="1">
        <f t="array" ref="G3284">PRODUCT( _xlfn._xlws.FILTER($E:$E, ($C:$C=C3284)*($F:$F=F3284)) ) - 1</f>
        <v>-4.8793931407974944E-2</v>
      </c>
    </row>
    <row r="3285" spans="1:7" x14ac:dyDescent="0.2">
      <c r="A3285" s="1">
        <v>42033</v>
      </c>
      <c r="B3285">
        <v>0</v>
      </c>
      <c r="C3285" t="s">
        <v>13</v>
      </c>
      <c r="D3285">
        <v>2.4350000000000001E-3</v>
      </c>
      <c r="E3285">
        <f t="shared" si="102"/>
        <v>1.002435</v>
      </c>
      <c r="F3285" s="1">
        <f t="shared" si="103"/>
        <v>42030</v>
      </c>
      <c r="G3285" cm="1">
        <f t="array" ref="G3285">PRODUCT( _xlfn._xlws.FILTER($E:$E, ($C:$C=C3285)*($F:$F=F3285)) ) - 1</f>
        <v>-4.8793931407974944E-2</v>
      </c>
    </row>
    <row r="3286" spans="1:7" x14ac:dyDescent="0.2">
      <c r="A3286" s="1">
        <v>42034</v>
      </c>
      <c r="B3286">
        <v>0</v>
      </c>
      <c r="C3286" t="s">
        <v>13</v>
      </c>
      <c r="D3286">
        <v>-3.1980000000000001E-2</v>
      </c>
      <c r="E3286">
        <f t="shared" si="102"/>
        <v>0.96801999999999999</v>
      </c>
      <c r="F3286" s="1">
        <f t="shared" si="103"/>
        <v>42030</v>
      </c>
      <c r="G3286" cm="1">
        <f t="array" ref="G3286">PRODUCT( _xlfn._xlws.FILTER($E:$E, ($C:$C=C3286)*($F:$F=F3286)) ) - 1</f>
        <v>-4.8793931407974944E-2</v>
      </c>
    </row>
    <row r="3287" spans="1:7" x14ac:dyDescent="0.2">
      <c r="A3287" s="1">
        <v>42037</v>
      </c>
      <c r="B3287">
        <v>0</v>
      </c>
      <c r="C3287" t="s">
        <v>13</v>
      </c>
      <c r="D3287">
        <v>1.6309000000000001E-2</v>
      </c>
      <c r="E3287">
        <f t="shared" si="102"/>
        <v>1.0163089999999999</v>
      </c>
      <c r="F3287" s="1">
        <f t="shared" si="103"/>
        <v>42037</v>
      </c>
      <c r="G3287" cm="1">
        <f t="array" ref="G3287">PRODUCT( _xlfn._xlws.FILTER($E:$E, ($C:$C=C3287)*($F:$F=F3287)) ) - 1</f>
        <v>6.0356702973006104E-2</v>
      </c>
    </row>
    <row r="3288" spans="1:7" x14ac:dyDescent="0.2">
      <c r="A3288" s="1">
        <v>42038</v>
      </c>
      <c r="B3288">
        <v>0</v>
      </c>
      <c r="C3288" t="s">
        <v>13</v>
      </c>
      <c r="D3288">
        <v>2.6334E-2</v>
      </c>
      <c r="E3288">
        <f t="shared" si="102"/>
        <v>1.0263340000000001</v>
      </c>
      <c r="F3288" s="1">
        <f t="shared" si="103"/>
        <v>42037</v>
      </c>
      <c r="G3288" cm="1">
        <f t="array" ref="G3288">PRODUCT( _xlfn._xlws.FILTER($E:$E, ($C:$C=C3288)*($F:$F=F3288)) ) - 1</f>
        <v>6.0356702973006104E-2</v>
      </c>
    </row>
    <row r="3289" spans="1:7" x14ac:dyDescent="0.2">
      <c r="A3289" s="1">
        <v>42039</v>
      </c>
      <c r="B3289">
        <v>0</v>
      </c>
      <c r="C3289" t="s">
        <v>13</v>
      </c>
      <c r="D3289">
        <v>-9.3550000000000005E-3</v>
      </c>
      <c r="E3289">
        <f t="shared" si="102"/>
        <v>0.990645</v>
      </c>
      <c r="F3289" s="1">
        <f t="shared" si="103"/>
        <v>42037</v>
      </c>
      <c r="G3289" cm="1">
        <f t="array" ref="G3289">PRODUCT( _xlfn._xlws.FILTER($E:$E, ($C:$C=C3289)*($F:$F=F3289)) ) - 1</f>
        <v>6.0356702973006104E-2</v>
      </c>
    </row>
    <row r="3290" spans="1:7" x14ac:dyDescent="0.2">
      <c r="A3290" s="1">
        <v>42040</v>
      </c>
      <c r="B3290">
        <v>0</v>
      </c>
      <c r="C3290" t="s">
        <v>13</v>
      </c>
      <c r="D3290">
        <v>1.6997000000000002E-2</v>
      </c>
      <c r="E3290">
        <f t="shared" si="102"/>
        <v>1.0169969999999999</v>
      </c>
      <c r="F3290" s="1">
        <f t="shared" si="103"/>
        <v>42037</v>
      </c>
      <c r="G3290" cm="1">
        <f t="array" ref="G3290">PRODUCT( _xlfn._xlws.FILTER($E:$E, ($C:$C=C3290)*($F:$F=F3290)) ) - 1</f>
        <v>6.0356702973006104E-2</v>
      </c>
    </row>
    <row r="3291" spans="1:7" x14ac:dyDescent="0.2">
      <c r="A3291" s="1">
        <v>42041</v>
      </c>
      <c r="B3291">
        <v>0</v>
      </c>
      <c r="C3291" t="s">
        <v>13</v>
      </c>
      <c r="D3291">
        <v>9.0200000000000002E-3</v>
      </c>
      <c r="E3291">
        <f t="shared" si="102"/>
        <v>1.00902</v>
      </c>
      <c r="F3291" s="1">
        <f t="shared" si="103"/>
        <v>42037</v>
      </c>
      <c r="G3291" cm="1">
        <f t="array" ref="G3291">PRODUCT( _xlfn._xlws.FILTER($E:$E, ($C:$C=C3291)*($F:$F=F3291)) ) - 1</f>
        <v>6.0356702973006104E-2</v>
      </c>
    </row>
    <row r="3292" spans="1:7" x14ac:dyDescent="0.2">
      <c r="A3292" s="1">
        <v>42044</v>
      </c>
      <c r="B3292">
        <v>0</v>
      </c>
      <c r="C3292" t="s">
        <v>13</v>
      </c>
      <c r="D3292">
        <v>4.3379999999999998E-3</v>
      </c>
      <c r="E3292">
        <f t="shared" si="102"/>
        <v>1.004338</v>
      </c>
      <c r="F3292" s="1">
        <f t="shared" si="103"/>
        <v>42044</v>
      </c>
      <c r="G3292" cm="1">
        <f t="array" ref="G3292">PRODUCT( _xlfn._xlws.FILTER($E:$E, ($C:$C=C3292)*($F:$F=F3292)) ) - 1</f>
        <v>1.9325343002169593E-2</v>
      </c>
    </row>
    <row r="3293" spans="1:7" x14ac:dyDescent="0.2">
      <c r="A3293" s="1">
        <v>42045</v>
      </c>
      <c r="B3293">
        <v>0</v>
      </c>
      <c r="C3293" t="s">
        <v>13</v>
      </c>
      <c r="D3293">
        <v>2.6200000000000003E-4</v>
      </c>
      <c r="E3293">
        <f t="shared" si="102"/>
        <v>1.000262</v>
      </c>
      <c r="F3293" s="1">
        <f t="shared" si="103"/>
        <v>42044</v>
      </c>
      <c r="G3293" cm="1">
        <f t="array" ref="G3293">PRODUCT( _xlfn._xlws.FILTER($E:$E, ($C:$C=C3293)*($F:$F=F3293)) ) - 1</f>
        <v>1.9325343002169593E-2</v>
      </c>
    </row>
    <row r="3294" spans="1:7" x14ac:dyDescent="0.2">
      <c r="A3294" s="1">
        <v>42046</v>
      </c>
      <c r="B3294">
        <v>0</v>
      </c>
      <c r="C3294" t="s">
        <v>13</v>
      </c>
      <c r="D3294">
        <v>4.0569999999999998E-3</v>
      </c>
      <c r="E3294">
        <f t="shared" si="102"/>
        <v>1.004057</v>
      </c>
      <c r="F3294" s="1">
        <f t="shared" si="103"/>
        <v>42044</v>
      </c>
      <c r="G3294" cm="1">
        <f t="array" ref="G3294">PRODUCT( _xlfn._xlws.FILTER($E:$E, ($C:$C=C3294)*($F:$F=F3294)) ) - 1</f>
        <v>1.9325343002169593E-2</v>
      </c>
    </row>
    <row r="3295" spans="1:7" x14ac:dyDescent="0.2">
      <c r="A3295" s="1">
        <v>42047</v>
      </c>
      <c r="B3295">
        <v>0</v>
      </c>
      <c r="C3295" t="s">
        <v>13</v>
      </c>
      <c r="D3295">
        <v>8.9929999999999993E-3</v>
      </c>
      <c r="E3295">
        <f t="shared" si="102"/>
        <v>1.008993</v>
      </c>
      <c r="F3295" s="1">
        <f t="shared" si="103"/>
        <v>42044</v>
      </c>
      <c r="G3295" cm="1">
        <f t="array" ref="G3295">PRODUCT( _xlfn._xlws.FILTER($E:$E, ($C:$C=C3295)*($F:$F=F3295)) ) - 1</f>
        <v>1.9325343002169593E-2</v>
      </c>
    </row>
    <row r="3296" spans="1:7" x14ac:dyDescent="0.2">
      <c r="A3296" s="1">
        <v>42048</v>
      </c>
      <c r="B3296">
        <v>0</v>
      </c>
      <c r="C3296" t="s">
        <v>13</v>
      </c>
      <c r="D3296">
        <v>1.5499999999999999E-3</v>
      </c>
      <c r="E3296">
        <f t="shared" si="102"/>
        <v>1.0015499999999999</v>
      </c>
      <c r="F3296" s="1">
        <f t="shared" si="103"/>
        <v>42044</v>
      </c>
      <c r="G3296" cm="1">
        <f t="array" ref="G3296">PRODUCT( _xlfn._xlws.FILTER($E:$E, ($C:$C=C3296)*($F:$F=F3296)) ) - 1</f>
        <v>1.9325343002169593E-2</v>
      </c>
    </row>
    <row r="3297" spans="1:7" x14ac:dyDescent="0.2">
      <c r="A3297" s="1">
        <v>42052</v>
      </c>
      <c r="B3297">
        <v>0</v>
      </c>
      <c r="C3297" t="s">
        <v>13</v>
      </c>
      <c r="D3297">
        <v>2.0630000000000002E-3</v>
      </c>
      <c r="E3297">
        <f t="shared" si="102"/>
        <v>1.0020629999999999</v>
      </c>
      <c r="F3297" s="1">
        <f t="shared" si="103"/>
        <v>42051</v>
      </c>
      <c r="G3297" cm="1">
        <f t="array" ref="G3297">PRODUCT( _xlfn._xlws.FILTER($E:$E, ($C:$C=C3297)*($F:$F=F3297)) ) - 1</f>
        <v>-1.9732423361841778E-2</v>
      </c>
    </row>
    <row r="3298" spans="1:7" x14ac:dyDescent="0.2">
      <c r="A3298" s="1">
        <v>42053</v>
      </c>
      <c r="B3298">
        <v>0</v>
      </c>
      <c r="C3298" t="s">
        <v>13</v>
      </c>
      <c r="D3298">
        <v>-1.1712E-2</v>
      </c>
      <c r="E3298">
        <f t="shared" si="102"/>
        <v>0.98828800000000006</v>
      </c>
      <c r="F3298" s="1">
        <f t="shared" si="103"/>
        <v>42051</v>
      </c>
      <c r="G3298" cm="1">
        <f t="array" ref="G3298">PRODUCT( _xlfn._xlws.FILTER($E:$E, ($C:$C=C3298)*($F:$F=F3298)) ) - 1</f>
        <v>-1.9732423361841778E-2</v>
      </c>
    </row>
    <row r="3299" spans="1:7" x14ac:dyDescent="0.2">
      <c r="A3299" s="1">
        <v>42054</v>
      </c>
      <c r="B3299">
        <v>0</v>
      </c>
      <c r="C3299" t="s">
        <v>13</v>
      </c>
      <c r="D3299">
        <v>5.7299999999999999E-3</v>
      </c>
      <c r="E3299">
        <f t="shared" si="102"/>
        <v>1.00573</v>
      </c>
      <c r="F3299" s="1">
        <f t="shared" si="103"/>
        <v>42051</v>
      </c>
      <c r="G3299" cm="1">
        <f t="array" ref="G3299">PRODUCT( _xlfn._xlws.FILTER($E:$E, ($C:$C=C3299)*($F:$F=F3299)) ) - 1</f>
        <v>-1.9732423361841778E-2</v>
      </c>
    </row>
    <row r="3300" spans="1:7" x14ac:dyDescent="0.2">
      <c r="A3300" s="1">
        <v>42055</v>
      </c>
      <c r="B3300">
        <v>0</v>
      </c>
      <c r="C3300" t="s">
        <v>13</v>
      </c>
      <c r="D3300">
        <v>-1.5796999999999999E-2</v>
      </c>
      <c r="E3300">
        <f t="shared" si="102"/>
        <v>0.98420300000000005</v>
      </c>
      <c r="F3300" s="1">
        <f t="shared" si="103"/>
        <v>42051</v>
      </c>
      <c r="G3300" cm="1">
        <f t="array" ref="G3300">PRODUCT( _xlfn._xlws.FILTER($E:$E, ($C:$C=C3300)*($F:$F=F3300)) ) - 1</f>
        <v>-1.9732423361841778E-2</v>
      </c>
    </row>
    <row r="3301" spans="1:7" x14ac:dyDescent="0.2">
      <c r="A3301" s="1">
        <v>42058</v>
      </c>
      <c r="B3301">
        <v>0</v>
      </c>
      <c r="C3301" t="s">
        <v>13</v>
      </c>
      <c r="D3301">
        <v>-1.1577E-2</v>
      </c>
      <c r="E3301">
        <f t="shared" si="102"/>
        <v>0.98842300000000005</v>
      </c>
      <c r="F3301" s="1">
        <f t="shared" si="103"/>
        <v>42058</v>
      </c>
      <c r="G3301" cm="1">
        <f t="array" ref="G3301">PRODUCT( _xlfn._xlws.FILTER($E:$E, ($C:$C=C3301)*($F:$F=F3301)) ) - 1</f>
        <v>3.0258579372233418E-2</v>
      </c>
    </row>
    <row r="3302" spans="1:7" x14ac:dyDescent="0.2">
      <c r="A3302" s="1">
        <v>42059</v>
      </c>
      <c r="B3302">
        <v>0</v>
      </c>
      <c r="C3302" t="s">
        <v>13</v>
      </c>
      <c r="D3302">
        <v>-1.065E-3</v>
      </c>
      <c r="E3302">
        <f t="shared" si="102"/>
        <v>0.99893500000000002</v>
      </c>
      <c r="F3302" s="1">
        <f t="shared" si="103"/>
        <v>42058</v>
      </c>
      <c r="G3302" cm="1">
        <f t="array" ref="G3302">PRODUCT( _xlfn._xlws.FILTER($E:$E, ($C:$C=C3302)*($F:$F=F3302)) ) - 1</f>
        <v>3.0258579372233418E-2</v>
      </c>
    </row>
    <row r="3303" spans="1:7" x14ac:dyDescent="0.2">
      <c r="A3303" s="1">
        <v>42060</v>
      </c>
      <c r="B3303">
        <v>0</v>
      </c>
      <c r="C3303" t="s">
        <v>13</v>
      </c>
      <c r="D3303">
        <v>3.6642000000000001E-2</v>
      </c>
      <c r="E3303">
        <f t="shared" si="102"/>
        <v>1.0366420000000001</v>
      </c>
      <c r="F3303" s="1">
        <f t="shared" si="103"/>
        <v>42058</v>
      </c>
      <c r="G3303" cm="1">
        <f t="array" ref="G3303">PRODUCT( _xlfn._xlws.FILTER($E:$E, ($C:$C=C3303)*($F:$F=F3303)) ) - 1</f>
        <v>3.0258579372233418E-2</v>
      </c>
    </row>
    <row r="3304" spans="1:7" x14ac:dyDescent="0.2">
      <c r="A3304" s="1">
        <v>42061</v>
      </c>
      <c r="B3304">
        <v>0</v>
      </c>
      <c r="C3304" t="s">
        <v>13</v>
      </c>
      <c r="D3304">
        <v>3.47E-3</v>
      </c>
      <c r="E3304">
        <f t="shared" si="102"/>
        <v>1.0034700000000001</v>
      </c>
      <c r="F3304" s="1">
        <f t="shared" si="103"/>
        <v>42058</v>
      </c>
      <c r="G3304" cm="1">
        <f t="array" ref="G3304">PRODUCT( _xlfn._xlws.FILTER($E:$E, ($C:$C=C3304)*($F:$F=F3304)) ) - 1</f>
        <v>3.0258579372233418E-2</v>
      </c>
    </row>
    <row r="3305" spans="1:7" x14ac:dyDescent="0.2">
      <c r="A3305" s="1">
        <v>42062</v>
      </c>
      <c r="B3305">
        <v>0</v>
      </c>
      <c r="C3305" t="s">
        <v>13</v>
      </c>
      <c r="D3305">
        <v>3.0739999999999999E-3</v>
      </c>
      <c r="E3305">
        <f t="shared" si="102"/>
        <v>1.003074</v>
      </c>
      <c r="F3305" s="1">
        <f t="shared" si="103"/>
        <v>42058</v>
      </c>
      <c r="G3305" cm="1">
        <f t="array" ref="G3305">PRODUCT( _xlfn._xlws.FILTER($E:$E, ($C:$C=C3305)*($F:$F=F3305)) ) - 1</f>
        <v>3.0258579372233418E-2</v>
      </c>
    </row>
    <row r="3306" spans="1:7" x14ac:dyDescent="0.2">
      <c r="A3306" s="1">
        <v>42065</v>
      </c>
      <c r="B3306">
        <v>0</v>
      </c>
      <c r="C3306" t="s">
        <v>13</v>
      </c>
      <c r="D3306">
        <v>-1.1490000000000001E-3</v>
      </c>
      <c r="E3306">
        <f t="shared" si="102"/>
        <v>0.99885100000000004</v>
      </c>
      <c r="F3306" s="1">
        <f t="shared" si="103"/>
        <v>42065</v>
      </c>
      <c r="G3306" cm="1">
        <f t="array" ref="G3306">PRODUCT( _xlfn._xlws.FILTER($E:$E, ($C:$C=C3306)*($F:$F=F3306)) ) - 1</f>
        <v>-1.4685320859162743E-2</v>
      </c>
    </row>
    <row r="3307" spans="1:7" x14ac:dyDescent="0.2">
      <c r="A3307" s="1">
        <v>42066</v>
      </c>
      <c r="B3307">
        <v>0</v>
      </c>
      <c r="C3307" t="s">
        <v>13</v>
      </c>
      <c r="D3307">
        <v>-1.5086E-2</v>
      </c>
      <c r="E3307">
        <f t="shared" si="102"/>
        <v>0.98491399999999996</v>
      </c>
      <c r="F3307" s="1">
        <f t="shared" si="103"/>
        <v>42065</v>
      </c>
      <c r="G3307" cm="1">
        <f t="array" ref="G3307">PRODUCT( _xlfn._xlws.FILTER($E:$E, ($C:$C=C3307)*($F:$F=F3307)) ) - 1</f>
        <v>-1.4685320859162743E-2</v>
      </c>
    </row>
    <row r="3308" spans="1:7" x14ac:dyDescent="0.2">
      <c r="A3308" s="1">
        <v>42067</v>
      </c>
      <c r="B3308">
        <v>0</v>
      </c>
      <c r="C3308" t="s">
        <v>13</v>
      </c>
      <c r="D3308">
        <v>0</v>
      </c>
      <c r="E3308">
        <f t="shared" si="102"/>
        <v>1</v>
      </c>
      <c r="F3308" s="1">
        <f t="shared" si="103"/>
        <v>42065</v>
      </c>
      <c r="G3308" cm="1">
        <f t="array" ref="G3308">PRODUCT( _xlfn._xlws.FILTER($E:$E, ($C:$C=C3308)*($F:$F=F3308)) ) - 1</f>
        <v>-1.4685320859162743E-2</v>
      </c>
    </row>
    <row r="3309" spans="1:7" x14ac:dyDescent="0.2">
      <c r="A3309" s="1">
        <v>42068</v>
      </c>
      <c r="B3309">
        <v>0</v>
      </c>
      <c r="C3309" t="s">
        <v>13</v>
      </c>
      <c r="D3309">
        <v>7.7899999999999996E-4</v>
      </c>
      <c r="E3309">
        <f t="shared" si="102"/>
        <v>1.0007790000000001</v>
      </c>
      <c r="F3309" s="1">
        <f t="shared" si="103"/>
        <v>42065</v>
      </c>
      <c r="G3309" cm="1">
        <f t="array" ref="G3309">PRODUCT( _xlfn._xlws.FILTER($E:$E, ($C:$C=C3309)*($F:$F=F3309)) ) - 1</f>
        <v>-1.4685320859162743E-2</v>
      </c>
    </row>
    <row r="3310" spans="1:7" x14ac:dyDescent="0.2">
      <c r="A3310" s="1">
        <v>42069</v>
      </c>
      <c r="B3310">
        <v>0</v>
      </c>
      <c r="C3310" t="s">
        <v>13</v>
      </c>
      <c r="D3310">
        <v>7.7800000000000005E-4</v>
      </c>
      <c r="E3310">
        <f t="shared" si="102"/>
        <v>1.0007779999999999</v>
      </c>
      <c r="F3310" s="1">
        <f t="shared" si="103"/>
        <v>42065</v>
      </c>
      <c r="G3310" cm="1">
        <f t="array" ref="G3310">PRODUCT( _xlfn._xlws.FILTER($E:$E, ($C:$C=C3310)*($F:$F=F3310)) ) - 1</f>
        <v>-1.4685320859162743E-2</v>
      </c>
    </row>
    <row r="3311" spans="1:7" x14ac:dyDescent="0.2">
      <c r="A3311" s="1">
        <v>42072</v>
      </c>
      <c r="B3311">
        <v>0</v>
      </c>
      <c r="C3311" t="s">
        <v>13</v>
      </c>
      <c r="D3311">
        <v>-2.9810000000000001E-3</v>
      </c>
      <c r="E3311">
        <f t="shared" si="102"/>
        <v>0.99701899999999999</v>
      </c>
      <c r="F3311" s="1">
        <f t="shared" si="103"/>
        <v>42072</v>
      </c>
      <c r="G3311" cm="1">
        <f t="array" ref="G3311">PRODUCT( _xlfn._xlws.FILTER($E:$E, ($C:$C=C3311)*($F:$F=F3311)) ) - 1</f>
        <v>-1.9051670421463496E-2</v>
      </c>
    </row>
    <row r="3312" spans="1:7" x14ac:dyDescent="0.2">
      <c r="A3312" s="1">
        <v>42073</v>
      </c>
      <c r="B3312">
        <v>0</v>
      </c>
      <c r="C3312" t="s">
        <v>13</v>
      </c>
      <c r="D3312">
        <v>-1.6119000000000001E-2</v>
      </c>
      <c r="E3312">
        <f t="shared" si="102"/>
        <v>0.98388100000000001</v>
      </c>
      <c r="F3312" s="1">
        <f t="shared" si="103"/>
        <v>42072</v>
      </c>
      <c r="G3312" cm="1">
        <f t="array" ref="G3312">PRODUCT( _xlfn._xlws.FILTER($E:$E, ($C:$C=C3312)*($F:$F=F3312)) ) - 1</f>
        <v>-1.9051670421463496E-2</v>
      </c>
    </row>
    <row r="3313" spans="1:7" x14ac:dyDescent="0.2">
      <c r="A3313" s="1">
        <v>42074</v>
      </c>
      <c r="B3313">
        <v>0</v>
      </c>
      <c r="C3313" t="s">
        <v>13</v>
      </c>
      <c r="D3313">
        <v>3.8310000000000002E-3</v>
      </c>
      <c r="E3313">
        <f t="shared" si="102"/>
        <v>1.0038309999999999</v>
      </c>
      <c r="F3313" s="1">
        <f t="shared" si="103"/>
        <v>42072</v>
      </c>
      <c r="G3313" cm="1">
        <f t="array" ref="G3313">PRODUCT( _xlfn._xlws.FILTER($E:$E, ($C:$C=C3313)*($F:$F=F3313)) ) - 1</f>
        <v>-1.9051670421463496E-2</v>
      </c>
    </row>
    <row r="3314" spans="1:7" x14ac:dyDescent="0.2">
      <c r="A3314" s="1">
        <v>42075</v>
      </c>
      <c r="B3314">
        <v>0</v>
      </c>
      <c r="C3314" t="s">
        <v>13</v>
      </c>
      <c r="D3314">
        <v>4.8700000000000002E-3</v>
      </c>
      <c r="E3314">
        <f t="shared" si="102"/>
        <v>1.0048699999999999</v>
      </c>
      <c r="F3314" s="1">
        <f t="shared" si="103"/>
        <v>42072</v>
      </c>
      <c r="G3314" cm="1">
        <f t="array" ref="G3314">PRODUCT( _xlfn._xlws.FILTER($E:$E, ($C:$C=C3314)*($F:$F=F3314)) ) - 1</f>
        <v>-1.9051670421463496E-2</v>
      </c>
    </row>
    <row r="3315" spans="1:7" x14ac:dyDescent="0.2">
      <c r="A3315" s="1">
        <v>42076</v>
      </c>
      <c r="B3315">
        <v>0</v>
      </c>
      <c r="C3315" t="s">
        <v>13</v>
      </c>
      <c r="D3315">
        <v>-8.6440000000000006E-3</v>
      </c>
      <c r="E3315">
        <f t="shared" si="102"/>
        <v>0.99135600000000001</v>
      </c>
      <c r="F3315" s="1">
        <f t="shared" si="103"/>
        <v>42072</v>
      </c>
      <c r="G3315" cm="1">
        <f t="array" ref="G3315">PRODUCT( _xlfn._xlws.FILTER($E:$E, ($C:$C=C3315)*($F:$F=F3315)) ) - 1</f>
        <v>-1.9051670421463496E-2</v>
      </c>
    </row>
    <row r="3316" spans="1:7" x14ac:dyDescent="0.2">
      <c r="A3316" s="1">
        <v>42079</v>
      </c>
      <c r="B3316">
        <v>0</v>
      </c>
      <c r="C3316" t="s">
        <v>13</v>
      </c>
      <c r="D3316">
        <v>8.0590000000000002E-3</v>
      </c>
      <c r="E3316">
        <f t="shared" si="102"/>
        <v>1.008059</v>
      </c>
      <c r="F3316" s="1">
        <f t="shared" si="103"/>
        <v>42079</v>
      </c>
      <c r="G3316" cm="1">
        <f t="array" ref="G3316">PRODUCT( _xlfn._xlws.FILTER($E:$E, ($C:$C=C3316)*($F:$F=F3316)) ) - 1</f>
        <v>9.2475177767357142E-3</v>
      </c>
    </row>
    <row r="3317" spans="1:7" x14ac:dyDescent="0.2">
      <c r="A3317" s="1">
        <v>42080</v>
      </c>
      <c r="B3317">
        <v>0</v>
      </c>
      <c r="C3317" t="s">
        <v>13</v>
      </c>
      <c r="D3317">
        <v>-1.835E-3</v>
      </c>
      <c r="E3317">
        <f t="shared" si="102"/>
        <v>0.99816499999999997</v>
      </c>
      <c r="F3317" s="1">
        <f t="shared" si="103"/>
        <v>42079</v>
      </c>
      <c r="G3317" cm="1">
        <f t="array" ref="G3317">PRODUCT( _xlfn._xlws.FILTER($E:$E, ($C:$C=C3317)*($F:$F=F3317)) ) - 1</f>
        <v>9.2475177767357142E-3</v>
      </c>
    </row>
    <row r="3318" spans="1:7" x14ac:dyDescent="0.2">
      <c r="A3318" s="1">
        <v>42081</v>
      </c>
      <c r="B3318">
        <v>0</v>
      </c>
      <c r="C3318" t="s">
        <v>13</v>
      </c>
      <c r="D3318">
        <v>-2.7569999999999999E-3</v>
      </c>
      <c r="E3318">
        <f t="shared" si="102"/>
        <v>0.99724299999999999</v>
      </c>
      <c r="F3318" s="1">
        <f t="shared" si="103"/>
        <v>42079</v>
      </c>
      <c r="G3318" cm="1">
        <f t="array" ref="G3318">PRODUCT( _xlfn._xlws.FILTER($E:$E, ($C:$C=C3318)*($F:$F=F3318)) ) - 1</f>
        <v>9.2475177767357142E-3</v>
      </c>
    </row>
    <row r="3319" spans="1:7" x14ac:dyDescent="0.2">
      <c r="A3319" s="1">
        <v>42082</v>
      </c>
      <c r="B3319">
        <v>0</v>
      </c>
      <c r="C3319" t="s">
        <v>13</v>
      </c>
      <c r="D3319">
        <v>-4.0819999999999997E-3</v>
      </c>
      <c r="E3319">
        <f t="shared" si="102"/>
        <v>0.99591799999999997</v>
      </c>
      <c r="F3319" s="1">
        <f t="shared" si="103"/>
        <v>42079</v>
      </c>
      <c r="G3319" cm="1">
        <f t="array" ref="G3319">PRODUCT( _xlfn._xlws.FILTER($E:$E, ($C:$C=C3319)*($F:$F=F3319)) ) - 1</f>
        <v>9.2475177767357142E-3</v>
      </c>
    </row>
    <row r="3320" spans="1:7" x14ac:dyDescent="0.2">
      <c r="A3320" s="1">
        <v>42083</v>
      </c>
      <c r="B3320">
        <v>0</v>
      </c>
      <c r="C3320" t="s">
        <v>13</v>
      </c>
      <c r="D3320">
        <v>9.9150000000000002E-3</v>
      </c>
      <c r="E3320">
        <f t="shared" si="102"/>
        <v>1.0099149999999999</v>
      </c>
      <c r="F3320" s="1">
        <f t="shared" si="103"/>
        <v>42079</v>
      </c>
      <c r="G3320" cm="1">
        <f t="array" ref="G3320">PRODUCT( _xlfn._xlws.FILTER($E:$E, ($C:$C=C3320)*($F:$F=F3320)) ) - 1</f>
        <v>9.2475177767357142E-3</v>
      </c>
    </row>
    <row r="3321" spans="1:7" x14ac:dyDescent="0.2">
      <c r="A3321" s="1">
        <v>42086</v>
      </c>
      <c r="B3321">
        <v>0</v>
      </c>
      <c r="C3321" t="s">
        <v>13</v>
      </c>
      <c r="D3321">
        <v>4.189E-3</v>
      </c>
      <c r="E3321">
        <f t="shared" si="102"/>
        <v>1.004189</v>
      </c>
      <c r="F3321" s="1">
        <f t="shared" si="103"/>
        <v>42086</v>
      </c>
      <c r="G3321" cm="1">
        <f t="array" ref="G3321">PRODUCT( _xlfn._xlws.FILTER($E:$E, ($C:$C=C3321)*($F:$F=F3321)) ) - 1</f>
        <v>-1.7018170155632673E-2</v>
      </c>
    </row>
    <row r="3322" spans="1:7" x14ac:dyDescent="0.2">
      <c r="A3322" s="1">
        <v>42087</v>
      </c>
      <c r="B3322">
        <v>0</v>
      </c>
      <c r="C3322" t="s">
        <v>13</v>
      </c>
      <c r="D3322">
        <v>4.0410000000000003E-3</v>
      </c>
      <c r="E3322">
        <f t="shared" si="102"/>
        <v>1.004041</v>
      </c>
      <c r="F3322" s="1">
        <f t="shared" si="103"/>
        <v>42086</v>
      </c>
      <c r="G3322" cm="1">
        <f t="array" ref="G3322">PRODUCT( _xlfn._xlws.FILTER($E:$E, ($C:$C=C3322)*($F:$F=F3322)) ) - 1</f>
        <v>-1.7018170155632673E-2</v>
      </c>
    </row>
    <row r="3323" spans="1:7" x14ac:dyDescent="0.2">
      <c r="A3323" s="1">
        <v>42088</v>
      </c>
      <c r="B3323">
        <v>0</v>
      </c>
      <c r="C3323" t="s">
        <v>13</v>
      </c>
      <c r="D3323">
        <v>-1.2593999999999999E-2</v>
      </c>
      <c r="E3323">
        <f t="shared" si="102"/>
        <v>0.98740600000000001</v>
      </c>
      <c r="F3323" s="1">
        <f t="shared" si="103"/>
        <v>42086</v>
      </c>
      <c r="G3323" cm="1">
        <f t="array" ref="G3323">PRODUCT( _xlfn._xlws.FILTER($E:$E, ($C:$C=C3323)*($F:$F=F3323)) ) - 1</f>
        <v>-1.7018170155632673E-2</v>
      </c>
    </row>
    <row r="3324" spans="1:7" x14ac:dyDescent="0.2">
      <c r="A3324" s="1">
        <v>42089</v>
      </c>
      <c r="B3324">
        <v>0</v>
      </c>
      <c r="C3324" t="s">
        <v>13</v>
      </c>
      <c r="D3324">
        <v>-3.4190000000000002E-3</v>
      </c>
      <c r="E3324">
        <f t="shared" si="102"/>
        <v>0.99658100000000005</v>
      </c>
      <c r="F3324" s="1">
        <f t="shared" si="103"/>
        <v>42086</v>
      </c>
      <c r="G3324" cm="1">
        <f t="array" ref="G3324">PRODUCT( _xlfn._xlws.FILTER($E:$E, ($C:$C=C3324)*($F:$F=F3324)) ) - 1</f>
        <v>-1.7018170155632673E-2</v>
      </c>
    </row>
    <row r="3325" spans="1:7" x14ac:dyDescent="0.2">
      <c r="A3325" s="1">
        <v>42090</v>
      </c>
      <c r="B3325">
        <v>0</v>
      </c>
      <c r="C3325" t="s">
        <v>13</v>
      </c>
      <c r="D3325">
        <v>-9.2359999999999994E-3</v>
      </c>
      <c r="E3325">
        <f t="shared" si="102"/>
        <v>0.99076399999999998</v>
      </c>
      <c r="F3325" s="1">
        <f t="shared" si="103"/>
        <v>42086</v>
      </c>
      <c r="G3325" cm="1">
        <f t="array" ref="G3325">PRODUCT( _xlfn._xlws.FILTER($E:$E, ($C:$C=C3325)*($F:$F=F3325)) ) - 1</f>
        <v>-1.7018170155632673E-2</v>
      </c>
    </row>
    <row r="3326" spans="1:7" x14ac:dyDescent="0.2">
      <c r="A3326" s="1">
        <v>42093</v>
      </c>
      <c r="B3326">
        <v>0</v>
      </c>
      <c r="C3326" t="s">
        <v>13</v>
      </c>
      <c r="D3326">
        <v>2.6600000000000001E-4</v>
      </c>
      <c r="E3326">
        <f t="shared" si="102"/>
        <v>1.0002660000000001</v>
      </c>
      <c r="F3326" s="1">
        <f t="shared" si="103"/>
        <v>42093</v>
      </c>
      <c r="G3326" cm="1">
        <f t="array" ref="G3326">PRODUCT( _xlfn._xlws.FILTER($E:$E, ($C:$C=C3326)*($F:$F=F3326)) ) - 1</f>
        <v>2.2772434718659307E-2</v>
      </c>
    </row>
    <row r="3327" spans="1:7" x14ac:dyDescent="0.2">
      <c r="A3327" s="1">
        <v>42094</v>
      </c>
      <c r="B3327">
        <v>0</v>
      </c>
      <c r="C3327" t="s">
        <v>13</v>
      </c>
      <c r="D3327">
        <v>1.5044999999999999E-2</v>
      </c>
      <c r="E3327">
        <f t="shared" si="102"/>
        <v>1.015045</v>
      </c>
      <c r="F3327" s="1">
        <f t="shared" si="103"/>
        <v>42093</v>
      </c>
      <c r="G3327" cm="1">
        <f t="array" ref="G3327">PRODUCT( _xlfn._xlws.FILTER($E:$E, ($C:$C=C3327)*($F:$F=F3327)) ) - 1</f>
        <v>2.2772434718659307E-2</v>
      </c>
    </row>
    <row r="3328" spans="1:7" x14ac:dyDescent="0.2">
      <c r="A3328" s="1">
        <v>42095</v>
      </c>
      <c r="B3328">
        <v>0</v>
      </c>
      <c r="C3328" t="s">
        <v>13</v>
      </c>
      <c r="D3328">
        <v>1.3100000000000001E-4</v>
      </c>
      <c r="E3328">
        <f t="shared" si="102"/>
        <v>1.0001310000000001</v>
      </c>
      <c r="F3328" s="1">
        <f t="shared" si="103"/>
        <v>42093</v>
      </c>
      <c r="G3328" cm="1">
        <f t="array" ref="G3328">PRODUCT( _xlfn._xlws.FILTER($E:$E, ($C:$C=C3328)*($F:$F=F3328)) ) - 1</f>
        <v>2.2772434718659307E-2</v>
      </c>
    </row>
    <row r="3329" spans="1:7" x14ac:dyDescent="0.2">
      <c r="A3329" s="1">
        <v>42096</v>
      </c>
      <c r="B3329">
        <v>0</v>
      </c>
      <c r="C3329" t="s">
        <v>13</v>
      </c>
      <c r="D3329">
        <v>7.2129999999999998E-3</v>
      </c>
      <c r="E3329">
        <f t="shared" si="102"/>
        <v>1.0072129999999999</v>
      </c>
      <c r="F3329" s="1">
        <f t="shared" si="103"/>
        <v>42093</v>
      </c>
      <c r="G3329" cm="1">
        <f t="array" ref="G3329">PRODUCT( _xlfn._xlws.FILTER($E:$E, ($C:$C=C3329)*($F:$F=F3329)) ) - 1</f>
        <v>2.2772434718659307E-2</v>
      </c>
    </row>
    <row r="3330" spans="1:7" x14ac:dyDescent="0.2">
      <c r="A3330" s="1">
        <v>42100</v>
      </c>
      <c r="B3330">
        <v>0</v>
      </c>
      <c r="C3330" t="s">
        <v>13</v>
      </c>
      <c r="D3330">
        <v>3.516E-3</v>
      </c>
      <c r="E3330">
        <f t="shared" si="102"/>
        <v>1.0035160000000001</v>
      </c>
      <c r="F3330" s="1">
        <f t="shared" si="103"/>
        <v>42100</v>
      </c>
      <c r="G3330" cm="1">
        <f t="array" ref="G3330">PRODUCT( _xlfn._xlws.FILTER($E:$E, ($C:$C=C3330)*($F:$F=F3330)) ) - 1</f>
        <v>3.6459417492476831E-2</v>
      </c>
    </row>
    <row r="3331" spans="1:7" x14ac:dyDescent="0.2">
      <c r="A3331" s="1">
        <v>42101</v>
      </c>
      <c r="B3331">
        <v>0</v>
      </c>
      <c r="C3331" t="s">
        <v>13</v>
      </c>
      <c r="D3331">
        <v>9.6019999999999994E-3</v>
      </c>
      <c r="E3331">
        <f t="shared" si="102"/>
        <v>1.0096020000000001</v>
      </c>
      <c r="F3331" s="1">
        <f t="shared" si="103"/>
        <v>42100</v>
      </c>
      <c r="G3331" cm="1">
        <f t="array" ref="G3331">PRODUCT( _xlfn._xlws.FILTER($E:$E, ($C:$C=C3331)*($F:$F=F3331)) ) - 1</f>
        <v>3.6459417492476831E-2</v>
      </c>
    </row>
    <row r="3332" spans="1:7" x14ac:dyDescent="0.2">
      <c r="A3332" s="1">
        <v>42102</v>
      </c>
      <c r="B3332">
        <v>0</v>
      </c>
      <c r="C3332" t="s">
        <v>13</v>
      </c>
      <c r="D3332">
        <v>7.5830000000000003E-3</v>
      </c>
      <c r="E3332">
        <f t="shared" ref="E3332:E3395" si="104">D3332+1</f>
        <v>1.0075829999999999</v>
      </c>
      <c r="F3332" s="1">
        <f t="shared" ref="F3332:F3395" si="105">A3332 - (WEEKDAY(A3332, 2) - 1)</f>
        <v>42100</v>
      </c>
      <c r="G3332" cm="1">
        <f t="array" ref="G3332">PRODUCT( _xlfn._xlws.FILTER($E:$E, ($C:$C=C3332)*($F:$F=F3332)) ) - 1</f>
        <v>3.6459417492476831E-2</v>
      </c>
    </row>
    <row r="3333" spans="1:7" x14ac:dyDescent="0.2">
      <c r="A3333" s="1">
        <v>42103</v>
      </c>
      <c r="B3333">
        <v>0</v>
      </c>
      <c r="C3333" t="s">
        <v>13</v>
      </c>
      <c r="D3333">
        <v>8.6730000000000002E-3</v>
      </c>
      <c r="E3333">
        <f t="shared" si="104"/>
        <v>1.0086729999999999</v>
      </c>
      <c r="F3333" s="1">
        <f t="shared" si="105"/>
        <v>42100</v>
      </c>
      <c r="G3333" cm="1">
        <f t="array" ref="G3333">PRODUCT( _xlfn._xlws.FILTER($E:$E, ($C:$C=C3333)*($F:$F=F3333)) ) - 1</f>
        <v>3.6459417492476831E-2</v>
      </c>
    </row>
    <row r="3334" spans="1:7" x14ac:dyDescent="0.2">
      <c r="A3334" s="1">
        <v>42104</v>
      </c>
      <c r="B3334">
        <v>0</v>
      </c>
      <c r="C3334" t="s">
        <v>13</v>
      </c>
      <c r="D3334">
        <v>6.5760000000000002E-3</v>
      </c>
      <c r="E3334">
        <f t="shared" si="104"/>
        <v>1.0065759999999999</v>
      </c>
      <c r="F3334" s="1">
        <f t="shared" si="105"/>
        <v>42100</v>
      </c>
      <c r="G3334" cm="1">
        <f t="array" ref="G3334">PRODUCT( _xlfn._xlws.FILTER($E:$E, ($C:$C=C3334)*($F:$F=F3334)) ) - 1</f>
        <v>3.6459417492476831E-2</v>
      </c>
    </row>
    <row r="3335" spans="1:7" x14ac:dyDescent="0.2">
      <c r="A3335" s="1">
        <v>42107</v>
      </c>
      <c r="B3335">
        <v>0</v>
      </c>
      <c r="C3335" t="s">
        <v>13</v>
      </c>
      <c r="D3335">
        <v>7.4120000000000002E-3</v>
      </c>
      <c r="E3335">
        <f t="shared" si="104"/>
        <v>1.007412</v>
      </c>
      <c r="F3335" s="1">
        <f t="shared" si="105"/>
        <v>42107</v>
      </c>
      <c r="G3335" cm="1">
        <f t="array" ref="G3335">PRODUCT( _xlfn._xlws.FILTER($E:$E, ($C:$C=C3335)*($F:$F=F3335)) ) - 1</f>
        <v>1.4573473752586885E-2</v>
      </c>
    </row>
    <row r="3336" spans="1:7" x14ac:dyDescent="0.2">
      <c r="A3336" s="1">
        <v>42108</v>
      </c>
      <c r="B3336">
        <v>0</v>
      </c>
      <c r="C3336" t="s">
        <v>13</v>
      </c>
      <c r="D3336">
        <v>1.621E-3</v>
      </c>
      <c r="E3336">
        <f t="shared" si="104"/>
        <v>1.0016210000000001</v>
      </c>
      <c r="F3336" s="1">
        <f t="shared" si="105"/>
        <v>42107</v>
      </c>
      <c r="G3336" cm="1">
        <f t="array" ref="G3336">PRODUCT( _xlfn._xlws.FILTER($E:$E, ($C:$C=C3336)*($F:$F=F3336)) ) - 1</f>
        <v>1.4573473752586885E-2</v>
      </c>
    </row>
    <row r="3337" spans="1:7" x14ac:dyDescent="0.2">
      <c r="A3337" s="1">
        <v>42109</v>
      </c>
      <c r="B3337">
        <v>0</v>
      </c>
      <c r="C3337" t="s">
        <v>13</v>
      </c>
      <c r="D3337">
        <v>1.1579000000000001E-2</v>
      </c>
      <c r="E3337">
        <f t="shared" si="104"/>
        <v>1.011579</v>
      </c>
      <c r="F3337" s="1">
        <f t="shared" si="105"/>
        <v>42107</v>
      </c>
      <c r="G3337" cm="1">
        <f t="array" ref="G3337">PRODUCT( _xlfn._xlws.FILTER($E:$E, ($C:$C=C3337)*($F:$F=F3337)) ) - 1</f>
        <v>1.4573473752586885E-2</v>
      </c>
    </row>
    <row r="3338" spans="1:7" x14ac:dyDescent="0.2">
      <c r="A3338" s="1">
        <v>42110</v>
      </c>
      <c r="B3338">
        <v>0</v>
      </c>
      <c r="C3338" t="s">
        <v>13</v>
      </c>
      <c r="D3338">
        <v>-1.2300000000000001E-4</v>
      </c>
      <c r="E3338">
        <f t="shared" si="104"/>
        <v>0.99987700000000002</v>
      </c>
      <c r="F3338" s="1">
        <f t="shared" si="105"/>
        <v>42107</v>
      </c>
      <c r="G3338" cm="1">
        <f t="array" ref="G3338">PRODUCT( _xlfn._xlws.FILTER($E:$E, ($C:$C=C3338)*($F:$F=F3338)) ) - 1</f>
        <v>1.4573473752586885E-2</v>
      </c>
    </row>
    <row r="3339" spans="1:7" x14ac:dyDescent="0.2">
      <c r="A3339" s="1">
        <v>42111</v>
      </c>
      <c r="B3339">
        <v>0</v>
      </c>
      <c r="C3339" t="s">
        <v>13</v>
      </c>
      <c r="D3339">
        <v>-5.9080000000000001E-3</v>
      </c>
      <c r="E3339">
        <f t="shared" si="104"/>
        <v>0.99409199999999998</v>
      </c>
      <c r="F3339" s="1">
        <f t="shared" si="105"/>
        <v>42107</v>
      </c>
      <c r="G3339" cm="1">
        <f t="array" ref="G3339">PRODUCT( _xlfn._xlws.FILTER($E:$E, ($C:$C=C3339)*($F:$F=F3339)) ) - 1</f>
        <v>1.4573473752586885E-2</v>
      </c>
    </row>
    <row r="3340" spans="1:7" x14ac:dyDescent="0.2">
      <c r="A3340" s="1">
        <v>42114</v>
      </c>
      <c r="B3340">
        <v>0</v>
      </c>
      <c r="C3340" t="s">
        <v>13</v>
      </c>
      <c r="D3340">
        <v>6.3150000000000003E-3</v>
      </c>
      <c r="E3340">
        <f t="shared" si="104"/>
        <v>1.0063150000000001</v>
      </c>
      <c r="F3340" s="1">
        <f t="shared" si="105"/>
        <v>42114</v>
      </c>
      <c r="G3340" cm="1">
        <f t="array" ref="G3340">PRODUCT( _xlfn._xlws.FILTER($E:$E, ($C:$C=C3340)*($F:$F=F3340)) ) - 1</f>
        <v>7.3386565222051114E-3</v>
      </c>
    </row>
    <row r="3341" spans="1:7" x14ac:dyDescent="0.2">
      <c r="A3341" s="1">
        <v>42115</v>
      </c>
      <c r="B3341">
        <v>0</v>
      </c>
      <c r="C3341" t="s">
        <v>13</v>
      </c>
      <c r="D3341">
        <v>-2.4610000000000001E-3</v>
      </c>
      <c r="E3341">
        <f t="shared" si="104"/>
        <v>0.99753899999999995</v>
      </c>
      <c r="F3341" s="1">
        <f t="shared" si="105"/>
        <v>42114</v>
      </c>
      <c r="G3341" cm="1">
        <f t="array" ref="G3341">PRODUCT( _xlfn._xlws.FILTER($E:$E, ($C:$C=C3341)*($F:$F=F3341)) ) - 1</f>
        <v>7.3386565222051114E-3</v>
      </c>
    </row>
    <row r="3342" spans="1:7" x14ac:dyDescent="0.2">
      <c r="A3342" s="1">
        <v>42116</v>
      </c>
      <c r="B3342">
        <v>0</v>
      </c>
      <c r="C3342" t="s">
        <v>13</v>
      </c>
      <c r="D3342">
        <v>-3.8609999999999998E-3</v>
      </c>
      <c r="E3342">
        <f t="shared" si="104"/>
        <v>0.996139</v>
      </c>
      <c r="F3342" s="1">
        <f t="shared" si="105"/>
        <v>42114</v>
      </c>
      <c r="G3342" cm="1">
        <f t="array" ref="G3342">PRODUCT( _xlfn._xlws.FILTER($E:$E, ($C:$C=C3342)*($F:$F=F3342)) ) - 1</f>
        <v>7.3386565222051114E-3</v>
      </c>
    </row>
    <row r="3343" spans="1:7" x14ac:dyDescent="0.2">
      <c r="A3343" s="1">
        <v>42117</v>
      </c>
      <c r="B3343">
        <v>0</v>
      </c>
      <c r="C3343" t="s">
        <v>13</v>
      </c>
      <c r="D3343">
        <v>5.751E-3</v>
      </c>
      <c r="E3343">
        <f t="shared" si="104"/>
        <v>1.0057510000000001</v>
      </c>
      <c r="F3343" s="1">
        <f t="shared" si="105"/>
        <v>42114</v>
      </c>
      <c r="G3343" cm="1">
        <f t="array" ref="G3343">PRODUCT( _xlfn._xlws.FILTER($E:$E, ($C:$C=C3343)*($F:$F=F3343)) ) - 1</f>
        <v>7.3386565222051114E-3</v>
      </c>
    </row>
    <row r="3344" spans="1:7" x14ac:dyDescent="0.2">
      <c r="A3344" s="1">
        <v>42118</v>
      </c>
      <c r="B3344">
        <v>0</v>
      </c>
      <c r="C3344" t="s">
        <v>13</v>
      </c>
      <c r="D3344">
        <v>1.616E-3</v>
      </c>
      <c r="E3344">
        <f t="shared" si="104"/>
        <v>1.0016160000000001</v>
      </c>
      <c r="F3344" s="1">
        <f t="shared" si="105"/>
        <v>42114</v>
      </c>
      <c r="G3344" cm="1">
        <f t="array" ref="G3344">PRODUCT( _xlfn._xlws.FILTER($E:$E, ($C:$C=C3344)*($F:$F=F3344)) ) - 1</f>
        <v>7.3386565222051114E-3</v>
      </c>
    </row>
    <row r="3345" spans="1:7" x14ac:dyDescent="0.2">
      <c r="A3345" s="1">
        <v>42121</v>
      </c>
      <c r="B3345">
        <v>0</v>
      </c>
      <c r="C3345" t="s">
        <v>13</v>
      </c>
      <c r="D3345">
        <v>1.2409999999999999E-3</v>
      </c>
      <c r="E3345">
        <f t="shared" si="104"/>
        <v>1.001241</v>
      </c>
      <c r="F3345" s="1">
        <f t="shared" si="105"/>
        <v>42121</v>
      </c>
      <c r="G3345" cm="1">
        <f t="array" ref="G3345">PRODUCT( _xlfn._xlws.FILTER($E:$E, ($C:$C=C3345)*($F:$F=F3345)) ) - 1</f>
        <v>-4.2188623390734259E-3</v>
      </c>
    </row>
    <row r="3346" spans="1:7" x14ac:dyDescent="0.2">
      <c r="A3346" s="1">
        <v>42122</v>
      </c>
      <c r="B3346">
        <v>0</v>
      </c>
      <c r="C3346" t="s">
        <v>13</v>
      </c>
      <c r="D3346">
        <v>2.7269999999999998E-3</v>
      </c>
      <c r="E3346">
        <f t="shared" si="104"/>
        <v>1.0027269999999999</v>
      </c>
      <c r="F3346" s="1">
        <f t="shared" si="105"/>
        <v>42121</v>
      </c>
      <c r="G3346" cm="1">
        <f t="array" ref="G3346">PRODUCT( _xlfn._xlws.FILTER($E:$E, ($C:$C=C3346)*($F:$F=F3346)) ) - 1</f>
        <v>-4.2188623390734259E-3</v>
      </c>
    </row>
    <row r="3347" spans="1:7" x14ac:dyDescent="0.2">
      <c r="A3347" s="1">
        <v>42123</v>
      </c>
      <c r="B3347">
        <v>0</v>
      </c>
      <c r="C3347" t="s">
        <v>13</v>
      </c>
      <c r="D3347">
        <v>0</v>
      </c>
      <c r="E3347">
        <f t="shared" si="104"/>
        <v>1</v>
      </c>
      <c r="F3347" s="1">
        <f t="shared" si="105"/>
        <v>42121</v>
      </c>
      <c r="G3347" cm="1">
        <f t="array" ref="G3347">PRODUCT( _xlfn._xlws.FILTER($E:$E, ($C:$C=C3347)*($F:$F=F3347)) ) - 1</f>
        <v>-4.2188623390734259E-3</v>
      </c>
    </row>
    <row r="3348" spans="1:7" x14ac:dyDescent="0.2">
      <c r="A3348" s="1">
        <v>42124</v>
      </c>
      <c r="B3348">
        <v>0</v>
      </c>
      <c r="C3348" t="s">
        <v>13</v>
      </c>
      <c r="D3348">
        <v>-9.7649999999999994E-3</v>
      </c>
      <c r="E3348">
        <f t="shared" si="104"/>
        <v>0.99023499999999998</v>
      </c>
      <c r="F3348" s="1">
        <f t="shared" si="105"/>
        <v>42121</v>
      </c>
      <c r="G3348" cm="1">
        <f t="array" ref="G3348">PRODUCT( _xlfn._xlws.FILTER($E:$E, ($C:$C=C3348)*($F:$F=F3348)) ) - 1</f>
        <v>-4.2188623390734259E-3</v>
      </c>
    </row>
    <row r="3349" spans="1:7" x14ac:dyDescent="0.2">
      <c r="A3349" s="1">
        <v>42125</v>
      </c>
      <c r="B3349">
        <v>0</v>
      </c>
      <c r="C3349" t="s">
        <v>13</v>
      </c>
      <c r="D3349">
        <v>1.6230000000000001E-3</v>
      </c>
      <c r="E3349">
        <f t="shared" si="104"/>
        <v>1.0016229999999999</v>
      </c>
      <c r="F3349" s="1">
        <f t="shared" si="105"/>
        <v>42121</v>
      </c>
      <c r="G3349" cm="1">
        <f t="array" ref="G3349">PRODUCT( _xlfn._xlws.FILTER($E:$E, ($C:$C=C3349)*($F:$F=F3349)) ) - 1</f>
        <v>-4.2188623390734259E-3</v>
      </c>
    </row>
    <row r="3350" spans="1:7" x14ac:dyDescent="0.2">
      <c r="A3350" s="1">
        <v>42128</v>
      </c>
      <c r="B3350">
        <v>0</v>
      </c>
      <c r="C3350" t="s">
        <v>13</v>
      </c>
      <c r="D3350">
        <v>2.493E-3</v>
      </c>
      <c r="E3350">
        <f t="shared" si="104"/>
        <v>1.0024930000000001</v>
      </c>
      <c r="F3350" s="1">
        <f t="shared" si="105"/>
        <v>42128</v>
      </c>
      <c r="G3350" cm="1">
        <f t="array" ref="G3350">PRODUCT( _xlfn._xlws.FILTER($E:$E, ($C:$C=C3350)*($F:$F=F3350)) ) - 1</f>
        <v>-1.3209888793151214E-2</v>
      </c>
    </row>
    <row r="3351" spans="1:7" x14ac:dyDescent="0.2">
      <c r="A3351" s="1">
        <v>42129</v>
      </c>
      <c r="B3351">
        <v>0</v>
      </c>
      <c r="C3351" t="s">
        <v>13</v>
      </c>
      <c r="D3351">
        <v>-1.0194E-2</v>
      </c>
      <c r="E3351">
        <f t="shared" si="104"/>
        <v>0.98980599999999996</v>
      </c>
      <c r="F3351" s="1">
        <f t="shared" si="105"/>
        <v>42128</v>
      </c>
      <c r="G3351" cm="1">
        <f t="array" ref="G3351">PRODUCT( _xlfn._xlws.FILTER($E:$E, ($C:$C=C3351)*($F:$F=F3351)) ) - 1</f>
        <v>-1.3209888793151214E-2</v>
      </c>
    </row>
    <row r="3352" spans="1:7" x14ac:dyDescent="0.2">
      <c r="A3352" s="1">
        <v>42130</v>
      </c>
      <c r="B3352">
        <v>0</v>
      </c>
      <c r="C3352" t="s">
        <v>13</v>
      </c>
      <c r="D3352">
        <v>-6.6569999999999997E-3</v>
      </c>
      <c r="E3352">
        <f t="shared" si="104"/>
        <v>0.99334299999999998</v>
      </c>
      <c r="F3352" s="1">
        <f t="shared" si="105"/>
        <v>42128</v>
      </c>
      <c r="G3352" cm="1">
        <f t="array" ref="G3352">PRODUCT( _xlfn._xlws.FILTER($E:$E, ($C:$C=C3352)*($F:$F=F3352)) ) - 1</f>
        <v>-1.3209888793151214E-2</v>
      </c>
    </row>
    <row r="3353" spans="1:7" x14ac:dyDescent="0.2">
      <c r="A3353" s="1">
        <v>42131</v>
      </c>
      <c r="B3353">
        <v>0</v>
      </c>
      <c r="C3353" t="s">
        <v>13</v>
      </c>
      <c r="D3353">
        <v>-3.287E-3</v>
      </c>
      <c r="E3353">
        <f t="shared" si="104"/>
        <v>0.99671299999999996</v>
      </c>
      <c r="F3353" s="1">
        <f t="shared" si="105"/>
        <v>42128</v>
      </c>
      <c r="G3353" cm="1">
        <f t="array" ref="G3353">PRODUCT( _xlfn._xlws.FILTER($E:$E, ($C:$C=C3353)*($F:$F=F3353)) ) - 1</f>
        <v>-1.3209888793151214E-2</v>
      </c>
    </row>
    <row r="3354" spans="1:7" x14ac:dyDescent="0.2">
      <c r="A3354" s="1">
        <v>42132</v>
      </c>
      <c r="B3354">
        <v>0</v>
      </c>
      <c r="C3354" t="s">
        <v>13</v>
      </c>
      <c r="D3354">
        <v>4.4400000000000004E-3</v>
      </c>
      <c r="E3354">
        <f t="shared" si="104"/>
        <v>1.00444</v>
      </c>
      <c r="F3354" s="1">
        <f t="shared" si="105"/>
        <v>42128</v>
      </c>
      <c r="G3354" cm="1">
        <f t="array" ref="G3354">PRODUCT( _xlfn._xlws.FILTER($E:$E, ($C:$C=C3354)*($F:$F=F3354)) ) - 1</f>
        <v>-1.3209888793151214E-2</v>
      </c>
    </row>
    <row r="3355" spans="1:7" x14ac:dyDescent="0.2">
      <c r="A3355" s="1">
        <v>42135</v>
      </c>
      <c r="B3355">
        <v>0</v>
      </c>
      <c r="C3355" t="s">
        <v>13</v>
      </c>
      <c r="D3355">
        <v>-1.26E-4</v>
      </c>
      <c r="E3355">
        <f t="shared" si="104"/>
        <v>0.99987400000000004</v>
      </c>
      <c r="F3355" s="1">
        <f t="shared" si="105"/>
        <v>42135</v>
      </c>
      <c r="G3355" cm="1">
        <f t="array" ref="G3355">PRODUCT( _xlfn._xlws.FILTER($E:$E, ($C:$C=C3355)*($F:$F=F3355)) ) - 1</f>
        <v>-5.0522352746943389E-3</v>
      </c>
    </row>
    <row r="3356" spans="1:7" x14ac:dyDescent="0.2">
      <c r="A3356" s="1">
        <v>42136</v>
      </c>
      <c r="B3356">
        <v>0</v>
      </c>
      <c r="C3356" t="s">
        <v>13</v>
      </c>
      <c r="D3356">
        <v>-5.6839999999999998E-3</v>
      </c>
      <c r="E3356">
        <f t="shared" si="104"/>
        <v>0.99431599999999998</v>
      </c>
      <c r="F3356" s="1">
        <f t="shared" si="105"/>
        <v>42135</v>
      </c>
      <c r="G3356" cm="1">
        <f t="array" ref="G3356">PRODUCT( _xlfn._xlws.FILTER($E:$E, ($C:$C=C3356)*($F:$F=F3356)) ) - 1</f>
        <v>-5.0522352746943389E-3</v>
      </c>
    </row>
    <row r="3357" spans="1:7" x14ac:dyDescent="0.2">
      <c r="A3357" s="1">
        <v>42137</v>
      </c>
      <c r="B3357">
        <v>0</v>
      </c>
      <c r="C3357" t="s">
        <v>13</v>
      </c>
      <c r="D3357">
        <v>-3.5569999999999998E-3</v>
      </c>
      <c r="E3357">
        <f t="shared" si="104"/>
        <v>0.99644299999999997</v>
      </c>
      <c r="F3357" s="1">
        <f t="shared" si="105"/>
        <v>42135</v>
      </c>
      <c r="G3357" cm="1">
        <f t="array" ref="G3357">PRODUCT( _xlfn._xlws.FILTER($E:$E, ($C:$C=C3357)*($F:$F=F3357)) ) - 1</f>
        <v>-5.0522352746943389E-3</v>
      </c>
    </row>
    <row r="3358" spans="1:7" x14ac:dyDescent="0.2">
      <c r="A3358" s="1">
        <v>42138</v>
      </c>
      <c r="B3358">
        <v>0</v>
      </c>
      <c r="C3358" t="s">
        <v>13</v>
      </c>
      <c r="D3358">
        <v>5.6090000000000003E-3</v>
      </c>
      <c r="E3358">
        <f t="shared" si="104"/>
        <v>1.005609</v>
      </c>
      <c r="F3358" s="1">
        <f t="shared" si="105"/>
        <v>42135</v>
      </c>
      <c r="G3358" cm="1">
        <f t="array" ref="G3358">PRODUCT( _xlfn._xlws.FILTER($E:$E, ($C:$C=C3358)*($F:$F=F3358)) ) - 1</f>
        <v>-5.0522352746943389E-3</v>
      </c>
    </row>
    <row r="3359" spans="1:7" x14ac:dyDescent="0.2">
      <c r="A3359" s="1">
        <v>42139</v>
      </c>
      <c r="B3359">
        <v>0</v>
      </c>
      <c r="C3359" t="s">
        <v>13</v>
      </c>
      <c r="D3359">
        <v>-1.268E-3</v>
      </c>
      <c r="E3359">
        <f t="shared" si="104"/>
        <v>0.99873199999999995</v>
      </c>
      <c r="F3359" s="1">
        <f t="shared" si="105"/>
        <v>42135</v>
      </c>
      <c r="G3359" cm="1">
        <f t="array" ref="G3359">PRODUCT( _xlfn._xlws.FILTER($E:$E, ($C:$C=C3359)*($F:$F=F3359)) ) - 1</f>
        <v>-5.0522352746943389E-3</v>
      </c>
    </row>
    <row r="3360" spans="1:7" x14ac:dyDescent="0.2">
      <c r="A3360" s="1">
        <v>42143</v>
      </c>
      <c r="B3360">
        <v>0</v>
      </c>
      <c r="C3360" t="s">
        <v>13</v>
      </c>
      <c r="D3360">
        <v>1.6629000000000001E-2</v>
      </c>
      <c r="E3360">
        <f t="shared" si="104"/>
        <v>1.016629</v>
      </c>
      <c r="F3360" s="1">
        <f t="shared" si="105"/>
        <v>42142</v>
      </c>
      <c r="G3360" cm="1">
        <f t="array" ref="G3360">PRODUCT( _xlfn._xlws.FILTER($E:$E, ($C:$C=C3360)*($F:$F=F3360)) ) - 1</f>
        <v>2.0563480827839431E-2</v>
      </c>
    </row>
    <row r="3361" spans="1:7" x14ac:dyDescent="0.2">
      <c r="A3361" s="1">
        <v>42144</v>
      </c>
      <c r="B3361">
        <v>0</v>
      </c>
      <c r="C3361" t="s">
        <v>13</v>
      </c>
      <c r="D3361">
        <v>-6.1180000000000002E-3</v>
      </c>
      <c r="E3361">
        <f t="shared" si="104"/>
        <v>0.99388200000000004</v>
      </c>
      <c r="F3361" s="1">
        <f t="shared" si="105"/>
        <v>42142</v>
      </c>
      <c r="G3361" cm="1">
        <f t="array" ref="G3361">PRODUCT( _xlfn._xlws.FILTER($E:$E, ($C:$C=C3361)*($F:$F=F3361)) ) - 1</f>
        <v>2.0563480827839431E-2</v>
      </c>
    </row>
    <row r="3362" spans="1:7" x14ac:dyDescent="0.2">
      <c r="A3362" s="1">
        <v>42145</v>
      </c>
      <c r="B3362">
        <v>0</v>
      </c>
      <c r="C3362" t="s">
        <v>13</v>
      </c>
      <c r="D3362">
        <v>9.6729999999999993E-3</v>
      </c>
      <c r="E3362">
        <f t="shared" si="104"/>
        <v>1.009673</v>
      </c>
      <c r="F3362" s="1">
        <f t="shared" si="105"/>
        <v>42142</v>
      </c>
      <c r="G3362" cm="1">
        <f t="array" ref="G3362">PRODUCT( _xlfn._xlws.FILTER($E:$E, ($C:$C=C3362)*($F:$F=F3362)) ) - 1</f>
        <v>2.0563480827839431E-2</v>
      </c>
    </row>
    <row r="3363" spans="1:7" x14ac:dyDescent="0.2">
      <c r="A3363" s="1">
        <v>42146</v>
      </c>
      <c r="B3363">
        <v>0</v>
      </c>
      <c r="C3363" t="s">
        <v>13</v>
      </c>
      <c r="D3363">
        <v>3.7300000000000001E-4</v>
      </c>
      <c r="E3363">
        <f t="shared" si="104"/>
        <v>1.000373</v>
      </c>
      <c r="F3363" s="1">
        <f t="shared" si="105"/>
        <v>42142</v>
      </c>
      <c r="G3363" cm="1">
        <f t="array" ref="G3363">PRODUCT( _xlfn._xlws.FILTER($E:$E, ($C:$C=C3363)*($F:$F=F3363)) ) - 1</f>
        <v>2.0563480827839431E-2</v>
      </c>
    </row>
    <row r="3364" spans="1:7" x14ac:dyDescent="0.2">
      <c r="A3364" s="1">
        <v>42149</v>
      </c>
      <c r="B3364">
        <v>0</v>
      </c>
      <c r="C3364" t="s">
        <v>13</v>
      </c>
      <c r="D3364">
        <v>-1.119E-3</v>
      </c>
      <c r="E3364">
        <f t="shared" si="104"/>
        <v>0.99888100000000002</v>
      </c>
      <c r="F3364" s="1">
        <f t="shared" si="105"/>
        <v>42149</v>
      </c>
      <c r="G3364" cm="1">
        <f t="array" ref="G3364">PRODUCT( _xlfn._xlws.FILTER($E:$E, ($C:$C=C3364)*($F:$F=F3364)) ) - 1</f>
        <v>-1.6541277649376851E-2</v>
      </c>
    </row>
    <row r="3365" spans="1:7" x14ac:dyDescent="0.2">
      <c r="A3365" s="1">
        <v>42150</v>
      </c>
      <c r="B3365">
        <v>0</v>
      </c>
      <c r="C3365" t="s">
        <v>13</v>
      </c>
      <c r="D3365">
        <v>-9.214E-3</v>
      </c>
      <c r="E3365">
        <f t="shared" si="104"/>
        <v>0.99078599999999994</v>
      </c>
      <c r="F3365" s="1">
        <f t="shared" si="105"/>
        <v>42149</v>
      </c>
      <c r="G3365" cm="1">
        <f t="array" ref="G3365">PRODUCT( _xlfn._xlws.FILTER($E:$E, ($C:$C=C3365)*($F:$F=F3365)) ) - 1</f>
        <v>-1.6541277649376851E-2</v>
      </c>
    </row>
    <row r="3366" spans="1:7" x14ac:dyDescent="0.2">
      <c r="A3366" s="1">
        <v>42151</v>
      </c>
      <c r="B3366">
        <v>0</v>
      </c>
      <c r="C3366" t="s">
        <v>13</v>
      </c>
      <c r="D3366">
        <v>4.6499999999999996E-3</v>
      </c>
      <c r="E3366">
        <f t="shared" si="104"/>
        <v>1.00465</v>
      </c>
      <c r="F3366" s="1">
        <f t="shared" si="105"/>
        <v>42149</v>
      </c>
      <c r="G3366" cm="1">
        <f t="array" ref="G3366">PRODUCT( _xlfn._xlws.FILTER($E:$E, ($C:$C=C3366)*($F:$F=F3366)) ) - 1</f>
        <v>-1.6541277649376851E-2</v>
      </c>
    </row>
    <row r="3367" spans="1:7" x14ac:dyDescent="0.2">
      <c r="A3367" s="1">
        <v>42152</v>
      </c>
      <c r="B3367">
        <v>0</v>
      </c>
      <c r="C3367" t="s">
        <v>13</v>
      </c>
      <c r="D3367">
        <v>1.3760000000000001E-3</v>
      </c>
      <c r="E3367">
        <f t="shared" si="104"/>
        <v>1.001376</v>
      </c>
      <c r="F3367" s="1">
        <f t="shared" si="105"/>
        <v>42149</v>
      </c>
      <c r="G3367" cm="1">
        <f t="array" ref="G3367">PRODUCT( _xlfn._xlws.FILTER($E:$E, ($C:$C=C3367)*($F:$F=F3367)) ) - 1</f>
        <v>-1.6541277649376851E-2</v>
      </c>
    </row>
    <row r="3368" spans="1:7" x14ac:dyDescent="0.2">
      <c r="A3368" s="1">
        <v>42153</v>
      </c>
      <c r="B3368">
        <v>0</v>
      </c>
      <c r="C3368" t="s">
        <v>13</v>
      </c>
      <c r="D3368">
        <v>-1.2241999999999999E-2</v>
      </c>
      <c r="E3368">
        <f t="shared" si="104"/>
        <v>0.98775800000000002</v>
      </c>
      <c r="F3368" s="1">
        <f t="shared" si="105"/>
        <v>42149</v>
      </c>
      <c r="G3368" cm="1">
        <f t="array" ref="G3368">PRODUCT( _xlfn._xlws.FILTER($E:$E, ($C:$C=C3368)*($F:$F=F3368)) ) - 1</f>
        <v>-1.6541277649376851E-2</v>
      </c>
    </row>
    <row r="3369" spans="1:7" x14ac:dyDescent="0.2">
      <c r="A3369" s="1">
        <v>42156</v>
      </c>
      <c r="B3369">
        <v>0</v>
      </c>
      <c r="C3369" t="s">
        <v>13</v>
      </c>
      <c r="D3369">
        <v>-3.0349999999999999E-3</v>
      </c>
      <c r="E3369">
        <f t="shared" si="104"/>
        <v>0.99696499999999999</v>
      </c>
      <c r="F3369" s="1">
        <f t="shared" si="105"/>
        <v>42156</v>
      </c>
      <c r="G3369" cm="1">
        <f t="array" ref="G3369">PRODUCT( _xlfn._xlws.FILTER($E:$E, ($C:$C=C3369)*($F:$F=F3369)) ) - 1</f>
        <v>6.4505811776920385E-3</v>
      </c>
    </row>
    <row r="3370" spans="1:7" x14ac:dyDescent="0.2">
      <c r="A3370" s="1">
        <v>42157</v>
      </c>
      <c r="B3370">
        <v>0</v>
      </c>
      <c r="C3370" t="s">
        <v>13</v>
      </c>
      <c r="D3370">
        <v>3.8059999999999999E-3</v>
      </c>
      <c r="E3370">
        <f t="shared" si="104"/>
        <v>1.003806</v>
      </c>
      <c r="F3370" s="1">
        <f t="shared" si="105"/>
        <v>42156</v>
      </c>
      <c r="G3370" cm="1">
        <f t="array" ref="G3370">PRODUCT( _xlfn._xlws.FILTER($E:$E, ($C:$C=C3370)*($F:$F=F3370)) ) - 1</f>
        <v>6.4505811776920385E-3</v>
      </c>
    </row>
    <row r="3371" spans="1:7" x14ac:dyDescent="0.2">
      <c r="A3371" s="1">
        <v>42158</v>
      </c>
      <c r="B3371">
        <v>0</v>
      </c>
      <c r="C3371" t="s">
        <v>13</v>
      </c>
      <c r="D3371">
        <v>1.4407E-2</v>
      </c>
      <c r="E3371">
        <f t="shared" si="104"/>
        <v>1.0144070000000001</v>
      </c>
      <c r="F3371" s="1">
        <f t="shared" si="105"/>
        <v>42156</v>
      </c>
      <c r="G3371" cm="1">
        <f t="array" ref="G3371">PRODUCT( _xlfn._xlws.FILTER($E:$E, ($C:$C=C3371)*($F:$F=F3371)) ) - 1</f>
        <v>6.4505811776920385E-3</v>
      </c>
    </row>
    <row r="3372" spans="1:7" x14ac:dyDescent="0.2">
      <c r="A3372" s="1">
        <v>42159</v>
      </c>
      <c r="B3372">
        <v>0</v>
      </c>
      <c r="C3372" t="s">
        <v>13</v>
      </c>
      <c r="D3372">
        <v>-3.3639999999999998E-3</v>
      </c>
      <c r="E3372">
        <f t="shared" si="104"/>
        <v>0.99663599999999997</v>
      </c>
      <c r="F3372" s="1">
        <f t="shared" si="105"/>
        <v>42156</v>
      </c>
      <c r="G3372" cm="1">
        <f t="array" ref="G3372">PRODUCT( _xlfn._xlws.FILTER($E:$E, ($C:$C=C3372)*($F:$F=F3372)) ) - 1</f>
        <v>6.4505811776920385E-3</v>
      </c>
    </row>
    <row r="3373" spans="1:7" x14ac:dyDescent="0.2">
      <c r="A3373" s="1">
        <v>42160</v>
      </c>
      <c r="B3373">
        <v>0</v>
      </c>
      <c r="C3373" t="s">
        <v>13</v>
      </c>
      <c r="D3373">
        <v>-5.2500000000000003E-3</v>
      </c>
      <c r="E3373">
        <f t="shared" si="104"/>
        <v>0.99475000000000002</v>
      </c>
      <c r="F3373" s="1">
        <f t="shared" si="105"/>
        <v>42156</v>
      </c>
      <c r="G3373" cm="1">
        <f t="array" ref="G3373">PRODUCT( _xlfn._xlws.FILTER($E:$E, ($C:$C=C3373)*($F:$F=F3373)) ) - 1</f>
        <v>6.4505811776920385E-3</v>
      </c>
    </row>
    <row r="3374" spans="1:7" x14ac:dyDescent="0.2">
      <c r="A3374" s="1">
        <v>42163</v>
      </c>
      <c r="B3374">
        <v>0</v>
      </c>
      <c r="C3374" t="s">
        <v>13</v>
      </c>
      <c r="D3374">
        <v>-1.1938000000000001E-2</v>
      </c>
      <c r="E3374">
        <f t="shared" si="104"/>
        <v>0.988062</v>
      </c>
      <c r="F3374" s="1">
        <f t="shared" si="105"/>
        <v>42163</v>
      </c>
      <c r="G3374" cm="1">
        <f t="array" ref="G3374">PRODUCT( _xlfn._xlws.FILTER($E:$E, ($C:$C=C3374)*($F:$F=F3374)) ) - 1</f>
        <v>-1.7341412865263028E-2</v>
      </c>
    </row>
    <row r="3375" spans="1:7" x14ac:dyDescent="0.2">
      <c r="A3375" s="1">
        <v>42164</v>
      </c>
      <c r="B3375">
        <v>0</v>
      </c>
      <c r="C3375" t="s">
        <v>13</v>
      </c>
      <c r="D3375">
        <v>-9.0299999999999998E-3</v>
      </c>
      <c r="E3375">
        <f t="shared" si="104"/>
        <v>0.99097000000000002</v>
      </c>
      <c r="F3375" s="1">
        <f t="shared" si="105"/>
        <v>42163</v>
      </c>
      <c r="G3375" cm="1">
        <f t="array" ref="G3375">PRODUCT( _xlfn._xlws.FILTER($E:$E, ($C:$C=C3375)*($F:$F=F3375)) ) - 1</f>
        <v>-1.7341412865263028E-2</v>
      </c>
    </row>
    <row r="3376" spans="1:7" x14ac:dyDescent="0.2">
      <c r="A3376" s="1">
        <v>42165</v>
      </c>
      <c r="B3376">
        <v>0</v>
      </c>
      <c r="C3376" t="s">
        <v>13</v>
      </c>
      <c r="D3376">
        <v>4.3639999999999998E-3</v>
      </c>
      <c r="E3376">
        <f t="shared" si="104"/>
        <v>1.004364</v>
      </c>
      <c r="F3376" s="1">
        <f t="shared" si="105"/>
        <v>42163</v>
      </c>
      <c r="G3376" cm="1">
        <f t="array" ref="G3376">PRODUCT( _xlfn._xlws.FILTER($E:$E, ($C:$C=C3376)*($F:$F=F3376)) ) - 1</f>
        <v>-1.7341412865263028E-2</v>
      </c>
    </row>
    <row r="3377" spans="1:7" x14ac:dyDescent="0.2">
      <c r="A3377" s="1">
        <v>42166</v>
      </c>
      <c r="B3377">
        <v>0</v>
      </c>
      <c r="C3377" t="s">
        <v>13</v>
      </c>
      <c r="D3377">
        <v>-1.4059999999999999E-3</v>
      </c>
      <c r="E3377">
        <f t="shared" si="104"/>
        <v>0.99859399999999998</v>
      </c>
      <c r="F3377" s="1">
        <f t="shared" si="105"/>
        <v>42163</v>
      </c>
      <c r="G3377" cm="1">
        <f t="array" ref="G3377">PRODUCT( _xlfn._xlws.FILTER($E:$E, ($C:$C=C3377)*($F:$F=F3377)) ) - 1</f>
        <v>-1.7341412865263028E-2</v>
      </c>
    </row>
    <row r="3378" spans="1:7" x14ac:dyDescent="0.2">
      <c r="A3378" s="1">
        <v>42167</v>
      </c>
      <c r="B3378">
        <v>0</v>
      </c>
      <c r="C3378" t="s">
        <v>13</v>
      </c>
      <c r="D3378">
        <v>6.4000000000000005E-4</v>
      </c>
      <c r="E3378">
        <f t="shared" si="104"/>
        <v>1.00064</v>
      </c>
      <c r="F3378" s="1">
        <f t="shared" si="105"/>
        <v>42163</v>
      </c>
      <c r="G3378" cm="1">
        <f t="array" ref="G3378">PRODUCT( _xlfn._xlws.FILTER($E:$E, ($C:$C=C3378)*($F:$F=F3378)) ) - 1</f>
        <v>-1.7341412865263028E-2</v>
      </c>
    </row>
    <row r="3379" spans="1:7" x14ac:dyDescent="0.2">
      <c r="A3379" s="1">
        <v>42170</v>
      </c>
      <c r="B3379">
        <v>0</v>
      </c>
      <c r="C3379" t="s">
        <v>13</v>
      </c>
      <c r="D3379">
        <v>5.1199999999999998E-4</v>
      </c>
      <c r="E3379">
        <f t="shared" si="104"/>
        <v>1.0005120000000001</v>
      </c>
      <c r="F3379" s="1">
        <f t="shared" si="105"/>
        <v>42170</v>
      </c>
      <c r="G3379" cm="1">
        <f t="array" ref="G3379">PRODUCT( _xlfn._xlws.FILTER($E:$E, ($C:$C=C3379)*($F:$F=F3379)) ) - 1</f>
        <v>-1.7647533587649589E-2</v>
      </c>
    </row>
    <row r="3380" spans="1:7" x14ac:dyDescent="0.2">
      <c r="A3380" s="1">
        <v>42171</v>
      </c>
      <c r="B3380">
        <v>0</v>
      </c>
      <c r="C3380" t="s">
        <v>13</v>
      </c>
      <c r="D3380">
        <v>3.5790000000000001E-3</v>
      </c>
      <c r="E3380">
        <f t="shared" si="104"/>
        <v>1.003579</v>
      </c>
      <c r="F3380" s="1">
        <f t="shared" si="105"/>
        <v>42170</v>
      </c>
      <c r="G3380" cm="1">
        <f t="array" ref="G3380">PRODUCT( _xlfn._xlws.FILTER($E:$E, ($C:$C=C3380)*($F:$F=F3380)) ) - 1</f>
        <v>-1.7647533587649589E-2</v>
      </c>
    </row>
    <row r="3381" spans="1:7" x14ac:dyDescent="0.2">
      <c r="A3381" s="1">
        <v>42172</v>
      </c>
      <c r="B3381">
        <v>0</v>
      </c>
      <c r="C3381" t="s">
        <v>13</v>
      </c>
      <c r="D3381">
        <v>-5.986E-3</v>
      </c>
      <c r="E3381">
        <f t="shared" si="104"/>
        <v>0.99401399999999995</v>
      </c>
      <c r="F3381" s="1">
        <f t="shared" si="105"/>
        <v>42170</v>
      </c>
      <c r="G3381" cm="1">
        <f t="array" ref="G3381">PRODUCT( _xlfn._xlws.FILTER($E:$E, ($C:$C=C3381)*($F:$F=F3381)) ) - 1</f>
        <v>-1.7647533587649589E-2</v>
      </c>
    </row>
    <row r="3382" spans="1:7" x14ac:dyDescent="0.2">
      <c r="A3382" s="1">
        <v>42173</v>
      </c>
      <c r="B3382">
        <v>0</v>
      </c>
      <c r="C3382" t="s">
        <v>13</v>
      </c>
      <c r="D3382">
        <v>-2.5630000000000002E-3</v>
      </c>
      <c r="E3382">
        <f t="shared" si="104"/>
        <v>0.99743700000000002</v>
      </c>
      <c r="F3382" s="1">
        <f t="shared" si="105"/>
        <v>42170</v>
      </c>
      <c r="G3382" cm="1">
        <f t="array" ref="G3382">PRODUCT( _xlfn._xlws.FILTER($E:$E, ($C:$C=C3382)*($F:$F=F3382)) ) - 1</f>
        <v>-1.7647533587649589E-2</v>
      </c>
    </row>
    <row r="3383" spans="1:7" x14ac:dyDescent="0.2">
      <c r="A3383" s="1">
        <v>42174</v>
      </c>
      <c r="B3383">
        <v>0</v>
      </c>
      <c r="C3383" t="s">
        <v>13</v>
      </c>
      <c r="D3383">
        <v>-1.3231E-2</v>
      </c>
      <c r="E3383">
        <f t="shared" si="104"/>
        <v>0.98676900000000001</v>
      </c>
      <c r="F3383" s="1">
        <f t="shared" si="105"/>
        <v>42170</v>
      </c>
      <c r="G3383" cm="1">
        <f t="array" ref="G3383">PRODUCT( _xlfn._xlws.FILTER($E:$E, ($C:$C=C3383)*($F:$F=F3383)) ) - 1</f>
        <v>-1.7647533587649589E-2</v>
      </c>
    </row>
    <row r="3384" spans="1:7" x14ac:dyDescent="0.2">
      <c r="A3384" s="1">
        <v>42177</v>
      </c>
      <c r="B3384">
        <v>0</v>
      </c>
      <c r="C3384" t="s">
        <v>13</v>
      </c>
      <c r="D3384">
        <v>7.5500000000000003E-3</v>
      </c>
      <c r="E3384">
        <f t="shared" si="104"/>
        <v>1.0075499999999999</v>
      </c>
      <c r="F3384" s="1">
        <f t="shared" si="105"/>
        <v>42177</v>
      </c>
      <c r="G3384" cm="1">
        <f t="array" ref="G3384">PRODUCT( _xlfn._xlws.FILTER($E:$E, ($C:$C=C3384)*($F:$F=F3384)) ) - 1</f>
        <v>1.874531590400208E-2</v>
      </c>
    </row>
    <row r="3385" spans="1:7" x14ac:dyDescent="0.2">
      <c r="A3385" s="1">
        <v>42178</v>
      </c>
      <c r="B3385">
        <v>0</v>
      </c>
      <c r="C3385" t="s">
        <v>13</v>
      </c>
      <c r="D3385">
        <v>6.9769999999999997E-3</v>
      </c>
      <c r="E3385">
        <f t="shared" si="104"/>
        <v>1.006977</v>
      </c>
      <c r="F3385" s="1">
        <f t="shared" si="105"/>
        <v>42177</v>
      </c>
      <c r="G3385" cm="1">
        <f t="array" ref="G3385">PRODUCT( _xlfn._xlws.FILTER($E:$E, ($C:$C=C3385)*($F:$F=F3385)) ) - 1</f>
        <v>1.874531590400208E-2</v>
      </c>
    </row>
    <row r="3386" spans="1:7" x14ac:dyDescent="0.2">
      <c r="A3386" s="1">
        <v>42179</v>
      </c>
      <c r="B3386">
        <v>0</v>
      </c>
      <c r="C3386" t="s">
        <v>13</v>
      </c>
      <c r="D3386">
        <v>2.1810000000000002E-3</v>
      </c>
      <c r="E3386">
        <f t="shared" si="104"/>
        <v>1.002181</v>
      </c>
      <c r="F3386" s="1">
        <f t="shared" si="105"/>
        <v>42177</v>
      </c>
      <c r="G3386" cm="1">
        <f t="array" ref="G3386">PRODUCT( _xlfn._xlws.FILTER($E:$E, ($C:$C=C3386)*($F:$F=F3386)) ) - 1</f>
        <v>1.874531590400208E-2</v>
      </c>
    </row>
    <row r="3387" spans="1:7" x14ac:dyDescent="0.2">
      <c r="A3387" s="1">
        <v>42180</v>
      </c>
      <c r="B3387">
        <v>0</v>
      </c>
      <c r="C3387" t="s">
        <v>13</v>
      </c>
      <c r="D3387">
        <v>3.8400000000000001E-4</v>
      </c>
      <c r="E3387">
        <f t="shared" si="104"/>
        <v>1.0003839999999999</v>
      </c>
      <c r="F3387" s="1">
        <f t="shared" si="105"/>
        <v>42177</v>
      </c>
      <c r="G3387" cm="1">
        <f t="array" ref="G3387">PRODUCT( _xlfn._xlws.FILTER($E:$E, ($C:$C=C3387)*($F:$F=F3387)) ) - 1</f>
        <v>1.874531590400208E-2</v>
      </c>
    </row>
    <row r="3388" spans="1:7" x14ac:dyDescent="0.2">
      <c r="A3388" s="1">
        <v>42181</v>
      </c>
      <c r="B3388">
        <v>0</v>
      </c>
      <c r="C3388" t="s">
        <v>13</v>
      </c>
      <c r="D3388">
        <v>1.536E-3</v>
      </c>
      <c r="E3388">
        <f t="shared" si="104"/>
        <v>1.001536</v>
      </c>
      <c r="F3388" s="1">
        <f t="shared" si="105"/>
        <v>42177</v>
      </c>
      <c r="G3388" cm="1">
        <f t="array" ref="G3388">PRODUCT( _xlfn._xlws.FILTER($E:$E, ($C:$C=C3388)*($F:$F=F3388)) ) - 1</f>
        <v>1.874531590400208E-2</v>
      </c>
    </row>
    <row r="3389" spans="1:7" x14ac:dyDescent="0.2">
      <c r="A3389" s="1">
        <v>42184</v>
      </c>
      <c r="B3389">
        <v>0</v>
      </c>
      <c r="C3389" t="s">
        <v>13</v>
      </c>
      <c r="D3389">
        <v>-2.2873000000000001E-2</v>
      </c>
      <c r="E3389">
        <f t="shared" si="104"/>
        <v>0.97712699999999997</v>
      </c>
      <c r="F3389" s="1">
        <f t="shared" si="105"/>
        <v>42184</v>
      </c>
      <c r="G3389" cm="1">
        <f t="array" ref="G3389">PRODUCT( _xlfn._xlws.FILTER($E:$E, ($C:$C=C3389)*($F:$F=F3389)) ) - 1</f>
        <v>-1.980647245828604E-2</v>
      </c>
    </row>
    <row r="3390" spans="1:7" x14ac:dyDescent="0.2">
      <c r="A3390" s="1">
        <v>42185</v>
      </c>
      <c r="B3390">
        <v>0</v>
      </c>
      <c r="C3390" t="s">
        <v>13</v>
      </c>
      <c r="D3390">
        <v>-1.1770000000000001E-3</v>
      </c>
      <c r="E3390">
        <f t="shared" si="104"/>
        <v>0.99882300000000002</v>
      </c>
      <c r="F3390" s="1">
        <f t="shared" si="105"/>
        <v>42184</v>
      </c>
      <c r="G3390" cm="1">
        <f t="array" ref="G3390">PRODUCT( _xlfn._xlws.FILTER($E:$E, ($C:$C=C3390)*($F:$F=F3390)) ) - 1</f>
        <v>-1.980647245828604E-2</v>
      </c>
    </row>
    <row r="3391" spans="1:7" x14ac:dyDescent="0.2">
      <c r="A3391" s="1">
        <v>42187</v>
      </c>
      <c r="B3391">
        <v>0</v>
      </c>
      <c r="C3391" t="s">
        <v>13</v>
      </c>
      <c r="D3391">
        <v>-2.2260000000000001E-3</v>
      </c>
      <c r="E3391">
        <f t="shared" si="104"/>
        <v>0.99777400000000005</v>
      </c>
      <c r="F3391" s="1">
        <f t="shared" si="105"/>
        <v>42184</v>
      </c>
      <c r="G3391" cm="1">
        <f t="array" ref="G3391">PRODUCT( _xlfn._xlws.FILTER($E:$E, ($C:$C=C3391)*($F:$F=F3391)) ) - 1</f>
        <v>-1.980647245828604E-2</v>
      </c>
    </row>
    <row r="3392" spans="1:7" x14ac:dyDescent="0.2">
      <c r="A3392" s="1">
        <v>42188</v>
      </c>
      <c r="B3392">
        <v>0</v>
      </c>
      <c r="C3392" t="s">
        <v>13</v>
      </c>
      <c r="D3392">
        <v>6.561E-3</v>
      </c>
      <c r="E3392">
        <f t="shared" si="104"/>
        <v>1.006561</v>
      </c>
      <c r="F3392" s="1">
        <f t="shared" si="105"/>
        <v>42184</v>
      </c>
      <c r="G3392" cm="1">
        <f t="array" ref="G3392">PRODUCT( _xlfn._xlws.FILTER($E:$E, ($C:$C=C3392)*($F:$F=F3392)) ) - 1</f>
        <v>-1.980647245828604E-2</v>
      </c>
    </row>
    <row r="3393" spans="1:7" x14ac:dyDescent="0.2">
      <c r="A3393" s="1">
        <v>42191</v>
      </c>
      <c r="B3393">
        <v>0</v>
      </c>
      <c r="C3393" t="s">
        <v>13</v>
      </c>
      <c r="D3393">
        <v>-4.4320000000000002E-3</v>
      </c>
      <c r="E3393">
        <f t="shared" si="104"/>
        <v>0.99556800000000001</v>
      </c>
      <c r="F3393" s="1">
        <f t="shared" si="105"/>
        <v>42191</v>
      </c>
      <c r="G3393" cm="1">
        <f t="array" ref="G3393">PRODUCT( _xlfn._xlws.FILTER($E:$E, ($C:$C=C3393)*($F:$F=F3393)) ) - 1</f>
        <v>-1.6946538087089236E-3</v>
      </c>
    </row>
    <row r="3394" spans="1:7" x14ac:dyDescent="0.2">
      <c r="A3394" s="1">
        <v>42192</v>
      </c>
      <c r="B3394">
        <v>0</v>
      </c>
      <c r="C3394" t="s">
        <v>13</v>
      </c>
      <c r="D3394">
        <v>1.047E-3</v>
      </c>
      <c r="E3394">
        <f t="shared" si="104"/>
        <v>1.001047</v>
      </c>
      <c r="F3394" s="1">
        <f t="shared" si="105"/>
        <v>42191</v>
      </c>
      <c r="G3394" cm="1">
        <f t="array" ref="G3394">PRODUCT( _xlfn._xlws.FILTER($E:$E, ($C:$C=C3394)*($F:$F=F3394)) ) - 1</f>
        <v>-1.6946538087089236E-3</v>
      </c>
    </row>
    <row r="3395" spans="1:7" x14ac:dyDescent="0.2">
      <c r="A3395" s="1">
        <v>42193</v>
      </c>
      <c r="B3395">
        <v>0</v>
      </c>
      <c r="C3395" t="s">
        <v>13</v>
      </c>
      <c r="D3395">
        <v>-1.1117999999999999E-2</v>
      </c>
      <c r="E3395">
        <f t="shared" si="104"/>
        <v>0.98888200000000004</v>
      </c>
      <c r="F3395" s="1">
        <f t="shared" si="105"/>
        <v>42191</v>
      </c>
      <c r="G3395" cm="1">
        <f t="array" ref="G3395">PRODUCT( _xlfn._xlws.FILTER($E:$E, ($C:$C=C3395)*($F:$F=F3395)) ) - 1</f>
        <v>-1.6946538087089236E-3</v>
      </c>
    </row>
    <row r="3396" spans="1:7" x14ac:dyDescent="0.2">
      <c r="A3396" s="1">
        <v>42194</v>
      </c>
      <c r="B3396">
        <v>0</v>
      </c>
      <c r="C3396" t="s">
        <v>13</v>
      </c>
      <c r="D3396">
        <v>-1.5870000000000001E-3</v>
      </c>
      <c r="E3396">
        <f t="shared" ref="E3396:E3459" si="106">D3396+1</f>
        <v>0.99841299999999999</v>
      </c>
      <c r="F3396" s="1">
        <f t="shared" ref="F3396:F3459" si="107">A3396 - (WEEKDAY(A3396, 2) - 1)</f>
        <v>42191</v>
      </c>
      <c r="G3396" cm="1">
        <f t="array" ref="G3396">PRODUCT( _xlfn._xlws.FILTER($E:$E, ($C:$C=C3396)*($F:$F=F3396)) ) - 1</f>
        <v>-1.6946538087089236E-3</v>
      </c>
    </row>
    <row r="3397" spans="1:7" x14ac:dyDescent="0.2">
      <c r="A3397" s="1">
        <v>42195</v>
      </c>
      <c r="B3397">
        <v>0</v>
      </c>
      <c r="C3397" t="s">
        <v>13</v>
      </c>
      <c r="D3397">
        <v>1.4572999999999999E-2</v>
      </c>
      <c r="E3397">
        <f t="shared" si="106"/>
        <v>1.0145729999999999</v>
      </c>
      <c r="F3397" s="1">
        <f t="shared" si="107"/>
        <v>42191</v>
      </c>
      <c r="G3397" cm="1">
        <f t="array" ref="G3397">PRODUCT( _xlfn._xlws.FILTER($E:$E, ($C:$C=C3397)*($F:$F=F3397)) ) - 1</f>
        <v>-1.6946538087089236E-3</v>
      </c>
    </row>
    <row r="3398" spans="1:7" x14ac:dyDescent="0.2">
      <c r="A3398" s="1">
        <v>42198</v>
      </c>
      <c r="B3398">
        <v>0</v>
      </c>
      <c r="C3398" t="s">
        <v>13</v>
      </c>
      <c r="D3398">
        <v>4.4400000000000004E-3</v>
      </c>
      <c r="E3398">
        <f t="shared" si="106"/>
        <v>1.00444</v>
      </c>
      <c r="F3398" s="1">
        <f t="shared" si="107"/>
        <v>42198</v>
      </c>
      <c r="G3398" cm="1">
        <f t="array" ref="G3398">PRODUCT( _xlfn._xlws.FILTER($E:$E, ($C:$C=C3398)*($F:$F=F3398)) ) - 1</f>
        <v>9.4016254001130228E-3</v>
      </c>
    </row>
    <row r="3399" spans="1:7" x14ac:dyDescent="0.2">
      <c r="A3399" s="1">
        <v>42199</v>
      </c>
      <c r="B3399">
        <v>0</v>
      </c>
      <c r="C3399" t="s">
        <v>13</v>
      </c>
      <c r="D3399">
        <v>-2.5999999999999998E-4</v>
      </c>
      <c r="E3399">
        <f t="shared" si="106"/>
        <v>0.99973999999999996</v>
      </c>
      <c r="F3399" s="1">
        <f t="shared" si="107"/>
        <v>42198</v>
      </c>
      <c r="G3399" cm="1">
        <f t="array" ref="G3399">PRODUCT( _xlfn._xlws.FILTER($E:$E, ($C:$C=C3399)*($F:$F=F3399)) ) - 1</f>
        <v>9.4016254001130228E-3</v>
      </c>
    </row>
    <row r="3400" spans="1:7" x14ac:dyDescent="0.2">
      <c r="A3400" s="1">
        <v>42200</v>
      </c>
      <c r="B3400">
        <v>0</v>
      </c>
      <c r="C3400" t="s">
        <v>13</v>
      </c>
      <c r="D3400">
        <v>4.5510000000000004E-3</v>
      </c>
      <c r="E3400">
        <f t="shared" si="106"/>
        <v>1.004551</v>
      </c>
      <c r="F3400" s="1">
        <f t="shared" si="107"/>
        <v>42198</v>
      </c>
      <c r="G3400" cm="1">
        <f t="array" ref="G3400">PRODUCT( _xlfn._xlws.FILTER($E:$E, ($C:$C=C3400)*($F:$F=F3400)) ) - 1</f>
        <v>9.4016254001130228E-3</v>
      </c>
    </row>
    <row r="3401" spans="1:7" x14ac:dyDescent="0.2">
      <c r="A3401" s="1">
        <v>42201</v>
      </c>
      <c r="B3401">
        <v>0</v>
      </c>
      <c r="C3401" t="s">
        <v>13</v>
      </c>
      <c r="D3401">
        <v>8.5439999999999995E-3</v>
      </c>
      <c r="E3401">
        <f t="shared" si="106"/>
        <v>1.0085440000000001</v>
      </c>
      <c r="F3401" s="1">
        <f t="shared" si="107"/>
        <v>42198</v>
      </c>
      <c r="G3401" cm="1">
        <f t="array" ref="G3401">PRODUCT( _xlfn._xlws.FILTER($E:$E, ($C:$C=C3401)*($F:$F=F3401)) ) - 1</f>
        <v>9.4016254001130228E-3</v>
      </c>
    </row>
    <row r="3402" spans="1:7" x14ac:dyDescent="0.2">
      <c r="A3402" s="1">
        <v>42202</v>
      </c>
      <c r="B3402">
        <v>0</v>
      </c>
      <c r="C3402" t="s">
        <v>13</v>
      </c>
      <c r="D3402">
        <v>-7.8300000000000002E-3</v>
      </c>
      <c r="E3402">
        <f t="shared" si="106"/>
        <v>0.99217</v>
      </c>
      <c r="F3402" s="1">
        <f t="shared" si="107"/>
        <v>42198</v>
      </c>
      <c r="G3402" cm="1">
        <f t="array" ref="G3402">PRODUCT( _xlfn._xlws.FILTER($E:$E, ($C:$C=C3402)*($F:$F=F3402)) ) - 1</f>
        <v>9.4016254001130228E-3</v>
      </c>
    </row>
    <row r="3403" spans="1:7" x14ac:dyDescent="0.2">
      <c r="A3403" s="1">
        <v>42205</v>
      </c>
      <c r="B3403">
        <v>0</v>
      </c>
      <c r="C3403" t="s">
        <v>13</v>
      </c>
      <c r="D3403">
        <v>-1.8109999999999999E-3</v>
      </c>
      <c r="E3403">
        <f t="shared" si="106"/>
        <v>0.99818899999999999</v>
      </c>
      <c r="F3403" s="1">
        <f t="shared" si="107"/>
        <v>42205</v>
      </c>
      <c r="G3403" cm="1">
        <f t="array" ref="G3403">PRODUCT( _xlfn._xlws.FILTER($E:$E, ($C:$C=C3403)*($F:$F=F3403)) ) - 1</f>
        <v>-2.5220294170843593E-2</v>
      </c>
    </row>
    <row r="3404" spans="1:7" x14ac:dyDescent="0.2">
      <c r="A3404" s="1">
        <v>42206</v>
      </c>
      <c r="B3404">
        <v>0</v>
      </c>
      <c r="C3404" t="s">
        <v>13</v>
      </c>
      <c r="D3404">
        <v>-6.9979999999999999E-3</v>
      </c>
      <c r="E3404">
        <f t="shared" si="106"/>
        <v>0.99300200000000005</v>
      </c>
      <c r="F3404" s="1">
        <f t="shared" si="107"/>
        <v>42205</v>
      </c>
      <c r="G3404" cm="1">
        <f t="array" ref="G3404">PRODUCT( _xlfn._xlws.FILTER($E:$E, ($C:$C=C3404)*($F:$F=F3404)) ) - 1</f>
        <v>-2.5220294170843593E-2</v>
      </c>
    </row>
    <row r="3405" spans="1:7" x14ac:dyDescent="0.2">
      <c r="A3405" s="1">
        <v>42207</v>
      </c>
      <c r="B3405">
        <v>0</v>
      </c>
      <c r="C3405" t="s">
        <v>13</v>
      </c>
      <c r="D3405">
        <v>-1.8270000000000001E-3</v>
      </c>
      <c r="E3405">
        <f t="shared" si="106"/>
        <v>0.99817299999999998</v>
      </c>
      <c r="F3405" s="1">
        <f t="shared" si="107"/>
        <v>42205</v>
      </c>
      <c r="G3405" cm="1">
        <f t="array" ref="G3405">PRODUCT( _xlfn._xlws.FILTER($E:$E, ($C:$C=C3405)*($F:$F=F3405)) ) - 1</f>
        <v>-2.5220294170843593E-2</v>
      </c>
    </row>
    <row r="3406" spans="1:7" x14ac:dyDescent="0.2">
      <c r="A3406" s="1">
        <v>42208</v>
      </c>
      <c r="B3406">
        <v>0</v>
      </c>
      <c r="C3406" t="s">
        <v>13</v>
      </c>
      <c r="D3406">
        <v>-2.3540000000000002E-3</v>
      </c>
      <c r="E3406">
        <f t="shared" si="106"/>
        <v>0.99764600000000003</v>
      </c>
      <c r="F3406" s="1">
        <f t="shared" si="107"/>
        <v>42205</v>
      </c>
      <c r="G3406" cm="1">
        <f t="array" ref="G3406">PRODUCT( _xlfn._xlws.FILTER($E:$E, ($C:$C=C3406)*($F:$F=F3406)) ) - 1</f>
        <v>-2.5220294170843593E-2</v>
      </c>
    </row>
    <row r="3407" spans="1:7" x14ac:dyDescent="0.2">
      <c r="A3407" s="1">
        <v>42209</v>
      </c>
      <c r="B3407">
        <v>0</v>
      </c>
      <c r="C3407" t="s">
        <v>13</v>
      </c>
      <c r="D3407">
        <v>-1.2444999999999999E-2</v>
      </c>
      <c r="E3407">
        <f t="shared" si="106"/>
        <v>0.98755499999999996</v>
      </c>
      <c r="F3407" s="1">
        <f t="shared" si="107"/>
        <v>42205</v>
      </c>
      <c r="G3407" cm="1">
        <f t="array" ref="G3407">PRODUCT( _xlfn._xlws.FILTER($E:$E, ($C:$C=C3407)*($F:$F=F3407)) ) - 1</f>
        <v>-2.5220294170843593E-2</v>
      </c>
    </row>
    <row r="3408" spans="1:7" x14ac:dyDescent="0.2">
      <c r="A3408" s="1">
        <v>42212</v>
      </c>
      <c r="B3408">
        <v>0</v>
      </c>
      <c r="C3408" t="s">
        <v>13</v>
      </c>
      <c r="D3408">
        <v>-1.4345E-2</v>
      </c>
      <c r="E3408">
        <f t="shared" si="106"/>
        <v>0.98565499999999995</v>
      </c>
      <c r="F3408" s="1">
        <f t="shared" si="107"/>
        <v>42212</v>
      </c>
      <c r="G3408" cm="1">
        <f t="array" ref="G3408">PRODUCT( _xlfn._xlws.FILTER($E:$E, ($C:$C=C3408)*($F:$F=F3408)) ) - 1</f>
        <v>2.2389400816401395E-2</v>
      </c>
    </row>
    <row r="3409" spans="1:7" x14ac:dyDescent="0.2">
      <c r="A3409" s="1">
        <v>42213</v>
      </c>
      <c r="B3409">
        <v>0</v>
      </c>
      <c r="C3409" t="s">
        <v>13</v>
      </c>
      <c r="D3409">
        <v>1.3600000000000001E-3</v>
      </c>
      <c r="E3409">
        <f t="shared" si="106"/>
        <v>1.00136</v>
      </c>
      <c r="F3409" s="1">
        <f t="shared" si="107"/>
        <v>42212</v>
      </c>
      <c r="G3409" cm="1">
        <f t="array" ref="G3409">PRODUCT( _xlfn._xlws.FILTER($E:$E, ($C:$C=C3409)*($F:$F=F3409)) ) - 1</f>
        <v>2.2389400816401395E-2</v>
      </c>
    </row>
    <row r="3410" spans="1:7" x14ac:dyDescent="0.2">
      <c r="A3410" s="1">
        <v>42214</v>
      </c>
      <c r="B3410">
        <v>0</v>
      </c>
      <c r="C3410" t="s">
        <v>13</v>
      </c>
      <c r="D3410">
        <v>2.7574000000000001E-2</v>
      </c>
      <c r="E3410">
        <f t="shared" si="106"/>
        <v>1.027574</v>
      </c>
      <c r="F3410" s="1">
        <f t="shared" si="107"/>
        <v>42212</v>
      </c>
      <c r="G3410" cm="1">
        <f t="array" ref="G3410">PRODUCT( _xlfn._xlws.FILTER($E:$E, ($C:$C=C3410)*($F:$F=F3410)) ) - 1</f>
        <v>2.2389400816401395E-2</v>
      </c>
    </row>
    <row r="3411" spans="1:7" x14ac:dyDescent="0.2">
      <c r="A3411" s="1">
        <v>42215</v>
      </c>
      <c r="B3411">
        <v>0</v>
      </c>
      <c r="C3411" t="s">
        <v>13</v>
      </c>
      <c r="D3411">
        <v>1.322E-3</v>
      </c>
      <c r="E3411">
        <f t="shared" si="106"/>
        <v>1.001322</v>
      </c>
      <c r="F3411" s="1">
        <f t="shared" si="107"/>
        <v>42212</v>
      </c>
      <c r="G3411" cm="1">
        <f t="array" ref="G3411">PRODUCT( _xlfn._xlws.FILTER($E:$E, ($C:$C=C3411)*($F:$F=F3411)) ) - 1</f>
        <v>2.2389400816401395E-2</v>
      </c>
    </row>
    <row r="3412" spans="1:7" x14ac:dyDescent="0.2">
      <c r="A3412" s="1">
        <v>42216</v>
      </c>
      <c r="B3412">
        <v>0</v>
      </c>
      <c r="C3412" t="s">
        <v>13</v>
      </c>
      <c r="D3412">
        <v>6.7330000000000003E-3</v>
      </c>
      <c r="E3412">
        <f t="shared" si="106"/>
        <v>1.0067330000000001</v>
      </c>
      <c r="F3412" s="1">
        <f t="shared" si="107"/>
        <v>42212</v>
      </c>
      <c r="G3412" cm="1">
        <f t="array" ref="G3412">PRODUCT( _xlfn._xlws.FILTER($E:$E, ($C:$C=C3412)*($F:$F=F3412)) ) - 1</f>
        <v>2.2389400816401395E-2</v>
      </c>
    </row>
    <row r="3413" spans="1:7" x14ac:dyDescent="0.2">
      <c r="A3413" s="1">
        <v>42220</v>
      </c>
      <c r="B3413">
        <v>0</v>
      </c>
      <c r="C3413" t="s">
        <v>13</v>
      </c>
      <c r="D3413">
        <v>2.885E-3</v>
      </c>
      <c r="E3413">
        <f t="shared" si="106"/>
        <v>1.002885</v>
      </c>
      <c r="F3413" s="1">
        <f t="shared" si="107"/>
        <v>42219</v>
      </c>
      <c r="G3413" cm="1">
        <f t="array" ref="G3413">PRODUCT( _xlfn._xlws.FILTER($E:$E, ($C:$C=C3413)*($F:$F=F3413)) ) - 1</f>
        <v>9.1843260035306962E-4</v>
      </c>
    </row>
    <row r="3414" spans="1:7" x14ac:dyDescent="0.2">
      <c r="A3414" s="1">
        <v>42221</v>
      </c>
      <c r="B3414">
        <v>0</v>
      </c>
      <c r="C3414" t="s">
        <v>13</v>
      </c>
      <c r="D3414">
        <v>9.4140000000000005E-3</v>
      </c>
      <c r="E3414">
        <f t="shared" si="106"/>
        <v>1.009414</v>
      </c>
      <c r="F3414" s="1">
        <f t="shared" si="107"/>
        <v>42219</v>
      </c>
      <c r="G3414" cm="1">
        <f t="array" ref="G3414">PRODUCT( _xlfn._xlws.FILTER($E:$E, ($C:$C=C3414)*($F:$F=F3414)) ) - 1</f>
        <v>9.1843260035306962E-4</v>
      </c>
    </row>
    <row r="3415" spans="1:7" x14ac:dyDescent="0.2">
      <c r="A3415" s="1">
        <v>42222</v>
      </c>
      <c r="B3415">
        <v>0</v>
      </c>
      <c r="C3415" t="s">
        <v>13</v>
      </c>
      <c r="D3415">
        <v>-1.8129999999999999E-3</v>
      </c>
      <c r="E3415">
        <f t="shared" si="106"/>
        <v>0.99818700000000005</v>
      </c>
      <c r="F3415" s="1">
        <f t="shared" si="107"/>
        <v>42219</v>
      </c>
      <c r="G3415" cm="1">
        <f t="array" ref="G3415">PRODUCT( _xlfn._xlws.FILTER($E:$E, ($C:$C=C3415)*($F:$F=F3415)) ) - 1</f>
        <v>9.1843260035306962E-4</v>
      </c>
    </row>
    <row r="3416" spans="1:7" x14ac:dyDescent="0.2">
      <c r="A3416" s="1">
        <v>42223</v>
      </c>
      <c r="B3416">
        <v>0</v>
      </c>
      <c r="C3416" t="s">
        <v>13</v>
      </c>
      <c r="D3416">
        <v>-9.4730000000000005E-3</v>
      </c>
      <c r="E3416">
        <f t="shared" si="106"/>
        <v>0.99052700000000005</v>
      </c>
      <c r="F3416" s="1">
        <f t="shared" si="107"/>
        <v>42219</v>
      </c>
      <c r="G3416" cm="1">
        <f t="array" ref="G3416">PRODUCT( _xlfn._xlws.FILTER($E:$E, ($C:$C=C3416)*($F:$F=F3416)) ) - 1</f>
        <v>9.1843260035306962E-4</v>
      </c>
    </row>
    <row r="3417" spans="1:7" x14ac:dyDescent="0.2">
      <c r="A3417" s="1">
        <v>42226</v>
      </c>
      <c r="B3417">
        <v>0</v>
      </c>
      <c r="C3417" t="s">
        <v>13</v>
      </c>
      <c r="D3417">
        <v>1.2446E-2</v>
      </c>
      <c r="E3417">
        <f t="shared" si="106"/>
        <v>1.012446</v>
      </c>
      <c r="F3417" s="1">
        <f t="shared" si="107"/>
        <v>42226</v>
      </c>
      <c r="G3417" cm="1">
        <f t="array" ref="G3417">PRODUCT( _xlfn._xlws.FILTER($E:$E, ($C:$C=C3417)*($F:$F=F3417)) ) - 1</f>
        <v>-4.7174244060659287E-3</v>
      </c>
    </row>
    <row r="3418" spans="1:7" x14ac:dyDescent="0.2">
      <c r="A3418" s="1">
        <v>42227</v>
      </c>
      <c r="B3418">
        <v>0</v>
      </c>
      <c r="C3418" t="s">
        <v>13</v>
      </c>
      <c r="D3418">
        <v>-8.6700000000000006E-3</v>
      </c>
      <c r="E3418">
        <f t="shared" si="106"/>
        <v>0.99133000000000004</v>
      </c>
      <c r="F3418" s="1">
        <f t="shared" si="107"/>
        <v>42226</v>
      </c>
      <c r="G3418" cm="1">
        <f t="array" ref="G3418">PRODUCT( _xlfn._xlws.FILTER($E:$E, ($C:$C=C3418)*($F:$F=F3418)) ) - 1</f>
        <v>-4.7174244060659287E-3</v>
      </c>
    </row>
    <row r="3419" spans="1:7" x14ac:dyDescent="0.2">
      <c r="A3419" s="1">
        <v>42228</v>
      </c>
      <c r="B3419">
        <v>0</v>
      </c>
      <c r="C3419" t="s">
        <v>13</v>
      </c>
      <c r="D3419">
        <v>-1.0050999999999999E-2</v>
      </c>
      <c r="E3419">
        <f t="shared" si="106"/>
        <v>0.98994899999999997</v>
      </c>
      <c r="F3419" s="1">
        <f t="shared" si="107"/>
        <v>42226</v>
      </c>
      <c r="G3419" cm="1">
        <f t="array" ref="G3419">PRODUCT( _xlfn._xlws.FILTER($E:$E, ($C:$C=C3419)*($F:$F=F3419)) ) - 1</f>
        <v>-4.7174244060659287E-3</v>
      </c>
    </row>
    <row r="3420" spans="1:7" x14ac:dyDescent="0.2">
      <c r="A3420" s="1">
        <v>42229</v>
      </c>
      <c r="B3420">
        <v>0</v>
      </c>
      <c r="C3420" t="s">
        <v>13</v>
      </c>
      <c r="D3420">
        <v>-5.934E-3</v>
      </c>
      <c r="E3420">
        <f t="shared" si="106"/>
        <v>0.99406600000000001</v>
      </c>
      <c r="F3420" s="1">
        <f t="shared" si="107"/>
        <v>42226</v>
      </c>
      <c r="G3420" cm="1">
        <f t="array" ref="G3420">PRODUCT( _xlfn._xlws.FILTER($E:$E, ($C:$C=C3420)*($F:$F=F3420)) ) - 1</f>
        <v>-4.7174244060659287E-3</v>
      </c>
    </row>
    <row r="3421" spans="1:7" x14ac:dyDescent="0.2">
      <c r="A3421" s="1">
        <v>42230</v>
      </c>
      <c r="B3421">
        <v>0</v>
      </c>
      <c r="C3421" t="s">
        <v>13</v>
      </c>
      <c r="D3421">
        <v>7.6930000000000002E-3</v>
      </c>
      <c r="E3421">
        <f t="shared" si="106"/>
        <v>1.0076929999999999</v>
      </c>
      <c r="F3421" s="1">
        <f t="shared" si="107"/>
        <v>42226</v>
      </c>
      <c r="G3421" cm="1">
        <f t="array" ref="G3421">PRODUCT( _xlfn._xlws.FILTER($E:$E, ($C:$C=C3421)*($F:$F=F3421)) ) - 1</f>
        <v>-4.7174244060659287E-3</v>
      </c>
    </row>
    <row r="3422" spans="1:7" x14ac:dyDescent="0.2">
      <c r="A3422" s="1">
        <v>42233</v>
      </c>
      <c r="B3422">
        <v>0</v>
      </c>
      <c r="C3422" t="s">
        <v>13</v>
      </c>
      <c r="D3422">
        <v>-7.1079999999999997E-3</v>
      </c>
      <c r="E3422">
        <f t="shared" si="106"/>
        <v>0.992892</v>
      </c>
      <c r="F3422" s="1">
        <f t="shared" si="107"/>
        <v>42233</v>
      </c>
      <c r="G3422" cm="1">
        <f t="array" ref="G3422">PRODUCT( _xlfn._xlws.FILTER($E:$E, ($C:$C=C3422)*($F:$F=F3422)) ) - 1</f>
        <v>-4.1727160023016463E-2</v>
      </c>
    </row>
    <row r="3423" spans="1:7" x14ac:dyDescent="0.2">
      <c r="A3423" s="1">
        <v>42234</v>
      </c>
      <c r="B3423">
        <v>0</v>
      </c>
      <c r="C3423" t="s">
        <v>13</v>
      </c>
      <c r="D3423">
        <v>2.2539999999999999E-3</v>
      </c>
      <c r="E3423">
        <f t="shared" si="106"/>
        <v>1.002254</v>
      </c>
      <c r="F3423" s="1">
        <f t="shared" si="107"/>
        <v>42233</v>
      </c>
      <c r="G3423" cm="1">
        <f t="array" ref="G3423">PRODUCT( _xlfn._xlws.FILTER($E:$E, ($C:$C=C3423)*($F:$F=F3423)) ) - 1</f>
        <v>-4.1727160023016463E-2</v>
      </c>
    </row>
    <row r="3424" spans="1:7" x14ac:dyDescent="0.2">
      <c r="A3424" s="1">
        <v>42235</v>
      </c>
      <c r="B3424">
        <v>0</v>
      </c>
      <c r="C3424" t="s">
        <v>13</v>
      </c>
      <c r="D3424">
        <v>2.1159999999999998E-3</v>
      </c>
      <c r="E3424">
        <f t="shared" si="106"/>
        <v>1.002116</v>
      </c>
      <c r="F3424" s="1">
        <f t="shared" si="107"/>
        <v>42233</v>
      </c>
      <c r="G3424" cm="1">
        <f t="array" ref="G3424">PRODUCT( _xlfn._xlws.FILTER($E:$E, ($C:$C=C3424)*($F:$F=F3424)) ) - 1</f>
        <v>-4.1727160023016463E-2</v>
      </c>
    </row>
    <row r="3425" spans="1:7" x14ac:dyDescent="0.2">
      <c r="A3425" s="1">
        <v>42236</v>
      </c>
      <c r="B3425">
        <v>0</v>
      </c>
      <c r="C3425" t="s">
        <v>13</v>
      </c>
      <c r="D3425">
        <v>-2.2175E-2</v>
      </c>
      <c r="E3425">
        <f t="shared" si="106"/>
        <v>0.97782499999999994</v>
      </c>
      <c r="F3425" s="1">
        <f t="shared" si="107"/>
        <v>42233</v>
      </c>
      <c r="G3425" cm="1">
        <f t="array" ref="G3425">PRODUCT( _xlfn._xlws.FILTER($E:$E, ($C:$C=C3425)*($F:$F=F3425)) ) - 1</f>
        <v>-4.1727160023016463E-2</v>
      </c>
    </row>
    <row r="3426" spans="1:7" x14ac:dyDescent="0.2">
      <c r="A3426" s="1">
        <v>42237</v>
      </c>
      <c r="B3426">
        <v>0</v>
      </c>
      <c r="C3426" t="s">
        <v>13</v>
      </c>
      <c r="D3426">
        <v>-1.7278999999999999E-2</v>
      </c>
      <c r="E3426">
        <f t="shared" si="106"/>
        <v>0.98272099999999996</v>
      </c>
      <c r="F3426" s="1">
        <f t="shared" si="107"/>
        <v>42233</v>
      </c>
      <c r="G3426" cm="1">
        <f t="array" ref="G3426">PRODUCT( _xlfn._xlws.FILTER($E:$E, ($C:$C=C3426)*($F:$F=F3426)) ) - 1</f>
        <v>-4.1727160023016463E-2</v>
      </c>
    </row>
    <row r="3427" spans="1:7" x14ac:dyDescent="0.2">
      <c r="A3427" s="1">
        <v>42240</v>
      </c>
      <c r="B3427">
        <v>0</v>
      </c>
      <c r="C3427" t="s">
        <v>13</v>
      </c>
      <c r="D3427">
        <v>-2.8708999999999998E-2</v>
      </c>
      <c r="E3427">
        <f t="shared" si="106"/>
        <v>0.97129100000000002</v>
      </c>
      <c r="F3427" s="1">
        <f t="shared" si="107"/>
        <v>42240</v>
      </c>
      <c r="G3427" cm="1">
        <f t="array" ref="G3427">PRODUCT( _xlfn._xlws.FILTER($E:$E, ($C:$C=C3427)*($F:$F=F3427)) ) - 1</f>
        <v>1.2363675357968118E-2</v>
      </c>
    </row>
    <row r="3428" spans="1:7" x14ac:dyDescent="0.2">
      <c r="A3428" s="1">
        <v>42241</v>
      </c>
      <c r="B3428">
        <v>0</v>
      </c>
      <c r="C3428" t="s">
        <v>13</v>
      </c>
      <c r="D3428">
        <v>2.3335000000000002E-2</v>
      </c>
      <c r="E3428">
        <f t="shared" si="106"/>
        <v>1.0233350000000001</v>
      </c>
      <c r="F3428" s="1">
        <f t="shared" si="107"/>
        <v>42240</v>
      </c>
      <c r="G3428" cm="1">
        <f t="array" ref="G3428">PRODUCT( _xlfn._xlws.FILTER($E:$E, ($C:$C=C3428)*($F:$F=F3428)) ) - 1</f>
        <v>1.2363675357968118E-2</v>
      </c>
    </row>
    <row r="3429" spans="1:7" x14ac:dyDescent="0.2">
      <c r="A3429" s="1">
        <v>42242</v>
      </c>
      <c r="B3429">
        <v>0</v>
      </c>
      <c r="C3429" t="s">
        <v>13</v>
      </c>
      <c r="D3429">
        <v>-3.5929999999999998E-3</v>
      </c>
      <c r="E3429">
        <f t="shared" si="106"/>
        <v>0.99640700000000004</v>
      </c>
      <c r="F3429" s="1">
        <f t="shared" si="107"/>
        <v>42240</v>
      </c>
      <c r="G3429" cm="1">
        <f t="array" ref="G3429">PRODUCT( _xlfn._xlws.FILTER($E:$E, ($C:$C=C3429)*($F:$F=F3429)) ) - 1</f>
        <v>1.2363675357968118E-2</v>
      </c>
    </row>
    <row r="3430" spans="1:7" x14ac:dyDescent="0.2">
      <c r="A3430" s="1">
        <v>42243</v>
      </c>
      <c r="B3430">
        <v>0</v>
      </c>
      <c r="C3430" t="s">
        <v>13</v>
      </c>
      <c r="D3430">
        <v>2.6214000000000001E-2</v>
      </c>
      <c r="E3430">
        <f t="shared" si="106"/>
        <v>1.026214</v>
      </c>
      <c r="F3430" s="1">
        <f t="shared" si="107"/>
        <v>42240</v>
      </c>
      <c r="G3430" cm="1">
        <f t="array" ref="G3430">PRODUCT( _xlfn._xlws.FILTER($E:$E, ($C:$C=C3430)*($F:$F=F3430)) ) - 1</f>
        <v>1.2363675357968118E-2</v>
      </c>
    </row>
    <row r="3431" spans="1:7" x14ac:dyDescent="0.2">
      <c r="A3431" s="1">
        <v>42244</v>
      </c>
      <c r="B3431">
        <v>0</v>
      </c>
      <c r="C3431" t="s">
        <v>13</v>
      </c>
      <c r="D3431">
        <v>-3.9189999999999997E-3</v>
      </c>
      <c r="E3431">
        <f t="shared" si="106"/>
        <v>0.99608099999999999</v>
      </c>
      <c r="F3431" s="1">
        <f t="shared" si="107"/>
        <v>42240</v>
      </c>
      <c r="G3431" cm="1">
        <f t="array" ref="G3431">PRODUCT( _xlfn._xlws.FILTER($E:$E, ($C:$C=C3431)*($F:$F=F3431)) ) - 1</f>
        <v>1.2363675357968118E-2</v>
      </c>
    </row>
    <row r="3432" spans="1:7" x14ac:dyDescent="0.2">
      <c r="A3432" s="1">
        <v>42247</v>
      </c>
      <c r="B3432">
        <v>0</v>
      </c>
      <c r="C3432" t="s">
        <v>13</v>
      </c>
      <c r="D3432">
        <v>-4.8849999999999996E-3</v>
      </c>
      <c r="E3432">
        <f t="shared" si="106"/>
        <v>0.99511499999999997</v>
      </c>
      <c r="F3432" s="1">
        <f t="shared" si="107"/>
        <v>42247</v>
      </c>
      <c r="G3432" cm="1">
        <f t="array" ref="G3432">PRODUCT( _xlfn._xlws.FILTER($E:$E, ($C:$C=C3432)*($F:$F=F3432)) ) - 1</f>
        <v>-3.8263513815860239E-2</v>
      </c>
    </row>
    <row r="3433" spans="1:7" x14ac:dyDescent="0.2">
      <c r="A3433" s="1">
        <v>42248</v>
      </c>
      <c r="B3433">
        <v>0</v>
      </c>
      <c r="C3433" t="s">
        <v>13</v>
      </c>
      <c r="D3433">
        <v>-2.7407000000000001E-2</v>
      </c>
      <c r="E3433">
        <f t="shared" si="106"/>
        <v>0.97259300000000004</v>
      </c>
      <c r="F3433" s="1">
        <f t="shared" si="107"/>
        <v>42247</v>
      </c>
      <c r="G3433" cm="1">
        <f t="array" ref="G3433">PRODUCT( _xlfn._xlws.FILTER($E:$E, ($C:$C=C3433)*($F:$F=F3433)) ) - 1</f>
        <v>-3.8263513815860239E-2</v>
      </c>
    </row>
    <row r="3434" spans="1:7" x14ac:dyDescent="0.2">
      <c r="A3434" s="1">
        <v>42249</v>
      </c>
      <c r="B3434">
        <v>0</v>
      </c>
      <c r="C3434" t="s">
        <v>13</v>
      </c>
      <c r="D3434">
        <v>0</v>
      </c>
      <c r="E3434">
        <f t="shared" si="106"/>
        <v>1</v>
      </c>
      <c r="F3434" s="1">
        <f t="shared" si="107"/>
        <v>42247</v>
      </c>
      <c r="G3434" cm="1">
        <f t="array" ref="G3434">PRODUCT( _xlfn._xlws.FILTER($E:$E, ($C:$C=C3434)*($F:$F=F3434)) ) - 1</f>
        <v>-3.8263513815860239E-2</v>
      </c>
    </row>
    <row r="3435" spans="1:7" x14ac:dyDescent="0.2">
      <c r="A3435" s="1">
        <v>42250</v>
      </c>
      <c r="B3435">
        <v>0</v>
      </c>
      <c r="C3435" t="s">
        <v>13</v>
      </c>
      <c r="D3435">
        <v>8.6920000000000001E-3</v>
      </c>
      <c r="E3435">
        <f t="shared" si="106"/>
        <v>1.0086919999999999</v>
      </c>
      <c r="F3435" s="1">
        <f t="shared" si="107"/>
        <v>42247</v>
      </c>
      <c r="G3435" cm="1">
        <f t="array" ref="G3435">PRODUCT( _xlfn._xlws.FILTER($E:$E, ($C:$C=C3435)*($F:$F=F3435)) ) - 1</f>
        <v>-3.8263513815860239E-2</v>
      </c>
    </row>
    <row r="3436" spans="1:7" x14ac:dyDescent="0.2">
      <c r="A3436" s="1">
        <v>42251</v>
      </c>
      <c r="B3436">
        <v>0</v>
      </c>
      <c r="C3436" t="s">
        <v>13</v>
      </c>
      <c r="D3436">
        <v>-1.4871000000000001E-2</v>
      </c>
      <c r="E3436">
        <f t="shared" si="106"/>
        <v>0.98512900000000003</v>
      </c>
      <c r="F3436" s="1">
        <f t="shared" si="107"/>
        <v>42247</v>
      </c>
      <c r="G3436" cm="1">
        <f t="array" ref="G3436">PRODUCT( _xlfn._xlws.FILTER($E:$E, ($C:$C=C3436)*($F:$F=F3436)) ) - 1</f>
        <v>-3.8263513815860239E-2</v>
      </c>
    </row>
    <row r="3437" spans="1:7" x14ac:dyDescent="0.2">
      <c r="A3437" s="1">
        <v>42255</v>
      </c>
      <c r="B3437">
        <v>0</v>
      </c>
      <c r="C3437" t="s">
        <v>13</v>
      </c>
      <c r="D3437">
        <v>2.1586000000000001E-2</v>
      </c>
      <c r="E3437">
        <f t="shared" si="106"/>
        <v>1.0215860000000001</v>
      </c>
      <c r="F3437" s="1">
        <f t="shared" si="107"/>
        <v>42254</v>
      </c>
      <c r="G3437" cm="1">
        <f t="array" ref="G3437">PRODUCT( _xlfn._xlws.FILTER($E:$E, ($C:$C=C3437)*($F:$F=F3437)) ) - 1</f>
        <v>2.1445536116375452E-2</v>
      </c>
    </row>
    <row r="3438" spans="1:7" x14ac:dyDescent="0.2">
      <c r="A3438" s="1">
        <v>42256</v>
      </c>
      <c r="B3438">
        <v>0</v>
      </c>
      <c r="C3438" t="s">
        <v>13</v>
      </c>
      <c r="D3438">
        <v>1.3799999999999999E-4</v>
      </c>
      <c r="E3438">
        <f t="shared" si="106"/>
        <v>1.000138</v>
      </c>
      <c r="F3438" s="1">
        <f t="shared" si="107"/>
        <v>42254</v>
      </c>
      <c r="G3438" cm="1">
        <f t="array" ref="G3438">PRODUCT( _xlfn._xlws.FILTER($E:$E, ($C:$C=C3438)*($F:$F=F3438)) ) - 1</f>
        <v>2.1445536116375452E-2</v>
      </c>
    </row>
    <row r="3439" spans="1:7" x14ac:dyDescent="0.2">
      <c r="A3439" s="1">
        <v>42257</v>
      </c>
      <c r="B3439">
        <v>0</v>
      </c>
      <c r="C3439" t="s">
        <v>13</v>
      </c>
      <c r="D3439">
        <v>-8.2799999999999996E-4</v>
      </c>
      <c r="E3439">
        <f t="shared" si="106"/>
        <v>0.99917199999999995</v>
      </c>
      <c r="F3439" s="1">
        <f t="shared" si="107"/>
        <v>42254</v>
      </c>
      <c r="G3439" cm="1">
        <f t="array" ref="G3439">PRODUCT( _xlfn._xlws.FILTER($E:$E, ($C:$C=C3439)*($F:$F=F3439)) ) - 1</f>
        <v>2.1445536116375452E-2</v>
      </c>
    </row>
    <row r="3440" spans="1:7" x14ac:dyDescent="0.2">
      <c r="A3440" s="1">
        <v>42258</v>
      </c>
      <c r="B3440">
        <v>0</v>
      </c>
      <c r="C3440" t="s">
        <v>13</v>
      </c>
      <c r="D3440">
        <v>5.53E-4</v>
      </c>
      <c r="E3440">
        <f t="shared" si="106"/>
        <v>1.000553</v>
      </c>
      <c r="F3440" s="1">
        <f t="shared" si="107"/>
        <v>42254</v>
      </c>
      <c r="G3440" cm="1">
        <f t="array" ref="G3440">PRODUCT( _xlfn._xlws.FILTER($E:$E, ($C:$C=C3440)*($F:$F=F3440)) ) - 1</f>
        <v>2.1445536116375452E-2</v>
      </c>
    </row>
    <row r="3441" spans="1:7" x14ac:dyDescent="0.2">
      <c r="A3441" s="1">
        <v>42261</v>
      </c>
      <c r="B3441">
        <v>0</v>
      </c>
      <c r="C3441" t="s">
        <v>13</v>
      </c>
      <c r="D3441">
        <v>2.7620000000000001E-3</v>
      </c>
      <c r="E3441">
        <f t="shared" si="106"/>
        <v>1.0027619999999999</v>
      </c>
      <c r="F3441" s="1">
        <f t="shared" si="107"/>
        <v>42261</v>
      </c>
      <c r="G3441" cm="1">
        <f t="array" ref="G3441">PRODUCT( _xlfn._xlws.FILTER($E:$E, ($C:$C=C3441)*($F:$F=F3441)) ) - 1</f>
        <v>1.3670529848841539E-4</v>
      </c>
    </row>
    <row r="3442" spans="1:7" x14ac:dyDescent="0.2">
      <c r="A3442" s="1">
        <v>42262</v>
      </c>
      <c r="B3442">
        <v>0</v>
      </c>
      <c r="C3442" t="s">
        <v>13</v>
      </c>
      <c r="D3442">
        <v>8.2640000000000005E-3</v>
      </c>
      <c r="E3442">
        <f t="shared" si="106"/>
        <v>1.008264</v>
      </c>
      <c r="F3442" s="1">
        <f t="shared" si="107"/>
        <v>42261</v>
      </c>
      <c r="G3442" cm="1">
        <f t="array" ref="G3442">PRODUCT( _xlfn._xlws.FILTER($E:$E, ($C:$C=C3442)*($F:$F=F3442)) ) - 1</f>
        <v>1.3670529848841539E-4</v>
      </c>
    </row>
    <row r="3443" spans="1:7" x14ac:dyDescent="0.2">
      <c r="A3443" s="1">
        <v>42263</v>
      </c>
      <c r="B3443">
        <v>0</v>
      </c>
      <c r="C3443" t="s">
        <v>13</v>
      </c>
      <c r="D3443">
        <v>1.7623E-2</v>
      </c>
      <c r="E3443">
        <f t="shared" si="106"/>
        <v>1.0176229999999999</v>
      </c>
      <c r="F3443" s="1">
        <f t="shared" si="107"/>
        <v>42261</v>
      </c>
      <c r="G3443" cm="1">
        <f t="array" ref="G3443">PRODUCT( _xlfn._xlws.FILTER($E:$E, ($C:$C=C3443)*($F:$F=F3443)) ) - 1</f>
        <v>1.3670529848841539E-4</v>
      </c>
    </row>
    <row r="3444" spans="1:7" x14ac:dyDescent="0.2">
      <c r="A3444" s="1">
        <v>42264</v>
      </c>
      <c r="B3444">
        <v>0</v>
      </c>
      <c r="C3444" t="s">
        <v>13</v>
      </c>
      <c r="D3444">
        <v>-6.9810000000000002E-3</v>
      </c>
      <c r="E3444">
        <f t="shared" si="106"/>
        <v>0.99301899999999999</v>
      </c>
      <c r="F3444" s="1">
        <f t="shared" si="107"/>
        <v>42261</v>
      </c>
      <c r="G3444" cm="1">
        <f t="array" ref="G3444">PRODUCT( _xlfn._xlws.FILTER($E:$E, ($C:$C=C3444)*($F:$F=F3444)) ) - 1</f>
        <v>1.3670529848841539E-4</v>
      </c>
    </row>
    <row r="3445" spans="1:7" x14ac:dyDescent="0.2">
      <c r="A3445" s="1">
        <v>42265</v>
      </c>
      <c r="B3445">
        <v>0</v>
      </c>
      <c r="C3445" t="s">
        <v>13</v>
      </c>
      <c r="D3445">
        <v>-2.1090000000000001E-2</v>
      </c>
      <c r="E3445">
        <f t="shared" si="106"/>
        <v>0.97890999999999995</v>
      </c>
      <c r="F3445" s="1">
        <f t="shared" si="107"/>
        <v>42261</v>
      </c>
      <c r="G3445" cm="1">
        <f t="array" ref="G3445">PRODUCT( _xlfn._xlws.FILTER($E:$E, ($C:$C=C3445)*($F:$F=F3445)) ) - 1</f>
        <v>1.3670529848841539E-4</v>
      </c>
    </row>
    <row r="3446" spans="1:7" x14ac:dyDescent="0.2">
      <c r="A3446" s="1">
        <v>42268</v>
      </c>
      <c r="B3446">
        <v>0</v>
      </c>
      <c r="C3446" t="s">
        <v>13</v>
      </c>
      <c r="D3446">
        <v>9.6670000000000002E-3</v>
      </c>
      <c r="E3446">
        <f t="shared" si="106"/>
        <v>1.0096670000000001</v>
      </c>
      <c r="F3446" s="1">
        <f t="shared" si="107"/>
        <v>42268</v>
      </c>
      <c r="G3446" cm="1">
        <f t="array" ref="G3446">PRODUCT( _xlfn._xlws.FILTER($E:$E, ($C:$C=C3446)*($F:$F=F3446)) ) - 1</f>
        <v>-6.9049797059178575E-3</v>
      </c>
    </row>
    <row r="3447" spans="1:7" x14ac:dyDescent="0.2">
      <c r="A3447" s="1">
        <v>42269</v>
      </c>
      <c r="B3447">
        <v>0</v>
      </c>
      <c r="C3447" t="s">
        <v>13</v>
      </c>
      <c r="D3447">
        <v>-1.6823999999999999E-2</v>
      </c>
      <c r="E3447">
        <f t="shared" si="106"/>
        <v>0.98317600000000005</v>
      </c>
      <c r="F3447" s="1">
        <f t="shared" si="107"/>
        <v>42268</v>
      </c>
      <c r="G3447" cm="1">
        <f t="array" ref="G3447">PRODUCT( _xlfn._xlws.FILTER($E:$E, ($C:$C=C3447)*($F:$F=F3447)) ) - 1</f>
        <v>-6.9049797059178575E-3</v>
      </c>
    </row>
    <row r="3448" spans="1:7" x14ac:dyDescent="0.2">
      <c r="A3448" s="1">
        <v>42270</v>
      </c>
      <c r="B3448">
        <v>0</v>
      </c>
      <c r="C3448" t="s">
        <v>13</v>
      </c>
      <c r="D3448">
        <v>-1.9480000000000001E-3</v>
      </c>
      <c r="E3448">
        <f t="shared" si="106"/>
        <v>0.99805200000000005</v>
      </c>
      <c r="F3448" s="1">
        <f t="shared" si="107"/>
        <v>42268</v>
      </c>
      <c r="G3448" cm="1">
        <f t="array" ref="G3448">PRODUCT( _xlfn._xlws.FILTER($E:$E, ($C:$C=C3448)*($F:$F=F3448)) ) - 1</f>
        <v>-6.9049797059178575E-3</v>
      </c>
    </row>
    <row r="3449" spans="1:7" x14ac:dyDescent="0.2">
      <c r="A3449" s="1">
        <v>42271</v>
      </c>
      <c r="B3449">
        <v>0</v>
      </c>
      <c r="C3449" t="s">
        <v>13</v>
      </c>
      <c r="D3449">
        <v>-5.4359999999999999E-3</v>
      </c>
      <c r="E3449">
        <f t="shared" si="106"/>
        <v>0.994564</v>
      </c>
      <c r="F3449" s="1">
        <f t="shared" si="107"/>
        <v>42268</v>
      </c>
      <c r="G3449" cm="1">
        <f t="array" ref="G3449">PRODUCT( _xlfn._xlws.FILTER($E:$E, ($C:$C=C3449)*($F:$F=F3449)) ) - 1</f>
        <v>-6.9049797059178575E-3</v>
      </c>
    </row>
    <row r="3450" spans="1:7" x14ac:dyDescent="0.2">
      <c r="A3450" s="1">
        <v>42272</v>
      </c>
      <c r="B3450">
        <v>0</v>
      </c>
      <c r="C3450" t="s">
        <v>13</v>
      </c>
      <c r="D3450">
        <v>7.8490000000000001E-3</v>
      </c>
      <c r="E3450">
        <f t="shared" si="106"/>
        <v>1.007849</v>
      </c>
      <c r="F3450" s="1">
        <f t="shared" si="107"/>
        <v>42268</v>
      </c>
      <c r="G3450" cm="1">
        <f t="array" ref="G3450">PRODUCT( _xlfn._xlws.FILTER($E:$E, ($C:$C=C3450)*($F:$F=F3450)) ) - 1</f>
        <v>-6.9049797059178575E-3</v>
      </c>
    </row>
    <row r="3451" spans="1:7" x14ac:dyDescent="0.2">
      <c r="A3451" s="1">
        <v>42275</v>
      </c>
      <c r="B3451">
        <v>0</v>
      </c>
      <c r="C3451" t="s">
        <v>13</v>
      </c>
      <c r="D3451">
        <v>-1.1958999999999999E-2</v>
      </c>
      <c r="E3451">
        <f t="shared" si="106"/>
        <v>0.98804099999999995</v>
      </c>
      <c r="F3451" s="1">
        <f t="shared" si="107"/>
        <v>42275</v>
      </c>
      <c r="G3451" cm="1">
        <f t="array" ref="G3451">PRODUCT( _xlfn._xlws.FILTER($E:$E, ($C:$C=C3451)*($F:$F=F3451)) ) - 1</f>
        <v>8.3522978406946891E-4</v>
      </c>
    </row>
    <row r="3452" spans="1:7" x14ac:dyDescent="0.2">
      <c r="A3452" s="1">
        <v>42276</v>
      </c>
      <c r="B3452">
        <v>0</v>
      </c>
      <c r="C3452" t="s">
        <v>13</v>
      </c>
      <c r="D3452">
        <v>1.3370999999999999E-2</v>
      </c>
      <c r="E3452">
        <f t="shared" si="106"/>
        <v>1.013371</v>
      </c>
      <c r="F3452" s="1">
        <f t="shared" si="107"/>
        <v>42275</v>
      </c>
      <c r="G3452" cm="1">
        <f t="array" ref="G3452">PRODUCT( _xlfn._xlws.FILTER($E:$E, ($C:$C=C3452)*($F:$F=F3452)) ) - 1</f>
        <v>8.3522978406946891E-4</v>
      </c>
    </row>
    <row r="3453" spans="1:7" x14ac:dyDescent="0.2">
      <c r="A3453" s="1">
        <v>42277</v>
      </c>
      <c r="B3453">
        <v>0</v>
      </c>
      <c r="C3453" t="s">
        <v>13</v>
      </c>
      <c r="D3453">
        <v>2.4861000000000001E-2</v>
      </c>
      <c r="E3453">
        <f t="shared" si="106"/>
        <v>1.024861</v>
      </c>
      <c r="F3453" s="1">
        <f t="shared" si="107"/>
        <v>42275</v>
      </c>
      <c r="G3453" cm="1">
        <f t="array" ref="G3453">PRODUCT( _xlfn._xlws.FILTER($E:$E, ($C:$C=C3453)*($F:$F=F3453)) ) - 1</f>
        <v>8.3522978406946891E-4</v>
      </c>
    </row>
    <row r="3454" spans="1:7" x14ac:dyDescent="0.2">
      <c r="A3454" s="1">
        <v>42278</v>
      </c>
      <c r="B3454">
        <v>0</v>
      </c>
      <c r="C3454" t="s">
        <v>13</v>
      </c>
      <c r="D3454">
        <v>-2.9810000000000001E-3</v>
      </c>
      <c r="E3454">
        <f t="shared" si="106"/>
        <v>0.99701899999999999</v>
      </c>
      <c r="F3454" s="1">
        <f t="shared" si="107"/>
        <v>42275</v>
      </c>
      <c r="G3454" cm="1">
        <f t="array" ref="G3454">PRODUCT( _xlfn._xlws.FILTER($E:$E, ($C:$C=C3454)*($F:$F=F3454)) ) - 1</f>
        <v>8.3522978406946891E-4</v>
      </c>
    </row>
    <row r="3455" spans="1:7" x14ac:dyDescent="0.2">
      <c r="A3455" s="1">
        <v>42279</v>
      </c>
      <c r="B3455">
        <v>0</v>
      </c>
      <c r="C3455" t="s">
        <v>13</v>
      </c>
      <c r="D3455">
        <v>-2.1748E-2</v>
      </c>
      <c r="E3455">
        <f t="shared" si="106"/>
        <v>0.97825200000000001</v>
      </c>
      <c r="F3455" s="1">
        <f t="shared" si="107"/>
        <v>42275</v>
      </c>
      <c r="G3455" cm="1">
        <f t="array" ref="G3455">PRODUCT( _xlfn._xlws.FILTER($E:$E, ($C:$C=C3455)*($F:$F=F3455)) ) - 1</f>
        <v>8.3522978406946891E-4</v>
      </c>
    </row>
    <row r="3456" spans="1:7" x14ac:dyDescent="0.2">
      <c r="A3456" s="1">
        <v>42282</v>
      </c>
      <c r="B3456">
        <v>0</v>
      </c>
      <c r="C3456" t="s">
        <v>13</v>
      </c>
      <c r="D3456">
        <v>7.7809999999999997E-3</v>
      </c>
      <c r="E3456">
        <f t="shared" si="106"/>
        <v>1.007781</v>
      </c>
      <c r="F3456" s="1">
        <f t="shared" si="107"/>
        <v>42282</v>
      </c>
      <c r="G3456" cm="1">
        <f t="array" ref="G3456">PRODUCT( _xlfn._xlws.FILTER($E:$E, ($C:$C=C3456)*($F:$F=F3456)) ) - 1</f>
        <v>2.6816745232927763E-2</v>
      </c>
    </row>
    <row r="3457" spans="1:7" x14ac:dyDescent="0.2">
      <c r="A3457" s="1">
        <v>42283</v>
      </c>
      <c r="B3457">
        <v>0</v>
      </c>
      <c r="C3457" t="s">
        <v>13</v>
      </c>
      <c r="D3457">
        <v>9.5130000000000006E-3</v>
      </c>
      <c r="E3457">
        <f t="shared" si="106"/>
        <v>1.0095130000000001</v>
      </c>
      <c r="F3457" s="1">
        <f t="shared" si="107"/>
        <v>42282</v>
      </c>
      <c r="G3457" cm="1">
        <f t="array" ref="G3457">PRODUCT( _xlfn._xlws.FILTER($E:$E, ($C:$C=C3457)*($F:$F=F3457)) ) - 1</f>
        <v>2.6816745232927763E-2</v>
      </c>
    </row>
    <row r="3458" spans="1:7" x14ac:dyDescent="0.2">
      <c r="A3458" s="1">
        <v>42284</v>
      </c>
      <c r="B3458">
        <v>0</v>
      </c>
      <c r="C3458" t="s">
        <v>13</v>
      </c>
      <c r="D3458">
        <v>1.1609E-2</v>
      </c>
      <c r="E3458">
        <f t="shared" si="106"/>
        <v>1.011609</v>
      </c>
      <c r="F3458" s="1">
        <f t="shared" si="107"/>
        <v>42282</v>
      </c>
      <c r="G3458" cm="1">
        <f t="array" ref="G3458">PRODUCT( _xlfn._xlws.FILTER($E:$E, ($C:$C=C3458)*($F:$F=F3458)) ) - 1</f>
        <v>2.6816745232927763E-2</v>
      </c>
    </row>
    <row r="3459" spans="1:7" x14ac:dyDescent="0.2">
      <c r="A3459" s="1">
        <v>42285</v>
      </c>
      <c r="B3459">
        <v>0</v>
      </c>
      <c r="C3459" t="s">
        <v>13</v>
      </c>
      <c r="D3459">
        <v>4.4549999999999998E-3</v>
      </c>
      <c r="E3459">
        <f t="shared" si="106"/>
        <v>1.0044550000000001</v>
      </c>
      <c r="F3459" s="1">
        <f t="shared" si="107"/>
        <v>42282</v>
      </c>
      <c r="G3459" cm="1">
        <f t="array" ref="G3459">PRODUCT( _xlfn._xlws.FILTER($E:$E, ($C:$C=C3459)*($F:$F=F3459)) ) - 1</f>
        <v>2.6816745232927763E-2</v>
      </c>
    </row>
    <row r="3460" spans="1:7" x14ac:dyDescent="0.2">
      <c r="A3460" s="1">
        <v>42286</v>
      </c>
      <c r="B3460">
        <v>0</v>
      </c>
      <c r="C3460" t="s">
        <v>13</v>
      </c>
      <c r="D3460">
        <v>-6.7200000000000003E-3</v>
      </c>
      <c r="E3460">
        <f t="shared" ref="E3460:E3523" si="108">D3460+1</f>
        <v>0.99328000000000005</v>
      </c>
      <c r="F3460" s="1">
        <f t="shared" ref="F3460:F3523" si="109">A3460 - (WEEKDAY(A3460, 2) - 1)</f>
        <v>42282</v>
      </c>
      <c r="G3460" cm="1">
        <f t="array" ref="G3460">PRODUCT( _xlfn._xlws.FILTER($E:$E, ($C:$C=C3460)*($F:$F=F3460)) ) - 1</f>
        <v>2.6816745232927763E-2</v>
      </c>
    </row>
    <row r="3461" spans="1:7" x14ac:dyDescent="0.2">
      <c r="A3461" s="1">
        <v>42290</v>
      </c>
      <c r="B3461">
        <v>0</v>
      </c>
      <c r="C3461" t="s">
        <v>13</v>
      </c>
      <c r="D3461">
        <v>-1.7589999999999999E-3</v>
      </c>
      <c r="E3461">
        <f t="shared" si="108"/>
        <v>0.99824100000000004</v>
      </c>
      <c r="F3461" s="1">
        <f t="shared" si="109"/>
        <v>42289</v>
      </c>
      <c r="G3461" cm="1">
        <f t="array" ref="G3461">PRODUCT( _xlfn._xlws.FILTER($E:$E, ($C:$C=C3461)*($F:$F=F3461)) ) - 1</f>
        <v>1.6241360065625265E-3</v>
      </c>
    </row>
    <row r="3462" spans="1:7" x14ac:dyDescent="0.2">
      <c r="A3462" s="1">
        <v>42291</v>
      </c>
      <c r="B3462">
        <v>0</v>
      </c>
      <c r="C3462" t="s">
        <v>13</v>
      </c>
      <c r="D3462">
        <v>-3.2529999999999998E-3</v>
      </c>
      <c r="E3462">
        <f t="shared" si="108"/>
        <v>0.99674700000000005</v>
      </c>
      <c r="F3462" s="1">
        <f t="shared" si="109"/>
        <v>42289</v>
      </c>
      <c r="G3462" cm="1">
        <f t="array" ref="G3462">PRODUCT( _xlfn._xlws.FILTER($E:$E, ($C:$C=C3462)*($F:$F=F3462)) ) - 1</f>
        <v>1.6241360065625265E-3</v>
      </c>
    </row>
    <row r="3463" spans="1:7" x14ac:dyDescent="0.2">
      <c r="A3463" s="1">
        <v>42292</v>
      </c>
      <c r="B3463">
        <v>0</v>
      </c>
      <c r="C3463" t="s">
        <v>13</v>
      </c>
      <c r="D3463">
        <v>-1.4959999999999999E-3</v>
      </c>
      <c r="E3463">
        <f t="shared" si="108"/>
        <v>0.99850399999999995</v>
      </c>
      <c r="F3463" s="1">
        <f t="shared" si="109"/>
        <v>42289</v>
      </c>
      <c r="G3463" cm="1">
        <f t="array" ref="G3463">PRODUCT( _xlfn._xlws.FILTER($E:$E, ($C:$C=C3463)*($F:$F=F3463)) ) - 1</f>
        <v>1.6241360065625265E-3</v>
      </c>
    </row>
    <row r="3464" spans="1:7" x14ac:dyDescent="0.2">
      <c r="A3464" s="1">
        <v>42293</v>
      </c>
      <c r="B3464">
        <v>0</v>
      </c>
      <c r="C3464" t="s">
        <v>13</v>
      </c>
      <c r="D3464">
        <v>8.1720000000000004E-3</v>
      </c>
      <c r="E3464">
        <f t="shared" si="108"/>
        <v>1.0081720000000001</v>
      </c>
      <c r="F3464" s="1">
        <f t="shared" si="109"/>
        <v>42289</v>
      </c>
      <c r="G3464" cm="1">
        <f t="array" ref="G3464">PRODUCT( _xlfn._xlws.FILTER($E:$E, ($C:$C=C3464)*($F:$F=F3464)) ) - 1</f>
        <v>1.6241360065625265E-3</v>
      </c>
    </row>
    <row r="3465" spans="1:7" x14ac:dyDescent="0.2">
      <c r="A3465" s="1">
        <v>42296</v>
      </c>
      <c r="B3465">
        <v>0</v>
      </c>
      <c r="C3465" t="s">
        <v>13</v>
      </c>
      <c r="D3465">
        <v>-6.3499999999999997E-3</v>
      </c>
      <c r="E3465">
        <f t="shared" si="108"/>
        <v>0.99365000000000003</v>
      </c>
      <c r="F3465" s="1">
        <f t="shared" si="109"/>
        <v>42296</v>
      </c>
      <c r="G3465" cm="1">
        <f t="array" ref="G3465">PRODUCT( _xlfn._xlws.FILTER($E:$E, ($C:$C=C3465)*($F:$F=F3465)) ) - 1</f>
        <v>2.1951461961071894E-2</v>
      </c>
    </row>
    <row r="3466" spans="1:7" x14ac:dyDescent="0.2">
      <c r="A3466" s="1">
        <v>42297</v>
      </c>
      <c r="B3466">
        <v>0</v>
      </c>
      <c r="C3466" t="s">
        <v>13</v>
      </c>
      <c r="D3466">
        <v>1.1421000000000001E-2</v>
      </c>
      <c r="E3466">
        <f t="shared" si="108"/>
        <v>1.0114209999999999</v>
      </c>
      <c r="F3466" s="1">
        <f t="shared" si="109"/>
        <v>42296</v>
      </c>
      <c r="G3466" cm="1">
        <f t="array" ref="G3466">PRODUCT( _xlfn._xlws.FILTER($E:$E, ($C:$C=C3466)*($F:$F=F3466)) ) - 1</f>
        <v>2.1951461961071894E-2</v>
      </c>
    </row>
    <row r="3467" spans="1:7" x14ac:dyDescent="0.2">
      <c r="A3467" s="1">
        <v>42298</v>
      </c>
      <c r="B3467">
        <v>0</v>
      </c>
      <c r="C3467" t="s">
        <v>13</v>
      </c>
      <c r="D3467">
        <v>2.2850000000000001E-3</v>
      </c>
      <c r="E3467">
        <f t="shared" si="108"/>
        <v>1.0022850000000001</v>
      </c>
      <c r="F3467" s="1">
        <f t="shared" si="109"/>
        <v>42296</v>
      </c>
      <c r="G3467" cm="1">
        <f t="array" ref="G3467">PRODUCT( _xlfn._xlws.FILTER($E:$E, ($C:$C=C3467)*($F:$F=F3467)) ) - 1</f>
        <v>2.1951461961071894E-2</v>
      </c>
    </row>
    <row r="3468" spans="1:7" x14ac:dyDescent="0.2">
      <c r="A3468" s="1">
        <v>42299</v>
      </c>
      <c r="B3468">
        <v>0</v>
      </c>
      <c r="C3468" t="s">
        <v>13</v>
      </c>
      <c r="D3468">
        <v>8.3149999999999995E-3</v>
      </c>
      <c r="E3468">
        <f t="shared" si="108"/>
        <v>1.0083150000000001</v>
      </c>
      <c r="F3468" s="1">
        <f t="shared" si="109"/>
        <v>42296</v>
      </c>
      <c r="G3468" cm="1">
        <f t="array" ref="G3468">PRODUCT( _xlfn._xlws.FILTER($E:$E, ($C:$C=C3468)*($F:$F=F3468)) ) - 1</f>
        <v>2.1951461961071894E-2</v>
      </c>
    </row>
    <row r="3469" spans="1:7" x14ac:dyDescent="0.2">
      <c r="A3469" s="1">
        <v>42300</v>
      </c>
      <c r="B3469">
        <v>0</v>
      </c>
      <c r="C3469" t="s">
        <v>13</v>
      </c>
      <c r="D3469">
        <v>6.1840000000000003E-3</v>
      </c>
      <c r="E3469">
        <f t="shared" si="108"/>
        <v>1.006184</v>
      </c>
      <c r="F3469" s="1">
        <f t="shared" si="109"/>
        <v>42296</v>
      </c>
      <c r="G3469" cm="1">
        <f t="array" ref="G3469">PRODUCT( _xlfn._xlws.FILTER($E:$E, ($C:$C=C3469)*($F:$F=F3469)) ) - 1</f>
        <v>2.1951461961071894E-2</v>
      </c>
    </row>
    <row r="3470" spans="1:7" x14ac:dyDescent="0.2">
      <c r="A3470" s="1">
        <v>42303</v>
      </c>
      <c r="B3470">
        <v>0</v>
      </c>
      <c r="C3470" t="s">
        <v>13</v>
      </c>
      <c r="D3470">
        <v>1.0690000000000001E-3</v>
      </c>
      <c r="E3470">
        <f t="shared" si="108"/>
        <v>1.001069</v>
      </c>
      <c r="F3470" s="1">
        <f t="shared" si="109"/>
        <v>42303</v>
      </c>
      <c r="G3470" cm="1">
        <f t="array" ref="G3470">PRODUCT( _xlfn._xlws.FILTER($E:$E, ($C:$C=C3470)*($F:$F=F3470)) ) - 1</f>
        <v>-1.0688058392080979E-3</v>
      </c>
    </row>
    <row r="3471" spans="1:7" x14ac:dyDescent="0.2">
      <c r="A3471" s="1">
        <v>42304</v>
      </c>
      <c r="B3471">
        <v>0</v>
      </c>
      <c r="C3471" t="s">
        <v>13</v>
      </c>
      <c r="D3471">
        <v>6.6730000000000001E-3</v>
      </c>
      <c r="E3471">
        <f t="shared" si="108"/>
        <v>1.0066729999999999</v>
      </c>
      <c r="F3471" s="1">
        <f t="shared" si="109"/>
        <v>42303</v>
      </c>
      <c r="G3471" cm="1">
        <f t="array" ref="G3471">PRODUCT( _xlfn._xlws.FILTER($E:$E, ($C:$C=C3471)*($F:$F=F3471)) ) - 1</f>
        <v>-1.0688058392080979E-3</v>
      </c>
    </row>
    <row r="3472" spans="1:7" x14ac:dyDescent="0.2">
      <c r="A3472" s="1">
        <v>42305</v>
      </c>
      <c r="B3472">
        <v>0</v>
      </c>
      <c r="C3472" t="s">
        <v>13</v>
      </c>
      <c r="D3472">
        <v>6.894E-3</v>
      </c>
      <c r="E3472">
        <f t="shared" si="108"/>
        <v>1.006894</v>
      </c>
      <c r="F3472" s="1">
        <f t="shared" si="109"/>
        <v>42303</v>
      </c>
      <c r="G3472" cm="1">
        <f t="array" ref="G3472">PRODUCT( _xlfn._xlws.FILTER($E:$E, ($C:$C=C3472)*($F:$F=F3472)) ) - 1</f>
        <v>-1.0688058392080979E-3</v>
      </c>
    </row>
    <row r="3473" spans="1:7" x14ac:dyDescent="0.2">
      <c r="A3473" s="1">
        <v>42306</v>
      </c>
      <c r="B3473">
        <v>0</v>
      </c>
      <c r="C3473" t="s">
        <v>13</v>
      </c>
      <c r="D3473">
        <v>6.9779999999999998E-3</v>
      </c>
      <c r="E3473">
        <f t="shared" si="108"/>
        <v>1.0069779999999999</v>
      </c>
      <c r="F3473" s="1">
        <f t="shared" si="109"/>
        <v>42303</v>
      </c>
      <c r="G3473" cm="1">
        <f t="array" ref="G3473">PRODUCT( _xlfn._xlws.FILTER($E:$E, ($C:$C=C3473)*($F:$F=F3473)) ) - 1</f>
        <v>-1.0688058392080979E-3</v>
      </c>
    </row>
    <row r="3474" spans="1:7" x14ac:dyDescent="0.2">
      <c r="A3474" s="1">
        <v>42307</v>
      </c>
      <c r="B3474">
        <v>0</v>
      </c>
      <c r="C3474" t="s">
        <v>13</v>
      </c>
      <c r="D3474">
        <v>-2.2359E-2</v>
      </c>
      <c r="E3474">
        <f t="shared" si="108"/>
        <v>0.97764099999999998</v>
      </c>
      <c r="F3474" s="1">
        <f t="shared" si="109"/>
        <v>42303</v>
      </c>
      <c r="G3474" cm="1">
        <f t="array" ref="G3474">PRODUCT( _xlfn._xlws.FILTER($E:$E, ($C:$C=C3474)*($F:$F=F3474)) ) - 1</f>
        <v>-1.0688058392080979E-3</v>
      </c>
    </row>
    <row r="3475" spans="1:7" x14ac:dyDescent="0.2">
      <c r="A3475" s="1">
        <v>42310</v>
      </c>
      <c r="B3475">
        <v>0</v>
      </c>
      <c r="C3475" t="s">
        <v>13</v>
      </c>
      <c r="D3475">
        <v>-1.872E-3</v>
      </c>
      <c r="E3475">
        <f t="shared" si="108"/>
        <v>0.99812800000000002</v>
      </c>
      <c r="F3475" s="1">
        <f t="shared" si="109"/>
        <v>42310</v>
      </c>
      <c r="G3475" cm="1">
        <f t="array" ref="G3475">PRODUCT( _xlfn._xlws.FILTER($E:$E, ($C:$C=C3475)*($F:$F=F3475)) ) - 1</f>
        <v>2.5143609020069846E-2</v>
      </c>
    </row>
    <row r="3476" spans="1:7" x14ac:dyDescent="0.2">
      <c r="A3476" s="1">
        <v>42311</v>
      </c>
      <c r="B3476">
        <v>0</v>
      </c>
      <c r="C3476" t="s">
        <v>13</v>
      </c>
      <c r="D3476">
        <v>1.5007E-2</v>
      </c>
      <c r="E3476">
        <f t="shared" si="108"/>
        <v>1.015007</v>
      </c>
      <c r="F3476" s="1">
        <f t="shared" si="109"/>
        <v>42310</v>
      </c>
      <c r="G3476" cm="1">
        <f t="array" ref="G3476">PRODUCT( _xlfn._xlws.FILTER($E:$E, ($C:$C=C3476)*($F:$F=F3476)) ) - 1</f>
        <v>2.5143609020069846E-2</v>
      </c>
    </row>
    <row r="3477" spans="1:7" x14ac:dyDescent="0.2">
      <c r="A3477" s="1">
        <v>42312</v>
      </c>
      <c r="B3477">
        <v>0</v>
      </c>
      <c r="C3477" t="s">
        <v>13</v>
      </c>
      <c r="D3477">
        <v>1.32E-3</v>
      </c>
      <c r="E3477">
        <f t="shared" si="108"/>
        <v>1.00132</v>
      </c>
      <c r="F3477" s="1">
        <f t="shared" si="109"/>
        <v>42310</v>
      </c>
      <c r="G3477" cm="1">
        <f t="array" ref="G3477">PRODUCT( _xlfn._xlws.FILTER($E:$E, ($C:$C=C3477)*($F:$F=F3477)) ) - 1</f>
        <v>2.5143609020069846E-2</v>
      </c>
    </row>
    <row r="3478" spans="1:7" x14ac:dyDescent="0.2">
      <c r="A3478" s="1">
        <v>42313</v>
      </c>
      <c r="B3478">
        <v>0</v>
      </c>
      <c r="C3478" t="s">
        <v>13</v>
      </c>
      <c r="D3478">
        <v>8.9650000000000007E-3</v>
      </c>
      <c r="E3478">
        <f t="shared" si="108"/>
        <v>1.0089649999999999</v>
      </c>
      <c r="F3478" s="1">
        <f t="shared" si="109"/>
        <v>42310</v>
      </c>
      <c r="G3478" cm="1">
        <f t="array" ref="G3478">PRODUCT( _xlfn._xlws.FILTER($E:$E, ($C:$C=C3478)*($F:$F=F3478)) ) - 1</f>
        <v>2.5143609020069846E-2</v>
      </c>
    </row>
    <row r="3479" spans="1:7" x14ac:dyDescent="0.2">
      <c r="A3479" s="1">
        <v>42314</v>
      </c>
      <c r="B3479">
        <v>0</v>
      </c>
      <c r="C3479" t="s">
        <v>13</v>
      </c>
      <c r="D3479">
        <v>1.5679999999999999E-3</v>
      </c>
      <c r="E3479">
        <f t="shared" si="108"/>
        <v>1.001568</v>
      </c>
      <c r="F3479" s="1">
        <f t="shared" si="109"/>
        <v>42310</v>
      </c>
      <c r="G3479" cm="1">
        <f t="array" ref="G3479">PRODUCT( _xlfn._xlws.FILTER($E:$E, ($C:$C=C3479)*($F:$F=F3479)) ) - 1</f>
        <v>2.5143609020069846E-2</v>
      </c>
    </row>
    <row r="3480" spans="1:7" x14ac:dyDescent="0.2">
      <c r="A3480" s="1">
        <v>42317</v>
      </c>
      <c r="B3480">
        <v>0</v>
      </c>
      <c r="C3480" t="s">
        <v>13</v>
      </c>
      <c r="D3480">
        <v>-7.6969999999999998E-3</v>
      </c>
      <c r="E3480">
        <f t="shared" si="108"/>
        <v>0.99230300000000005</v>
      </c>
      <c r="F3480" s="1">
        <f t="shared" si="109"/>
        <v>42317</v>
      </c>
      <c r="G3480" cm="1">
        <f t="array" ref="G3480">PRODUCT( _xlfn._xlws.FILTER($E:$E, ($C:$C=C3480)*($F:$F=F3480)) ) - 1</f>
        <v>-3.5354459391434778E-2</v>
      </c>
    </row>
    <row r="3481" spans="1:7" x14ac:dyDescent="0.2">
      <c r="A3481" s="1">
        <v>42318</v>
      </c>
      <c r="B3481">
        <v>0</v>
      </c>
      <c r="C3481" t="s">
        <v>13</v>
      </c>
      <c r="D3481">
        <v>-1.3100000000000001E-4</v>
      </c>
      <c r="E3481">
        <f t="shared" si="108"/>
        <v>0.99986900000000001</v>
      </c>
      <c r="F3481" s="1">
        <f t="shared" si="109"/>
        <v>42317</v>
      </c>
      <c r="G3481" cm="1">
        <f t="array" ref="G3481">PRODUCT( _xlfn._xlws.FILTER($E:$E, ($C:$C=C3481)*($F:$F=F3481)) ) - 1</f>
        <v>-3.5354459391434778E-2</v>
      </c>
    </row>
    <row r="3482" spans="1:7" x14ac:dyDescent="0.2">
      <c r="A3482" s="1">
        <v>42319</v>
      </c>
      <c r="B3482">
        <v>0</v>
      </c>
      <c r="C3482" t="s">
        <v>13</v>
      </c>
      <c r="D3482">
        <v>-9.2000000000000003E-4</v>
      </c>
      <c r="E3482">
        <f t="shared" si="108"/>
        <v>0.99907999999999997</v>
      </c>
      <c r="F3482" s="1">
        <f t="shared" si="109"/>
        <v>42317</v>
      </c>
      <c r="G3482" cm="1">
        <f t="array" ref="G3482">PRODUCT( _xlfn._xlws.FILTER($E:$E, ($C:$C=C3482)*($F:$F=F3482)) ) - 1</f>
        <v>-3.5354459391434778E-2</v>
      </c>
    </row>
    <row r="3483" spans="1:7" x14ac:dyDescent="0.2">
      <c r="A3483" s="1">
        <v>42320</v>
      </c>
      <c r="B3483">
        <v>0</v>
      </c>
      <c r="C3483" t="s">
        <v>13</v>
      </c>
      <c r="D3483">
        <v>-1.3424999999999999E-2</v>
      </c>
      <c r="E3483">
        <f t="shared" si="108"/>
        <v>0.98657499999999998</v>
      </c>
      <c r="F3483" s="1">
        <f t="shared" si="109"/>
        <v>42317</v>
      </c>
      <c r="G3483" cm="1">
        <f t="array" ref="G3483">PRODUCT( _xlfn._xlws.FILTER($E:$E, ($C:$C=C3483)*($F:$F=F3483)) ) - 1</f>
        <v>-3.5354459391434778E-2</v>
      </c>
    </row>
    <row r="3484" spans="1:7" x14ac:dyDescent="0.2">
      <c r="A3484" s="1">
        <v>42321</v>
      </c>
      <c r="B3484">
        <v>0</v>
      </c>
      <c r="C3484" t="s">
        <v>13</v>
      </c>
      <c r="D3484">
        <v>-1.3606999999999999E-2</v>
      </c>
      <c r="E3484">
        <f t="shared" si="108"/>
        <v>0.98639299999999996</v>
      </c>
      <c r="F3484" s="1">
        <f t="shared" si="109"/>
        <v>42317</v>
      </c>
      <c r="G3484" cm="1">
        <f t="array" ref="G3484">PRODUCT( _xlfn._xlws.FILTER($E:$E, ($C:$C=C3484)*($F:$F=F3484)) ) - 1</f>
        <v>-3.5354459391434778E-2</v>
      </c>
    </row>
    <row r="3485" spans="1:7" x14ac:dyDescent="0.2">
      <c r="A3485" s="1">
        <v>42324</v>
      </c>
      <c r="B3485">
        <v>0</v>
      </c>
      <c r="C3485" t="s">
        <v>13</v>
      </c>
      <c r="D3485">
        <v>1.7311E-2</v>
      </c>
      <c r="E3485">
        <f t="shared" si="108"/>
        <v>1.0173110000000001</v>
      </c>
      <c r="F3485" s="1">
        <f t="shared" si="109"/>
        <v>42324</v>
      </c>
      <c r="G3485" cm="1">
        <f t="array" ref="G3485">PRODUCT( _xlfn._xlws.FILTER($E:$E, ($C:$C=C3485)*($F:$F=F3485)) ) - 1</f>
        <v>2.8805837676016299E-2</v>
      </c>
    </row>
    <row r="3486" spans="1:7" x14ac:dyDescent="0.2">
      <c r="A3486" s="1">
        <v>42325</v>
      </c>
      <c r="B3486">
        <v>0</v>
      </c>
      <c r="C3486" t="s">
        <v>13</v>
      </c>
      <c r="D3486">
        <v>3.5890000000000002E-3</v>
      </c>
      <c r="E3486">
        <f t="shared" si="108"/>
        <v>1.0035890000000001</v>
      </c>
      <c r="F3486" s="1">
        <f t="shared" si="109"/>
        <v>42324</v>
      </c>
      <c r="G3486" cm="1">
        <f t="array" ref="G3486">PRODUCT( _xlfn._xlws.FILTER($E:$E, ($C:$C=C3486)*($F:$F=F3486)) ) - 1</f>
        <v>2.8805837676016299E-2</v>
      </c>
    </row>
    <row r="3487" spans="1:7" x14ac:dyDescent="0.2">
      <c r="A3487" s="1">
        <v>42326</v>
      </c>
      <c r="B3487">
        <v>0</v>
      </c>
      <c r="C3487" t="s">
        <v>13</v>
      </c>
      <c r="D3487">
        <v>1.3200000000000001E-4</v>
      </c>
      <c r="E3487">
        <f t="shared" si="108"/>
        <v>1.000132</v>
      </c>
      <c r="F3487" s="1">
        <f t="shared" si="109"/>
        <v>42324</v>
      </c>
      <c r="G3487" cm="1">
        <f t="array" ref="G3487">PRODUCT( _xlfn._xlws.FILTER($E:$E, ($C:$C=C3487)*($F:$F=F3487)) ) - 1</f>
        <v>2.8805837676016299E-2</v>
      </c>
    </row>
    <row r="3488" spans="1:7" x14ac:dyDescent="0.2">
      <c r="A3488" s="1">
        <v>42327</v>
      </c>
      <c r="B3488">
        <v>0</v>
      </c>
      <c r="C3488" t="s">
        <v>13</v>
      </c>
      <c r="D3488">
        <v>8.7419999999999998E-3</v>
      </c>
      <c r="E3488">
        <f t="shared" si="108"/>
        <v>1.008742</v>
      </c>
      <c r="F3488" s="1">
        <f t="shared" si="109"/>
        <v>42324</v>
      </c>
      <c r="G3488" cm="1">
        <f t="array" ref="G3488">PRODUCT( _xlfn._xlws.FILTER($E:$E, ($C:$C=C3488)*($F:$F=F3488)) ) - 1</f>
        <v>2.8805837676016299E-2</v>
      </c>
    </row>
    <row r="3489" spans="1:7" x14ac:dyDescent="0.2">
      <c r="A3489" s="1">
        <v>42328</v>
      </c>
      <c r="B3489">
        <v>0</v>
      </c>
      <c r="C3489" t="s">
        <v>13</v>
      </c>
      <c r="D3489">
        <v>-1.1820000000000001E-3</v>
      </c>
      <c r="E3489">
        <f t="shared" si="108"/>
        <v>0.99881799999999998</v>
      </c>
      <c r="F3489" s="1">
        <f t="shared" si="109"/>
        <v>42324</v>
      </c>
      <c r="G3489" cm="1">
        <f t="array" ref="G3489">PRODUCT( _xlfn._xlws.FILTER($E:$E, ($C:$C=C3489)*($F:$F=F3489)) ) - 1</f>
        <v>2.8805837676016299E-2</v>
      </c>
    </row>
    <row r="3490" spans="1:7" x14ac:dyDescent="0.2">
      <c r="A3490" s="1">
        <v>42331</v>
      </c>
      <c r="B3490">
        <v>0</v>
      </c>
      <c r="C3490" t="s">
        <v>13</v>
      </c>
      <c r="D3490">
        <v>-7.6249999999999998E-3</v>
      </c>
      <c r="E3490">
        <f t="shared" si="108"/>
        <v>0.99237500000000001</v>
      </c>
      <c r="F3490" s="1">
        <f t="shared" si="109"/>
        <v>42331</v>
      </c>
      <c r="G3490" cm="1">
        <f t="array" ref="G3490">PRODUCT( _xlfn._xlws.FILTER($E:$E, ($C:$C=C3490)*($F:$F=F3490)) ) - 1</f>
        <v>-1.0780595292052442E-2</v>
      </c>
    </row>
    <row r="3491" spans="1:7" x14ac:dyDescent="0.2">
      <c r="A3491" s="1">
        <v>42332</v>
      </c>
      <c r="B3491">
        <v>0</v>
      </c>
      <c r="C3491" t="s">
        <v>13</v>
      </c>
      <c r="D3491">
        <v>-3.0469999999999998E-3</v>
      </c>
      <c r="E3491">
        <f t="shared" si="108"/>
        <v>0.99695299999999998</v>
      </c>
      <c r="F3491" s="1">
        <f t="shared" si="109"/>
        <v>42331</v>
      </c>
      <c r="G3491" cm="1">
        <f t="array" ref="G3491">PRODUCT( _xlfn._xlws.FILTER($E:$E, ($C:$C=C3491)*($F:$F=F3491)) ) - 1</f>
        <v>-1.0780595292052442E-2</v>
      </c>
    </row>
    <row r="3492" spans="1:7" x14ac:dyDescent="0.2">
      <c r="A3492" s="1">
        <v>42333</v>
      </c>
      <c r="B3492">
        <v>0</v>
      </c>
      <c r="C3492" t="s">
        <v>13</v>
      </c>
      <c r="D3492">
        <v>-3.9899999999999999E-4</v>
      </c>
      <c r="E3492">
        <f t="shared" si="108"/>
        <v>0.99960099999999996</v>
      </c>
      <c r="F3492" s="1">
        <f t="shared" si="109"/>
        <v>42331</v>
      </c>
      <c r="G3492" cm="1">
        <f t="array" ref="G3492">PRODUCT( _xlfn._xlws.FILTER($E:$E, ($C:$C=C3492)*($F:$F=F3492)) ) - 1</f>
        <v>-1.0780595292052442E-2</v>
      </c>
    </row>
    <row r="3493" spans="1:7" x14ac:dyDescent="0.2">
      <c r="A3493" s="1">
        <v>42334</v>
      </c>
      <c r="B3493">
        <v>0</v>
      </c>
      <c r="C3493" t="s">
        <v>13</v>
      </c>
      <c r="D3493">
        <v>5.3200000000000003E-4</v>
      </c>
      <c r="E3493">
        <f t="shared" si="108"/>
        <v>1.000532</v>
      </c>
      <c r="F3493" s="1">
        <f t="shared" si="109"/>
        <v>42331</v>
      </c>
      <c r="G3493" cm="1">
        <f t="array" ref="G3493">PRODUCT( _xlfn._xlws.FILTER($E:$E, ($C:$C=C3493)*($F:$F=F3493)) ) - 1</f>
        <v>-1.0780595292052442E-2</v>
      </c>
    </row>
    <row r="3494" spans="1:7" x14ac:dyDescent="0.2">
      <c r="A3494" s="1">
        <v>42335</v>
      </c>
      <c r="B3494">
        <v>0</v>
      </c>
      <c r="C3494" t="s">
        <v>13</v>
      </c>
      <c r="D3494">
        <v>-2.6600000000000001E-4</v>
      </c>
      <c r="E3494">
        <f t="shared" si="108"/>
        <v>0.99973400000000001</v>
      </c>
      <c r="F3494" s="1">
        <f t="shared" si="109"/>
        <v>42331</v>
      </c>
      <c r="G3494" cm="1">
        <f t="array" ref="G3494">PRODUCT( _xlfn._xlws.FILTER($E:$E, ($C:$C=C3494)*($F:$F=F3494)) ) - 1</f>
        <v>-1.0780595292052442E-2</v>
      </c>
    </row>
    <row r="3495" spans="1:7" x14ac:dyDescent="0.2">
      <c r="A3495" s="1">
        <v>42338</v>
      </c>
      <c r="B3495">
        <v>0</v>
      </c>
      <c r="C3495" t="s">
        <v>13</v>
      </c>
      <c r="D3495">
        <v>1.103E-2</v>
      </c>
      <c r="E3495">
        <f t="shared" si="108"/>
        <v>1.0110300000000001</v>
      </c>
      <c r="F3495" s="1">
        <f t="shared" si="109"/>
        <v>42338</v>
      </c>
      <c r="G3495" cm="1">
        <f t="array" ref="G3495">PRODUCT( _xlfn._xlws.FILTER($E:$E, ($C:$C=C3495)*($F:$F=F3495)) ) - 1</f>
        <v>1.7806753130289232E-2</v>
      </c>
    </row>
    <row r="3496" spans="1:7" x14ac:dyDescent="0.2">
      <c r="A3496" s="1">
        <v>42339</v>
      </c>
      <c r="B3496">
        <v>0</v>
      </c>
      <c r="C3496" t="s">
        <v>13</v>
      </c>
      <c r="D3496">
        <v>1.0515E-2</v>
      </c>
      <c r="E3496">
        <f t="shared" si="108"/>
        <v>1.0105150000000001</v>
      </c>
      <c r="F3496" s="1">
        <f t="shared" si="109"/>
        <v>42338</v>
      </c>
      <c r="G3496" cm="1">
        <f t="array" ref="G3496">PRODUCT( _xlfn._xlws.FILTER($E:$E, ($C:$C=C3496)*($F:$F=F3496)) ) - 1</f>
        <v>1.7806753130289232E-2</v>
      </c>
    </row>
    <row r="3497" spans="1:7" x14ac:dyDescent="0.2">
      <c r="A3497" s="1">
        <v>42340</v>
      </c>
      <c r="B3497">
        <v>0</v>
      </c>
      <c r="C3497" t="s">
        <v>13</v>
      </c>
      <c r="D3497">
        <v>-1.2999999999999999E-4</v>
      </c>
      <c r="E3497">
        <f t="shared" si="108"/>
        <v>0.99987000000000004</v>
      </c>
      <c r="F3497" s="1">
        <f t="shared" si="109"/>
        <v>42338</v>
      </c>
      <c r="G3497" cm="1">
        <f t="array" ref="G3497">PRODUCT( _xlfn._xlws.FILTER($E:$E, ($C:$C=C3497)*($F:$F=F3497)) ) - 1</f>
        <v>1.7806753130289232E-2</v>
      </c>
    </row>
    <row r="3498" spans="1:7" x14ac:dyDescent="0.2">
      <c r="A3498" s="1">
        <v>42341</v>
      </c>
      <c r="B3498">
        <v>0</v>
      </c>
      <c r="C3498" t="s">
        <v>13</v>
      </c>
      <c r="D3498">
        <v>-6.6350000000000003E-3</v>
      </c>
      <c r="E3498">
        <f t="shared" si="108"/>
        <v>0.99336500000000005</v>
      </c>
      <c r="F3498" s="1">
        <f t="shared" si="109"/>
        <v>42338</v>
      </c>
      <c r="G3498" cm="1">
        <f t="array" ref="G3498">PRODUCT( _xlfn._xlws.FILTER($E:$E, ($C:$C=C3498)*($F:$F=F3498)) ) - 1</f>
        <v>1.7806753130289232E-2</v>
      </c>
    </row>
    <row r="3499" spans="1:7" x14ac:dyDescent="0.2">
      <c r="A3499" s="1">
        <v>42342</v>
      </c>
      <c r="B3499">
        <v>0</v>
      </c>
      <c r="C3499" t="s">
        <v>13</v>
      </c>
      <c r="D3499">
        <v>3.0119999999999999E-3</v>
      </c>
      <c r="E3499">
        <f t="shared" si="108"/>
        <v>1.003012</v>
      </c>
      <c r="F3499" s="1">
        <f t="shared" si="109"/>
        <v>42338</v>
      </c>
      <c r="G3499" cm="1">
        <f t="array" ref="G3499">PRODUCT( _xlfn._xlws.FILTER($E:$E, ($C:$C=C3499)*($F:$F=F3499)) ) - 1</f>
        <v>1.7806753130289232E-2</v>
      </c>
    </row>
    <row r="3500" spans="1:7" x14ac:dyDescent="0.2">
      <c r="A3500" s="1">
        <v>42345</v>
      </c>
      <c r="B3500">
        <v>0</v>
      </c>
      <c r="C3500" t="s">
        <v>13</v>
      </c>
      <c r="D3500">
        <v>-1.5407000000000001E-2</v>
      </c>
      <c r="E3500">
        <f t="shared" si="108"/>
        <v>0.98459300000000005</v>
      </c>
      <c r="F3500" s="1">
        <f t="shared" si="109"/>
        <v>42345</v>
      </c>
      <c r="G3500" cm="1">
        <f t="array" ref="G3500">PRODUCT( _xlfn._xlws.FILTER($E:$E, ($C:$C=C3500)*($F:$F=F3500)) ) - 1</f>
        <v>-4.7004494777419525E-2</v>
      </c>
    </row>
    <row r="3501" spans="1:7" x14ac:dyDescent="0.2">
      <c r="A3501" s="1">
        <v>42346</v>
      </c>
      <c r="B3501">
        <v>0</v>
      </c>
      <c r="C3501" t="s">
        <v>13</v>
      </c>
      <c r="D3501">
        <v>-1.472E-2</v>
      </c>
      <c r="E3501">
        <f t="shared" si="108"/>
        <v>0.98528000000000004</v>
      </c>
      <c r="F3501" s="1">
        <f t="shared" si="109"/>
        <v>42345</v>
      </c>
      <c r="G3501" cm="1">
        <f t="array" ref="G3501">PRODUCT( _xlfn._xlws.FILTER($E:$E, ($C:$C=C3501)*($F:$F=F3501)) ) - 1</f>
        <v>-4.7004494777419525E-2</v>
      </c>
    </row>
    <row r="3502" spans="1:7" x14ac:dyDescent="0.2">
      <c r="A3502" s="1">
        <v>42347</v>
      </c>
      <c r="B3502">
        <v>0</v>
      </c>
      <c r="C3502" t="s">
        <v>13</v>
      </c>
      <c r="D3502">
        <v>3.3649999999999999E-3</v>
      </c>
      <c r="E3502">
        <f t="shared" si="108"/>
        <v>1.0033650000000001</v>
      </c>
      <c r="F3502" s="1">
        <f t="shared" si="109"/>
        <v>42345</v>
      </c>
      <c r="G3502" cm="1">
        <f t="array" ref="G3502">PRODUCT( _xlfn._xlws.FILTER($E:$E, ($C:$C=C3502)*($F:$F=F3502)) ) - 1</f>
        <v>-4.7004494777419525E-2</v>
      </c>
    </row>
    <row r="3503" spans="1:7" x14ac:dyDescent="0.2">
      <c r="A3503" s="1">
        <v>42348</v>
      </c>
      <c r="B3503">
        <v>0</v>
      </c>
      <c r="C3503" t="s">
        <v>13</v>
      </c>
      <c r="D3503">
        <v>-5.3660000000000001E-3</v>
      </c>
      <c r="E3503">
        <f t="shared" si="108"/>
        <v>0.99463400000000002</v>
      </c>
      <c r="F3503" s="1">
        <f t="shared" si="109"/>
        <v>42345</v>
      </c>
      <c r="G3503" cm="1">
        <f t="array" ref="G3503">PRODUCT( _xlfn._xlws.FILTER($E:$E, ($C:$C=C3503)*($F:$F=F3503)) ) - 1</f>
        <v>-4.7004494777419525E-2</v>
      </c>
    </row>
    <row r="3504" spans="1:7" x14ac:dyDescent="0.2">
      <c r="A3504" s="1">
        <v>42349</v>
      </c>
      <c r="B3504">
        <v>0</v>
      </c>
      <c r="C3504" t="s">
        <v>13</v>
      </c>
      <c r="D3504">
        <v>-1.5644000000000002E-2</v>
      </c>
      <c r="E3504">
        <f t="shared" si="108"/>
        <v>0.98435600000000001</v>
      </c>
      <c r="F3504" s="1">
        <f t="shared" si="109"/>
        <v>42345</v>
      </c>
      <c r="G3504" cm="1">
        <f t="array" ref="G3504">PRODUCT( _xlfn._xlws.FILTER($E:$E, ($C:$C=C3504)*($F:$F=F3504)) ) - 1</f>
        <v>-4.7004494777419525E-2</v>
      </c>
    </row>
    <row r="3505" spans="1:7" x14ac:dyDescent="0.2">
      <c r="A3505" s="1">
        <v>42352</v>
      </c>
      <c r="B3505">
        <v>0</v>
      </c>
      <c r="C3505" t="s">
        <v>13</v>
      </c>
      <c r="D3505">
        <v>-7.3980000000000001E-3</v>
      </c>
      <c r="E3505">
        <f t="shared" si="108"/>
        <v>0.99260199999999998</v>
      </c>
      <c r="F3505" s="1">
        <f t="shared" si="109"/>
        <v>42352</v>
      </c>
      <c r="G3505" cm="1">
        <f t="array" ref="G3505">PRODUCT( _xlfn._xlws.FILTER($E:$E, ($C:$C=C3505)*($F:$F=F3505)) ) - 1</f>
        <v>1.7263005715626667E-2</v>
      </c>
    </row>
    <row r="3506" spans="1:7" x14ac:dyDescent="0.2">
      <c r="A3506" s="1">
        <v>42353</v>
      </c>
      <c r="B3506">
        <v>0</v>
      </c>
      <c r="C3506" t="s">
        <v>13</v>
      </c>
      <c r="D3506">
        <v>1.6563000000000001E-2</v>
      </c>
      <c r="E3506">
        <f t="shared" si="108"/>
        <v>1.0165630000000001</v>
      </c>
      <c r="F3506" s="1">
        <f t="shared" si="109"/>
        <v>42352</v>
      </c>
      <c r="G3506" cm="1">
        <f t="array" ref="G3506">PRODUCT( _xlfn._xlws.FILTER($E:$E, ($C:$C=C3506)*($F:$F=F3506)) ) - 1</f>
        <v>1.7263005715626667E-2</v>
      </c>
    </row>
    <row r="3507" spans="1:7" x14ac:dyDescent="0.2">
      <c r="A3507" s="1">
        <v>42354</v>
      </c>
      <c r="B3507">
        <v>0</v>
      </c>
      <c r="C3507" t="s">
        <v>13</v>
      </c>
      <c r="D3507">
        <v>1.9009000000000002E-2</v>
      </c>
      <c r="E3507">
        <f t="shared" si="108"/>
        <v>1.0190090000000001</v>
      </c>
      <c r="F3507" s="1">
        <f t="shared" si="109"/>
        <v>42352</v>
      </c>
      <c r="G3507" cm="1">
        <f t="array" ref="G3507">PRODUCT( _xlfn._xlws.FILTER($E:$E, ($C:$C=C3507)*($F:$F=F3507)) ) - 1</f>
        <v>1.7263005715626667E-2</v>
      </c>
    </row>
    <row r="3508" spans="1:7" x14ac:dyDescent="0.2">
      <c r="A3508" s="1">
        <v>42355</v>
      </c>
      <c r="B3508">
        <v>0</v>
      </c>
      <c r="C3508" t="s">
        <v>13</v>
      </c>
      <c r="D3508">
        <v>-1.4660000000000001E-3</v>
      </c>
      <c r="E3508">
        <f t="shared" si="108"/>
        <v>0.99853400000000003</v>
      </c>
      <c r="F3508" s="1">
        <f t="shared" si="109"/>
        <v>42352</v>
      </c>
      <c r="G3508" cm="1">
        <f t="array" ref="G3508">PRODUCT( _xlfn._xlws.FILTER($E:$E, ($C:$C=C3508)*($F:$F=F3508)) ) - 1</f>
        <v>1.7263005715626667E-2</v>
      </c>
    </row>
    <row r="3509" spans="1:7" x14ac:dyDescent="0.2">
      <c r="A3509" s="1">
        <v>42356</v>
      </c>
      <c r="B3509">
        <v>0</v>
      </c>
      <c r="C3509" t="s">
        <v>13</v>
      </c>
      <c r="D3509">
        <v>-9.2069999999999999E-3</v>
      </c>
      <c r="E3509">
        <f t="shared" si="108"/>
        <v>0.99079300000000003</v>
      </c>
      <c r="F3509" s="1">
        <f t="shared" si="109"/>
        <v>42352</v>
      </c>
      <c r="G3509" cm="1">
        <f t="array" ref="G3509">PRODUCT( _xlfn._xlws.FILTER($E:$E, ($C:$C=C3509)*($F:$F=F3509)) ) - 1</f>
        <v>1.7263005715626667E-2</v>
      </c>
    </row>
    <row r="3510" spans="1:7" x14ac:dyDescent="0.2">
      <c r="A3510" s="1">
        <v>42359</v>
      </c>
      <c r="B3510">
        <v>0</v>
      </c>
      <c r="C3510" t="s">
        <v>13</v>
      </c>
      <c r="D3510">
        <v>4.0400000000000002E-3</v>
      </c>
      <c r="E3510">
        <f t="shared" si="108"/>
        <v>1.00404</v>
      </c>
      <c r="F3510" s="1">
        <f t="shared" si="109"/>
        <v>42359</v>
      </c>
      <c r="G3510" cm="1">
        <f t="array" ref="G3510">PRODUCT( _xlfn._xlws.FILTER($E:$E, ($C:$C=C3510)*($F:$F=F3510)) ) - 1</f>
        <v>1.871997990724994E-2</v>
      </c>
    </row>
    <row r="3511" spans="1:7" x14ac:dyDescent="0.2">
      <c r="A3511" s="1">
        <v>42360</v>
      </c>
      <c r="B3511">
        <v>0</v>
      </c>
      <c r="C3511" t="s">
        <v>13</v>
      </c>
      <c r="D3511">
        <v>-2.1459999999999999E-3</v>
      </c>
      <c r="E3511">
        <f t="shared" si="108"/>
        <v>0.99785400000000002</v>
      </c>
      <c r="F3511" s="1">
        <f t="shared" si="109"/>
        <v>42359</v>
      </c>
      <c r="G3511" cm="1">
        <f t="array" ref="G3511">PRODUCT( _xlfn._xlws.FILTER($E:$E, ($C:$C=C3511)*($F:$F=F3511)) ) - 1</f>
        <v>1.871997990724994E-2</v>
      </c>
    </row>
    <row r="3512" spans="1:7" x14ac:dyDescent="0.2">
      <c r="A3512" s="1">
        <v>42361</v>
      </c>
      <c r="B3512">
        <v>0</v>
      </c>
      <c r="C3512" t="s">
        <v>13</v>
      </c>
      <c r="D3512">
        <v>8.2000000000000007E-3</v>
      </c>
      <c r="E3512">
        <f t="shared" si="108"/>
        <v>1.0082</v>
      </c>
      <c r="F3512" s="1">
        <f t="shared" si="109"/>
        <v>42359</v>
      </c>
      <c r="G3512" cm="1">
        <f t="array" ref="G3512">PRODUCT( _xlfn._xlws.FILTER($E:$E, ($C:$C=C3512)*($F:$F=F3512)) ) - 1</f>
        <v>1.871997990724994E-2</v>
      </c>
    </row>
    <row r="3513" spans="1:7" x14ac:dyDescent="0.2">
      <c r="A3513" s="1">
        <v>42362</v>
      </c>
      <c r="B3513">
        <v>0</v>
      </c>
      <c r="C3513" t="s">
        <v>13</v>
      </c>
      <c r="D3513">
        <v>8.5330000000000007E-3</v>
      </c>
      <c r="E3513">
        <f t="shared" si="108"/>
        <v>1.0085329999999999</v>
      </c>
      <c r="F3513" s="1">
        <f t="shared" si="109"/>
        <v>42359</v>
      </c>
      <c r="G3513" cm="1">
        <f t="array" ref="G3513">PRODUCT( _xlfn._xlws.FILTER($E:$E, ($C:$C=C3513)*($F:$F=F3513)) ) - 1</f>
        <v>1.871997990724994E-2</v>
      </c>
    </row>
    <row r="3514" spans="1:7" x14ac:dyDescent="0.2">
      <c r="A3514" s="1">
        <v>42367</v>
      </c>
      <c r="B3514">
        <v>0</v>
      </c>
      <c r="C3514" t="s">
        <v>13</v>
      </c>
      <c r="D3514">
        <v>3.0409999999999999E-3</v>
      </c>
      <c r="E3514">
        <f t="shared" si="108"/>
        <v>1.0030410000000001</v>
      </c>
      <c r="F3514" s="1">
        <f t="shared" si="109"/>
        <v>42366</v>
      </c>
      <c r="G3514" cm="1">
        <f t="array" ref="G3514">PRODUCT( _xlfn._xlws.FILTER($E:$E, ($C:$C=C3514)*($F:$F=F3514)) ) - 1</f>
        <v>-1.9698628007494334E-2</v>
      </c>
    </row>
    <row r="3515" spans="1:7" x14ac:dyDescent="0.2">
      <c r="A3515" s="1">
        <v>42368</v>
      </c>
      <c r="B3515">
        <v>0</v>
      </c>
      <c r="C3515" t="s">
        <v>13</v>
      </c>
      <c r="D3515">
        <v>-3.6909999999999998E-3</v>
      </c>
      <c r="E3515">
        <f t="shared" si="108"/>
        <v>0.996309</v>
      </c>
      <c r="F3515" s="1">
        <f t="shared" si="109"/>
        <v>42366</v>
      </c>
      <c r="G3515" cm="1">
        <f t="array" ref="G3515">PRODUCT( _xlfn._xlws.FILTER($E:$E, ($C:$C=C3515)*($F:$F=F3515)) ) - 1</f>
        <v>-1.9698628007494334E-2</v>
      </c>
    </row>
    <row r="3516" spans="1:7" x14ac:dyDescent="0.2">
      <c r="A3516" s="1">
        <v>42369</v>
      </c>
      <c r="B3516">
        <v>0</v>
      </c>
      <c r="C3516" t="s">
        <v>13</v>
      </c>
      <c r="D3516">
        <v>-1.9050000000000001E-2</v>
      </c>
      <c r="E3516">
        <f t="shared" si="108"/>
        <v>0.98094999999999999</v>
      </c>
      <c r="F3516" s="1">
        <f t="shared" si="109"/>
        <v>42366</v>
      </c>
      <c r="G3516" cm="1">
        <f t="array" ref="G3516">PRODUCT( _xlfn._xlws.FILTER($E:$E, ($C:$C=C3516)*($F:$F=F3516)) ) - 1</f>
        <v>-1.9698628007494334E-2</v>
      </c>
    </row>
    <row r="3517" spans="1:7" x14ac:dyDescent="0.2">
      <c r="A3517" s="1">
        <v>42373</v>
      </c>
      <c r="B3517">
        <v>0</v>
      </c>
      <c r="C3517" t="s">
        <v>13</v>
      </c>
      <c r="D3517">
        <v>-1.4970000000000001E-2</v>
      </c>
      <c r="E3517">
        <f t="shared" si="108"/>
        <v>0.98502999999999996</v>
      </c>
      <c r="F3517" s="1">
        <f t="shared" si="109"/>
        <v>42373</v>
      </c>
      <c r="G3517" cm="1">
        <f t="array" ref="G3517">PRODUCT( _xlfn._xlws.FILTER($E:$E, ($C:$C=C3517)*($F:$F=F3517)) ) - 1</f>
        <v>-5.502352940085653E-2</v>
      </c>
    </row>
    <row r="3518" spans="1:7" x14ac:dyDescent="0.2">
      <c r="A3518" s="1">
        <v>42374</v>
      </c>
      <c r="B3518">
        <v>0</v>
      </c>
      <c r="C3518" t="s">
        <v>13</v>
      </c>
      <c r="D3518">
        <v>-3.0119999999999999E-3</v>
      </c>
      <c r="E3518">
        <f t="shared" si="108"/>
        <v>0.99698799999999999</v>
      </c>
      <c r="F3518" s="1">
        <f t="shared" si="109"/>
        <v>42373</v>
      </c>
      <c r="G3518" cm="1">
        <f t="array" ref="G3518">PRODUCT( _xlfn._xlws.FILTER($E:$E, ($C:$C=C3518)*($F:$F=F3518)) ) - 1</f>
        <v>-5.502352940085653E-2</v>
      </c>
    </row>
    <row r="3519" spans="1:7" x14ac:dyDescent="0.2">
      <c r="A3519" s="1">
        <v>42375</v>
      </c>
      <c r="B3519">
        <v>0</v>
      </c>
      <c r="C3519" t="s">
        <v>13</v>
      </c>
      <c r="D3519">
        <v>-1.7166000000000001E-2</v>
      </c>
      <c r="E3519">
        <f t="shared" si="108"/>
        <v>0.98283399999999999</v>
      </c>
      <c r="F3519" s="1">
        <f t="shared" si="109"/>
        <v>42373</v>
      </c>
      <c r="G3519" cm="1">
        <f t="array" ref="G3519">PRODUCT( _xlfn._xlws.FILTER($E:$E, ($C:$C=C3519)*($F:$F=F3519)) ) - 1</f>
        <v>-5.502352940085653E-2</v>
      </c>
    </row>
    <row r="3520" spans="1:7" x14ac:dyDescent="0.2">
      <c r="A3520" s="1">
        <v>42376</v>
      </c>
      <c r="B3520">
        <v>0</v>
      </c>
      <c r="C3520" t="s">
        <v>13</v>
      </c>
      <c r="D3520">
        <v>-1.8443000000000001E-2</v>
      </c>
      <c r="E3520">
        <f t="shared" si="108"/>
        <v>0.98155700000000001</v>
      </c>
      <c r="F3520" s="1">
        <f t="shared" si="109"/>
        <v>42373</v>
      </c>
      <c r="G3520" cm="1">
        <f t="array" ref="G3520">PRODUCT( _xlfn._xlws.FILTER($E:$E, ($C:$C=C3520)*($F:$F=F3520)) ) - 1</f>
        <v>-5.502352940085653E-2</v>
      </c>
    </row>
    <row r="3521" spans="1:7" x14ac:dyDescent="0.2">
      <c r="A3521" s="1">
        <v>42377</v>
      </c>
      <c r="B3521">
        <v>0</v>
      </c>
      <c r="C3521" t="s">
        <v>13</v>
      </c>
      <c r="D3521">
        <v>-2.562E-3</v>
      </c>
      <c r="E3521">
        <f t="shared" si="108"/>
        <v>0.99743800000000005</v>
      </c>
      <c r="F3521" s="1">
        <f t="shared" si="109"/>
        <v>42373</v>
      </c>
      <c r="G3521" cm="1">
        <f t="array" ref="G3521">PRODUCT( _xlfn._xlws.FILTER($E:$E, ($C:$C=C3521)*($F:$F=F3521)) ) - 1</f>
        <v>-5.502352940085653E-2</v>
      </c>
    </row>
    <row r="3522" spans="1:7" x14ac:dyDescent="0.2">
      <c r="A3522" s="1">
        <v>42380</v>
      </c>
      <c r="B3522">
        <v>0</v>
      </c>
      <c r="C3522" t="s">
        <v>13</v>
      </c>
      <c r="D3522">
        <v>4.8520000000000004E-3</v>
      </c>
      <c r="E3522">
        <f t="shared" si="108"/>
        <v>1.0048520000000001</v>
      </c>
      <c r="F3522" s="1">
        <f t="shared" si="109"/>
        <v>42380</v>
      </c>
      <c r="G3522" cm="1">
        <f t="array" ref="G3522">PRODUCT( _xlfn._xlws.FILTER($E:$E, ($C:$C=C3522)*($F:$F=F3522)) ) - 1</f>
        <v>-4.3099863245293468E-2</v>
      </c>
    </row>
    <row r="3523" spans="1:7" x14ac:dyDescent="0.2">
      <c r="A3523" s="1">
        <v>42381</v>
      </c>
      <c r="B3523">
        <v>0</v>
      </c>
      <c r="C3523" t="s">
        <v>13</v>
      </c>
      <c r="D3523">
        <v>7.2430000000000003E-3</v>
      </c>
      <c r="E3523">
        <f t="shared" si="108"/>
        <v>1.0072430000000001</v>
      </c>
      <c r="F3523" s="1">
        <f t="shared" si="109"/>
        <v>42380</v>
      </c>
      <c r="G3523" cm="1">
        <f t="array" ref="G3523">PRODUCT( _xlfn._xlws.FILTER($E:$E, ($C:$C=C3523)*($F:$F=F3523)) ) - 1</f>
        <v>-4.3099863245293468E-2</v>
      </c>
    </row>
    <row r="3524" spans="1:7" x14ac:dyDescent="0.2">
      <c r="A3524" s="1">
        <v>42382</v>
      </c>
      <c r="B3524">
        <v>0</v>
      </c>
      <c r="C3524" t="s">
        <v>13</v>
      </c>
      <c r="D3524">
        <v>-2.4958000000000001E-2</v>
      </c>
      <c r="E3524">
        <f t="shared" ref="E3524:E3587" si="110">D3524+1</f>
        <v>0.97504199999999996</v>
      </c>
      <c r="F3524" s="1">
        <f t="shared" ref="F3524:F3587" si="111">A3524 - (WEEKDAY(A3524, 2) - 1)</f>
        <v>42380</v>
      </c>
      <c r="G3524" cm="1">
        <f t="array" ref="G3524">PRODUCT( _xlfn._xlws.FILTER($E:$E, ($C:$C=C3524)*($F:$F=F3524)) ) - 1</f>
        <v>-4.3099863245293468E-2</v>
      </c>
    </row>
    <row r="3525" spans="1:7" x14ac:dyDescent="0.2">
      <c r="A3525" s="1">
        <v>42383</v>
      </c>
      <c r="B3525">
        <v>0</v>
      </c>
      <c r="C3525" t="s">
        <v>13</v>
      </c>
      <c r="D3525">
        <v>6.0740000000000004E-3</v>
      </c>
      <c r="E3525">
        <f t="shared" si="110"/>
        <v>1.0060739999999999</v>
      </c>
      <c r="F3525" s="1">
        <f t="shared" si="111"/>
        <v>42380</v>
      </c>
      <c r="G3525" cm="1">
        <f t="array" ref="G3525">PRODUCT( _xlfn._xlws.FILTER($E:$E, ($C:$C=C3525)*($F:$F=F3525)) ) - 1</f>
        <v>-4.3099863245293468E-2</v>
      </c>
    </row>
    <row r="3526" spans="1:7" x14ac:dyDescent="0.2">
      <c r="A3526" s="1">
        <v>42384</v>
      </c>
      <c r="B3526">
        <v>0</v>
      </c>
      <c r="C3526" t="s">
        <v>13</v>
      </c>
      <c r="D3526">
        <v>-3.6221999999999997E-2</v>
      </c>
      <c r="E3526">
        <f t="shared" si="110"/>
        <v>0.96377800000000002</v>
      </c>
      <c r="F3526" s="1">
        <f t="shared" si="111"/>
        <v>42380</v>
      </c>
      <c r="G3526" cm="1">
        <f t="array" ref="G3526">PRODUCT( _xlfn._xlws.FILTER($E:$E, ($C:$C=C3526)*($F:$F=F3526)) ) - 1</f>
        <v>-4.3099863245293468E-2</v>
      </c>
    </row>
    <row r="3527" spans="1:7" x14ac:dyDescent="0.2">
      <c r="A3527" s="1">
        <v>42387</v>
      </c>
      <c r="B3527">
        <v>0</v>
      </c>
      <c r="C3527" t="s">
        <v>13</v>
      </c>
      <c r="D3527">
        <v>-2.6849999999999999E-3</v>
      </c>
      <c r="E3527">
        <f t="shared" si="110"/>
        <v>0.99731499999999995</v>
      </c>
      <c r="F3527" s="1">
        <f t="shared" si="111"/>
        <v>42387</v>
      </c>
      <c r="G3527" cm="1">
        <f t="array" ref="G3527">PRODUCT( _xlfn._xlws.FILTER($E:$E, ($C:$C=C3527)*($F:$F=F3527)) ) - 1</f>
        <v>4.593505388715502E-2</v>
      </c>
    </row>
    <row r="3528" spans="1:7" x14ac:dyDescent="0.2">
      <c r="A3528" s="1">
        <v>42388</v>
      </c>
      <c r="B3528">
        <v>0</v>
      </c>
      <c r="C3528" t="s">
        <v>13</v>
      </c>
      <c r="D3528">
        <v>8.3739999999999995E-3</v>
      </c>
      <c r="E3528">
        <f t="shared" si="110"/>
        <v>1.0083740000000001</v>
      </c>
      <c r="F3528" s="1">
        <f t="shared" si="111"/>
        <v>42387</v>
      </c>
      <c r="G3528" cm="1">
        <f t="array" ref="G3528">PRODUCT( _xlfn._xlws.FILTER($E:$E, ($C:$C=C3528)*($F:$F=F3528)) ) - 1</f>
        <v>4.593505388715502E-2</v>
      </c>
    </row>
    <row r="3529" spans="1:7" x14ac:dyDescent="0.2">
      <c r="A3529" s="1">
        <v>42389</v>
      </c>
      <c r="B3529">
        <v>0</v>
      </c>
      <c r="C3529" t="s">
        <v>13</v>
      </c>
      <c r="D3529">
        <v>-2.6842999999999999E-2</v>
      </c>
      <c r="E3529">
        <f t="shared" si="110"/>
        <v>0.97315700000000005</v>
      </c>
      <c r="F3529" s="1">
        <f t="shared" si="111"/>
        <v>42387</v>
      </c>
      <c r="G3529" cm="1">
        <f t="array" ref="G3529">PRODUCT( _xlfn._xlws.FILTER($E:$E, ($C:$C=C3529)*($F:$F=F3529)) ) - 1</f>
        <v>4.593505388715502E-2</v>
      </c>
    </row>
    <row r="3530" spans="1:7" x14ac:dyDescent="0.2">
      <c r="A3530" s="1">
        <v>42390</v>
      </c>
      <c r="B3530">
        <v>0</v>
      </c>
      <c r="C3530" t="s">
        <v>13</v>
      </c>
      <c r="D3530">
        <v>1.8440000000000002E-2</v>
      </c>
      <c r="E3530">
        <f t="shared" si="110"/>
        <v>1.01844</v>
      </c>
      <c r="F3530" s="1">
        <f t="shared" si="111"/>
        <v>42387</v>
      </c>
      <c r="G3530" cm="1">
        <f t="array" ref="G3530">PRODUCT( _xlfn._xlws.FILTER($E:$E, ($C:$C=C3530)*($F:$F=F3530)) ) - 1</f>
        <v>4.593505388715502E-2</v>
      </c>
    </row>
    <row r="3531" spans="1:7" x14ac:dyDescent="0.2">
      <c r="A3531" s="1">
        <v>42391</v>
      </c>
      <c r="B3531">
        <v>0</v>
      </c>
      <c r="C3531" t="s">
        <v>13</v>
      </c>
      <c r="D3531">
        <v>4.9378999999999999E-2</v>
      </c>
      <c r="E3531">
        <f t="shared" si="110"/>
        <v>1.0493790000000001</v>
      </c>
      <c r="F3531" s="1">
        <f t="shared" si="111"/>
        <v>42387</v>
      </c>
      <c r="G3531" cm="1">
        <f t="array" ref="G3531">PRODUCT( _xlfn._xlws.FILTER($E:$E, ($C:$C=C3531)*($F:$F=F3531)) ) - 1</f>
        <v>4.593505388715502E-2</v>
      </c>
    </row>
    <row r="3532" spans="1:7" x14ac:dyDescent="0.2">
      <c r="A3532" s="1">
        <v>42394</v>
      </c>
      <c r="B3532">
        <v>0</v>
      </c>
      <c r="C3532" t="s">
        <v>13</v>
      </c>
      <c r="D3532">
        <v>-3.3314000000000003E-2</v>
      </c>
      <c r="E3532">
        <f t="shared" si="110"/>
        <v>0.96668600000000005</v>
      </c>
      <c r="F3532" s="1">
        <f t="shared" si="111"/>
        <v>42394</v>
      </c>
      <c r="G3532" cm="1">
        <f t="array" ref="G3532">PRODUCT( _xlfn._xlws.FILTER($E:$E, ($C:$C=C3532)*($F:$F=F3532)) ) - 1</f>
        <v>4.6293853612384694E-2</v>
      </c>
    </row>
    <row r="3533" spans="1:7" x14ac:dyDescent="0.2">
      <c r="A3533" s="1">
        <v>42395</v>
      </c>
      <c r="B3533">
        <v>0</v>
      </c>
      <c r="C3533" t="s">
        <v>13</v>
      </c>
      <c r="D3533">
        <v>8.8020000000000008E-3</v>
      </c>
      <c r="E3533">
        <f t="shared" si="110"/>
        <v>1.008802</v>
      </c>
      <c r="F3533" s="1">
        <f t="shared" si="111"/>
        <v>42394</v>
      </c>
      <c r="G3533" cm="1">
        <f t="array" ref="G3533">PRODUCT( _xlfn._xlws.FILTER($E:$E, ($C:$C=C3533)*($F:$F=F3533)) ) - 1</f>
        <v>4.6293853612384694E-2</v>
      </c>
    </row>
    <row r="3534" spans="1:7" x14ac:dyDescent="0.2">
      <c r="A3534" s="1">
        <v>42396</v>
      </c>
      <c r="B3534">
        <v>0</v>
      </c>
      <c r="C3534" t="s">
        <v>13</v>
      </c>
      <c r="D3534">
        <v>1.4936E-2</v>
      </c>
      <c r="E3534">
        <f t="shared" si="110"/>
        <v>1.0149360000000001</v>
      </c>
      <c r="F3534" s="1">
        <f t="shared" si="111"/>
        <v>42394</v>
      </c>
      <c r="G3534" cm="1">
        <f t="array" ref="G3534">PRODUCT( _xlfn._xlws.FILTER($E:$E, ($C:$C=C3534)*($F:$F=F3534)) ) - 1</f>
        <v>4.6293853612384694E-2</v>
      </c>
    </row>
    <row r="3535" spans="1:7" x14ac:dyDescent="0.2">
      <c r="A3535" s="1">
        <v>42397</v>
      </c>
      <c r="B3535">
        <v>0</v>
      </c>
      <c r="C3535" t="s">
        <v>13</v>
      </c>
      <c r="D3535">
        <v>3.5262000000000002E-2</v>
      </c>
      <c r="E3535">
        <f t="shared" si="110"/>
        <v>1.0352619999999999</v>
      </c>
      <c r="F3535" s="1">
        <f t="shared" si="111"/>
        <v>42394</v>
      </c>
      <c r="G3535" cm="1">
        <f t="array" ref="G3535">PRODUCT( _xlfn._xlws.FILTER($E:$E, ($C:$C=C3535)*($F:$F=F3535)) ) - 1</f>
        <v>4.6293853612384694E-2</v>
      </c>
    </row>
    <row r="3536" spans="1:7" x14ac:dyDescent="0.2">
      <c r="A3536" s="1">
        <v>42398</v>
      </c>
      <c r="B3536">
        <v>0</v>
      </c>
      <c r="C3536" t="s">
        <v>13</v>
      </c>
      <c r="D3536">
        <v>2.1111999999999999E-2</v>
      </c>
      <c r="E3536">
        <f t="shared" si="110"/>
        <v>1.021112</v>
      </c>
      <c r="F3536" s="1">
        <f t="shared" si="111"/>
        <v>42394</v>
      </c>
      <c r="G3536" cm="1">
        <f t="array" ref="G3536">PRODUCT( _xlfn._xlws.FILTER($E:$E, ($C:$C=C3536)*($F:$F=F3536)) ) - 1</f>
        <v>4.6293853612384694E-2</v>
      </c>
    </row>
    <row r="3537" spans="1:7" x14ac:dyDescent="0.2">
      <c r="A3537" s="1">
        <v>42401</v>
      </c>
      <c r="B3537">
        <v>0</v>
      </c>
      <c r="C3537" t="s">
        <v>13</v>
      </c>
      <c r="D3537">
        <v>-1.7642999999999999E-2</v>
      </c>
      <c r="E3537">
        <f t="shared" si="110"/>
        <v>0.98235700000000004</v>
      </c>
      <c r="F3537" s="1">
        <f t="shared" si="111"/>
        <v>42401</v>
      </c>
      <c r="G3537" cm="1">
        <f t="array" ref="G3537">PRODUCT( _xlfn._xlws.FILTER($E:$E, ($C:$C=C3537)*($F:$F=F3537)) ) - 1</f>
        <v>-1.9434567412794035E-2</v>
      </c>
    </row>
    <row r="3538" spans="1:7" x14ac:dyDescent="0.2">
      <c r="A3538" s="1">
        <v>42402</v>
      </c>
      <c r="B3538">
        <v>0</v>
      </c>
      <c r="C3538" t="s">
        <v>13</v>
      </c>
      <c r="D3538">
        <v>-1.6697E-2</v>
      </c>
      <c r="E3538">
        <f t="shared" si="110"/>
        <v>0.98330300000000004</v>
      </c>
      <c r="F3538" s="1">
        <f t="shared" si="111"/>
        <v>42401</v>
      </c>
      <c r="G3538" cm="1">
        <f t="array" ref="G3538">PRODUCT( _xlfn._xlws.FILTER($E:$E, ($C:$C=C3538)*($F:$F=F3538)) ) - 1</f>
        <v>-1.9434567412794035E-2</v>
      </c>
    </row>
    <row r="3539" spans="1:7" x14ac:dyDescent="0.2">
      <c r="A3539" s="1">
        <v>42403</v>
      </c>
      <c r="B3539">
        <v>0</v>
      </c>
      <c r="C3539" t="s">
        <v>13</v>
      </c>
      <c r="D3539">
        <v>8.5599999999999999E-4</v>
      </c>
      <c r="E3539">
        <f t="shared" si="110"/>
        <v>1.000856</v>
      </c>
      <c r="F3539" s="1">
        <f t="shared" si="111"/>
        <v>42401</v>
      </c>
      <c r="G3539" cm="1">
        <f t="array" ref="G3539">PRODUCT( _xlfn._xlws.FILTER($E:$E, ($C:$C=C3539)*($F:$F=F3539)) ) - 1</f>
        <v>-1.9434567412794035E-2</v>
      </c>
    </row>
    <row r="3540" spans="1:7" x14ac:dyDescent="0.2">
      <c r="A3540" s="1">
        <v>42404</v>
      </c>
      <c r="B3540">
        <v>0</v>
      </c>
      <c r="C3540" t="s">
        <v>13</v>
      </c>
      <c r="D3540">
        <v>1.2119E-2</v>
      </c>
      <c r="E3540">
        <f t="shared" si="110"/>
        <v>1.012119</v>
      </c>
      <c r="F3540" s="1">
        <f t="shared" si="111"/>
        <v>42401</v>
      </c>
      <c r="G3540" cm="1">
        <f t="array" ref="G3540">PRODUCT( _xlfn._xlws.FILTER($E:$E, ($C:$C=C3540)*($F:$F=F3540)) ) - 1</f>
        <v>-1.9434567412794035E-2</v>
      </c>
    </row>
    <row r="3541" spans="1:7" x14ac:dyDescent="0.2">
      <c r="A3541" s="1">
        <v>42405</v>
      </c>
      <c r="B3541">
        <v>0</v>
      </c>
      <c r="C3541" t="s">
        <v>13</v>
      </c>
      <c r="D3541">
        <v>2.1129999999999999E-3</v>
      </c>
      <c r="E3541">
        <f t="shared" si="110"/>
        <v>1.002113</v>
      </c>
      <c r="F3541" s="1">
        <f t="shared" si="111"/>
        <v>42401</v>
      </c>
      <c r="G3541" cm="1">
        <f t="array" ref="G3541">PRODUCT( _xlfn._xlws.FILTER($E:$E, ($C:$C=C3541)*($F:$F=F3541)) ) - 1</f>
        <v>-1.9434567412794035E-2</v>
      </c>
    </row>
    <row r="3542" spans="1:7" x14ac:dyDescent="0.2">
      <c r="A3542" s="1">
        <v>42408</v>
      </c>
      <c r="B3542">
        <v>0</v>
      </c>
      <c r="C3542" t="s">
        <v>13</v>
      </c>
      <c r="D3542">
        <v>-2.6005E-2</v>
      </c>
      <c r="E3542">
        <f t="shared" si="110"/>
        <v>0.97399499999999994</v>
      </c>
      <c r="F3542" s="1">
        <f t="shared" si="111"/>
        <v>42408</v>
      </c>
      <c r="G3542" cm="1">
        <f t="array" ref="G3542">PRODUCT( _xlfn._xlws.FILTER($E:$E, ($C:$C=C3542)*($F:$F=F3542)) ) - 1</f>
        <v>-4.4419997123457788E-2</v>
      </c>
    </row>
    <row r="3543" spans="1:7" x14ac:dyDescent="0.2">
      <c r="A3543" s="1">
        <v>42409</v>
      </c>
      <c r="B3543">
        <v>0</v>
      </c>
      <c r="C3543" t="s">
        <v>13</v>
      </c>
      <c r="D3543">
        <v>-2.3813000000000001E-2</v>
      </c>
      <c r="E3543">
        <f t="shared" si="110"/>
        <v>0.97618700000000003</v>
      </c>
      <c r="F3543" s="1">
        <f t="shared" si="111"/>
        <v>42408</v>
      </c>
      <c r="G3543" cm="1">
        <f t="array" ref="G3543">PRODUCT( _xlfn._xlws.FILTER($E:$E, ($C:$C=C3543)*($F:$F=F3543)) ) - 1</f>
        <v>-4.4419997123457788E-2</v>
      </c>
    </row>
    <row r="3544" spans="1:7" x14ac:dyDescent="0.2">
      <c r="A3544" s="1">
        <v>42410</v>
      </c>
      <c r="B3544">
        <v>0</v>
      </c>
      <c r="C3544" t="s">
        <v>13</v>
      </c>
      <c r="D3544">
        <v>-2.1437000000000001E-2</v>
      </c>
      <c r="E3544">
        <f t="shared" si="110"/>
        <v>0.97856299999999996</v>
      </c>
      <c r="F3544" s="1">
        <f t="shared" si="111"/>
        <v>42408</v>
      </c>
      <c r="G3544" cm="1">
        <f t="array" ref="G3544">PRODUCT( _xlfn._xlws.FILTER($E:$E, ($C:$C=C3544)*($F:$F=F3544)) ) - 1</f>
        <v>-4.4419997123457788E-2</v>
      </c>
    </row>
    <row r="3545" spans="1:7" x14ac:dyDescent="0.2">
      <c r="A3545" s="1">
        <v>42411</v>
      </c>
      <c r="B3545">
        <v>0</v>
      </c>
      <c r="C3545" t="s">
        <v>13</v>
      </c>
      <c r="D3545">
        <v>-1.7978999999999998E-2</v>
      </c>
      <c r="E3545">
        <f t="shared" si="110"/>
        <v>0.98202100000000003</v>
      </c>
      <c r="F3545" s="1">
        <f t="shared" si="111"/>
        <v>42408</v>
      </c>
      <c r="G3545" cm="1">
        <f t="array" ref="G3545">PRODUCT( _xlfn._xlws.FILTER($E:$E, ($C:$C=C3545)*($F:$F=F3545)) ) - 1</f>
        <v>-4.4419997123457788E-2</v>
      </c>
    </row>
    <row r="3546" spans="1:7" x14ac:dyDescent="0.2">
      <c r="A3546" s="1">
        <v>42412</v>
      </c>
      <c r="B3546">
        <v>0</v>
      </c>
      <c r="C3546" t="s">
        <v>13</v>
      </c>
      <c r="D3546">
        <v>4.5845999999999998E-2</v>
      </c>
      <c r="E3546">
        <f t="shared" si="110"/>
        <v>1.0458460000000001</v>
      </c>
      <c r="F3546" s="1">
        <f t="shared" si="111"/>
        <v>42408</v>
      </c>
      <c r="G3546" cm="1">
        <f t="array" ref="G3546">PRODUCT( _xlfn._xlws.FILTER($E:$E, ($C:$C=C3546)*($F:$F=F3546)) ) - 1</f>
        <v>-4.4419997123457788E-2</v>
      </c>
    </row>
    <row r="3547" spans="1:7" x14ac:dyDescent="0.2">
      <c r="A3547" s="1">
        <v>42416</v>
      </c>
      <c r="B3547">
        <v>0</v>
      </c>
      <c r="C3547" t="s">
        <v>13</v>
      </c>
      <c r="D3547">
        <v>2.1035999999999999E-2</v>
      </c>
      <c r="E3547">
        <f t="shared" si="110"/>
        <v>1.0210360000000001</v>
      </c>
      <c r="F3547" s="1">
        <f t="shared" si="111"/>
        <v>42415</v>
      </c>
      <c r="G3547" cm="1">
        <f t="array" ref="G3547">PRODUCT( _xlfn._xlws.FILTER($E:$E, ($C:$C=C3547)*($F:$F=F3547)) ) - 1</f>
        <v>4.8544741267084079E-2</v>
      </c>
    </row>
    <row r="3548" spans="1:7" x14ac:dyDescent="0.2">
      <c r="A3548" s="1">
        <v>42417</v>
      </c>
      <c r="B3548">
        <v>0</v>
      </c>
      <c r="C3548" t="s">
        <v>13</v>
      </c>
      <c r="D3548">
        <v>2.2186999999999998E-2</v>
      </c>
      <c r="E3548">
        <f t="shared" si="110"/>
        <v>1.022187</v>
      </c>
      <c r="F3548" s="1">
        <f t="shared" si="111"/>
        <v>42415</v>
      </c>
      <c r="G3548" cm="1">
        <f t="array" ref="G3548">PRODUCT( _xlfn._xlws.FILTER($E:$E, ($C:$C=C3548)*($F:$F=F3548)) ) - 1</f>
        <v>4.8544741267084079E-2</v>
      </c>
    </row>
    <row r="3549" spans="1:7" x14ac:dyDescent="0.2">
      <c r="A3549" s="1">
        <v>42418</v>
      </c>
      <c r="B3549">
        <v>0</v>
      </c>
      <c r="C3549" t="s">
        <v>13</v>
      </c>
      <c r="D3549">
        <v>7.0500000000000001E-4</v>
      </c>
      <c r="E3549">
        <f t="shared" si="110"/>
        <v>1.000705</v>
      </c>
      <c r="F3549" s="1">
        <f t="shared" si="111"/>
        <v>42415</v>
      </c>
      <c r="G3549" cm="1">
        <f t="array" ref="G3549">PRODUCT( _xlfn._xlws.FILTER($E:$E, ($C:$C=C3549)*($F:$F=F3549)) ) - 1</f>
        <v>4.8544741267084079E-2</v>
      </c>
    </row>
    <row r="3550" spans="1:7" x14ac:dyDescent="0.2">
      <c r="A3550" s="1">
        <v>42419</v>
      </c>
      <c r="B3550">
        <v>0</v>
      </c>
      <c r="C3550" t="s">
        <v>13</v>
      </c>
      <c r="D3550">
        <v>3.9439999999999996E-3</v>
      </c>
      <c r="E3550">
        <f t="shared" si="110"/>
        <v>1.0039439999999999</v>
      </c>
      <c r="F3550" s="1">
        <f t="shared" si="111"/>
        <v>42415</v>
      </c>
      <c r="G3550" cm="1">
        <f t="array" ref="G3550">PRODUCT( _xlfn._xlws.FILTER($E:$E, ($C:$C=C3550)*($F:$F=F3550)) ) - 1</f>
        <v>4.8544741267084079E-2</v>
      </c>
    </row>
    <row r="3551" spans="1:7" x14ac:dyDescent="0.2">
      <c r="A3551" s="1">
        <v>42422</v>
      </c>
      <c r="B3551">
        <v>0</v>
      </c>
      <c r="C3551" t="s">
        <v>13</v>
      </c>
      <c r="D3551">
        <v>-1.1083000000000001E-2</v>
      </c>
      <c r="E3551">
        <f t="shared" si="110"/>
        <v>0.98891700000000005</v>
      </c>
      <c r="F3551" s="1">
        <f t="shared" si="111"/>
        <v>42422</v>
      </c>
      <c r="G3551" cm="1">
        <f t="array" ref="G3551">PRODUCT( _xlfn._xlws.FILTER($E:$E, ($C:$C=C3551)*($F:$F=F3551)) ) - 1</f>
        <v>-4.1946671323119578E-2</v>
      </c>
    </row>
    <row r="3552" spans="1:7" x14ac:dyDescent="0.2">
      <c r="A3552" s="1">
        <v>42423</v>
      </c>
      <c r="B3552">
        <v>0</v>
      </c>
      <c r="C3552" t="s">
        <v>13</v>
      </c>
      <c r="D3552">
        <v>-1.2200000000000001E-2</v>
      </c>
      <c r="E3552">
        <f t="shared" si="110"/>
        <v>0.98780000000000001</v>
      </c>
      <c r="F3552" s="1">
        <f t="shared" si="111"/>
        <v>42422</v>
      </c>
      <c r="G3552" cm="1">
        <f t="array" ref="G3552">PRODUCT( _xlfn._xlws.FILTER($E:$E, ($C:$C=C3552)*($F:$F=F3552)) ) - 1</f>
        <v>-4.1946671323119578E-2</v>
      </c>
    </row>
    <row r="3553" spans="1:7" x14ac:dyDescent="0.2">
      <c r="A3553" s="1">
        <v>42424</v>
      </c>
      <c r="B3553">
        <v>0</v>
      </c>
      <c r="C3553" t="s">
        <v>13</v>
      </c>
      <c r="D3553">
        <v>-2.6138000000000002E-2</v>
      </c>
      <c r="E3553">
        <f t="shared" si="110"/>
        <v>0.97386200000000001</v>
      </c>
      <c r="F3553" s="1">
        <f t="shared" si="111"/>
        <v>42422</v>
      </c>
      <c r="G3553" cm="1">
        <f t="array" ref="G3553">PRODUCT( _xlfn._xlws.FILTER($E:$E, ($C:$C=C3553)*($F:$F=F3553)) ) - 1</f>
        <v>-4.1946671323119578E-2</v>
      </c>
    </row>
    <row r="3554" spans="1:7" x14ac:dyDescent="0.2">
      <c r="A3554" s="1">
        <v>42425</v>
      </c>
      <c r="B3554">
        <v>0</v>
      </c>
      <c r="C3554" t="s">
        <v>13</v>
      </c>
      <c r="D3554">
        <v>-4.4200000000000001E-4</v>
      </c>
      <c r="E3554">
        <f t="shared" si="110"/>
        <v>0.99955799999999995</v>
      </c>
      <c r="F3554" s="1">
        <f t="shared" si="111"/>
        <v>42422</v>
      </c>
      <c r="G3554" cm="1">
        <f t="array" ref="G3554">PRODUCT( _xlfn._xlws.FILTER($E:$E, ($C:$C=C3554)*($F:$F=F3554)) ) - 1</f>
        <v>-4.1946671323119578E-2</v>
      </c>
    </row>
    <row r="3555" spans="1:7" x14ac:dyDescent="0.2">
      <c r="A3555" s="1">
        <v>42426</v>
      </c>
      <c r="B3555">
        <v>0</v>
      </c>
      <c r="C3555" t="s">
        <v>13</v>
      </c>
      <c r="D3555">
        <v>7.5240000000000003E-3</v>
      </c>
      <c r="E3555">
        <f t="shared" si="110"/>
        <v>1.0075240000000001</v>
      </c>
      <c r="F3555" s="1">
        <f t="shared" si="111"/>
        <v>42422</v>
      </c>
      <c r="G3555" cm="1">
        <f t="array" ref="G3555">PRODUCT( _xlfn._xlws.FILTER($E:$E, ($C:$C=C3555)*($F:$F=F3555)) ) - 1</f>
        <v>-4.1946671323119578E-2</v>
      </c>
    </row>
    <row r="3556" spans="1:7" x14ac:dyDescent="0.2">
      <c r="A3556" s="1">
        <v>42429</v>
      </c>
      <c r="B3556">
        <v>0</v>
      </c>
      <c r="C3556" t="s">
        <v>13</v>
      </c>
      <c r="D3556">
        <v>1.1422E-2</v>
      </c>
      <c r="E3556">
        <f t="shared" si="110"/>
        <v>1.011422</v>
      </c>
      <c r="F3556" s="1">
        <f t="shared" si="111"/>
        <v>42429</v>
      </c>
      <c r="G3556" cm="1">
        <f t="array" ref="G3556">PRODUCT( _xlfn._xlws.FILTER($E:$E, ($C:$C=C3556)*($F:$F=F3556)) ) - 1</f>
        <v>4.5248046268971054E-2</v>
      </c>
    </row>
    <row r="3557" spans="1:7" x14ac:dyDescent="0.2">
      <c r="A3557" s="1">
        <v>42430</v>
      </c>
      <c r="B3557">
        <v>0</v>
      </c>
      <c r="C3557" t="s">
        <v>13</v>
      </c>
      <c r="D3557">
        <v>1.5491E-2</v>
      </c>
      <c r="E3557">
        <f t="shared" si="110"/>
        <v>1.0154909999999999</v>
      </c>
      <c r="F3557" s="1">
        <f t="shared" si="111"/>
        <v>42429</v>
      </c>
      <c r="G3557" cm="1">
        <f t="array" ref="G3557">PRODUCT( _xlfn._xlws.FILTER($E:$E, ($C:$C=C3557)*($F:$F=F3557)) ) - 1</f>
        <v>4.5248046268971054E-2</v>
      </c>
    </row>
    <row r="3558" spans="1:7" x14ac:dyDescent="0.2">
      <c r="A3558" s="1">
        <v>42431</v>
      </c>
      <c r="B3558">
        <v>0</v>
      </c>
      <c r="C3558" t="s">
        <v>13</v>
      </c>
      <c r="D3558">
        <v>-1.4300000000000001E-4</v>
      </c>
      <c r="E3558">
        <f t="shared" si="110"/>
        <v>0.999857</v>
      </c>
      <c r="F3558" s="1">
        <f t="shared" si="111"/>
        <v>42429</v>
      </c>
      <c r="G3558" cm="1">
        <f t="array" ref="G3558">PRODUCT( _xlfn._xlws.FILTER($E:$E, ($C:$C=C3558)*($F:$F=F3558)) ) - 1</f>
        <v>4.5248046268971054E-2</v>
      </c>
    </row>
    <row r="3559" spans="1:7" x14ac:dyDescent="0.2">
      <c r="A3559" s="1">
        <v>42432</v>
      </c>
      <c r="B3559">
        <v>0</v>
      </c>
      <c r="C3559" t="s">
        <v>13</v>
      </c>
      <c r="D3559">
        <v>8.8409999999999999E-3</v>
      </c>
      <c r="E3559">
        <f t="shared" si="110"/>
        <v>1.0088410000000001</v>
      </c>
      <c r="F3559" s="1">
        <f t="shared" si="111"/>
        <v>42429</v>
      </c>
      <c r="G3559" cm="1">
        <f t="array" ref="G3559">PRODUCT( _xlfn._xlws.FILTER($E:$E, ($C:$C=C3559)*($F:$F=F3559)) ) - 1</f>
        <v>4.5248046268971054E-2</v>
      </c>
    </row>
    <row r="3560" spans="1:7" x14ac:dyDescent="0.2">
      <c r="A3560" s="1">
        <v>42433</v>
      </c>
      <c r="B3560">
        <v>0</v>
      </c>
      <c r="C3560" t="s">
        <v>13</v>
      </c>
      <c r="D3560">
        <v>8.9049999999999997E-3</v>
      </c>
      <c r="E3560">
        <f t="shared" si="110"/>
        <v>1.0089049999999999</v>
      </c>
      <c r="F3560" s="1">
        <f t="shared" si="111"/>
        <v>42429</v>
      </c>
      <c r="G3560" cm="1">
        <f t="array" ref="G3560">PRODUCT( _xlfn._xlws.FILTER($E:$E, ($C:$C=C3560)*($F:$F=F3560)) ) - 1</f>
        <v>4.5248046268971054E-2</v>
      </c>
    </row>
    <row r="3561" spans="1:7" x14ac:dyDescent="0.2">
      <c r="A3561" s="1">
        <v>42436</v>
      </c>
      <c r="B3561">
        <v>0</v>
      </c>
      <c r="C3561" t="s">
        <v>13</v>
      </c>
      <c r="D3561">
        <v>1.1768000000000001E-2</v>
      </c>
      <c r="E3561">
        <f t="shared" si="110"/>
        <v>1.011768</v>
      </c>
      <c r="F3561" s="1">
        <f t="shared" si="111"/>
        <v>42436</v>
      </c>
      <c r="G3561" cm="1">
        <f t="array" ref="G3561">PRODUCT( _xlfn._xlws.FILTER($E:$E, ($C:$C=C3561)*($F:$F=F3561)) ) - 1</f>
        <v>4.020677627904834E-2</v>
      </c>
    </row>
    <row r="3562" spans="1:7" x14ac:dyDescent="0.2">
      <c r="A3562" s="1">
        <v>42437</v>
      </c>
      <c r="B3562">
        <v>0</v>
      </c>
      <c r="C3562" t="s">
        <v>13</v>
      </c>
      <c r="D3562">
        <v>6.646E-3</v>
      </c>
      <c r="E3562">
        <f t="shared" si="110"/>
        <v>1.0066459999999999</v>
      </c>
      <c r="F3562" s="1">
        <f t="shared" si="111"/>
        <v>42436</v>
      </c>
      <c r="G3562" cm="1">
        <f t="array" ref="G3562">PRODUCT( _xlfn._xlws.FILTER($E:$E, ($C:$C=C3562)*($F:$F=F3562)) ) - 1</f>
        <v>4.020677627904834E-2</v>
      </c>
    </row>
    <row r="3563" spans="1:7" x14ac:dyDescent="0.2">
      <c r="A3563" s="1">
        <v>42438</v>
      </c>
      <c r="B3563">
        <v>0</v>
      </c>
      <c r="C3563" t="s">
        <v>13</v>
      </c>
      <c r="D3563">
        <v>7.0150000000000004E-3</v>
      </c>
      <c r="E3563">
        <f t="shared" si="110"/>
        <v>1.007015</v>
      </c>
      <c r="F3563" s="1">
        <f t="shared" si="111"/>
        <v>42436</v>
      </c>
      <c r="G3563" cm="1">
        <f t="array" ref="G3563">PRODUCT( _xlfn._xlws.FILTER($E:$E, ($C:$C=C3563)*($F:$F=F3563)) ) - 1</f>
        <v>4.020677627904834E-2</v>
      </c>
    </row>
    <row r="3564" spans="1:7" x14ac:dyDescent="0.2">
      <c r="A3564" s="1">
        <v>42439</v>
      </c>
      <c r="B3564">
        <v>0</v>
      </c>
      <c r="C3564" t="s">
        <v>13</v>
      </c>
      <c r="D3564">
        <v>4.0999999999999999E-4</v>
      </c>
      <c r="E3564">
        <f t="shared" si="110"/>
        <v>1.00041</v>
      </c>
      <c r="F3564" s="1">
        <f t="shared" si="111"/>
        <v>42436</v>
      </c>
      <c r="G3564" cm="1">
        <f t="array" ref="G3564">PRODUCT( _xlfn._xlws.FILTER($E:$E, ($C:$C=C3564)*($F:$F=F3564)) ) - 1</f>
        <v>4.020677627904834E-2</v>
      </c>
    </row>
    <row r="3565" spans="1:7" x14ac:dyDescent="0.2">
      <c r="A3565" s="1">
        <v>42440</v>
      </c>
      <c r="B3565">
        <v>0</v>
      </c>
      <c r="C3565" t="s">
        <v>13</v>
      </c>
      <c r="D3565">
        <v>1.379E-2</v>
      </c>
      <c r="E3565">
        <f t="shared" si="110"/>
        <v>1.01379</v>
      </c>
      <c r="F3565" s="1">
        <f t="shared" si="111"/>
        <v>42436</v>
      </c>
      <c r="G3565" cm="1">
        <f t="array" ref="G3565">PRODUCT( _xlfn._xlws.FILTER($E:$E, ($C:$C=C3565)*($F:$F=F3565)) ) - 1</f>
        <v>4.020677627904834E-2</v>
      </c>
    </row>
    <row r="3566" spans="1:7" x14ac:dyDescent="0.2">
      <c r="A3566" s="1">
        <v>42443</v>
      </c>
      <c r="B3566">
        <v>0</v>
      </c>
      <c r="C3566" t="s">
        <v>13</v>
      </c>
      <c r="D3566">
        <v>0</v>
      </c>
      <c r="E3566">
        <f t="shared" si="110"/>
        <v>1</v>
      </c>
      <c r="F3566" s="1">
        <f t="shared" si="111"/>
        <v>42443</v>
      </c>
      <c r="G3566" cm="1">
        <f t="array" ref="G3566">PRODUCT( _xlfn._xlws.FILTER($E:$E, ($C:$C=C3566)*($F:$F=F3566)) ) - 1</f>
        <v>1.3064126679732224E-2</v>
      </c>
    </row>
    <row r="3567" spans="1:7" x14ac:dyDescent="0.2">
      <c r="A3567" s="1">
        <v>42444</v>
      </c>
      <c r="B3567">
        <v>0</v>
      </c>
      <c r="C3567" t="s">
        <v>13</v>
      </c>
      <c r="D3567">
        <v>4.7140000000000003E-3</v>
      </c>
      <c r="E3567">
        <f t="shared" si="110"/>
        <v>1.0047140000000001</v>
      </c>
      <c r="F3567" s="1">
        <f t="shared" si="111"/>
        <v>42443</v>
      </c>
      <c r="G3567" cm="1">
        <f t="array" ref="G3567">PRODUCT( _xlfn._xlws.FILTER($E:$E, ($C:$C=C3567)*($F:$F=F3567)) ) - 1</f>
        <v>1.3064126679732224E-2</v>
      </c>
    </row>
    <row r="3568" spans="1:7" x14ac:dyDescent="0.2">
      <c r="A3568" s="1">
        <v>42445</v>
      </c>
      <c r="B3568">
        <v>0</v>
      </c>
      <c r="C3568" t="s">
        <v>13</v>
      </c>
      <c r="D3568">
        <v>2.6800000000000001E-4</v>
      </c>
      <c r="E3568">
        <f t="shared" si="110"/>
        <v>1.0002679999999999</v>
      </c>
      <c r="F3568" s="1">
        <f t="shared" si="111"/>
        <v>42443</v>
      </c>
      <c r="G3568" cm="1">
        <f t="array" ref="G3568">PRODUCT( _xlfn._xlws.FILTER($E:$E, ($C:$C=C3568)*($F:$F=F3568)) ) - 1</f>
        <v>1.3064126679732224E-2</v>
      </c>
    </row>
    <row r="3569" spans="1:7" x14ac:dyDescent="0.2">
      <c r="A3569" s="1">
        <v>42446</v>
      </c>
      <c r="B3569">
        <v>0</v>
      </c>
      <c r="C3569" t="s">
        <v>13</v>
      </c>
      <c r="D3569">
        <v>1.6618000000000001E-2</v>
      </c>
      <c r="E3569">
        <f t="shared" si="110"/>
        <v>1.016618</v>
      </c>
      <c r="F3569" s="1">
        <f t="shared" si="111"/>
        <v>42443</v>
      </c>
      <c r="G3569" cm="1">
        <f t="array" ref="G3569">PRODUCT( _xlfn._xlws.FILTER($E:$E, ($C:$C=C3569)*($F:$F=F3569)) ) - 1</f>
        <v>1.3064126679732224E-2</v>
      </c>
    </row>
    <row r="3570" spans="1:7" x14ac:dyDescent="0.2">
      <c r="A3570" s="1">
        <v>42447</v>
      </c>
      <c r="B3570">
        <v>0</v>
      </c>
      <c r="C3570" t="s">
        <v>13</v>
      </c>
      <c r="D3570">
        <v>-8.4370000000000001E-3</v>
      </c>
      <c r="E3570">
        <f t="shared" si="110"/>
        <v>0.99156299999999997</v>
      </c>
      <c r="F3570" s="1">
        <f t="shared" si="111"/>
        <v>42443</v>
      </c>
      <c r="G3570" cm="1">
        <f t="array" ref="G3570">PRODUCT( _xlfn._xlws.FILTER($E:$E, ($C:$C=C3570)*($F:$F=F3570)) ) - 1</f>
        <v>1.3064126679732224E-2</v>
      </c>
    </row>
    <row r="3571" spans="1:7" x14ac:dyDescent="0.2">
      <c r="A3571" s="1">
        <v>42450</v>
      </c>
      <c r="B3571">
        <v>0</v>
      </c>
      <c r="C3571" t="s">
        <v>13</v>
      </c>
      <c r="D3571">
        <v>1.3290000000000001E-3</v>
      </c>
      <c r="E3571">
        <f t="shared" si="110"/>
        <v>1.0013289999999999</v>
      </c>
      <c r="F3571" s="1">
        <f t="shared" si="111"/>
        <v>42450</v>
      </c>
      <c r="G3571" cm="1">
        <f t="array" ref="G3571">PRODUCT( _xlfn._xlws.FILTER($E:$E, ($C:$C=C3571)*($F:$F=F3571)) ) - 1</f>
        <v>-1.6618632984086279E-2</v>
      </c>
    </row>
    <row r="3572" spans="1:7" x14ac:dyDescent="0.2">
      <c r="A3572" s="1">
        <v>42451</v>
      </c>
      <c r="B3572">
        <v>0</v>
      </c>
      <c r="C3572" t="s">
        <v>13</v>
      </c>
      <c r="D3572">
        <v>-7.0369999999999999E-3</v>
      </c>
      <c r="E3572">
        <f t="shared" si="110"/>
        <v>0.99296300000000004</v>
      </c>
      <c r="F3572" s="1">
        <f t="shared" si="111"/>
        <v>42450</v>
      </c>
      <c r="G3572" cm="1">
        <f t="array" ref="G3572">PRODUCT( _xlfn._xlws.FILTER($E:$E, ($C:$C=C3572)*($F:$F=F3572)) ) - 1</f>
        <v>-1.6618632984086279E-2</v>
      </c>
    </row>
    <row r="3573" spans="1:7" x14ac:dyDescent="0.2">
      <c r="A3573" s="1">
        <v>42452</v>
      </c>
      <c r="B3573">
        <v>0</v>
      </c>
      <c r="C3573" t="s">
        <v>13</v>
      </c>
      <c r="D3573">
        <v>2.006E-3</v>
      </c>
      <c r="E3573">
        <f t="shared" si="110"/>
        <v>1.002006</v>
      </c>
      <c r="F3573" s="1">
        <f t="shared" si="111"/>
        <v>42450</v>
      </c>
      <c r="G3573" cm="1">
        <f t="array" ref="G3573">PRODUCT( _xlfn._xlws.FILTER($E:$E, ($C:$C=C3573)*($F:$F=F3573)) ) - 1</f>
        <v>-1.6618632984086279E-2</v>
      </c>
    </row>
    <row r="3574" spans="1:7" x14ac:dyDescent="0.2">
      <c r="A3574" s="1">
        <v>42453</v>
      </c>
      <c r="B3574">
        <v>0</v>
      </c>
      <c r="C3574" t="s">
        <v>13</v>
      </c>
      <c r="D3574">
        <v>-1.2944000000000001E-2</v>
      </c>
      <c r="E3574">
        <f t="shared" si="110"/>
        <v>0.98705600000000004</v>
      </c>
      <c r="F3574" s="1">
        <f t="shared" si="111"/>
        <v>42450</v>
      </c>
      <c r="G3574" cm="1">
        <f t="array" ref="G3574">PRODUCT( _xlfn._xlws.FILTER($E:$E, ($C:$C=C3574)*($F:$F=F3574)) ) - 1</f>
        <v>-1.6618632984086279E-2</v>
      </c>
    </row>
    <row r="3575" spans="1:7" x14ac:dyDescent="0.2">
      <c r="A3575" s="1">
        <v>42457</v>
      </c>
      <c r="B3575">
        <v>0</v>
      </c>
      <c r="C3575" t="s">
        <v>13</v>
      </c>
      <c r="D3575">
        <v>1.0545000000000001E-2</v>
      </c>
      <c r="E3575">
        <f t="shared" si="110"/>
        <v>1.010545</v>
      </c>
      <c r="F3575" s="1">
        <f t="shared" si="111"/>
        <v>42457</v>
      </c>
      <c r="G3575" cm="1">
        <f t="array" ref="G3575">PRODUCT( _xlfn._xlws.FILTER($E:$E, ($C:$C=C3575)*($F:$F=F3575)) ) - 1</f>
        <v>1.5276130461727933E-2</v>
      </c>
    </row>
    <row r="3576" spans="1:7" x14ac:dyDescent="0.2">
      <c r="A3576" s="1">
        <v>42458</v>
      </c>
      <c r="B3576">
        <v>0</v>
      </c>
      <c r="C3576" t="s">
        <v>13</v>
      </c>
      <c r="D3576">
        <v>4.0099999999999999E-4</v>
      </c>
      <c r="E3576">
        <f t="shared" si="110"/>
        <v>1.0004010000000001</v>
      </c>
      <c r="F3576" s="1">
        <f t="shared" si="111"/>
        <v>42457</v>
      </c>
      <c r="G3576" cm="1">
        <f t="array" ref="G3576">PRODUCT( _xlfn._xlws.FILTER($E:$E, ($C:$C=C3576)*($F:$F=F3576)) ) - 1</f>
        <v>1.5276130461727933E-2</v>
      </c>
    </row>
    <row r="3577" spans="1:7" x14ac:dyDescent="0.2">
      <c r="A3577" s="1">
        <v>42459</v>
      </c>
      <c r="B3577">
        <v>0</v>
      </c>
      <c r="C3577" t="s">
        <v>13</v>
      </c>
      <c r="D3577">
        <v>8.8260000000000005E-3</v>
      </c>
      <c r="E3577">
        <f t="shared" si="110"/>
        <v>1.008826</v>
      </c>
      <c r="F3577" s="1">
        <f t="shared" si="111"/>
        <v>42457</v>
      </c>
      <c r="G3577" cm="1">
        <f t="array" ref="G3577">PRODUCT( _xlfn._xlws.FILTER($E:$E, ($C:$C=C3577)*($F:$F=F3577)) ) - 1</f>
        <v>1.5276130461727933E-2</v>
      </c>
    </row>
    <row r="3578" spans="1:7" x14ac:dyDescent="0.2">
      <c r="A3578" s="1">
        <v>42460</v>
      </c>
      <c r="B3578">
        <v>0</v>
      </c>
      <c r="C3578" t="s">
        <v>13</v>
      </c>
      <c r="D3578">
        <v>-8.0859999999999994E-3</v>
      </c>
      <c r="E3578">
        <f t="shared" si="110"/>
        <v>0.99191399999999996</v>
      </c>
      <c r="F3578" s="1">
        <f t="shared" si="111"/>
        <v>42457</v>
      </c>
      <c r="G3578" cm="1">
        <f t="array" ref="G3578">PRODUCT( _xlfn._xlws.FILTER($E:$E, ($C:$C=C3578)*($F:$F=F3578)) ) - 1</f>
        <v>1.5276130461727933E-2</v>
      </c>
    </row>
    <row r="3579" spans="1:7" x14ac:dyDescent="0.2">
      <c r="A3579" s="1">
        <v>42461</v>
      </c>
      <c r="B3579">
        <v>0</v>
      </c>
      <c r="C3579" t="s">
        <v>13</v>
      </c>
      <c r="D3579">
        <v>3.6080000000000001E-3</v>
      </c>
      <c r="E3579">
        <f t="shared" si="110"/>
        <v>1.0036080000000001</v>
      </c>
      <c r="F3579" s="1">
        <f t="shared" si="111"/>
        <v>42457</v>
      </c>
      <c r="G3579" cm="1">
        <f t="array" ref="G3579">PRODUCT( _xlfn._xlws.FILTER($E:$E, ($C:$C=C3579)*($F:$F=F3579)) ) - 1</f>
        <v>1.5276130461727933E-2</v>
      </c>
    </row>
    <row r="3580" spans="1:7" x14ac:dyDescent="0.2">
      <c r="A3580" s="1">
        <v>42464</v>
      </c>
      <c r="B3580">
        <v>0</v>
      </c>
      <c r="C3580" t="s">
        <v>13</v>
      </c>
      <c r="D3580">
        <v>-4.5269999999999998E-3</v>
      </c>
      <c r="E3580">
        <f t="shared" si="110"/>
        <v>0.99547300000000005</v>
      </c>
      <c r="F3580" s="1">
        <f t="shared" si="111"/>
        <v>42464</v>
      </c>
      <c r="G3580" cm="1">
        <f t="array" ref="G3580">PRODUCT( _xlfn._xlws.FILTER($E:$E, ($C:$C=C3580)*($F:$F=F3580)) ) - 1</f>
        <v>-3.8616232784346449E-3</v>
      </c>
    </row>
    <row r="3581" spans="1:7" x14ac:dyDescent="0.2">
      <c r="A3581" s="1">
        <v>42465</v>
      </c>
      <c r="B3581">
        <v>0</v>
      </c>
      <c r="C3581" t="s">
        <v>13</v>
      </c>
      <c r="D3581">
        <v>-8.6949999999999996E-3</v>
      </c>
      <c r="E3581">
        <f t="shared" si="110"/>
        <v>0.99130499999999999</v>
      </c>
      <c r="F3581" s="1">
        <f t="shared" si="111"/>
        <v>42464</v>
      </c>
      <c r="G3581" cm="1">
        <f t="array" ref="G3581">PRODUCT( _xlfn._xlws.FILTER($E:$E, ($C:$C=C3581)*($F:$F=F3581)) ) - 1</f>
        <v>-3.8616232784346449E-3</v>
      </c>
    </row>
    <row r="3582" spans="1:7" x14ac:dyDescent="0.2">
      <c r="A3582" s="1">
        <v>42466</v>
      </c>
      <c r="B3582">
        <v>0</v>
      </c>
      <c r="C3582" t="s">
        <v>13</v>
      </c>
      <c r="D3582">
        <v>-2.4290000000000002E-3</v>
      </c>
      <c r="E3582">
        <f t="shared" si="110"/>
        <v>0.99757099999999999</v>
      </c>
      <c r="F3582" s="1">
        <f t="shared" si="111"/>
        <v>42464</v>
      </c>
      <c r="G3582" cm="1">
        <f t="array" ref="G3582">PRODUCT( _xlfn._xlws.FILTER($E:$E, ($C:$C=C3582)*($F:$F=F3582)) ) - 1</f>
        <v>-3.8616232784346449E-3</v>
      </c>
    </row>
    <row r="3583" spans="1:7" x14ac:dyDescent="0.2">
      <c r="A3583" s="1">
        <v>42467</v>
      </c>
      <c r="B3583">
        <v>0</v>
      </c>
      <c r="C3583" t="s">
        <v>13</v>
      </c>
      <c r="D3583">
        <v>-4.3280000000000002E-3</v>
      </c>
      <c r="E3583">
        <f t="shared" si="110"/>
        <v>0.995672</v>
      </c>
      <c r="F3583" s="1">
        <f t="shared" si="111"/>
        <v>42464</v>
      </c>
      <c r="G3583" cm="1">
        <f t="array" ref="G3583">PRODUCT( _xlfn._xlws.FILTER($E:$E, ($C:$C=C3583)*($F:$F=F3583)) ) - 1</f>
        <v>-3.8616232784346449E-3</v>
      </c>
    </row>
    <row r="3584" spans="1:7" x14ac:dyDescent="0.2">
      <c r="A3584" s="1">
        <v>42468</v>
      </c>
      <c r="B3584">
        <v>0</v>
      </c>
      <c r="C3584" t="s">
        <v>13</v>
      </c>
      <c r="D3584">
        <v>1.6302000000000001E-2</v>
      </c>
      <c r="E3584">
        <f t="shared" si="110"/>
        <v>1.016302</v>
      </c>
      <c r="F3584" s="1">
        <f t="shared" si="111"/>
        <v>42464</v>
      </c>
      <c r="G3584" cm="1">
        <f t="array" ref="G3584">PRODUCT( _xlfn._xlws.FILTER($E:$E, ($C:$C=C3584)*($F:$F=F3584)) ) - 1</f>
        <v>-3.8616232784346449E-3</v>
      </c>
    </row>
    <row r="3585" spans="1:7" x14ac:dyDescent="0.2">
      <c r="A3585" s="1">
        <v>42471</v>
      </c>
      <c r="B3585">
        <v>0</v>
      </c>
      <c r="C3585" t="s">
        <v>13</v>
      </c>
      <c r="D3585">
        <v>1.3370000000000001E-3</v>
      </c>
      <c r="E3585">
        <f t="shared" si="110"/>
        <v>1.0013369999999999</v>
      </c>
      <c r="F3585" s="1">
        <f t="shared" si="111"/>
        <v>42471</v>
      </c>
      <c r="G3585" cm="1">
        <f t="array" ref="G3585">PRODUCT( _xlfn._xlws.FILTER($E:$E, ($C:$C=C3585)*($F:$F=F3585)) ) - 1</f>
        <v>3.6492301088037582E-2</v>
      </c>
    </row>
    <row r="3586" spans="1:7" x14ac:dyDescent="0.2">
      <c r="A3586" s="1">
        <v>42472</v>
      </c>
      <c r="B3586">
        <v>0</v>
      </c>
      <c r="C3586" t="s">
        <v>13</v>
      </c>
      <c r="D3586">
        <v>1.108E-2</v>
      </c>
      <c r="E3586">
        <f t="shared" si="110"/>
        <v>1.01108</v>
      </c>
      <c r="F3586" s="1">
        <f t="shared" si="111"/>
        <v>42471</v>
      </c>
      <c r="G3586" cm="1">
        <f t="array" ref="G3586">PRODUCT( _xlfn._xlws.FILTER($E:$E, ($C:$C=C3586)*($F:$F=F3586)) ) - 1</f>
        <v>3.6492301088037582E-2</v>
      </c>
    </row>
    <row r="3587" spans="1:7" x14ac:dyDescent="0.2">
      <c r="A3587" s="1">
        <v>42473</v>
      </c>
      <c r="B3587">
        <v>0</v>
      </c>
      <c r="C3587" t="s">
        <v>13</v>
      </c>
      <c r="D3587">
        <v>1.3599E-2</v>
      </c>
      <c r="E3587">
        <f t="shared" si="110"/>
        <v>1.0135989999999999</v>
      </c>
      <c r="F3587" s="1">
        <f t="shared" si="111"/>
        <v>42471</v>
      </c>
      <c r="G3587" cm="1">
        <f t="array" ref="G3587">PRODUCT( _xlfn._xlws.FILTER($E:$E, ($C:$C=C3587)*($F:$F=F3587)) ) - 1</f>
        <v>3.6492301088037582E-2</v>
      </c>
    </row>
    <row r="3588" spans="1:7" x14ac:dyDescent="0.2">
      <c r="A3588" s="1">
        <v>42474</v>
      </c>
      <c r="B3588">
        <v>0</v>
      </c>
      <c r="C3588" t="s">
        <v>13</v>
      </c>
      <c r="D3588">
        <v>8.0759999999999998E-3</v>
      </c>
      <c r="E3588">
        <f t="shared" ref="E3588:E3651" si="112">D3588+1</f>
        <v>1.008076</v>
      </c>
      <c r="F3588" s="1">
        <f t="shared" ref="F3588:F3651" si="113">A3588 - (WEEKDAY(A3588, 2) - 1)</f>
        <v>42471</v>
      </c>
      <c r="G3588" cm="1">
        <f t="array" ref="G3588">PRODUCT( _xlfn._xlws.FILTER($E:$E, ($C:$C=C3588)*($F:$F=F3588)) ) - 1</f>
        <v>3.6492301088037582E-2</v>
      </c>
    </row>
    <row r="3589" spans="1:7" x14ac:dyDescent="0.2">
      <c r="A3589" s="1">
        <v>42475</v>
      </c>
      <c r="B3589">
        <v>0</v>
      </c>
      <c r="C3589" t="s">
        <v>13</v>
      </c>
      <c r="D3589">
        <v>1.9380000000000001E-3</v>
      </c>
      <c r="E3589">
        <f t="shared" si="112"/>
        <v>1.001938</v>
      </c>
      <c r="F3589" s="1">
        <f t="shared" si="113"/>
        <v>42471</v>
      </c>
      <c r="G3589" cm="1">
        <f t="array" ref="G3589">PRODUCT( _xlfn._xlws.FILTER($E:$E, ($C:$C=C3589)*($F:$F=F3589)) ) - 1</f>
        <v>3.6492301088037582E-2</v>
      </c>
    </row>
    <row r="3590" spans="1:7" x14ac:dyDescent="0.2">
      <c r="A3590" s="1">
        <v>42478</v>
      </c>
      <c r="B3590">
        <v>0</v>
      </c>
      <c r="C3590" t="s">
        <v>13</v>
      </c>
      <c r="D3590">
        <v>2.9659999999999999E-3</v>
      </c>
      <c r="E3590">
        <f t="shared" si="112"/>
        <v>1.002966</v>
      </c>
      <c r="F3590" s="1">
        <f t="shared" si="113"/>
        <v>42478</v>
      </c>
      <c r="G3590" cm="1">
        <f t="array" ref="G3590">PRODUCT( _xlfn._xlws.FILTER($E:$E, ($C:$C=C3590)*($F:$F=F3590)) ) - 1</f>
        <v>1.0971546441921332E-2</v>
      </c>
    </row>
    <row r="3591" spans="1:7" x14ac:dyDescent="0.2">
      <c r="A3591" s="1">
        <v>42479</v>
      </c>
      <c r="B3591">
        <v>0</v>
      </c>
      <c r="C3591" t="s">
        <v>13</v>
      </c>
      <c r="D3591">
        <v>7.3289999999999996E-3</v>
      </c>
      <c r="E3591">
        <f t="shared" si="112"/>
        <v>1.0073289999999999</v>
      </c>
      <c r="F3591" s="1">
        <f t="shared" si="113"/>
        <v>42478</v>
      </c>
      <c r="G3591" cm="1">
        <f t="array" ref="G3591">PRODUCT( _xlfn._xlws.FILTER($E:$E, ($C:$C=C3591)*($F:$F=F3591)) ) - 1</f>
        <v>1.0971546441921332E-2</v>
      </c>
    </row>
    <row r="3592" spans="1:7" x14ac:dyDescent="0.2">
      <c r="A3592" s="1">
        <v>42480</v>
      </c>
      <c r="B3592">
        <v>0</v>
      </c>
      <c r="C3592" t="s">
        <v>13</v>
      </c>
      <c r="D3592">
        <v>4.8510000000000003E-3</v>
      </c>
      <c r="E3592">
        <f t="shared" si="112"/>
        <v>1.0048509999999999</v>
      </c>
      <c r="F3592" s="1">
        <f t="shared" si="113"/>
        <v>42478</v>
      </c>
      <c r="G3592" cm="1">
        <f t="array" ref="G3592">PRODUCT( _xlfn._xlws.FILTER($E:$E, ($C:$C=C3592)*($F:$F=F3592)) ) - 1</f>
        <v>1.0971546441921332E-2</v>
      </c>
    </row>
    <row r="3593" spans="1:7" x14ac:dyDescent="0.2">
      <c r="A3593" s="1">
        <v>42481</v>
      </c>
      <c r="B3593">
        <v>0</v>
      </c>
      <c r="C3593" t="s">
        <v>13</v>
      </c>
      <c r="D3593">
        <v>-5.0809999999999996E-3</v>
      </c>
      <c r="E3593">
        <f t="shared" si="112"/>
        <v>0.994919</v>
      </c>
      <c r="F3593" s="1">
        <f t="shared" si="113"/>
        <v>42478</v>
      </c>
      <c r="G3593" cm="1">
        <f t="array" ref="G3593">PRODUCT( _xlfn._xlws.FILTER($E:$E, ($C:$C=C3593)*($F:$F=F3593)) ) - 1</f>
        <v>1.0971546441921332E-2</v>
      </c>
    </row>
    <row r="3594" spans="1:7" x14ac:dyDescent="0.2">
      <c r="A3594" s="1">
        <v>42482</v>
      </c>
      <c r="B3594">
        <v>0</v>
      </c>
      <c r="C3594" t="s">
        <v>13</v>
      </c>
      <c r="D3594">
        <v>9.0300000000000005E-4</v>
      </c>
      <c r="E3594">
        <f t="shared" si="112"/>
        <v>1.0009030000000001</v>
      </c>
      <c r="F3594" s="1">
        <f t="shared" si="113"/>
        <v>42478</v>
      </c>
      <c r="G3594" cm="1">
        <f t="array" ref="G3594">PRODUCT( _xlfn._xlws.FILTER($E:$E, ($C:$C=C3594)*($F:$F=F3594)) ) - 1</f>
        <v>1.0971546441921332E-2</v>
      </c>
    </row>
    <row r="3595" spans="1:7" x14ac:dyDescent="0.2">
      <c r="A3595" s="1">
        <v>42485</v>
      </c>
      <c r="B3595">
        <v>0</v>
      </c>
      <c r="C3595" t="s">
        <v>13</v>
      </c>
      <c r="D3595">
        <v>-3.738E-3</v>
      </c>
      <c r="E3595">
        <f t="shared" si="112"/>
        <v>0.99626199999999998</v>
      </c>
      <c r="F3595" s="1">
        <f t="shared" si="113"/>
        <v>42485</v>
      </c>
      <c r="G3595" cm="1">
        <f t="array" ref="G3595">PRODUCT( _xlfn._xlws.FILTER($E:$E, ($C:$C=C3595)*($F:$F=F3595)) ) - 1</f>
        <v>4.3828970382080445E-3</v>
      </c>
    </row>
    <row r="3596" spans="1:7" x14ac:dyDescent="0.2">
      <c r="A3596" s="1">
        <v>42486</v>
      </c>
      <c r="B3596">
        <v>0</v>
      </c>
      <c r="C3596" t="s">
        <v>13</v>
      </c>
      <c r="D3596">
        <v>6.7279999999999996E-3</v>
      </c>
      <c r="E3596">
        <f t="shared" si="112"/>
        <v>1.0067280000000001</v>
      </c>
      <c r="F3596" s="1">
        <f t="shared" si="113"/>
        <v>42485</v>
      </c>
      <c r="G3596" cm="1">
        <f t="array" ref="G3596">PRODUCT( _xlfn._xlws.FILTER($E:$E, ($C:$C=C3596)*($F:$F=F3596)) ) - 1</f>
        <v>4.3828970382080445E-3</v>
      </c>
    </row>
    <row r="3597" spans="1:7" x14ac:dyDescent="0.2">
      <c r="A3597" s="1">
        <v>42487</v>
      </c>
      <c r="B3597">
        <v>0</v>
      </c>
      <c r="C3597" t="s">
        <v>13</v>
      </c>
      <c r="D3597">
        <v>1.928E-3</v>
      </c>
      <c r="E3597">
        <f t="shared" si="112"/>
        <v>1.0019279999999999</v>
      </c>
      <c r="F3597" s="1">
        <f t="shared" si="113"/>
        <v>42485</v>
      </c>
      <c r="G3597" cm="1">
        <f t="array" ref="G3597">PRODUCT( _xlfn._xlws.FILTER($E:$E, ($C:$C=C3597)*($F:$F=F3597)) ) - 1</f>
        <v>4.3828970382080445E-3</v>
      </c>
    </row>
    <row r="3598" spans="1:7" x14ac:dyDescent="0.2">
      <c r="A3598" s="1">
        <v>42488</v>
      </c>
      <c r="B3598">
        <v>0</v>
      </c>
      <c r="C3598" t="s">
        <v>13</v>
      </c>
      <c r="D3598">
        <v>-2.3089999999999999E-3</v>
      </c>
      <c r="E3598">
        <f t="shared" si="112"/>
        <v>0.99769099999999999</v>
      </c>
      <c r="F3598" s="1">
        <f t="shared" si="113"/>
        <v>42485</v>
      </c>
      <c r="G3598" cm="1">
        <f t="array" ref="G3598">PRODUCT( _xlfn._xlws.FILTER($E:$E, ($C:$C=C3598)*($F:$F=F3598)) ) - 1</f>
        <v>4.3828970382080445E-3</v>
      </c>
    </row>
    <row r="3599" spans="1:7" x14ac:dyDescent="0.2">
      <c r="A3599" s="1">
        <v>42489</v>
      </c>
      <c r="B3599">
        <v>0</v>
      </c>
      <c r="C3599" t="s">
        <v>13</v>
      </c>
      <c r="D3599">
        <v>1.8E-3</v>
      </c>
      <c r="E3599">
        <f t="shared" si="112"/>
        <v>1.0018</v>
      </c>
      <c r="F3599" s="1">
        <f t="shared" si="113"/>
        <v>42485</v>
      </c>
      <c r="G3599" cm="1">
        <f t="array" ref="G3599">PRODUCT( _xlfn._xlws.FILTER($E:$E, ($C:$C=C3599)*($F:$F=F3599)) ) - 1</f>
        <v>4.3828970382080445E-3</v>
      </c>
    </row>
    <row r="3600" spans="1:7" x14ac:dyDescent="0.2">
      <c r="A3600" s="1">
        <v>42492</v>
      </c>
      <c r="B3600">
        <v>0</v>
      </c>
      <c r="C3600" t="s">
        <v>13</v>
      </c>
      <c r="D3600">
        <v>-2.6949999999999999E-3</v>
      </c>
      <c r="E3600">
        <f t="shared" si="112"/>
        <v>0.997305</v>
      </c>
      <c r="F3600" s="1">
        <f t="shared" si="113"/>
        <v>42492</v>
      </c>
      <c r="G3600" cm="1">
        <f t="array" ref="G3600">PRODUCT( _xlfn._xlws.FILTER($E:$E, ($C:$C=C3600)*($F:$F=F3600)) ) - 1</f>
        <v>-2.348609056316342E-2</v>
      </c>
    </row>
    <row r="3601" spans="1:7" x14ac:dyDescent="0.2">
      <c r="A3601" s="1">
        <v>42493</v>
      </c>
      <c r="B3601">
        <v>0</v>
      </c>
      <c r="C3601" t="s">
        <v>13</v>
      </c>
      <c r="D3601">
        <v>-1.9303000000000001E-2</v>
      </c>
      <c r="E3601">
        <f t="shared" si="112"/>
        <v>0.98069700000000004</v>
      </c>
      <c r="F3601" s="1">
        <f t="shared" si="113"/>
        <v>42492</v>
      </c>
      <c r="G3601" cm="1">
        <f t="array" ref="G3601">PRODUCT( _xlfn._xlws.FILTER($E:$E, ($C:$C=C3601)*($F:$F=F3601)) ) - 1</f>
        <v>-2.348609056316342E-2</v>
      </c>
    </row>
    <row r="3602" spans="1:7" x14ac:dyDescent="0.2">
      <c r="A3602" s="1">
        <v>42494</v>
      </c>
      <c r="B3602">
        <v>0</v>
      </c>
      <c r="C3602" t="s">
        <v>13</v>
      </c>
      <c r="D3602">
        <v>-6.9540000000000001E-3</v>
      </c>
      <c r="E3602">
        <f t="shared" si="112"/>
        <v>0.99304599999999998</v>
      </c>
      <c r="F3602" s="1">
        <f t="shared" si="113"/>
        <v>42492</v>
      </c>
      <c r="G3602" cm="1">
        <f t="array" ref="G3602">PRODUCT( _xlfn._xlws.FILTER($E:$E, ($C:$C=C3602)*($F:$F=F3602)) ) - 1</f>
        <v>-2.348609056316342E-2</v>
      </c>
    </row>
    <row r="3603" spans="1:7" x14ac:dyDescent="0.2">
      <c r="A3603" s="1">
        <v>42495</v>
      </c>
      <c r="B3603">
        <v>0</v>
      </c>
      <c r="C3603" t="s">
        <v>13</v>
      </c>
      <c r="D3603">
        <v>0</v>
      </c>
      <c r="E3603">
        <f t="shared" si="112"/>
        <v>1</v>
      </c>
      <c r="F3603" s="1">
        <f t="shared" si="113"/>
        <v>42492</v>
      </c>
      <c r="G3603" cm="1">
        <f t="array" ref="G3603">PRODUCT( _xlfn._xlws.FILTER($E:$E, ($C:$C=C3603)*($F:$F=F3603)) ) - 1</f>
        <v>-2.348609056316342E-2</v>
      </c>
    </row>
    <row r="3604" spans="1:7" x14ac:dyDescent="0.2">
      <c r="A3604" s="1">
        <v>42496</v>
      </c>
      <c r="B3604">
        <v>0</v>
      </c>
      <c r="C3604" t="s">
        <v>13</v>
      </c>
      <c r="D3604">
        <v>5.4169999999999999E-3</v>
      </c>
      <c r="E3604">
        <f t="shared" si="112"/>
        <v>1.005417</v>
      </c>
      <c r="F3604" s="1">
        <f t="shared" si="113"/>
        <v>42492</v>
      </c>
      <c r="G3604" cm="1">
        <f t="array" ref="G3604">PRODUCT( _xlfn._xlws.FILTER($E:$E, ($C:$C=C3604)*($F:$F=F3604)) ) - 1</f>
        <v>-2.348609056316342E-2</v>
      </c>
    </row>
    <row r="3605" spans="1:7" x14ac:dyDescent="0.2">
      <c r="A3605" s="1">
        <v>42499</v>
      </c>
      <c r="B3605">
        <v>0</v>
      </c>
      <c r="C3605" t="s">
        <v>13</v>
      </c>
      <c r="D3605">
        <v>-6.1770000000000002E-3</v>
      </c>
      <c r="E3605">
        <f t="shared" si="112"/>
        <v>0.99382300000000001</v>
      </c>
      <c r="F3605" s="1">
        <f t="shared" si="113"/>
        <v>42499</v>
      </c>
      <c r="G3605" cm="1">
        <f t="array" ref="G3605">PRODUCT( _xlfn._xlws.FILTER($E:$E, ($C:$C=C3605)*($F:$F=F3605)) ) - 1</f>
        <v>9.5943049584319429E-3</v>
      </c>
    </row>
    <row r="3606" spans="1:7" x14ac:dyDescent="0.2">
      <c r="A3606" s="1">
        <v>42500</v>
      </c>
      <c r="B3606">
        <v>0</v>
      </c>
      <c r="C3606" t="s">
        <v>13</v>
      </c>
      <c r="D3606">
        <v>1.3091999999999999E-2</v>
      </c>
      <c r="E3606">
        <f t="shared" si="112"/>
        <v>1.0130920000000001</v>
      </c>
      <c r="F3606" s="1">
        <f t="shared" si="113"/>
        <v>42499</v>
      </c>
      <c r="G3606" cm="1">
        <f t="array" ref="G3606">PRODUCT( _xlfn._xlws.FILTER($E:$E, ($C:$C=C3606)*($F:$F=F3606)) ) - 1</f>
        <v>9.5943049584319429E-3</v>
      </c>
    </row>
    <row r="3607" spans="1:7" x14ac:dyDescent="0.2">
      <c r="A3607" s="1">
        <v>42501</v>
      </c>
      <c r="B3607">
        <v>0</v>
      </c>
      <c r="C3607" t="s">
        <v>13</v>
      </c>
      <c r="D3607">
        <v>1.3100000000000001E-4</v>
      </c>
      <c r="E3607">
        <f t="shared" si="112"/>
        <v>1.0001310000000001</v>
      </c>
      <c r="F3607" s="1">
        <f t="shared" si="113"/>
        <v>42499</v>
      </c>
      <c r="G3607" cm="1">
        <f t="array" ref="G3607">PRODUCT( _xlfn._xlws.FILTER($E:$E, ($C:$C=C3607)*($F:$F=F3607)) ) - 1</f>
        <v>9.5943049584319429E-3</v>
      </c>
    </row>
    <row r="3608" spans="1:7" x14ac:dyDescent="0.2">
      <c r="A3608" s="1">
        <v>42502</v>
      </c>
      <c r="B3608">
        <v>0</v>
      </c>
      <c r="C3608" t="s">
        <v>13</v>
      </c>
      <c r="D3608">
        <v>4.568E-3</v>
      </c>
      <c r="E3608">
        <f t="shared" si="112"/>
        <v>1.0045679999999999</v>
      </c>
      <c r="F3608" s="1">
        <f t="shared" si="113"/>
        <v>42499</v>
      </c>
      <c r="G3608" cm="1">
        <f t="array" ref="G3608">PRODUCT( _xlfn._xlws.FILTER($E:$E, ($C:$C=C3608)*($F:$F=F3608)) ) - 1</f>
        <v>9.5943049584319429E-3</v>
      </c>
    </row>
    <row r="3609" spans="1:7" x14ac:dyDescent="0.2">
      <c r="A3609" s="1">
        <v>42503</v>
      </c>
      <c r="B3609">
        <v>0</v>
      </c>
      <c r="C3609" t="s">
        <v>13</v>
      </c>
      <c r="D3609">
        <v>-1.949E-3</v>
      </c>
      <c r="E3609">
        <f t="shared" si="112"/>
        <v>0.99805100000000002</v>
      </c>
      <c r="F3609" s="1">
        <f t="shared" si="113"/>
        <v>42499</v>
      </c>
      <c r="G3609" cm="1">
        <f t="array" ref="G3609">PRODUCT( _xlfn._xlws.FILTER($E:$E, ($C:$C=C3609)*($F:$F=F3609)) ) - 1</f>
        <v>9.5943049584319429E-3</v>
      </c>
    </row>
    <row r="3610" spans="1:7" x14ac:dyDescent="0.2">
      <c r="A3610" s="1">
        <v>42506</v>
      </c>
      <c r="B3610">
        <v>0</v>
      </c>
      <c r="C3610" t="s">
        <v>13</v>
      </c>
      <c r="D3610">
        <v>2.4729999999999999E-3</v>
      </c>
      <c r="E3610">
        <f t="shared" si="112"/>
        <v>1.0024729999999999</v>
      </c>
      <c r="F3610" s="1">
        <f t="shared" si="113"/>
        <v>42506</v>
      </c>
      <c r="G3610" cm="1">
        <f t="array" ref="G3610">PRODUCT( _xlfn._xlws.FILTER($E:$E, ($C:$C=C3610)*($F:$F=F3610)) ) - 1</f>
        <v>1.3407563032298286E-2</v>
      </c>
    </row>
    <row r="3611" spans="1:7" x14ac:dyDescent="0.2">
      <c r="A3611" s="1">
        <v>42507</v>
      </c>
      <c r="B3611">
        <v>0</v>
      </c>
      <c r="C3611" t="s">
        <v>13</v>
      </c>
      <c r="D3611">
        <v>-2.2079999999999999E-3</v>
      </c>
      <c r="E3611">
        <f t="shared" si="112"/>
        <v>0.99779200000000001</v>
      </c>
      <c r="F3611" s="1">
        <f t="shared" si="113"/>
        <v>42506</v>
      </c>
      <c r="G3611" cm="1">
        <f t="array" ref="G3611">PRODUCT( _xlfn._xlws.FILTER($E:$E, ($C:$C=C3611)*($F:$F=F3611)) ) - 1</f>
        <v>1.3407563032298286E-2</v>
      </c>
    </row>
    <row r="3612" spans="1:7" x14ac:dyDescent="0.2">
      <c r="A3612" s="1">
        <v>42508</v>
      </c>
      <c r="B3612">
        <v>0</v>
      </c>
      <c r="C3612" t="s">
        <v>13</v>
      </c>
      <c r="D3612">
        <v>1.7179E-2</v>
      </c>
      <c r="E3612">
        <f t="shared" si="112"/>
        <v>1.0171790000000001</v>
      </c>
      <c r="F3612" s="1">
        <f t="shared" si="113"/>
        <v>42506</v>
      </c>
      <c r="G3612" cm="1">
        <f t="array" ref="G3612">PRODUCT( _xlfn._xlws.FILTER($E:$E, ($C:$C=C3612)*($F:$F=F3612)) ) - 1</f>
        <v>1.3407563032298286E-2</v>
      </c>
    </row>
    <row r="3613" spans="1:7" x14ac:dyDescent="0.2">
      <c r="A3613" s="1">
        <v>42509</v>
      </c>
      <c r="B3613">
        <v>0</v>
      </c>
      <c r="C3613" t="s">
        <v>13</v>
      </c>
      <c r="D3613">
        <v>-7.5490000000000002E-3</v>
      </c>
      <c r="E3613">
        <f t="shared" si="112"/>
        <v>0.99245099999999997</v>
      </c>
      <c r="F3613" s="1">
        <f t="shared" si="113"/>
        <v>42506</v>
      </c>
      <c r="G3613" cm="1">
        <f t="array" ref="G3613">PRODUCT( _xlfn._xlws.FILTER($E:$E, ($C:$C=C3613)*($F:$F=F3613)) ) - 1</f>
        <v>1.3407563032298286E-2</v>
      </c>
    </row>
    <row r="3614" spans="1:7" x14ac:dyDescent="0.2">
      <c r="A3614" s="1">
        <v>42510</v>
      </c>
      <c r="B3614">
        <v>0</v>
      </c>
      <c r="C3614" t="s">
        <v>13</v>
      </c>
      <c r="D3614">
        <v>3.6099999999999999E-3</v>
      </c>
      <c r="E3614">
        <f t="shared" si="112"/>
        <v>1.0036099999999999</v>
      </c>
      <c r="F3614" s="1">
        <f t="shared" si="113"/>
        <v>42506</v>
      </c>
      <c r="G3614" cm="1">
        <f t="array" ref="G3614">PRODUCT( _xlfn._xlws.FILTER($E:$E, ($C:$C=C3614)*($F:$F=F3614)) ) - 1</f>
        <v>1.3407563032298286E-2</v>
      </c>
    </row>
    <row r="3615" spans="1:7" x14ac:dyDescent="0.2">
      <c r="A3615" s="1">
        <v>42514</v>
      </c>
      <c r="B3615">
        <v>0</v>
      </c>
      <c r="C3615" t="s">
        <v>13</v>
      </c>
      <c r="D3615">
        <v>8.6060000000000008E-3</v>
      </c>
      <c r="E3615">
        <f t="shared" si="112"/>
        <v>1.0086059999999999</v>
      </c>
      <c r="F3615" s="1">
        <f t="shared" si="113"/>
        <v>42513</v>
      </c>
      <c r="G3615" cm="1">
        <f t="array" ref="G3615">PRODUCT( _xlfn._xlws.FILTER($E:$E, ($C:$C=C3615)*($F:$F=F3615)) ) - 1</f>
        <v>3.4682069446640096E-2</v>
      </c>
    </row>
    <row r="3616" spans="1:7" x14ac:dyDescent="0.2">
      <c r="A3616" s="1">
        <v>42515</v>
      </c>
      <c r="B3616">
        <v>0</v>
      </c>
      <c r="C3616" t="s">
        <v>13</v>
      </c>
      <c r="D3616">
        <v>9.2969999999999997E-3</v>
      </c>
      <c r="E3616">
        <f t="shared" si="112"/>
        <v>1.0092970000000001</v>
      </c>
      <c r="F3616" s="1">
        <f t="shared" si="113"/>
        <v>42513</v>
      </c>
      <c r="G3616" cm="1">
        <f t="array" ref="G3616">PRODUCT( _xlfn._xlws.FILTER($E:$E, ($C:$C=C3616)*($F:$F=F3616)) ) - 1</f>
        <v>3.4682069446640096E-2</v>
      </c>
    </row>
    <row r="3617" spans="1:7" x14ac:dyDescent="0.2">
      <c r="A3617" s="1">
        <v>42516</v>
      </c>
      <c r="B3617">
        <v>0</v>
      </c>
      <c r="C3617" t="s">
        <v>13</v>
      </c>
      <c r="D3617">
        <v>9.4640000000000002E-3</v>
      </c>
      <c r="E3617">
        <f t="shared" si="112"/>
        <v>1.0094639999999999</v>
      </c>
      <c r="F3617" s="1">
        <f t="shared" si="113"/>
        <v>42513</v>
      </c>
      <c r="G3617" cm="1">
        <f t="array" ref="G3617">PRODUCT( _xlfn._xlws.FILTER($E:$E, ($C:$C=C3617)*($F:$F=F3617)) ) - 1</f>
        <v>3.4682069446640096E-2</v>
      </c>
    </row>
    <row r="3618" spans="1:7" x14ac:dyDescent="0.2">
      <c r="A3618" s="1">
        <v>42517</v>
      </c>
      <c r="B3618">
        <v>0</v>
      </c>
      <c r="C3618" t="s">
        <v>13</v>
      </c>
      <c r="D3618">
        <v>6.875E-3</v>
      </c>
      <c r="E3618">
        <f t="shared" si="112"/>
        <v>1.006875</v>
      </c>
      <c r="F3618" s="1">
        <f t="shared" si="113"/>
        <v>42513</v>
      </c>
      <c r="G3618" cm="1">
        <f t="array" ref="G3618">PRODUCT( _xlfn._xlws.FILTER($E:$E, ($C:$C=C3618)*($F:$F=F3618)) ) - 1</f>
        <v>3.4682069446640096E-2</v>
      </c>
    </row>
    <row r="3619" spans="1:7" x14ac:dyDescent="0.2">
      <c r="A3619" s="1">
        <v>42520</v>
      </c>
      <c r="B3619">
        <v>0</v>
      </c>
      <c r="C3619" t="s">
        <v>13</v>
      </c>
      <c r="D3619">
        <v>-1.9859999999999999E-3</v>
      </c>
      <c r="E3619">
        <f t="shared" si="112"/>
        <v>0.99801399999999996</v>
      </c>
      <c r="F3619" s="1">
        <f t="shared" si="113"/>
        <v>42520</v>
      </c>
      <c r="G3619" cm="1">
        <f t="array" ref="G3619">PRODUCT( _xlfn._xlws.FILTER($E:$E, ($C:$C=C3619)*($F:$F=F3619)) ) - 1</f>
        <v>-1.6013735127774376E-2</v>
      </c>
    </row>
    <row r="3620" spans="1:7" x14ac:dyDescent="0.2">
      <c r="A3620" s="1">
        <v>42521</v>
      </c>
      <c r="B3620">
        <v>0</v>
      </c>
      <c r="C3620" t="s">
        <v>13</v>
      </c>
      <c r="D3620">
        <v>-1.9404999999999999E-2</v>
      </c>
      <c r="E3620">
        <f t="shared" si="112"/>
        <v>0.98059499999999999</v>
      </c>
      <c r="F3620" s="1">
        <f t="shared" si="113"/>
        <v>42520</v>
      </c>
      <c r="G3620" cm="1">
        <f t="array" ref="G3620">PRODUCT( _xlfn._xlws.FILTER($E:$E, ($C:$C=C3620)*($F:$F=F3620)) ) - 1</f>
        <v>-1.6013735127774376E-2</v>
      </c>
    </row>
    <row r="3621" spans="1:7" x14ac:dyDescent="0.2">
      <c r="A3621" s="1">
        <v>42522</v>
      </c>
      <c r="B3621">
        <v>0</v>
      </c>
      <c r="C3621" t="s">
        <v>13</v>
      </c>
      <c r="D3621">
        <v>3.4250000000000001E-3</v>
      </c>
      <c r="E3621">
        <f t="shared" si="112"/>
        <v>1.003425</v>
      </c>
      <c r="F3621" s="1">
        <f t="shared" si="113"/>
        <v>42520</v>
      </c>
      <c r="G3621" cm="1">
        <f t="array" ref="G3621">PRODUCT( _xlfn._xlws.FILTER($E:$E, ($C:$C=C3621)*($F:$F=F3621)) ) - 1</f>
        <v>-1.6013735127774376E-2</v>
      </c>
    </row>
    <row r="3622" spans="1:7" x14ac:dyDescent="0.2">
      <c r="A3622" s="1">
        <v>42523</v>
      </c>
      <c r="B3622">
        <v>0</v>
      </c>
      <c r="C3622" t="s">
        <v>13</v>
      </c>
      <c r="D3622">
        <v>6.574E-3</v>
      </c>
      <c r="E3622">
        <f t="shared" si="112"/>
        <v>1.0065740000000001</v>
      </c>
      <c r="F3622" s="1">
        <f t="shared" si="113"/>
        <v>42520</v>
      </c>
      <c r="G3622" cm="1">
        <f t="array" ref="G3622">PRODUCT( _xlfn._xlws.FILTER($E:$E, ($C:$C=C3622)*($F:$F=F3622)) ) - 1</f>
        <v>-1.6013735127774376E-2</v>
      </c>
    </row>
    <row r="3623" spans="1:7" x14ac:dyDescent="0.2">
      <c r="A3623" s="1">
        <v>42524</v>
      </c>
      <c r="B3623">
        <v>0</v>
      </c>
      <c r="C3623" t="s">
        <v>13</v>
      </c>
      <c r="D3623">
        <v>-4.5209999999999998E-3</v>
      </c>
      <c r="E3623">
        <f t="shared" si="112"/>
        <v>0.995479</v>
      </c>
      <c r="F3623" s="1">
        <f t="shared" si="113"/>
        <v>42520</v>
      </c>
      <c r="G3623" cm="1">
        <f t="array" ref="G3623">PRODUCT( _xlfn._xlws.FILTER($E:$E, ($C:$C=C3623)*($F:$F=F3623)) ) - 1</f>
        <v>-1.6013735127774376E-2</v>
      </c>
    </row>
    <row r="3624" spans="1:7" x14ac:dyDescent="0.2">
      <c r="A3624" s="1">
        <v>42527</v>
      </c>
      <c r="B3624">
        <v>0</v>
      </c>
      <c r="C3624" t="s">
        <v>13</v>
      </c>
      <c r="D3624">
        <v>8.83E-4</v>
      </c>
      <c r="E3624">
        <f t="shared" si="112"/>
        <v>1.000883</v>
      </c>
      <c r="F3624" s="1">
        <f t="shared" si="113"/>
        <v>42527</v>
      </c>
      <c r="G3624" cm="1">
        <f t="array" ref="G3624">PRODUCT( _xlfn._xlws.FILTER($E:$E, ($C:$C=C3624)*($F:$F=F3624)) ) - 1</f>
        <v>-8.7054926852377923E-3</v>
      </c>
    </row>
    <row r="3625" spans="1:7" x14ac:dyDescent="0.2">
      <c r="A3625" s="1">
        <v>42528</v>
      </c>
      <c r="B3625">
        <v>0</v>
      </c>
      <c r="C3625" t="s">
        <v>13</v>
      </c>
      <c r="D3625">
        <v>7.8150000000000008E-3</v>
      </c>
      <c r="E3625">
        <f t="shared" si="112"/>
        <v>1.0078149999999999</v>
      </c>
      <c r="F3625" s="1">
        <f t="shared" si="113"/>
        <v>42527</v>
      </c>
      <c r="G3625" cm="1">
        <f t="array" ref="G3625">PRODUCT( _xlfn._xlws.FILTER($E:$E, ($C:$C=C3625)*($F:$F=F3625)) ) - 1</f>
        <v>-8.7054926852377923E-3</v>
      </c>
    </row>
    <row r="3626" spans="1:7" x14ac:dyDescent="0.2">
      <c r="A3626" s="1">
        <v>42529</v>
      </c>
      <c r="B3626">
        <v>0</v>
      </c>
      <c r="C3626" t="s">
        <v>13</v>
      </c>
      <c r="D3626">
        <v>-1.8760000000000001E-3</v>
      </c>
      <c r="E3626">
        <f t="shared" si="112"/>
        <v>0.99812400000000001</v>
      </c>
      <c r="F3626" s="1">
        <f t="shared" si="113"/>
        <v>42527</v>
      </c>
      <c r="G3626" cm="1">
        <f t="array" ref="G3626">PRODUCT( _xlfn._xlws.FILTER($E:$E, ($C:$C=C3626)*($F:$F=F3626)) ) - 1</f>
        <v>-8.7054926852377923E-3</v>
      </c>
    </row>
    <row r="3627" spans="1:7" x14ac:dyDescent="0.2">
      <c r="A3627" s="1">
        <v>42530</v>
      </c>
      <c r="B3627">
        <v>0</v>
      </c>
      <c r="C3627" t="s">
        <v>13</v>
      </c>
      <c r="D3627">
        <v>-5.764E-3</v>
      </c>
      <c r="E3627">
        <f t="shared" si="112"/>
        <v>0.99423600000000001</v>
      </c>
      <c r="F3627" s="1">
        <f t="shared" si="113"/>
        <v>42527</v>
      </c>
      <c r="G3627" cm="1">
        <f t="array" ref="G3627">PRODUCT( _xlfn._xlws.FILTER($E:$E, ($C:$C=C3627)*($F:$F=F3627)) ) - 1</f>
        <v>-8.7054926852377923E-3</v>
      </c>
    </row>
    <row r="3628" spans="1:7" x14ac:dyDescent="0.2">
      <c r="A3628" s="1">
        <v>42531</v>
      </c>
      <c r="B3628">
        <v>0</v>
      </c>
      <c r="C3628" t="s">
        <v>13</v>
      </c>
      <c r="D3628">
        <v>-9.7050000000000001E-3</v>
      </c>
      <c r="E3628">
        <f t="shared" si="112"/>
        <v>0.99029500000000004</v>
      </c>
      <c r="F3628" s="1">
        <f t="shared" si="113"/>
        <v>42527</v>
      </c>
      <c r="G3628" cm="1">
        <f t="array" ref="G3628">PRODUCT( _xlfn._xlws.FILTER($E:$E, ($C:$C=C3628)*($F:$F=F3628)) ) - 1</f>
        <v>-8.7054926852377923E-3</v>
      </c>
    </row>
    <row r="3629" spans="1:7" x14ac:dyDescent="0.2">
      <c r="A3629" s="1">
        <v>42534</v>
      </c>
      <c r="B3629">
        <v>0</v>
      </c>
      <c r="C3629" t="s">
        <v>13</v>
      </c>
      <c r="D3629">
        <v>-8.9099999999999997E-4</v>
      </c>
      <c r="E3629">
        <f t="shared" si="112"/>
        <v>0.99910900000000002</v>
      </c>
      <c r="F3629" s="1">
        <f t="shared" si="113"/>
        <v>42534</v>
      </c>
      <c r="G3629" cm="1">
        <f t="array" ref="G3629">PRODUCT( _xlfn._xlws.FILTER($E:$E, ($C:$C=C3629)*($F:$F=F3629)) ) - 1</f>
        <v>-1.2346649035855917E-2</v>
      </c>
    </row>
    <row r="3630" spans="1:7" x14ac:dyDescent="0.2">
      <c r="A3630" s="1">
        <v>42535</v>
      </c>
      <c r="B3630">
        <v>0</v>
      </c>
      <c r="C3630" t="s">
        <v>13</v>
      </c>
      <c r="D3630">
        <v>-1.7707000000000001E-2</v>
      </c>
      <c r="E3630">
        <f t="shared" si="112"/>
        <v>0.98229299999999997</v>
      </c>
      <c r="F3630" s="1">
        <f t="shared" si="113"/>
        <v>42534</v>
      </c>
      <c r="G3630" cm="1">
        <f t="array" ref="G3630">PRODUCT( _xlfn._xlws.FILTER($E:$E, ($C:$C=C3630)*($F:$F=F3630)) ) - 1</f>
        <v>-1.2346649035855917E-2</v>
      </c>
    </row>
    <row r="3631" spans="1:7" x14ac:dyDescent="0.2">
      <c r="A3631" s="1">
        <v>42536</v>
      </c>
      <c r="B3631">
        <v>0</v>
      </c>
      <c r="C3631" t="s">
        <v>13</v>
      </c>
      <c r="D3631">
        <v>-1.297E-3</v>
      </c>
      <c r="E3631">
        <f t="shared" si="112"/>
        <v>0.99870300000000001</v>
      </c>
      <c r="F3631" s="1">
        <f t="shared" si="113"/>
        <v>42534</v>
      </c>
      <c r="G3631" cm="1">
        <f t="array" ref="G3631">PRODUCT( _xlfn._xlws.FILTER($E:$E, ($C:$C=C3631)*($F:$F=F3631)) ) - 1</f>
        <v>-1.2346649035855917E-2</v>
      </c>
    </row>
    <row r="3632" spans="1:7" x14ac:dyDescent="0.2">
      <c r="A3632" s="1">
        <v>42537</v>
      </c>
      <c r="B3632">
        <v>0</v>
      </c>
      <c r="C3632" t="s">
        <v>13</v>
      </c>
      <c r="D3632">
        <v>4.0249999999999999E-3</v>
      </c>
      <c r="E3632">
        <f t="shared" si="112"/>
        <v>1.0040249999999999</v>
      </c>
      <c r="F3632" s="1">
        <f t="shared" si="113"/>
        <v>42534</v>
      </c>
      <c r="G3632" cm="1">
        <f t="array" ref="G3632">PRODUCT( _xlfn._xlws.FILTER($E:$E, ($C:$C=C3632)*($F:$F=F3632)) ) - 1</f>
        <v>-1.2346649035855917E-2</v>
      </c>
    </row>
    <row r="3633" spans="1:7" x14ac:dyDescent="0.2">
      <c r="A3633" s="1">
        <v>42538</v>
      </c>
      <c r="B3633">
        <v>0</v>
      </c>
      <c r="C3633" t="s">
        <v>13</v>
      </c>
      <c r="D3633">
        <v>3.6210000000000001E-3</v>
      </c>
      <c r="E3633">
        <f t="shared" si="112"/>
        <v>1.0036210000000001</v>
      </c>
      <c r="F3633" s="1">
        <f t="shared" si="113"/>
        <v>42534</v>
      </c>
      <c r="G3633" cm="1">
        <f t="array" ref="G3633">PRODUCT( _xlfn._xlws.FILTER($E:$E, ($C:$C=C3633)*($F:$F=F3633)) ) - 1</f>
        <v>-1.2346649035855917E-2</v>
      </c>
    </row>
    <row r="3634" spans="1:7" x14ac:dyDescent="0.2">
      <c r="A3634" s="1">
        <v>42541</v>
      </c>
      <c r="B3634">
        <v>0</v>
      </c>
      <c r="C3634" t="s">
        <v>13</v>
      </c>
      <c r="D3634">
        <v>5.2839999999999996E-3</v>
      </c>
      <c r="E3634">
        <f t="shared" si="112"/>
        <v>1.0052840000000001</v>
      </c>
      <c r="F3634" s="1">
        <f t="shared" si="113"/>
        <v>42541</v>
      </c>
      <c r="G3634" cm="1">
        <f t="array" ref="G3634">PRODUCT( _xlfn._xlws.FILTER($E:$E, ($C:$C=C3634)*($F:$F=F3634)) ) - 1</f>
        <v>-5.0256429085743237E-3</v>
      </c>
    </row>
    <row r="3635" spans="1:7" x14ac:dyDescent="0.2">
      <c r="A3635" s="1">
        <v>42542</v>
      </c>
      <c r="B3635">
        <v>0</v>
      </c>
      <c r="C3635" t="s">
        <v>13</v>
      </c>
      <c r="D3635">
        <v>7.8200000000000006E-3</v>
      </c>
      <c r="E3635">
        <f t="shared" si="112"/>
        <v>1.0078199999999999</v>
      </c>
      <c r="F3635" s="1">
        <f t="shared" si="113"/>
        <v>42541</v>
      </c>
      <c r="G3635" cm="1">
        <f t="array" ref="G3635">PRODUCT( _xlfn._xlws.FILTER($E:$E, ($C:$C=C3635)*($F:$F=F3635)) ) - 1</f>
        <v>-5.0256429085743237E-3</v>
      </c>
    </row>
    <row r="3636" spans="1:7" x14ac:dyDescent="0.2">
      <c r="A3636" s="1">
        <v>42543</v>
      </c>
      <c r="B3636">
        <v>0</v>
      </c>
      <c r="C3636" t="s">
        <v>13</v>
      </c>
      <c r="D3636">
        <v>-1.908E-3</v>
      </c>
      <c r="E3636">
        <f t="shared" si="112"/>
        <v>0.99809199999999998</v>
      </c>
      <c r="F3636" s="1">
        <f t="shared" si="113"/>
        <v>42541</v>
      </c>
      <c r="G3636" cm="1">
        <f t="array" ref="G3636">PRODUCT( _xlfn._xlws.FILTER($E:$E, ($C:$C=C3636)*($F:$F=F3636)) ) - 1</f>
        <v>-5.0256429085743237E-3</v>
      </c>
    </row>
    <row r="3637" spans="1:7" x14ac:dyDescent="0.2">
      <c r="A3637" s="1">
        <v>42544</v>
      </c>
      <c r="B3637">
        <v>0</v>
      </c>
      <c r="C3637" t="s">
        <v>13</v>
      </c>
      <c r="D3637">
        <v>1.5547E-2</v>
      </c>
      <c r="E3637">
        <f t="shared" si="112"/>
        <v>1.015547</v>
      </c>
      <c r="F3637" s="1">
        <f t="shared" si="113"/>
        <v>42541</v>
      </c>
      <c r="G3637" cm="1">
        <f t="array" ref="G3637">PRODUCT( _xlfn._xlws.FILTER($E:$E, ($C:$C=C3637)*($F:$F=F3637)) ) - 1</f>
        <v>-5.0256429085743237E-3</v>
      </c>
    </row>
    <row r="3638" spans="1:7" x14ac:dyDescent="0.2">
      <c r="A3638" s="1">
        <v>42545</v>
      </c>
      <c r="B3638">
        <v>0</v>
      </c>
      <c r="C3638" t="s">
        <v>13</v>
      </c>
      <c r="D3638">
        <v>-3.1120999999999999E-2</v>
      </c>
      <c r="E3638">
        <f t="shared" si="112"/>
        <v>0.96887900000000005</v>
      </c>
      <c r="F3638" s="1">
        <f t="shared" si="113"/>
        <v>42541</v>
      </c>
      <c r="G3638" cm="1">
        <f t="array" ref="G3638">PRODUCT( _xlfn._xlws.FILTER($E:$E, ($C:$C=C3638)*($F:$F=F3638)) ) - 1</f>
        <v>-5.0256429085743237E-3</v>
      </c>
    </row>
    <row r="3639" spans="1:7" x14ac:dyDescent="0.2">
      <c r="A3639" s="1">
        <v>42548</v>
      </c>
      <c r="B3639">
        <v>0</v>
      </c>
      <c r="C3639" t="s">
        <v>13</v>
      </c>
      <c r="D3639">
        <v>-2.6033000000000001E-2</v>
      </c>
      <c r="E3639">
        <f t="shared" si="112"/>
        <v>0.97396700000000003</v>
      </c>
      <c r="F3639" s="1">
        <f t="shared" si="113"/>
        <v>42548</v>
      </c>
      <c r="G3639" cm="1">
        <f t="array" ref="G3639">PRODUCT( _xlfn._xlws.FILTER($E:$E, ($C:$C=C3639)*($F:$F=F3639)) ) - 1</f>
        <v>-1.1267457508186141E-2</v>
      </c>
    </row>
    <row r="3640" spans="1:7" x14ac:dyDescent="0.2">
      <c r="A3640" s="1">
        <v>42549</v>
      </c>
      <c r="B3640">
        <v>0</v>
      </c>
      <c r="C3640" t="s">
        <v>13</v>
      </c>
      <c r="D3640">
        <v>1.5692000000000001E-2</v>
      </c>
      <c r="E3640">
        <f t="shared" si="112"/>
        <v>1.015692</v>
      </c>
      <c r="F3640" s="1">
        <f t="shared" si="113"/>
        <v>42548</v>
      </c>
      <c r="G3640" cm="1">
        <f t="array" ref="G3640">PRODUCT( _xlfn._xlws.FILTER($E:$E, ($C:$C=C3640)*($F:$F=F3640)) ) - 1</f>
        <v>-1.1267457508186141E-2</v>
      </c>
    </row>
    <row r="3641" spans="1:7" x14ac:dyDescent="0.2">
      <c r="A3641" s="1">
        <v>42550</v>
      </c>
      <c r="B3641">
        <v>0</v>
      </c>
      <c r="C3641" t="s">
        <v>13</v>
      </c>
      <c r="D3641">
        <v>6.8079999999999998E-3</v>
      </c>
      <c r="E3641">
        <f t="shared" si="112"/>
        <v>1.0068079999999999</v>
      </c>
      <c r="F3641" s="1">
        <f t="shared" si="113"/>
        <v>42548</v>
      </c>
      <c r="G3641" cm="1">
        <f t="array" ref="G3641">PRODUCT( _xlfn._xlws.FILTER($E:$E, ($C:$C=C3641)*($F:$F=F3641)) ) - 1</f>
        <v>-1.1267457508186141E-2</v>
      </c>
    </row>
    <row r="3642" spans="1:7" x14ac:dyDescent="0.2">
      <c r="A3642" s="1">
        <v>42551</v>
      </c>
      <c r="B3642">
        <v>0</v>
      </c>
      <c r="C3642" t="s">
        <v>13</v>
      </c>
      <c r="D3642">
        <v>-7.2820000000000003E-3</v>
      </c>
      <c r="E3642">
        <f t="shared" si="112"/>
        <v>0.99271799999999999</v>
      </c>
      <c r="F3642" s="1">
        <f t="shared" si="113"/>
        <v>42548</v>
      </c>
      <c r="G3642" cm="1">
        <f t="array" ref="G3642">PRODUCT( _xlfn._xlws.FILTER($E:$E, ($C:$C=C3642)*($F:$F=F3642)) ) - 1</f>
        <v>-1.1267457508186141E-2</v>
      </c>
    </row>
    <row r="3643" spans="1:7" x14ac:dyDescent="0.2">
      <c r="A3643" s="1">
        <v>42555</v>
      </c>
      <c r="B3643">
        <v>0</v>
      </c>
      <c r="C3643" t="s">
        <v>13</v>
      </c>
      <c r="D3643">
        <v>1.1135000000000001E-2</v>
      </c>
      <c r="E3643">
        <f t="shared" si="112"/>
        <v>1.0111349999999999</v>
      </c>
      <c r="F3643" s="1">
        <f t="shared" si="113"/>
        <v>42555</v>
      </c>
      <c r="G3643" cm="1">
        <f t="array" ref="G3643">PRODUCT( _xlfn._xlws.FILTER($E:$E, ($C:$C=C3643)*($F:$F=F3643)) ) - 1</f>
        <v>1.3230161856962352E-2</v>
      </c>
    </row>
    <row r="3644" spans="1:7" x14ac:dyDescent="0.2">
      <c r="A3644" s="1">
        <v>42556</v>
      </c>
      <c r="B3644">
        <v>0</v>
      </c>
      <c r="C3644" t="s">
        <v>13</v>
      </c>
      <c r="D3644">
        <v>-3.3679999999999999E-3</v>
      </c>
      <c r="E3644">
        <f t="shared" si="112"/>
        <v>0.99663199999999996</v>
      </c>
      <c r="F3644" s="1">
        <f t="shared" si="113"/>
        <v>42555</v>
      </c>
      <c r="G3644" cm="1">
        <f t="array" ref="G3644">PRODUCT( _xlfn._xlws.FILTER($E:$E, ($C:$C=C3644)*($F:$F=F3644)) ) - 1</f>
        <v>1.3230161856962352E-2</v>
      </c>
    </row>
    <row r="3645" spans="1:7" x14ac:dyDescent="0.2">
      <c r="A3645" s="1">
        <v>42557</v>
      </c>
      <c r="B3645">
        <v>0</v>
      </c>
      <c r="C3645" t="s">
        <v>13</v>
      </c>
      <c r="D3645">
        <v>-4.1599999999999996E-3</v>
      </c>
      <c r="E3645">
        <f t="shared" si="112"/>
        <v>0.99583999999999995</v>
      </c>
      <c r="F3645" s="1">
        <f t="shared" si="113"/>
        <v>42555</v>
      </c>
      <c r="G3645" cm="1">
        <f t="array" ref="G3645">PRODUCT( _xlfn._xlws.FILTER($E:$E, ($C:$C=C3645)*($F:$F=F3645)) ) - 1</f>
        <v>1.3230161856962352E-2</v>
      </c>
    </row>
    <row r="3646" spans="1:7" x14ac:dyDescent="0.2">
      <c r="A3646" s="1">
        <v>42558</v>
      </c>
      <c r="B3646">
        <v>0</v>
      </c>
      <c r="C3646" t="s">
        <v>13</v>
      </c>
      <c r="D3646">
        <v>1.5659999999999999E-3</v>
      </c>
      <c r="E3646">
        <f t="shared" si="112"/>
        <v>1.001566</v>
      </c>
      <c r="F3646" s="1">
        <f t="shared" si="113"/>
        <v>42555</v>
      </c>
      <c r="G3646" cm="1">
        <f t="array" ref="G3646">PRODUCT( _xlfn._xlws.FILTER($E:$E, ($C:$C=C3646)*($F:$F=F3646)) ) - 1</f>
        <v>1.3230161856962352E-2</v>
      </c>
    </row>
    <row r="3647" spans="1:7" x14ac:dyDescent="0.2">
      <c r="A3647" s="1">
        <v>42559</v>
      </c>
      <c r="B3647">
        <v>0</v>
      </c>
      <c r="C3647" t="s">
        <v>13</v>
      </c>
      <c r="D3647">
        <v>8.0800000000000004E-3</v>
      </c>
      <c r="E3647">
        <f t="shared" si="112"/>
        <v>1.0080800000000001</v>
      </c>
      <c r="F3647" s="1">
        <f t="shared" si="113"/>
        <v>42555</v>
      </c>
      <c r="G3647" cm="1">
        <f t="array" ref="G3647">PRODUCT( _xlfn._xlws.FILTER($E:$E, ($C:$C=C3647)*($F:$F=F3647)) ) - 1</f>
        <v>1.3230161856962352E-2</v>
      </c>
    </row>
    <row r="3648" spans="1:7" x14ac:dyDescent="0.2">
      <c r="A3648" s="1">
        <v>42562</v>
      </c>
      <c r="B3648">
        <v>0</v>
      </c>
      <c r="C3648" t="s">
        <v>13</v>
      </c>
      <c r="D3648">
        <v>9.8250000000000004E-3</v>
      </c>
      <c r="E3648">
        <f t="shared" si="112"/>
        <v>1.009825</v>
      </c>
      <c r="F3648" s="1">
        <f t="shared" si="113"/>
        <v>42562</v>
      </c>
      <c r="G3648" cm="1">
        <f t="array" ref="G3648">PRODUCT( _xlfn._xlws.FILTER($E:$E, ($C:$C=C3648)*($F:$F=F3648)) ) - 1</f>
        <v>3.5551980589818566E-2</v>
      </c>
    </row>
    <row r="3649" spans="1:7" x14ac:dyDescent="0.2">
      <c r="A3649" s="1">
        <v>42563</v>
      </c>
      <c r="B3649">
        <v>0</v>
      </c>
      <c r="C3649" t="s">
        <v>13</v>
      </c>
      <c r="D3649">
        <v>1.2418E-2</v>
      </c>
      <c r="E3649">
        <f t="shared" si="112"/>
        <v>1.012418</v>
      </c>
      <c r="F3649" s="1">
        <f t="shared" si="113"/>
        <v>42562</v>
      </c>
      <c r="G3649" cm="1">
        <f t="array" ref="G3649">PRODUCT( _xlfn._xlws.FILTER($E:$E, ($C:$C=C3649)*($F:$F=F3649)) ) - 1</f>
        <v>3.5551980589818566E-2</v>
      </c>
    </row>
    <row r="3650" spans="1:7" x14ac:dyDescent="0.2">
      <c r="A3650" s="1">
        <v>42564</v>
      </c>
      <c r="B3650">
        <v>0</v>
      </c>
      <c r="C3650" t="s">
        <v>13</v>
      </c>
      <c r="D3650">
        <v>2.4030000000000002E-3</v>
      </c>
      <c r="E3650">
        <f t="shared" si="112"/>
        <v>1.0024029999999999</v>
      </c>
      <c r="F3650" s="1">
        <f t="shared" si="113"/>
        <v>42562</v>
      </c>
      <c r="G3650" cm="1">
        <f t="array" ref="G3650">PRODUCT( _xlfn._xlws.FILTER($E:$E, ($C:$C=C3650)*($F:$F=F3650)) ) - 1</f>
        <v>3.5551980589818566E-2</v>
      </c>
    </row>
    <row r="3651" spans="1:7" x14ac:dyDescent="0.2">
      <c r="A3651" s="1">
        <v>42565</v>
      </c>
      <c r="B3651">
        <v>0</v>
      </c>
      <c r="C3651" t="s">
        <v>13</v>
      </c>
      <c r="D3651">
        <v>6.9379999999999997E-3</v>
      </c>
      <c r="E3651">
        <f t="shared" si="112"/>
        <v>1.0069379999999999</v>
      </c>
      <c r="F3651" s="1">
        <f t="shared" si="113"/>
        <v>42562</v>
      </c>
      <c r="G3651" cm="1">
        <f t="array" ref="G3651">PRODUCT( _xlfn._xlws.FILTER($E:$E, ($C:$C=C3651)*($F:$F=F3651)) ) - 1</f>
        <v>3.5551980589818566E-2</v>
      </c>
    </row>
    <row r="3652" spans="1:7" x14ac:dyDescent="0.2">
      <c r="A3652" s="1">
        <v>42566</v>
      </c>
      <c r="B3652">
        <v>0</v>
      </c>
      <c r="C3652" t="s">
        <v>13</v>
      </c>
      <c r="D3652">
        <v>3.5079999999999998E-3</v>
      </c>
      <c r="E3652">
        <f t="shared" ref="E3652:E3715" si="114">D3652+1</f>
        <v>1.0035080000000001</v>
      </c>
      <c r="F3652" s="1">
        <f t="shared" ref="F3652:F3715" si="115">A3652 - (WEEKDAY(A3652, 2) - 1)</f>
        <v>42562</v>
      </c>
      <c r="G3652" cm="1">
        <f t="array" ref="G3652">PRODUCT( _xlfn._xlws.FILTER($E:$E, ($C:$C=C3652)*($F:$F=F3652)) ) - 1</f>
        <v>3.5551980589818566E-2</v>
      </c>
    </row>
    <row r="3653" spans="1:7" x14ac:dyDescent="0.2">
      <c r="A3653" s="1">
        <v>42569</v>
      </c>
      <c r="B3653">
        <v>0</v>
      </c>
      <c r="C3653" t="s">
        <v>13</v>
      </c>
      <c r="D3653">
        <v>-1.124E-3</v>
      </c>
      <c r="E3653">
        <f t="shared" si="114"/>
        <v>0.99887599999999999</v>
      </c>
      <c r="F3653" s="1">
        <f t="shared" si="115"/>
        <v>42569</v>
      </c>
      <c r="G3653" cm="1">
        <f t="array" ref="G3653">PRODUCT( _xlfn._xlws.FILTER($E:$E, ($C:$C=C3653)*($F:$F=F3653)) ) - 1</f>
        <v>3.869193719977515E-3</v>
      </c>
    </row>
    <row r="3654" spans="1:7" x14ac:dyDescent="0.2">
      <c r="A3654" s="1">
        <v>42570</v>
      </c>
      <c r="B3654">
        <v>0</v>
      </c>
      <c r="C3654" t="s">
        <v>13</v>
      </c>
      <c r="D3654">
        <v>-8.7500000000000002E-4</v>
      </c>
      <c r="E3654">
        <f t="shared" si="114"/>
        <v>0.99912500000000004</v>
      </c>
      <c r="F3654" s="1">
        <f t="shared" si="115"/>
        <v>42569</v>
      </c>
      <c r="G3654" cm="1">
        <f t="array" ref="G3654">PRODUCT( _xlfn._xlws.FILTER($E:$E, ($C:$C=C3654)*($F:$F=F3654)) ) - 1</f>
        <v>3.869193719977515E-3</v>
      </c>
    </row>
    <row r="3655" spans="1:7" x14ac:dyDescent="0.2">
      <c r="A3655" s="1">
        <v>42571</v>
      </c>
      <c r="B3655">
        <v>0</v>
      </c>
      <c r="C3655" t="s">
        <v>13</v>
      </c>
      <c r="D3655">
        <v>9.757E-3</v>
      </c>
      <c r="E3655">
        <f t="shared" si="114"/>
        <v>1.009757</v>
      </c>
      <c r="F3655" s="1">
        <f t="shared" si="115"/>
        <v>42569</v>
      </c>
      <c r="G3655" cm="1">
        <f t="array" ref="G3655">PRODUCT( _xlfn._xlws.FILTER($E:$E, ($C:$C=C3655)*($F:$F=F3655)) ) - 1</f>
        <v>3.869193719977515E-3</v>
      </c>
    </row>
    <row r="3656" spans="1:7" x14ac:dyDescent="0.2">
      <c r="A3656" s="1">
        <v>42572</v>
      </c>
      <c r="B3656">
        <v>0</v>
      </c>
      <c r="C3656" t="s">
        <v>13</v>
      </c>
      <c r="D3656">
        <v>-4.2119999999999996E-3</v>
      </c>
      <c r="E3656">
        <f t="shared" si="114"/>
        <v>0.99578800000000001</v>
      </c>
      <c r="F3656" s="1">
        <f t="shared" si="115"/>
        <v>42569</v>
      </c>
      <c r="G3656" cm="1">
        <f t="array" ref="G3656">PRODUCT( _xlfn._xlws.FILTER($E:$E, ($C:$C=C3656)*($F:$F=F3656)) ) - 1</f>
        <v>3.869193719977515E-3</v>
      </c>
    </row>
    <row r="3657" spans="1:7" x14ac:dyDescent="0.2">
      <c r="A3657" s="1">
        <v>42573</v>
      </c>
      <c r="B3657">
        <v>0</v>
      </c>
      <c r="C3657" t="s">
        <v>13</v>
      </c>
      <c r="D3657">
        <v>3.7300000000000001E-4</v>
      </c>
      <c r="E3657">
        <f t="shared" si="114"/>
        <v>1.000373</v>
      </c>
      <c r="F3657" s="1">
        <f t="shared" si="115"/>
        <v>42569</v>
      </c>
      <c r="G3657" cm="1">
        <f t="array" ref="G3657">PRODUCT( _xlfn._xlws.FILTER($E:$E, ($C:$C=C3657)*($F:$F=F3657)) ) - 1</f>
        <v>3.869193719977515E-3</v>
      </c>
    </row>
    <row r="3658" spans="1:7" x14ac:dyDescent="0.2">
      <c r="A3658" s="1">
        <v>42576</v>
      </c>
      <c r="B3658">
        <v>0</v>
      </c>
      <c r="C3658" t="s">
        <v>13</v>
      </c>
      <c r="D3658">
        <v>3.392E-3</v>
      </c>
      <c r="E3658">
        <f t="shared" si="114"/>
        <v>1.0033920000000001</v>
      </c>
      <c r="F3658" s="1">
        <f t="shared" si="115"/>
        <v>42576</v>
      </c>
      <c r="G3658" cm="1">
        <f t="array" ref="G3658">PRODUCT( _xlfn._xlws.FILTER($E:$E, ($C:$C=C3658)*($F:$F=F3658)) ) - 1</f>
        <v>-1.270516006716127E-4</v>
      </c>
    </row>
    <row r="3659" spans="1:7" x14ac:dyDescent="0.2">
      <c r="A3659" s="1">
        <v>42577</v>
      </c>
      <c r="B3659">
        <v>0</v>
      </c>
      <c r="C3659" t="s">
        <v>13</v>
      </c>
      <c r="D3659">
        <v>6.7609999999999996E-3</v>
      </c>
      <c r="E3659">
        <f t="shared" si="114"/>
        <v>1.006761</v>
      </c>
      <c r="F3659" s="1">
        <f t="shared" si="115"/>
        <v>42576</v>
      </c>
      <c r="G3659" cm="1">
        <f t="array" ref="G3659">PRODUCT( _xlfn._xlws.FILTER($E:$E, ($C:$C=C3659)*($F:$F=F3659)) ) - 1</f>
        <v>-1.270516006716127E-4</v>
      </c>
    </row>
    <row r="3660" spans="1:7" x14ac:dyDescent="0.2">
      <c r="A3660" s="1">
        <v>42578</v>
      </c>
      <c r="B3660">
        <v>0</v>
      </c>
      <c r="C3660" t="s">
        <v>13</v>
      </c>
      <c r="D3660">
        <v>-1.2187999999999999E-2</v>
      </c>
      <c r="E3660">
        <f t="shared" si="114"/>
        <v>0.98781200000000002</v>
      </c>
      <c r="F3660" s="1">
        <f t="shared" si="115"/>
        <v>42576</v>
      </c>
      <c r="G3660" cm="1">
        <f t="array" ref="G3660">PRODUCT( _xlfn._xlws.FILTER($E:$E, ($C:$C=C3660)*($F:$F=F3660)) ) - 1</f>
        <v>-1.270516006716127E-4</v>
      </c>
    </row>
    <row r="3661" spans="1:7" x14ac:dyDescent="0.2">
      <c r="A3661" s="1">
        <v>42579</v>
      </c>
      <c r="B3661">
        <v>0</v>
      </c>
      <c r="C3661" t="s">
        <v>13</v>
      </c>
      <c r="D3661">
        <v>4.28E-3</v>
      </c>
      <c r="E3661">
        <f t="shared" si="114"/>
        <v>1.0042800000000001</v>
      </c>
      <c r="F3661" s="1">
        <f t="shared" si="115"/>
        <v>42576</v>
      </c>
      <c r="G3661" cm="1">
        <f t="array" ref="G3661">PRODUCT( _xlfn._xlws.FILTER($E:$E, ($C:$C=C3661)*($F:$F=F3661)) ) - 1</f>
        <v>-1.270516006716127E-4</v>
      </c>
    </row>
    <row r="3662" spans="1:7" x14ac:dyDescent="0.2">
      <c r="A3662" s="1">
        <v>42580</v>
      </c>
      <c r="B3662">
        <v>0</v>
      </c>
      <c r="C3662" t="s">
        <v>13</v>
      </c>
      <c r="D3662">
        <v>-2.2569999999999999E-3</v>
      </c>
      <c r="E3662">
        <f t="shared" si="114"/>
        <v>0.99774300000000005</v>
      </c>
      <c r="F3662" s="1">
        <f t="shared" si="115"/>
        <v>42576</v>
      </c>
      <c r="G3662" cm="1">
        <f t="array" ref="G3662">PRODUCT( _xlfn._xlws.FILTER($E:$E, ($C:$C=C3662)*($F:$F=F3662)) ) - 1</f>
        <v>-1.270516006716127E-4</v>
      </c>
    </row>
    <row r="3663" spans="1:7" x14ac:dyDescent="0.2">
      <c r="A3663" s="1">
        <v>42584</v>
      </c>
      <c r="B3663">
        <v>0</v>
      </c>
      <c r="C3663" t="s">
        <v>13</v>
      </c>
      <c r="D3663">
        <v>-1.1936E-2</v>
      </c>
      <c r="E3663">
        <f t="shared" si="114"/>
        <v>0.98806400000000005</v>
      </c>
      <c r="F3663" s="1">
        <f t="shared" si="115"/>
        <v>42583</v>
      </c>
      <c r="G3663" cm="1">
        <f t="array" ref="G3663">PRODUCT( _xlfn._xlws.FILTER($E:$E, ($C:$C=C3663)*($F:$F=F3663)) ) - 1</f>
        <v>-1.6331790244596966E-3</v>
      </c>
    </row>
    <row r="3664" spans="1:7" x14ac:dyDescent="0.2">
      <c r="A3664" s="1">
        <v>42585</v>
      </c>
      <c r="B3664">
        <v>0</v>
      </c>
      <c r="C3664" t="s">
        <v>13</v>
      </c>
      <c r="D3664">
        <v>1.9070000000000001E-3</v>
      </c>
      <c r="E3664">
        <f t="shared" si="114"/>
        <v>1.0019070000000001</v>
      </c>
      <c r="F3664" s="1">
        <f t="shared" si="115"/>
        <v>42583</v>
      </c>
      <c r="G3664" cm="1">
        <f t="array" ref="G3664">PRODUCT( _xlfn._xlws.FILTER($E:$E, ($C:$C=C3664)*($F:$F=F3664)) ) - 1</f>
        <v>-1.6331790244596966E-3</v>
      </c>
    </row>
    <row r="3665" spans="1:7" x14ac:dyDescent="0.2">
      <c r="A3665" s="1">
        <v>42586</v>
      </c>
      <c r="B3665">
        <v>0</v>
      </c>
      <c r="C3665" t="s">
        <v>13</v>
      </c>
      <c r="D3665">
        <v>1.27E-4</v>
      </c>
      <c r="E3665">
        <f t="shared" si="114"/>
        <v>1.000127</v>
      </c>
      <c r="F3665" s="1">
        <f t="shared" si="115"/>
        <v>42583</v>
      </c>
      <c r="G3665" cm="1">
        <f t="array" ref="G3665">PRODUCT( _xlfn._xlws.FILTER($E:$E, ($C:$C=C3665)*($F:$F=F3665)) ) - 1</f>
        <v>-1.6331790244596966E-3</v>
      </c>
    </row>
    <row r="3666" spans="1:7" x14ac:dyDescent="0.2">
      <c r="A3666" s="1">
        <v>42587</v>
      </c>
      <c r="B3666">
        <v>0</v>
      </c>
      <c r="C3666" t="s">
        <v>13</v>
      </c>
      <c r="D3666">
        <v>8.3759999999999998E-3</v>
      </c>
      <c r="E3666">
        <f t="shared" si="114"/>
        <v>1.0083759999999999</v>
      </c>
      <c r="F3666" s="1">
        <f t="shared" si="115"/>
        <v>42583</v>
      </c>
      <c r="G3666" cm="1">
        <f t="array" ref="G3666">PRODUCT( _xlfn._xlws.FILTER($E:$E, ($C:$C=C3666)*($F:$F=F3666)) ) - 1</f>
        <v>-1.6331790244596966E-3</v>
      </c>
    </row>
    <row r="3667" spans="1:7" x14ac:dyDescent="0.2">
      <c r="A3667" s="1">
        <v>42590</v>
      </c>
      <c r="B3667">
        <v>0</v>
      </c>
      <c r="C3667" t="s">
        <v>13</v>
      </c>
      <c r="D3667">
        <v>5.1599999999999997E-3</v>
      </c>
      <c r="E3667">
        <f t="shared" si="114"/>
        <v>1.0051600000000001</v>
      </c>
      <c r="F3667" s="1">
        <f t="shared" si="115"/>
        <v>42590</v>
      </c>
      <c r="G3667" cm="1">
        <f t="array" ref="G3667">PRODUCT( _xlfn._xlws.FILTER($E:$E, ($C:$C=C3667)*($F:$F=F3667)) ) - 1</f>
        <v>8.6832227390365446E-3</v>
      </c>
    </row>
    <row r="3668" spans="1:7" x14ac:dyDescent="0.2">
      <c r="A3668" s="1">
        <v>42591</v>
      </c>
      <c r="B3668">
        <v>0</v>
      </c>
      <c r="C3668" t="s">
        <v>13</v>
      </c>
      <c r="D3668">
        <v>4.3819999999999996E-3</v>
      </c>
      <c r="E3668">
        <f t="shared" si="114"/>
        <v>1.0043820000000001</v>
      </c>
      <c r="F3668" s="1">
        <f t="shared" si="115"/>
        <v>42590</v>
      </c>
      <c r="G3668" cm="1">
        <f t="array" ref="G3668">PRODUCT( _xlfn._xlws.FILTER($E:$E, ($C:$C=C3668)*($F:$F=F3668)) ) - 1</f>
        <v>8.6832227390365446E-3</v>
      </c>
    </row>
    <row r="3669" spans="1:7" x14ac:dyDescent="0.2">
      <c r="A3669" s="1">
        <v>42592</v>
      </c>
      <c r="B3669">
        <v>0</v>
      </c>
      <c r="C3669" t="s">
        <v>13</v>
      </c>
      <c r="D3669">
        <v>2.4899999999999998E-4</v>
      </c>
      <c r="E3669">
        <f t="shared" si="114"/>
        <v>1.0002489999999999</v>
      </c>
      <c r="F3669" s="1">
        <f t="shared" si="115"/>
        <v>42590</v>
      </c>
      <c r="G3669" cm="1">
        <f t="array" ref="G3669">PRODUCT( _xlfn._xlws.FILTER($E:$E, ($C:$C=C3669)*($F:$F=F3669)) ) - 1</f>
        <v>8.6832227390365446E-3</v>
      </c>
    </row>
    <row r="3670" spans="1:7" x14ac:dyDescent="0.2">
      <c r="A3670" s="1">
        <v>42593</v>
      </c>
      <c r="B3670">
        <v>0</v>
      </c>
      <c r="C3670" t="s">
        <v>13</v>
      </c>
      <c r="D3670">
        <v>2.617E-3</v>
      </c>
      <c r="E3670">
        <f t="shared" si="114"/>
        <v>1.0026170000000001</v>
      </c>
      <c r="F3670" s="1">
        <f t="shared" si="115"/>
        <v>42590</v>
      </c>
      <c r="G3670" cm="1">
        <f t="array" ref="G3670">PRODUCT( _xlfn._xlws.FILTER($E:$E, ($C:$C=C3670)*($F:$F=F3670)) ) - 1</f>
        <v>8.6832227390365446E-3</v>
      </c>
    </row>
    <row r="3671" spans="1:7" x14ac:dyDescent="0.2">
      <c r="A3671" s="1">
        <v>42594</v>
      </c>
      <c r="B3671">
        <v>0</v>
      </c>
      <c r="C3671" t="s">
        <v>13</v>
      </c>
      <c r="D3671">
        <v>-3.7290000000000001E-3</v>
      </c>
      <c r="E3671">
        <f t="shared" si="114"/>
        <v>0.99627100000000002</v>
      </c>
      <c r="F3671" s="1">
        <f t="shared" si="115"/>
        <v>42590</v>
      </c>
      <c r="G3671" cm="1">
        <f t="array" ref="G3671">PRODUCT( _xlfn._xlws.FILTER($E:$E, ($C:$C=C3671)*($F:$F=F3671)) ) - 1</f>
        <v>8.6832227390365446E-3</v>
      </c>
    </row>
    <row r="3672" spans="1:7" x14ac:dyDescent="0.2">
      <c r="A3672" s="1">
        <v>42597</v>
      </c>
      <c r="B3672">
        <v>0</v>
      </c>
      <c r="C3672" t="s">
        <v>13</v>
      </c>
      <c r="D3672">
        <v>1.25E-4</v>
      </c>
      <c r="E3672">
        <f t="shared" si="114"/>
        <v>1.0001249999999999</v>
      </c>
      <c r="F3672" s="1">
        <f t="shared" si="115"/>
        <v>42597</v>
      </c>
      <c r="G3672" cm="1">
        <f t="array" ref="G3672">PRODUCT( _xlfn._xlws.FILTER($E:$E, ($C:$C=C3672)*($F:$F=F3672)) ) - 1</f>
        <v>1.0106371985720841E-2</v>
      </c>
    </row>
    <row r="3673" spans="1:7" x14ac:dyDescent="0.2">
      <c r="A3673" s="1">
        <v>42598</v>
      </c>
      <c r="B3673">
        <v>0</v>
      </c>
      <c r="C3673" t="s">
        <v>13</v>
      </c>
      <c r="D3673">
        <v>-2.745E-3</v>
      </c>
      <c r="E3673">
        <f t="shared" si="114"/>
        <v>0.997255</v>
      </c>
      <c r="F3673" s="1">
        <f t="shared" si="115"/>
        <v>42597</v>
      </c>
      <c r="G3673" cm="1">
        <f t="array" ref="G3673">PRODUCT( _xlfn._xlws.FILTER($E:$E, ($C:$C=C3673)*($F:$F=F3673)) ) - 1</f>
        <v>1.0106371985720841E-2</v>
      </c>
    </row>
    <row r="3674" spans="1:7" x14ac:dyDescent="0.2">
      <c r="A3674" s="1">
        <v>42599</v>
      </c>
      <c r="B3674">
        <v>0</v>
      </c>
      <c r="C3674" t="s">
        <v>13</v>
      </c>
      <c r="D3674">
        <v>5.0039999999999998E-3</v>
      </c>
      <c r="E3674">
        <f t="shared" si="114"/>
        <v>1.005004</v>
      </c>
      <c r="F3674" s="1">
        <f t="shared" si="115"/>
        <v>42597</v>
      </c>
      <c r="G3674" cm="1">
        <f t="array" ref="G3674">PRODUCT( _xlfn._xlws.FILTER($E:$E, ($C:$C=C3674)*($F:$F=F3674)) ) - 1</f>
        <v>1.0106371985720841E-2</v>
      </c>
    </row>
    <row r="3675" spans="1:7" x14ac:dyDescent="0.2">
      <c r="A3675" s="1">
        <v>42600</v>
      </c>
      <c r="B3675">
        <v>0</v>
      </c>
      <c r="C3675" t="s">
        <v>13</v>
      </c>
      <c r="D3675">
        <v>-2.4889999999999999E-3</v>
      </c>
      <c r="E3675">
        <f t="shared" si="114"/>
        <v>0.99751100000000004</v>
      </c>
      <c r="F3675" s="1">
        <f t="shared" si="115"/>
        <v>42597</v>
      </c>
      <c r="G3675" cm="1">
        <f t="array" ref="G3675">PRODUCT( _xlfn._xlws.FILTER($E:$E, ($C:$C=C3675)*($F:$F=F3675)) ) - 1</f>
        <v>1.0106371985720841E-2</v>
      </c>
    </row>
    <row r="3676" spans="1:7" x14ac:dyDescent="0.2">
      <c r="A3676" s="1">
        <v>42601</v>
      </c>
      <c r="B3676">
        <v>0</v>
      </c>
      <c r="C3676" t="s">
        <v>13</v>
      </c>
      <c r="D3676">
        <v>1.0232E-2</v>
      </c>
      <c r="E3676">
        <f t="shared" si="114"/>
        <v>1.010232</v>
      </c>
      <c r="F3676" s="1">
        <f t="shared" si="115"/>
        <v>42597</v>
      </c>
      <c r="G3676" cm="1">
        <f t="array" ref="G3676">PRODUCT( _xlfn._xlws.FILTER($E:$E, ($C:$C=C3676)*($F:$F=F3676)) ) - 1</f>
        <v>1.0106371985720841E-2</v>
      </c>
    </row>
    <row r="3677" spans="1:7" x14ac:dyDescent="0.2">
      <c r="A3677" s="1">
        <v>42604</v>
      </c>
      <c r="B3677">
        <v>0</v>
      </c>
      <c r="C3677" t="s">
        <v>13</v>
      </c>
      <c r="D3677">
        <v>1.359E-3</v>
      </c>
      <c r="E3677">
        <f t="shared" si="114"/>
        <v>1.0013590000000001</v>
      </c>
      <c r="F3677" s="1">
        <f t="shared" si="115"/>
        <v>42604</v>
      </c>
      <c r="G3677" cm="1">
        <f t="array" ref="G3677">PRODUCT( _xlfn._xlws.FILTER($E:$E, ($C:$C=C3677)*($F:$F=F3677)) ) - 1</f>
        <v>7.163886282907983E-3</v>
      </c>
    </row>
    <row r="3678" spans="1:7" x14ac:dyDescent="0.2">
      <c r="A3678" s="1">
        <v>42605</v>
      </c>
      <c r="B3678">
        <v>0</v>
      </c>
      <c r="C3678" t="s">
        <v>13</v>
      </c>
      <c r="D3678">
        <v>1.4309000000000001E-2</v>
      </c>
      <c r="E3678">
        <f t="shared" si="114"/>
        <v>1.0143089999999999</v>
      </c>
      <c r="F3678" s="1">
        <f t="shared" si="115"/>
        <v>42604</v>
      </c>
      <c r="G3678" cm="1">
        <f t="array" ref="G3678">PRODUCT( _xlfn._xlws.FILTER($E:$E, ($C:$C=C3678)*($F:$F=F3678)) ) - 1</f>
        <v>7.163886282907983E-3</v>
      </c>
    </row>
    <row r="3679" spans="1:7" x14ac:dyDescent="0.2">
      <c r="A3679" s="1">
        <v>42606</v>
      </c>
      <c r="B3679">
        <v>0</v>
      </c>
      <c r="C3679" t="s">
        <v>13</v>
      </c>
      <c r="D3679">
        <v>-4.4999999999999997E-3</v>
      </c>
      <c r="E3679">
        <f t="shared" si="114"/>
        <v>0.99550000000000005</v>
      </c>
      <c r="F3679" s="1">
        <f t="shared" si="115"/>
        <v>42604</v>
      </c>
      <c r="G3679" cm="1">
        <f t="array" ref="G3679">PRODUCT( _xlfn._xlws.FILTER($E:$E, ($C:$C=C3679)*($F:$F=F3679)) ) - 1</f>
        <v>7.163886282907983E-3</v>
      </c>
    </row>
    <row r="3680" spans="1:7" x14ac:dyDescent="0.2">
      <c r="A3680" s="1">
        <v>42607</v>
      </c>
      <c r="B3680">
        <v>0</v>
      </c>
      <c r="C3680" t="s">
        <v>13</v>
      </c>
      <c r="D3680">
        <v>-5.986E-3</v>
      </c>
      <c r="E3680">
        <f t="shared" si="114"/>
        <v>0.99401399999999995</v>
      </c>
      <c r="F3680" s="1">
        <f t="shared" si="115"/>
        <v>42604</v>
      </c>
      <c r="G3680" cm="1">
        <f t="array" ref="G3680">PRODUCT( _xlfn._xlws.FILTER($E:$E, ($C:$C=C3680)*($F:$F=F3680)) ) - 1</f>
        <v>7.163886282907983E-3</v>
      </c>
    </row>
    <row r="3681" spans="1:7" x14ac:dyDescent="0.2">
      <c r="A3681" s="1">
        <v>42608</v>
      </c>
      <c r="B3681">
        <v>0</v>
      </c>
      <c r="C3681" t="s">
        <v>13</v>
      </c>
      <c r="D3681">
        <v>2.0890000000000001E-3</v>
      </c>
      <c r="E3681">
        <f t="shared" si="114"/>
        <v>1.002089</v>
      </c>
      <c r="F3681" s="1">
        <f t="shared" si="115"/>
        <v>42604</v>
      </c>
      <c r="G3681" cm="1">
        <f t="array" ref="G3681">PRODUCT( _xlfn._xlws.FILTER($E:$E, ($C:$C=C3681)*($F:$F=F3681)) ) - 1</f>
        <v>7.163886282907983E-3</v>
      </c>
    </row>
    <row r="3682" spans="1:7" x14ac:dyDescent="0.2">
      <c r="A3682" s="1">
        <v>42611</v>
      </c>
      <c r="B3682">
        <v>0</v>
      </c>
      <c r="C3682" t="s">
        <v>13</v>
      </c>
      <c r="D3682">
        <v>2.575E-3</v>
      </c>
      <c r="E3682">
        <f t="shared" si="114"/>
        <v>1.002575</v>
      </c>
      <c r="F3682" s="1">
        <f t="shared" si="115"/>
        <v>42611</v>
      </c>
      <c r="G3682" cm="1">
        <f t="array" ref="G3682">PRODUCT( _xlfn._xlws.FILTER($E:$E, ($C:$C=C3682)*($F:$F=F3682)) ) - 1</f>
        <v>-4.9186155825065025E-4</v>
      </c>
    </row>
    <row r="3683" spans="1:7" x14ac:dyDescent="0.2">
      <c r="A3683" s="1">
        <v>42612</v>
      </c>
      <c r="B3683">
        <v>0</v>
      </c>
      <c r="C3683" t="s">
        <v>13</v>
      </c>
      <c r="D3683">
        <v>4.8899999999999996E-4</v>
      </c>
      <c r="E3683">
        <f t="shared" si="114"/>
        <v>1.000489</v>
      </c>
      <c r="F3683" s="1">
        <f t="shared" si="115"/>
        <v>42611</v>
      </c>
      <c r="G3683" cm="1">
        <f t="array" ref="G3683">PRODUCT( _xlfn._xlws.FILTER($E:$E, ($C:$C=C3683)*($F:$F=F3683)) ) - 1</f>
        <v>-4.9186155825065025E-4</v>
      </c>
    </row>
    <row r="3684" spans="1:7" x14ac:dyDescent="0.2">
      <c r="A3684" s="1">
        <v>42613</v>
      </c>
      <c r="B3684">
        <v>0</v>
      </c>
      <c r="C3684" t="s">
        <v>13</v>
      </c>
      <c r="D3684">
        <v>-3.179E-3</v>
      </c>
      <c r="E3684">
        <f t="shared" si="114"/>
        <v>0.99682099999999996</v>
      </c>
      <c r="F3684" s="1">
        <f t="shared" si="115"/>
        <v>42611</v>
      </c>
      <c r="G3684" cm="1">
        <f t="array" ref="G3684">PRODUCT( _xlfn._xlws.FILTER($E:$E, ($C:$C=C3684)*($F:$F=F3684)) ) - 1</f>
        <v>-4.9186155825065025E-4</v>
      </c>
    </row>
    <row r="3685" spans="1:7" x14ac:dyDescent="0.2">
      <c r="A3685" s="1">
        <v>42614</v>
      </c>
      <c r="B3685">
        <v>0</v>
      </c>
      <c r="C3685" t="s">
        <v>13</v>
      </c>
      <c r="D3685">
        <v>-8.5899999999999995E-4</v>
      </c>
      <c r="E3685">
        <f t="shared" si="114"/>
        <v>0.99914099999999995</v>
      </c>
      <c r="F3685" s="1">
        <f t="shared" si="115"/>
        <v>42611</v>
      </c>
      <c r="G3685" cm="1">
        <f t="array" ref="G3685">PRODUCT( _xlfn._xlws.FILTER($E:$E, ($C:$C=C3685)*($F:$F=F3685)) ) - 1</f>
        <v>-4.9186155825065025E-4</v>
      </c>
    </row>
    <row r="3686" spans="1:7" x14ac:dyDescent="0.2">
      <c r="A3686" s="1">
        <v>42615</v>
      </c>
      <c r="B3686">
        <v>0</v>
      </c>
      <c r="C3686" t="s">
        <v>13</v>
      </c>
      <c r="D3686">
        <v>4.9100000000000001E-4</v>
      </c>
      <c r="E3686">
        <f t="shared" si="114"/>
        <v>1.000491</v>
      </c>
      <c r="F3686" s="1">
        <f t="shared" si="115"/>
        <v>42611</v>
      </c>
      <c r="G3686" cm="1">
        <f t="array" ref="G3686">PRODUCT( _xlfn._xlws.FILTER($E:$E, ($C:$C=C3686)*($F:$F=F3686)) ) - 1</f>
        <v>-4.9186155825065025E-4</v>
      </c>
    </row>
    <row r="3687" spans="1:7" x14ac:dyDescent="0.2">
      <c r="A3687" s="1">
        <v>42619</v>
      </c>
      <c r="B3687">
        <v>0</v>
      </c>
      <c r="C3687" t="s">
        <v>13</v>
      </c>
      <c r="D3687">
        <v>1.227E-3</v>
      </c>
      <c r="E3687">
        <f t="shared" si="114"/>
        <v>1.0012270000000001</v>
      </c>
      <c r="F3687" s="1">
        <f t="shared" si="115"/>
        <v>42618</v>
      </c>
      <c r="G3687" cm="1">
        <f t="array" ref="G3687">PRODUCT( _xlfn._xlws.FILTER($E:$E, ($C:$C=C3687)*($F:$F=F3687)) ) - 1</f>
        <v>-9.569877488805445E-3</v>
      </c>
    </row>
    <row r="3688" spans="1:7" x14ac:dyDescent="0.2">
      <c r="A3688" s="1">
        <v>42620</v>
      </c>
      <c r="B3688">
        <v>0</v>
      </c>
      <c r="C3688" t="s">
        <v>13</v>
      </c>
      <c r="D3688">
        <v>-2.696E-3</v>
      </c>
      <c r="E3688">
        <f t="shared" si="114"/>
        <v>0.99730399999999997</v>
      </c>
      <c r="F3688" s="1">
        <f t="shared" si="115"/>
        <v>42618</v>
      </c>
      <c r="G3688" cm="1">
        <f t="array" ref="G3688">PRODUCT( _xlfn._xlws.FILTER($E:$E, ($C:$C=C3688)*($F:$F=F3688)) ) - 1</f>
        <v>-9.569877488805445E-3</v>
      </c>
    </row>
    <row r="3689" spans="1:7" x14ac:dyDescent="0.2">
      <c r="A3689" s="1">
        <v>42621</v>
      </c>
      <c r="B3689">
        <v>0</v>
      </c>
      <c r="C3689" t="s">
        <v>13</v>
      </c>
      <c r="D3689">
        <v>-3.9319999999999997E-3</v>
      </c>
      <c r="E3689">
        <f t="shared" si="114"/>
        <v>0.99606799999999995</v>
      </c>
      <c r="F3689" s="1">
        <f t="shared" si="115"/>
        <v>42618</v>
      </c>
      <c r="G3689" cm="1">
        <f t="array" ref="G3689">PRODUCT( _xlfn._xlws.FILTER($E:$E, ($C:$C=C3689)*($F:$F=F3689)) ) - 1</f>
        <v>-9.569877488805445E-3</v>
      </c>
    </row>
    <row r="3690" spans="1:7" x14ac:dyDescent="0.2">
      <c r="A3690" s="1">
        <v>42622</v>
      </c>
      <c r="B3690">
        <v>0</v>
      </c>
      <c r="C3690" t="s">
        <v>13</v>
      </c>
      <c r="D3690">
        <v>-4.1939999999999998E-3</v>
      </c>
      <c r="E3690">
        <f t="shared" si="114"/>
        <v>0.99580599999999997</v>
      </c>
      <c r="F3690" s="1">
        <f t="shared" si="115"/>
        <v>42618</v>
      </c>
      <c r="G3690" cm="1">
        <f t="array" ref="G3690">PRODUCT( _xlfn._xlws.FILTER($E:$E, ($C:$C=C3690)*($F:$F=F3690)) ) - 1</f>
        <v>-9.569877488805445E-3</v>
      </c>
    </row>
    <row r="3691" spans="1:7" x14ac:dyDescent="0.2">
      <c r="A3691" s="1">
        <v>42625</v>
      </c>
      <c r="B3691">
        <v>0</v>
      </c>
      <c r="C3691" t="s">
        <v>13</v>
      </c>
      <c r="D3691">
        <v>-2.4800000000000001E-4</v>
      </c>
      <c r="E3691">
        <f t="shared" si="114"/>
        <v>0.99975199999999997</v>
      </c>
      <c r="F3691" s="1">
        <f t="shared" si="115"/>
        <v>42625</v>
      </c>
      <c r="G3691" cm="1">
        <f t="array" ref="G3691">PRODUCT( _xlfn._xlws.FILTER($E:$E, ($C:$C=C3691)*($F:$F=F3691)) ) - 1</f>
        <v>4.9503788236382462E-4</v>
      </c>
    </row>
    <row r="3692" spans="1:7" x14ac:dyDescent="0.2">
      <c r="A3692" s="1">
        <v>42626</v>
      </c>
      <c r="B3692">
        <v>0</v>
      </c>
      <c r="C3692" t="s">
        <v>13</v>
      </c>
      <c r="D3692">
        <v>-6.4440000000000001E-3</v>
      </c>
      <c r="E3692">
        <f t="shared" si="114"/>
        <v>0.99355599999999999</v>
      </c>
      <c r="F3692" s="1">
        <f t="shared" si="115"/>
        <v>42625</v>
      </c>
      <c r="G3692" cm="1">
        <f t="array" ref="G3692">PRODUCT( _xlfn._xlws.FILTER($E:$E, ($C:$C=C3692)*($F:$F=F3692)) ) - 1</f>
        <v>4.9503788236382462E-4</v>
      </c>
    </row>
    <row r="3693" spans="1:7" x14ac:dyDescent="0.2">
      <c r="A3693" s="1">
        <v>42627</v>
      </c>
      <c r="B3693">
        <v>0</v>
      </c>
      <c r="C3693" t="s">
        <v>13</v>
      </c>
      <c r="D3693">
        <v>-8.7299999999999997E-4</v>
      </c>
      <c r="E3693">
        <f t="shared" si="114"/>
        <v>0.99912699999999999</v>
      </c>
      <c r="F3693" s="1">
        <f t="shared" si="115"/>
        <v>42625</v>
      </c>
      <c r="G3693" cm="1">
        <f t="array" ref="G3693">PRODUCT( _xlfn._xlws.FILTER($E:$E, ($C:$C=C3693)*($F:$F=F3693)) ) - 1</f>
        <v>4.9503788236382462E-4</v>
      </c>
    </row>
    <row r="3694" spans="1:7" x14ac:dyDescent="0.2">
      <c r="A3694" s="1">
        <v>42628</v>
      </c>
      <c r="B3694">
        <v>0</v>
      </c>
      <c r="C3694" t="s">
        <v>13</v>
      </c>
      <c r="D3694">
        <v>1.5604E-2</v>
      </c>
      <c r="E3694">
        <f t="shared" si="114"/>
        <v>1.015604</v>
      </c>
      <c r="F3694" s="1">
        <f t="shared" si="115"/>
        <v>42625</v>
      </c>
      <c r="G3694" cm="1">
        <f t="array" ref="G3694">PRODUCT( _xlfn._xlws.FILTER($E:$E, ($C:$C=C3694)*($F:$F=F3694)) ) - 1</f>
        <v>4.9503788236382462E-4</v>
      </c>
    </row>
    <row r="3695" spans="1:7" x14ac:dyDescent="0.2">
      <c r="A3695" s="1">
        <v>42629</v>
      </c>
      <c r="B3695">
        <v>0</v>
      </c>
      <c r="C3695" t="s">
        <v>13</v>
      </c>
      <c r="D3695">
        <v>-7.3749999999999996E-3</v>
      </c>
      <c r="E3695">
        <f t="shared" si="114"/>
        <v>0.99262499999999998</v>
      </c>
      <c r="F3695" s="1">
        <f t="shared" si="115"/>
        <v>42625</v>
      </c>
      <c r="G3695" cm="1">
        <f t="array" ref="G3695">PRODUCT( _xlfn._xlws.FILTER($E:$E, ($C:$C=C3695)*($F:$F=F3695)) ) - 1</f>
        <v>4.9503788236382462E-4</v>
      </c>
    </row>
    <row r="3696" spans="1:7" x14ac:dyDescent="0.2">
      <c r="A3696" s="1">
        <v>42632</v>
      </c>
      <c r="B3696">
        <v>0</v>
      </c>
      <c r="C3696" t="s">
        <v>13</v>
      </c>
      <c r="D3696">
        <v>0</v>
      </c>
      <c r="E3696">
        <f t="shared" si="114"/>
        <v>1</v>
      </c>
      <c r="F3696" s="1">
        <f t="shared" si="115"/>
        <v>42632</v>
      </c>
      <c r="G3696" cm="1">
        <f t="array" ref="G3696">PRODUCT( _xlfn._xlws.FILTER($E:$E, ($C:$C=C3696)*($F:$F=F3696)) ) - 1</f>
        <v>7.925140949966325E-3</v>
      </c>
    </row>
    <row r="3697" spans="1:7" x14ac:dyDescent="0.2">
      <c r="A3697" s="1">
        <v>42633</v>
      </c>
      <c r="B3697">
        <v>0</v>
      </c>
      <c r="C3697" t="s">
        <v>13</v>
      </c>
      <c r="D3697">
        <v>3.715E-3</v>
      </c>
      <c r="E3697">
        <f t="shared" si="114"/>
        <v>1.0037149999999999</v>
      </c>
      <c r="F3697" s="1">
        <f t="shared" si="115"/>
        <v>42632</v>
      </c>
      <c r="G3697" cm="1">
        <f t="array" ref="G3697">PRODUCT( _xlfn._xlws.FILTER($E:$E, ($C:$C=C3697)*($F:$F=F3697)) ) - 1</f>
        <v>7.925140949966325E-3</v>
      </c>
    </row>
    <row r="3698" spans="1:7" x14ac:dyDescent="0.2">
      <c r="A3698" s="1">
        <v>42634</v>
      </c>
      <c r="B3698">
        <v>0</v>
      </c>
      <c r="C3698" t="s">
        <v>13</v>
      </c>
      <c r="D3698">
        <v>6.6620000000000004E-3</v>
      </c>
      <c r="E3698">
        <f t="shared" si="114"/>
        <v>1.0066619999999999</v>
      </c>
      <c r="F3698" s="1">
        <f t="shared" si="115"/>
        <v>42632</v>
      </c>
      <c r="G3698" cm="1">
        <f t="array" ref="G3698">PRODUCT( _xlfn._xlws.FILTER($E:$E, ($C:$C=C3698)*($F:$F=F3698)) ) - 1</f>
        <v>7.925140949966325E-3</v>
      </c>
    </row>
    <row r="3699" spans="1:7" x14ac:dyDescent="0.2">
      <c r="A3699" s="1">
        <v>42635</v>
      </c>
      <c r="B3699">
        <v>0</v>
      </c>
      <c r="C3699" t="s">
        <v>13</v>
      </c>
      <c r="D3699">
        <v>3.431E-3</v>
      </c>
      <c r="E3699">
        <f t="shared" si="114"/>
        <v>1.003431</v>
      </c>
      <c r="F3699" s="1">
        <f t="shared" si="115"/>
        <v>42632</v>
      </c>
      <c r="G3699" cm="1">
        <f t="array" ref="G3699">PRODUCT( _xlfn._xlws.FILTER($E:$E, ($C:$C=C3699)*($F:$F=F3699)) ) - 1</f>
        <v>7.925140949966325E-3</v>
      </c>
    </row>
    <row r="3700" spans="1:7" x14ac:dyDescent="0.2">
      <c r="A3700" s="1">
        <v>42636</v>
      </c>
      <c r="B3700">
        <v>0</v>
      </c>
      <c r="C3700" t="s">
        <v>13</v>
      </c>
      <c r="D3700">
        <v>-5.862E-3</v>
      </c>
      <c r="E3700">
        <f t="shared" si="114"/>
        <v>0.99413799999999997</v>
      </c>
      <c r="F3700" s="1">
        <f t="shared" si="115"/>
        <v>42632</v>
      </c>
      <c r="G3700" cm="1">
        <f t="array" ref="G3700">PRODUCT( _xlfn._xlws.FILTER($E:$E, ($C:$C=C3700)*($F:$F=F3700)) ) - 1</f>
        <v>7.925140949966325E-3</v>
      </c>
    </row>
    <row r="3701" spans="1:7" x14ac:dyDescent="0.2">
      <c r="A3701" s="1">
        <v>42639</v>
      </c>
      <c r="B3701">
        <v>0</v>
      </c>
      <c r="C3701" t="s">
        <v>13</v>
      </c>
      <c r="D3701">
        <v>-6.2649999999999997E-3</v>
      </c>
      <c r="E3701">
        <f t="shared" si="114"/>
        <v>0.99373500000000003</v>
      </c>
      <c r="F3701" s="1">
        <f t="shared" si="115"/>
        <v>42639</v>
      </c>
      <c r="G3701" cm="1">
        <f t="array" ref="G3701">PRODUCT( _xlfn._xlws.FILTER($E:$E, ($C:$C=C3701)*($F:$F=F3701)) ) - 1</f>
        <v>-1.7192213578760551E-3</v>
      </c>
    </row>
    <row r="3702" spans="1:7" x14ac:dyDescent="0.2">
      <c r="A3702" s="1">
        <v>42640</v>
      </c>
      <c r="B3702">
        <v>0</v>
      </c>
      <c r="C3702" t="s">
        <v>13</v>
      </c>
      <c r="D3702">
        <v>-1.7309999999999999E-3</v>
      </c>
      <c r="E3702">
        <f t="shared" si="114"/>
        <v>0.99826899999999996</v>
      </c>
      <c r="F3702" s="1">
        <f t="shared" si="115"/>
        <v>42639</v>
      </c>
      <c r="G3702" cm="1">
        <f t="array" ref="G3702">PRODUCT( _xlfn._xlws.FILTER($E:$E, ($C:$C=C3702)*($F:$F=F3702)) ) - 1</f>
        <v>-1.7192213578760551E-3</v>
      </c>
    </row>
    <row r="3703" spans="1:7" x14ac:dyDescent="0.2">
      <c r="A3703" s="1">
        <v>42641</v>
      </c>
      <c r="B3703">
        <v>0</v>
      </c>
      <c r="C3703" t="s">
        <v>13</v>
      </c>
      <c r="D3703">
        <v>8.7930000000000005E-3</v>
      </c>
      <c r="E3703">
        <f t="shared" si="114"/>
        <v>1.0087930000000001</v>
      </c>
      <c r="F3703" s="1">
        <f t="shared" si="115"/>
        <v>42639</v>
      </c>
      <c r="G3703" cm="1">
        <f t="array" ref="G3703">PRODUCT( _xlfn._xlws.FILTER($E:$E, ($C:$C=C3703)*($F:$F=F3703)) ) - 1</f>
        <v>-1.7192213578760551E-3</v>
      </c>
    </row>
    <row r="3704" spans="1:7" x14ac:dyDescent="0.2">
      <c r="A3704" s="1">
        <v>42642</v>
      </c>
      <c r="B3704">
        <v>0</v>
      </c>
      <c r="C3704" t="s">
        <v>13</v>
      </c>
      <c r="D3704">
        <v>-2.823E-3</v>
      </c>
      <c r="E3704">
        <f t="shared" si="114"/>
        <v>0.99717699999999998</v>
      </c>
      <c r="F3704" s="1">
        <f t="shared" si="115"/>
        <v>42639</v>
      </c>
      <c r="G3704" cm="1">
        <f t="array" ref="G3704">PRODUCT( _xlfn._xlws.FILTER($E:$E, ($C:$C=C3704)*($F:$F=F3704)) ) - 1</f>
        <v>-1.7192213578760551E-3</v>
      </c>
    </row>
    <row r="3705" spans="1:7" x14ac:dyDescent="0.2">
      <c r="A3705" s="1">
        <v>42643</v>
      </c>
      <c r="B3705">
        <v>0</v>
      </c>
      <c r="C3705" t="s">
        <v>13</v>
      </c>
      <c r="D3705">
        <v>3.6900000000000002E-4</v>
      </c>
      <c r="E3705">
        <f t="shared" si="114"/>
        <v>1.0003690000000001</v>
      </c>
      <c r="F3705" s="1">
        <f t="shared" si="115"/>
        <v>42639</v>
      </c>
      <c r="G3705" cm="1">
        <f t="array" ref="G3705">PRODUCT( _xlfn._xlws.FILTER($E:$E, ($C:$C=C3705)*($F:$F=F3705)) ) - 1</f>
        <v>-1.7192213578760551E-3</v>
      </c>
    </row>
    <row r="3706" spans="1:7" x14ac:dyDescent="0.2">
      <c r="A3706" s="1">
        <v>42646</v>
      </c>
      <c r="B3706">
        <v>0</v>
      </c>
      <c r="C3706" t="s">
        <v>13</v>
      </c>
      <c r="D3706">
        <v>-3.8149999999999998E-3</v>
      </c>
      <c r="E3706">
        <f t="shared" si="114"/>
        <v>0.99618499999999999</v>
      </c>
      <c r="F3706" s="1">
        <f t="shared" si="115"/>
        <v>42646</v>
      </c>
      <c r="G3706" cm="1">
        <f t="array" ref="G3706">PRODUCT( _xlfn._xlws.FILTER($E:$E, ($C:$C=C3706)*($F:$F=F3706)) ) - 1</f>
        <v>7.8765225577623887E-3</v>
      </c>
    </row>
    <row r="3707" spans="1:7" x14ac:dyDescent="0.2">
      <c r="A3707" s="1">
        <v>42647</v>
      </c>
      <c r="B3707">
        <v>0</v>
      </c>
      <c r="C3707" t="s">
        <v>13</v>
      </c>
      <c r="D3707">
        <v>2.4710000000000001E-3</v>
      </c>
      <c r="E3707">
        <f t="shared" si="114"/>
        <v>1.0024709999999999</v>
      </c>
      <c r="F3707" s="1">
        <f t="shared" si="115"/>
        <v>42646</v>
      </c>
      <c r="G3707" cm="1">
        <f t="array" ref="G3707">PRODUCT( _xlfn._xlws.FILTER($E:$E, ($C:$C=C3707)*($F:$F=F3707)) ) - 1</f>
        <v>7.8765225577623887E-3</v>
      </c>
    </row>
    <row r="3708" spans="1:7" x14ac:dyDescent="0.2">
      <c r="A3708" s="1">
        <v>42648</v>
      </c>
      <c r="B3708">
        <v>0</v>
      </c>
      <c r="C3708" t="s">
        <v>13</v>
      </c>
      <c r="D3708">
        <v>5.7920000000000003E-3</v>
      </c>
      <c r="E3708">
        <f t="shared" si="114"/>
        <v>1.005792</v>
      </c>
      <c r="F3708" s="1">
        <f t="shared" si="115"/>
        <v>42646</v>
      </c>
      <c r="G3708" cm="1">
        <f t="array" ref="G3708">PRODUCT( _xlfn._xlws.FILTER($E:$E, ($C:$C=C3708)*($F:$F=F3708)) ) - 1</f>
        <v>7.8765225577623887E-3</v>
      </c>
    </row>
    <row r="3709" spans="1:7" x14ac:dyDescent="0.2">
      <c r="A3709" s="1">
        <v>42649</v>
      </c>
      <c r="B3709">
        <v>0</v>
      </c>
      <c r="C3709" t="s">
        <v>13</v>
      </c>
      <c r="D3709">
        <v>6.1260000000000004E-3</v>
      </c>
      <c r="E3709">
        <f t="shared" si="114"/>
        <v>1.0061260000000001</v>
      </c>
      <c r="F3709" s="1">
        <f t="shared" si="115"/>
        <v>42646</v>
      </c>
      <c r="G3709" cm="1">
        <f t="array" ref="G3709">PRODUCT( _xlfn._xlws.FILTER($E:$E, ($C:$C=C3709)*($F:$F=F3709)) ) - 1</f>
        <v>7.8765225577623887E-3</v>
      </c>
    </row>
    <row r="3710" spans="1:7" x14ac:dyDescent="0.2">
      <c r="A3710" s="1">
        <v>42650</v>
      </c>
      <c r="B3710">
        <v>0</v>
      </c>
      <c r="C3710" t="s">
        <v>13</v>
      </c>
      <c r="D3710">
        <v>-2.679E-3</v>
      </c>
      <c r="E3710">
        <f t="shared" si="114"/>
        <v>0.99732100000000001</v>
      </c>
      <c r="F3710" s="1">
        <f t="shared" si="115"/>
        <v>42646</v>
      </c>
      <c r="G3710" cm="1">
        <f t="array" ref="G3710">PRODUCT( _xlfn._xlws.FILTER($E:$E, ($C:$C=C3710)*($F:$F=F3710)) ) - 1</f>
        <v>7.8765225577623887E-3</v>
      </c>
    </row>
    <row r="3711" spans="1:7" x14ac:dyDescent="0.2">
      <c r="A3711" s="1">
        <v>42654</v>
      </c>
      <c r="B3711">
        <v>0</v>
      </c>
      <c r="C3711" t="s">
        <v>13</v>
      </c>
      <c r="D3711">
        <v>1.5870000000000001E-3</v>
      </c>
      <c r="E3711">
        <f t="shared" si="114"/>
        <v>1.001587</v>
      </c>
      <c r="F3711" s="1">
        <f t="shared" si="115"/>
        <v>42653</v>
      </c>
      <c r="G3711" cm="1">
        <f t="array" ref="G3711">PRODUCT( _xlfn._xlws.FILTER($E:$E, ($C:$C=C3711)*($F:$F=F3711)) ) - 1</f>
        <v>8.6681567646618163E-3</v>
      </c>
    </row>
    <row r="3712" spans="1:7" x14ac:dyDescent="0.2">
      <c r="A3712" s="1">
        <v>42655</v>
      </c>
      <c r="B3712">
        <v>0</v>
      </c>
      <c r="C3712" t="s">
        <v>13</v>
      </c>
      <c r="D3712">
        <v>9.7499999999999996E-4</v>
      </c>
      <c r="E3712">
        <f t="shared" si="114"/>
        <v>1.0009749999999999</v>
      </c>
      <c r="F3712" s="1">
        <f t="shared" si="115"/>
        <v>42653</v>
      </c>
      <c r="G3712" cm="1">
        <f t="array" ref="G3712">PRODUCT( _xlfn._xlws.FILTER($E:$E, ($C:$C=C3712)*($F:$F=F3712)) ) - 1</f>
        <v>8.6681567646618163E-3</v>
      </c>
    </row>
    <row r="3713" spans="1:7" x14ac:dyDescent="0.2">
      <c r="A3713" s="1">
        <v>42656</v>
      </c>
      <c r="B3713">
        <v>0</v>
      </c>
      <c r="C3713" t="s">
        <v>13</v>
      </c>
      <c r="D3713">
        <v>6.0889999999999998E-3</v>
      </c>
      <c r="E3713">
        <f t="shared" si="114"/>
        <v>1.006089</v>
      </c>
      <c r="F3713" s="1">
        <f t="shared" si="115"/>
        <v>42653</v>
      </c>
      <c r="G3713" cm="1">
        <f t="array" ref="G3713">PRODUCT( _xlfn._xlws.FILTER($E:$E, ($C:$C=C3713)*($F:$F=F3713)) ) - 1</f>
        <v>8.6681567646618163E-3</v>
      </c>
    </row>
    <row r="3714" spans="1:7" x14ac:dyDescent="0.2">
      <c r="A3714" s="1">
        <v>42657</v>
      </c>
      <c r="B3714">
        <v>0</v>
      </c>
      <c r="C3714" t="s">
        <v>13</v>
      </c>
      <c r="D3714">
        <v>0</v>
      </c>
      <c r="E3714">
        <f t="shared" si="114"/>
        <v>1</v>
      </c>
      <c r="F3714" s="1">
        <f t="shared" si="115"/>
        <v>42653</v>
      </c>
      <c r="G3714" cm="1">
        <f t="array" ref="G3714">PRODUCT( _xlfn._xlws.FILTER($E:$E, ($C:$C=C3714)*($F:$F=F3714)) ) - 1</f>
        <v>8.6681567646618163E-3</v>
      </c>
    </row>
    <row r="3715" spans="1:7" x14ac:dyDescent="0.2">
      <c r="A3715" s="1">
        <v>42660</v>
      </c>
      <c r="B3715">
        <v>0</v>
      </c>
      <c r="C3715" t="s">
        <v>13</v>
      </c>
      <c r="D3715">
        <v>2.0579999999999999E-3</v>
      </c>
      <c r="E3715">
        <f t="shared" si="114"/>
        <v>1.0020579999999999</v>
      </c>
      <c r="F3715" s="1">
        <f t="shared" si="115"/>
        <v>42660</v>
      </c>
      <c r="G3715" cm="1">
        <f t="array" ref="G3715">PRODUCT( _xlfn._xlws.FILTER($E:$E, ($C:$C=C3715)*($F:$F=F3715)) ) - 1</f>
        <v>2.2877685182125518E-2</v>
      </c>
    </row>
    <row r="3716" spans="1:7" x14ac:dyDescent="0.2">
      <c r="A3716" s="1">
        <v>42661</v>
      </c>
      <c r="B3716">
        <v>0</v>
      </c>
      <c r="C3716" t="s">
        <v>13</v>
      </c>
      <c r="D3716">
        <v>9.0600000000000003E-3</v>
      </c>
      <c r="E3716">
        <f t="shared" ref="E3716:E3779" si="116">D3716+1</f>
        <v>1.0090600000000001</v>
      </c>
      <c r="F3716" s="1">
        <f t="shared" ref="F3716:F3779" si="117">A3716 - (WEEKDAY(A3716, 2) - 1)</f>
        <v>42660</v>
      </c>
      <c r="G3716" cm="1">
        <f t="array" ref="G3716">PRODUCT( _xlfn._xlws.FILTER($E:$E, ($C:$C=C3716)*($F:$F=F3716)) ) - 1</f>
        <v>2.2877685182125518E-2</v>
      </c>
    </row>
    <row r="3717" spans="1:7" x14ac:dyDescent="0.2">
      <c r="A3717" s="1">
        <v>42662</v>
      </c>
      <c r="B3717">
        <v>0</v>
      </c>
      <c r="C3717" t="s">
        <v>13</v>
      </c>
      <c r="D3717">
        <v>1.676E-3</v>
      </c>
      <c r="E3717">
        <f t="shared" si="116"/>
        <v>1.001676</v>
      </c>
      <c r="F3717" s="1">
        <f t="shared" si="117"/>
        <v>42660</v>
      </c>
      <c r="G3717" cm="1">
        <f t="array" ref="G3717">PRODUCT( _xlfn._xlws.FILTER($E:$E, ($C:$C=C3717)*($F:$F=F3717)) ) - 1</f>
        <v>2.2877685182125518E-2</v>
      </c>
    </row>
    <row r="3718" spans="1:7" x14ac:dyDescent="0.2">
      <c r="A3718" s="1">
        <v>42663</v>
      </c>
      <c r="B3718">
        <v>0</v>
      </c>
      <c r="C3718" t="s">
        <v>13</v>
      </c>
      <c r="D3718">
        <v>3.107E-3</v>
      </c>
      <c r="E3718">
        <f t="shared" si="116"/>
        <v>1.003107</v>
      </c>
      <c r="F3718" s="1">
        <f t="shared" si="117"/>
        <v>42660</v>
      </c>
      <c r="G3718" cm="1">
        <f t="array" ref="G3718">PRODUCT( _xlfn._xlws.FILTER($E:$E, ($C:$C=C3718)*($F:$F=F3718)) ) - 1</f>
        <v>2.2877685182125518E-2</v>
      </c>
    </row>
    <row r="3719" spans="1:7" x14ac:dyDescent="0.2">
      <c r="A3719" s="1">
        <v>42664</v>
      </c>
      <c r="B3719">
        <v>0</v>
      </c>
      <c r="C3719" t="s">
        <v>13</v>
      </c>
      <c r="D3719">
        <v>6.7910000000000002E-3</v>
      </c>
      <c r="E3719">
        <f t="shared" si="116"/>
        <v>1.006791</v>
      </c>
      <c r="F3719" s="1">
        <f t="shared" si="117"/>
        <v>42660</v>
      </c>
      <c r="G3719" cm="1">
        <f t="array" ref="G3719">PRODUCT( _xlfn._xlws.FILTER($E:$E, ($C:$C=C3719)*($F:$F=F3719)) ) - 1</f>
        <v>2.2877685182125518E-2</v>
      </c>
    </row>
    <row r="3720" spans="1:7" x14ac:dyDescent="0.2">
      <c r="A3720" s="1">
        <v>42667</v>
      </c>
      <c r="B3720">
        <v>0</v>
      </c>
      <c r="C3720" t="s">
        <v>13</v>
      </c>
      <c r="D3720">
        <v>1.42E-3</v>
      </c>
      <c r="E3720">
        <f t="shared" si="116"/>
        <v>1.00142</v>
      </c>
      <c r="F3720" s="1">
        <f t="shared" si="117"/>
        <v>42667</v>
      </c>
      <c r="G3720" cm="1">
        <f t="array" ref="G3720">PRODUCT( _xlfn._xlws.FILTER($E:$E, ($C:$C=C3720)*($F:$F=F3720)) ) - 1</f>
        <v>5.8245300150727708E-4</v>
      </c>
    </row>
    <row r="3721" spans="1:7" x14ac:dyDescent="0.2">
      <c r="A3721" s="1">
        <v>42668</v>
      </c>
      <c r="B3721">
        <v>0</v>
      </c>
      <c r="C3721" t="s">
        <v>13</v>
      </c>
      <c r="D3721">
        <v>-3.7000000000000002E-3</v>
      </c>
      <c r="E3721">
        <f t="shared" si="116"/>
        <v>0.99629999999999996</v>
      </c>
      <c r="F3721" s="1">
        <f t="shared" si="117"/>
        <v>42667</v>
      </c>
      <c r="G3721" cm="1">
        <f t="array" ref="G3721">PRODUCT( _xlfn._xlws.FILTER($E:$E, ($C:$C=C3721)*($F:$F=F3721)) ) - 1</f>
        <v>5.8245300150727708E-4</v>
      </c>
    </row>
    <row r="3722" spans="1:7" x14ac:dyDescent="0.2">
      <c r="A3722" s="1">
        <v>42669</v>
      </c>
      <c r="B3722">
        <v>0</v>
      </c>
      <c r="C3722" t="s">
        <v>13</v>
      </c>
      <c r="D3722">
        <v>2.036E-3</v>
      </c>
      <c r="E3722">
        <f t="shared" si="116"/>
        <v>1.0020359999999999</v>
      </c>
      <c r="F3722" s="1">
        <f t="shared" si="117"/>
        <v>42667</v>
      </c>
      <c r="G3722" cm="1">
        <f t="array" ref="G3722">PRODUCT( _xlfn._xlws.FILTER($E:$E, ($C:$C=C3722)*($F:$F=F3722)) ) - 1</f>
        <v>5.8245300150727708E-4</v>
      </c>
    </row>
    <row r="3723" spans="1:7" x14ac:dyDescent="0.2">
      <c r="A3723" s="1">
        <v>42670</v>
      </c>
      <c r="B3723">
        <v>0</v>
      </c>
      <c r="C3723" t="s">
        <v>13</v>
      </c>
      <c r="D3723">
        <v>1.1950000000000001E-3</v>
      </c>
      <c r="E3723">
        <f t="shared" si="116"/>
        <v>1.0011950000000001</v>
      </c>
      <c r="F3723" s="1">
        <f t="shared" si="117"/>
        <v>42667</v>
      </c>
      <c r="G3723" cm="1">
        <f t="array" ref="G3723">PRODUCT( _xlfn._xlws.FILTER($E:$E, ($C:$C=C3723)*($F:$F=F3723)) ) - 1</f>
        <v>5.8245300150727708E-4</v>
      </c>
    </row>
    <row r="3724" spans="1:7" x14ac:dyDescent="0.2">
      <c r="A3724" s="1">
        <v>42671</v>
      </c>
      <c r="B3724">
        <v>0</v>
      </c>
      <c r="C3724" t="s">
        <v>13</v>
      </c>
      <c r="D3724">
        <v>-3.5799999999999997E-4</v>
      </c>
      <c r="E3724">
        <f t="shared" si="116"/>
        <v>0.99964200000000003</v>
      </c>
      <c r="F3724" s="1">
        <f t="shared" si="117"/>
        <v>42667</v>
      </c>
      <c r="G3724" cm="1">
        <f t="array" ref="G3724">PRODUCT( _xlfn._xlws.FILTER($E:$E, ($C:$C=C3724)*($F:$F=F3724)) ) - 1</f>
        <v>5.8245300150727708E-4</v>
      </c>
    </row>
    <row r="3725" spans="1:7" x14ac:dyDescent="0.2">
      <c r="A3725" s="1">
        <v>42674</v>
      </c>
      <c r="B3725">
        <v>0</v>
      </c>
      <c r="C3725" t="s">
        <v>13</v>
      </c>
      <c r="D3725">
        <v>9.5600000000000004E-4</v>
      </c>
      <c r="E3725">
        <f t="shared" si="116"/>
        <v>1.000956</v>
      </c>
      <c r="F3725" s="1">
        <f t="shared" si="117"/>
        <v>42674</v>
      </c>
      <c r="G3725" cm="1">
        <f t="array" ref="G3725">PRODUCT( _xlfn._xlws.FILTER($E:$E, ($C:$C=C3725)*($F:$F=F3725)) ) - 1</f>
        <v>-1.9827654862517474E-2</v>
      </c>
    </row>
    <row r="3726" spans="1:7" x14ac:dyDescent="0.2">
      <c r="A3726" s="1">
        <v>42675</v>
      </c>
      <c r="B3726">
        <v>0</v>
      </c>
      <c r="C3726" t="s">
        <v>13</v>
      </c>
      <c r="D3726">
        <v>-6.9210000000000001E-3</v>
      </c>
      <c r="E3726">
        <f t="shared" si="116"/>
        <v>0.99307900000000005</v>
      </c>
      <c r="F3726" s="1">
        <f t="shared" si="117"/>
        <v>42674</v>
      </c>
      <c r="G3726" cm="1">
        <f t="array" ref="G3726">PRODUCT( _xlfn._xlws.FILTER($E:$E, ($C:$C=C3726)*($F:$F=F3726)) ) - 1</f>
        <v>-1.9827654862517474E-2</v>
      </c>
    </row>
    <row r="3727" spans="1:7" x14ac:dyDescent="0.2">
      <c r="A3727" s="1">
        <v>42676</v>
      </c>
      <c r="B3727">
        <v>0</v>
      </c>
      <c r="C3727" t="s">
        <v>13</v>
      </c>
      <c r="D3727">
        <v>-7.6899999999999998E-3</v>
      </c>
      <c r="E3727">
        <f t="shared" si="116"/>
        <v>0.99231000000000003</v>
      </c>
      <c r="F3727" s="1">
        <f t="shared" si="117"/>
        <v>42674</v>
      </c>
      <c r="G3727" cm="1">
        <f t="array" ref="G3727">PRODUCT( _xlfn._xlws.FILTER($E:$E, ($C:$C=C3727)*($F:$F=F3727)) ) - 1</f>
        <v>-1.9827654862517474E-2</v>
      </c>
    </row>
    <row r="3728" spans="1:7" x14ac:dyDescent="0.2">
      <c r="A3728" s="1">
        <v>42677</v>
      </c>
      <c r="B3728">
        <v>0</v>
      </c>
      <c r="C3728" t="s">
        <v>13</v>
      </c>
      <c r="D3728">
        <v>1.8159999999999999E-3</v>
      </c>
      <c r="E3728">
        <f t="shared" si="116"/>
        <v>1.001816</v>
      </c>
      <c r="F3728" s="1">
        <f t="shared" si="117"/>
        <v>42674</v>
      </c>
      <c r="G3728" cm="1">
        <f t="array" ref="G3728">PRODUCT( _xlfn._xlws.FILTER($E:$E, ($C:$C=C3728)*($F:$F=F3728)) ) - 1</f>
        <v>-1.9827654862517474E-2</v>
      </c>
    </row>
    <row r="3729" spans="1:7" x14ac:dyDescent="0.2">
      <c r="A3729" s="1">
        <v>42678</v>
      </c>
      <c r="B3729">
        <v>0</v>
      </c>
      <c r="C3729" t="s">
        <v>13</v>
      </c>
      <c r="D3729">
        <v>-8.0990000000000003E-3</v>
      </c>
      <c r="E3729">
        <f t="shared" si="116"/>
        <v>0.99190100000000003</v>
      </c>
      <c r="F3729" s="1">
        <f t="shared" si="117"/>
        <v>42674</v>
      </c>
      <c r="G3729" cm="1">
        <f t="array" ref="G3729">PRODUCT( _xlfn._xlws.FILTER($E:$E, ($C:$C=C3729)*($F:$F=F3729)) ) - 1</f>
        <v>-1.9827654862517474E-2</v>
      </c>
    </row>
    <row r="3730" spans="1:7" x14ac:dyDescent="0.2">
      <c r="A3730" s="1">
        <v>42681</v>
      </c>
      <c r="B3730">
        <v>0</v>
      </c>
      <c r="C3730" t="s">
        <v>13</v>
      </c>
      <c r="D3730">
        <v>1.243E-2</v>
      </c>
      <c r="E3730">
        <f t="shared" si="116"/>
        <v>1.0124299999999999</v>
      </c>
      <c r="F3730" s="1">
        <f t="shared" si="117"/>
        <v>42681</v>
      </c>
      <c r="G3730" cm="1">
        <f t="array" ref="G3730">PRODUCT( _xlfn._xlws.FILTER($E:$E, ($C:$C=C3730)*($F:$F=F3730)) ) - 1</f>
        <v>4.7771081031280138E-2</v>
      </c>
    </row>
    <row r="3731" spans="1:7" x14ac:dyDescent="0.2">
      <c r="A3731" s="1">
        <v>42682</v>
      </c>
      <c r="B3731">
        <v>0</v>
      </c>
      <c r="C3731" t="s">
        <v>13</v>
      </c>
      <c r="D3731">
        <v>5.176E-3</v>
      </c>
      <c r="E3731">
        <f t="shared" si="116"/>
        <v>1.0051760000000001</v>
      </c>
      <c r="F3731" s="1">
        <f t="shared" si="117"/>
        <v>42681</v>
      </c>
      <c r="G3731" cm="1">
        <f t="array" ref="G3731">PRODUCT( _xlfn._xlws.FILTER($E:$E, ($C:$C=C3731)*($F:$F=F3731)) ) - 1</f>
        <v>4.7771081031280138E-2</v>
      </c>
    </row>
    <row r="3732" spans="1:7" x14ac:dyDescent="0.2">
      <c r="A3732" s="1">
        <v>42683</v>
      </c>
      <c r="B3732">
        <v>0</v>
      </c>
      <c r="C3732" t="s">
        <v>13</v>
      </c>
      <c r="D3732">
        <v>9.9389999999999999E-3</v>
      </c>
      <c r="E3732">
        <f t="shared" si="116"/>
        <v>1.0099389999999999</v>
      </c>
      <c r="F3732" s="1">
        <f t="shared" si="117"/>
        <v>42681</v>
      </c>
      <c r="G3732" cm="1">
        <f t="array" ref="G3732">PRODUCT( _xlfn._xlws.FILTER($E:$E, ($C:$C=C3732)*($F:$F=F3732)) ) - 1</f>
        <v>4.7771081031280138E-2</v>
      </c>
    </row>
    <row r="3733" spans="1:7" x14ac:dyDescent="0.2">
      <c r="A3733" s="1">
        <v>42684</v>
      </c>
      <c r="B3733">
        <v>0</v>
      </c>
      <c r="C3733" t="s">
        <v>13</v>
      </c>
      <c r="D3733">
        <v>1.7073999999999999E-2</v>
      </c>
      <c r="E3733">
        <f t="shared" si="116"/>
        <v>1.017074</v>
      </c>
      <c r="F3733" s="1">
        <f t="shared" si="117"/>
        <v>42681</v>
      </c>
      <c r="G3733" cm="1">
        <f t="array" ref="G3733">PRODUCT( _xlfn._xlws.FILTER($E:$E, ($C:$C=C3733)*($F:$F=F3733)) ) - 1</f>
        <v>4.7771081031280138E-2</v>
      </c>
    </row>
    <row r="3734" spans="1:7" x14ac:dyDescent="0.2">
      <c r="A3734" s="1">
        <v>42685</v>
      </c>
      <c r="B3734">
        <v>0</v>
      </c>
      <c r="C3734" t="s">
        <v>13</v>
      </c>
      <c r="D3734">
        <v>2.3319999999999999E-3</v>
      </c>
      <c r="E3734">
        <f t="shared" si="116"/>
        <v>1.002332</v>
      </c>
      <c r="F3734" s="1">
        <f t="shared" si="117"/>
        <v>42681</v>
      </c>
      <c r="G3734" cm="1">
        <f t="array" ref="G3734">PRODUCT( _xlfn._xlws.FILTER($E:$E, ($C:$C=C3734)*($F:$F=F3734)) ) - 1</f>
        <v>4.7771081031280138E-2</v>
      </c>
    </row>
    <row r="3735" spans="1:7" x14ac:dyDescent="0.2">
      <c r="A3735" s="1">
        <v>42688</v>
      </c>
      <c r="B3735">
        <v>0</v>
      </c>
      <c r="C3735" t="s">
        <v>13</v>
      </c>
      <c r="D3735">
        <v>7.5599999999999999E-3</v>
      </c>
      <c r="E3735">
        <f t="shared" si="116"/>
        <v>1.00756</v>
      </c>
      <c r="F3735" s="1">
        <f t="shared" si="117"/>
        <v>42688</v>
      </c>
      <c r="G3735" cm="1">
        <f t="array" ref="G3735">PRODUCT( _xlfn._xlws.FILTER($E:$E, ($C:$C=C3735)*($F:$F=F3735)) ) - 1</f>
        <v>1.5003328001310212E-2</v>
      </c>
    </row>
    <row r="3736" spans="1:7" x14ac:dyDescent="0.2">
      <c r="A3736" s="1">
        <v>42689</v>
      </c>
      <c r="B3736">
        <v>0</v>
      </c>
      <c r="C3736" t="s">
        <v>13</v>
      </c>
      <c r="D3736">
        <v>-7.0410000000000004E-3</v>
      </c>
      <c r="E3736">
        <f t="shared" si="116"/>
        <v>0.99295900000000004</v>
      </c>
      <c r="F3736" s="1">
        <f t="shared" si="117"/>
        <v>42688</v>
      </c>
      <c r="G3736" cm="1">
        <f t="array" ref="G3736">PRODUCT( _xlfn._xlws.FILTER($E:$E, ($C:$C=C3736)*($F:$F=F3736)) ) - 1</f>
        <v>1.5003328001310212E-2</v>
      </c>
    </row>
    <row r="3737" spans="1:7" x14ac:dyDescent="0.2">
      <c r="A3737" s="1">
        <v>42690</v>
      </c>
      <c r="B3737">
        <v>0</v>
      </c>
      <c r="C3737" t="s">
        <v>13</v>
      </c>
      <c r="D3737">
        <v>1.16E-4</v>
      </c>
      <c r="E3737">
        <f t="shared" si="116"/>
        <v>1.000116</v>
      </c>
      <c r="F3737" s="1">
        <f t="shared" si="117"/>
        <v>42688</v>
      </c>
      <c r="G3737" cm="1">
        <f t="array" ref="G3737">PRODUCT( _xlfn._xlws.FILTER($E:$E, ($C:$C=C3737)*($F:$F=F3737)) ) - 1</f>
        <v>1.5003328001310212E-2</v>
      </c>
    </row>
    <row r="3738" spans="1:7" x14ac:dyDescent="0.2">
      <c r="A3738" s="1">
        <v>42691</v>
      </c>
      <c r="B3738">
        <v>0</v>
      </c>
      <c r="C3738" t="s">
        <v>13</v>
      </c>
      <c r="D3738">
        <v>9.299E-3</v>
      </c>
      <c r="E3738">
        <f t="shared" si="116"/>
        <v>1.0092989999999999</v>
      </c>
      <c r="F3738" s="1">
        <f t="shared" si="117"/>
        <v>42688</v>
      </c>
      <c r="G3738" cm="1">
        <f t="array" ref="G3738">PRODUCT( _xlfn._xlws.FILTER($E:$E, ($C:$C=C3738)*($F:$F=F3738)) ) - 1</f>
        <v>1.5003328001310212E-2</v>
      </c>
    </row>
    <row r="3739" spans="1:7" x14ac:dyDescent="0.2">
      <c r="A3739" s="1">
        <v>42692</v>
      </c>
      <c r="B3739">
        <v>0</v>
      </c>
      <c r="C3739" t="s">
        <v>13</v>
      </c>
      <c r="D3739">
        <v>5.0670000000000003E-3</v>
      </c>
      <c r="E3739">
        <f t="shared" si="116"/>
        <v>1.0050669999999999</v>
      </c>
      <c r="F3739" s="1">
        <f t="shared" si="117"/>
        <v>42688</v>
      </c>
      <c r="G3739" cm="1">
        <f t="array" ref="G3739">PRODUCT( _xlfn._xlws.FILTER($E:$E, ($C:$C=C3739)*($F:$F=F3739)) ) - 1</f>
        <v>1.5003328001310212E-2</v>
      </c>
    </row>
    <row r="3740" spans="1:7" x14ac:dyDescent="0.2">
      <c r="A3740" s="1">
        <v>42695</v>
      </c>
      <c r="B3740">
        <v>0</v>
      </c>
      <c r="C3740" t="s">
        <v>13</v>
      </c>
      <c r="D3740">
        <v>1.9251000000000001E-2</v>
      </c>
      <c r="E3740">
        <f t="shared" si="116"/>
        <v>1.0192509999999999</v>
      </c>
      <c r="F3740" s="1">
        <f t="shared" si="117"/>
        <v>42695</v>
      </c>
      <c r="G3740" cm="1">
        <f t="array" ref="G3740">PRODUCT( _xlfn._xlws.FILTER($E:$E, ($C:$C=C3740)*($F:$F=F3740)) ) - 1</f>
        <v>2.8188928043042516E-2</v>
      </c>
    </row>
    <row r="3741" spans="1:7" x14ac:dyDescent="0.2">
      <c r="A3741" s="1">
        <v>42696</v>
      </c>
      <c r="B3741">
        <v>0</v>
      </c>
      <c r="C3741" t="s">
        <v>13</v>
      </c>
      <c r="D3741">
        <v>3.3730000000000001E-3</v>
      </c>
      <c r="E3741">
        <f t="shared" si="116"/>
        <v>1.0033730000000001</v>
      </c>
      <c r="F3741" s="1">
        <f t="shared" si="117"/>
        <v>42695</v>
      </c>
      <c r="G3741" cm="1">
        <f t="array" ref="G3741">PRODUCT( _xlfn._xlws.FILTER($E:$E, ($C:$C=C3741)*($F:$F=F3741)) ) - 1</f>
        <v>2.8188928043042516E-2</v>
      </c>
    </row>
    <row r="3742" spans="1:7" x14ac:dyDescent="0.2">
      <c r="A3742" s="1">
        <v>42697</v>
      </c>
      <c r="B3742">
        <v>0</v>
      </c>
      <c r="C3742" t="s">
        <v>13</v>
      </c>
      <c r="D3742">
        <v>6.4989999999999996E-3</v>
      </c>
      <c r="E3742">
        <f t="shared" si="116"/>
        <v>1.006499</v>
      </c>
      <c r="F3742" s="1">
        <f t="shared" si="117"/>
        <v>42695</v>
      </c>
      <c r="G3742" cm="1">
        <f t="array" ref="G3742">PRODUCT( _xlfn._xlws.FILTER($E:$E, ($C:$C=C3742)*($F:$F=F3742)) ) - 1</f>
        <v>2.8188928043042516E-2</v>
      </c>
    </row>
    <row r="3743" spans="1:7" x14ac:dyDescent="0.2">
      <c r="A3743" s="1">
        <v>42698</v>
      </c>
      <c r="B3743">
        <v>0</v>
      </c>
      <c r="C3743" t="s">
        <v>13</v>
      </c>
      <c r="D3743">
        <v>-2.0040000000000001E-3</v>
      </c>
      <c r="E3743">
        <f t="shared" si="116"/>
        <v>0.99799599999999999</v>
      </c>
      <c r="F3743" s="1">
        <f t="shared" si="117"/>
        <v>42695</v>
      </c>
      <c r="G3743" cm="1">
        <f t="array" ref="G3743">PRODUCT( _xlfn._xlws.FILTER($E:$E, ($C:$C=C3743)*($F:$F=F3743)) ) - 1</f>
        <v>2.8188928043042516E-2</v>
      </c>
    </row>
    <row r="3744" spans="1:7" x14ac:dyDescent="0.2">
      <c r="A3744" s="1">
        <v>42699</v>
      </c>
      <c r="B3744">
        <v>0</v>
      </c>
      <c r="C3744" t="s">
        <v>13</v>
      </c>
      <c r="D3744">
        <v>8.92E-4</v>
      </c>
      <c r="E3744">
        <f t="shared" si="116"/>
        <v>1.0008919999999999</v>
      </c>
      <c r="F3744" s="1">
        <f t="shared" si="117"/>
        <v>42695</v>
      </c>
      <c r="G3744" cm="1">
        <f t="array" ref="G3744">PRODUCT( _xlfn._xlws.FILTER($E:$E, ($C:$C=C3744)*($F:$F=F3744)) ) - 1</f>
        <v>2.8188928043042516E-2</v>
      </c>
    </row>
    <row r="3745" spans="1:7" x14ac:dyDescent="0.2">
      <c r="A3745" s="1">
        <v>42702</v>
      </c>
      <c r="B3745">
        <v>0</v>
      </c>
      <c r="C3745" t="s">
        <v>13</v>
      </c>
      <c r="D3745">
        <v>-5.1269999999999996E-3</v>
      </c>
      <c r="E3745">
        <f t="shared" si="116"/>
        <v>0.99487300000000001</v>
      </c>
      <c r="F3745" s="1">
        <f t="shared" si="117"/>
        <v>42702</v>
      </c>
      <c r="G3745" cm="1">
        <f t="array" ref="G3745">PRODUCT( _xlfn._xlws.FILTER($E:$E, ($C:$C=C3745)*($F:$F=F3745)) ) - 1</f>
        <v>-2.2290409449392312E-2</v>
      </c>
    </row>
    <row r="3746" spans="1:7" x14ac:dyDescent="0.2">
      <c r="A3746" s="1">
        <v>42703</v>
      </c>
      <c r="B3746">
        <v>0</v>
      </c>
      <c r="C3746" t="s">
        <v>13</v>
      </c>
      <c r="D3746">
        <v>9.5219999999999992E-3</v>
      </c>
      <c r="E3746">
        <f t="shared" si="116"/>
        <v>1.009522</v>
      </c>
      <c r="F3746" s="1">
        <f t="shared" si="117"/>
        <v>42702</v>
      </c>
      <c r="G3746" cm="1">
        <f t="array" ref="G3746">PRODUCT( _xlfn._xlws.FILTER($E:$E, ($C:$C=C3746)*($F:$F=F3746)) ) - 1</f>
        <v>-2.2290409449392312E-2</v>
      </c>
    </row>
    <row r="3747" spans="1:7" x14ac:dyDescent="0.2">
      <c r="A3747" s="1">
        <v>42704</v>
      </c>
      <c r="B3747">
        <v>0</v>
      </c>
      <c r="C3747" t="s">
        <v>13</v>
      </c>
      <c r="D3747">
        <v>-3.3732999999999999E-2</v>
      </c>
      <c r="E3747">
        <f t="shared" si="116"/>
        <v>0.96626699999999999</v>
      </c>
      <c r="F3747" s="1">
        <f t="shared" si="117"/>
        <v>42702</v>
      </c>
      <c r="G3747" cm="1">
        <f t="array" ref="G3747">PRODUCT( _xlfn._xlws.FILTER($E:$E, ($C:$C=C3747)*($F:$F=F3747)) ) - 1</f>
        <v>-2.2290409449392312E-2</v>
      </c>
    </row>
    <row r="3748" spans="1:7" x14ac:dyDescent="0.2">
      <c r="A3748" s="1">
        <v>42705</v>
      </c>
      <c r="B3748">
        <v>0</v>
      </c>
      <c r="C3748" t="s">
        <v>13</v>
      </c>
      <c r="D3748">
        <v>2.526E-3</v>
      </c>
      <c r="E3748">
        <f t="shared" si="116"/>
        <v>1.002526</v>
      </c>
      <c r="F3748" s="1">
        <f t="shared" si="117"/>
        <v>42702</v>
      </c>
      <c r="G3748" cm="1">
        <f t="array" ref="G3748">PRODUCT( _xlfn._xlws.FILTER($E:$E, ($C:$C=C3748)*($F:$F=F3748)) ) - 1</f>
        <v>-2.2290409449392312E-2</v>
      </c>
    </row>
    <row r="3749" spans="1:7" x14ac:dyDescent="0.2">
      <c r="A3749" s="1">
        <v>42706</v>
      </c>
      <c r="B3749">
        <v>0</v>
      </c>
      <c r="C3749" t="s">
        <v>13</v>
      </c>
      <c r="D3749">
        <v>4.9249999999999997E-3</v>
      </c>
      <c r="E3749">
        <f t="shared" si="116"/>
        <v>1.0049250000000001</v>
      </c>
      <c r="F3749" s="1">
        <f t="shared" si="117"/>
        <v>42702</v>
      </c>
      <c r="G3749" cm="1">
        <f t="array" ref="G3749">PRODUCT( _xlfn._xlws.FILTER($E:$E, ($C:$C=C3749)*($F:$F=F3749)) ) - 1</f>
        <v>-2.2290409449392312E-2</v>
      </c>
    </row>
    <row r="3750" spans="1:7" x14ac:dyDescent="0.2">
      <c r="A3750" s="1">
        <v>42709</v>
      </c>
      <c r="B3750">
        <v>0</v>
      </c>
      <c r="C3750" t="s">
        <v>13</v>
      </c>
      <c r="D3750">
        <v>2.166E-3</v>
      </c>
      <c r="E3750">
        <f t="shared" si="116"/>
        <v>1.0021659999999999</v>
      </c>
      <c r="F3750" s="1">
        <f t="shared" si="117"/>
        <v>42709</v>
      </c>
      <c r="G3750" cm="1">
        <f t="array" ref="G3750">PRODUCT( _xlfn._xlws.FILTER($E:$E, ($C:$C=C3750)*($F:$F=F3750)) ) - 1</f>
        <v>2.9293774052674859E-2</v>
      </c>
    </row>
    <row r="3751" spans="1:7" x14ac:dyDescent="0.2">
      <c r="A3751" s="1">
        <v>42710</v>
      </c>
      <c r="B3751">
        <v>0</v>
      </c>
      <c r="C3751" t="s">
        <v>13</v>
      </c>
      <c r="D3751">
        <v>1.137E-3</v>
      </c>
      <c r="E3751">
        <f t="shared" si="116"/>
        <v>1.0011369999999999</v>
      </c>
      <c r="F3751" s="1">
        <f t="shared" si="117"/>
        <v>42709</v>
      </c>
      <c r="G3751" cm="1">
        <f t="array" ref="G3751">PRODUCT( _xlfn._xlws.FILTER($E:$E, ($C:$C=C3751)*($F:$F=F3751)) ) - 1</f>
        <v>2.9293774052674859E-2</v>
      </c>
    </row>
    <row r="3752" spans="1:7" x14ac:dyDescent="0.2">
      <c r="A3752" s="1">
        <v>42711</v>
      </c>
      <c r="B3752">
        <v>0</v>
      </c>
      <c r="C3752" t="s">
        <v>13</v>
      </c>
      <c r="D3752">
        <v>3.522E-3</v>
      </c>
      <c r="E3752">
        <f t="shared" si="116"/>
        <v>1.003522</v>
      </c>
      <c r="F3752" s="1">
        <f t="shared" si="117"/>
        <v>42709</v>
      </c>
      <c r="G3752" cm="1">
        <f t="array" ref="G3752">PRODUCT( _xlfn._xlws.FILTER($E:$E, ($C:$C=C3752)*($F:$F=F3752)) ) - 1</f>
        <v>2.9293774052674859E-2</v>
      </c>
    </row>
    <row r="3753" spans="1:7" x14ac:dyDescent="0.2">
      <c r="A3753" s="1">
        <v>42712</v>
      </c>
      <c r="B3753">
        <v>0</v>
      </c>
      <c r="C3753" t="s">
        <v>13</v>
      </c>
      <c r="D3753">
        <v>1.2453000000000001E-2</v>
      </c>
      <c r="E3753">
        <f t="shared" si="116"/>
        <v>1.012453</v>
      </c>
      <c r="F3753" s="1">
        <f t="shared" si="117"/>
        <v>42709</v>
      </c>
      <c r="G3753" cm="1">
        <f t="array" ref="G3753">PRODUCT( _xlfn._xlws.FILTER($E:$E, ($C:$C=C3753)*($F:$F=F3753)) ) - 1</f>
        <v>2.9293774052674859E-2</v>
      </c>
    </row>
    <row r="3754" spans="1:7" x14ac:dyDescent="0.2">
      <c r="A3754" s="1">
        <v>42713</v>
      </c>
      <c r="B3754">
        <v>0</v>
      </c>
      <c r="C3754" t="s">
        <v>13</v>
      </c>
      <c r="D3754">
        <v>9.7280000000000005E-3</v>
      </c>
      <c r="E3754">
        <f t="shared" si="116"/>
        <v>1.009728</v>
      </c>
      <c r="F3754" s="1">
        <f t="shared" si="117"/>
        <v>42709</v>
      </c>
      <c r="G3754" cm="1">
        <f t="array" ref="G3754">PRODUCT( _xlfn._xlws.FILTER($E:$E, ($C:$C=C3754)*($F:$F=F3754)) ) - 1</f>
        <v>2.9293774052674859E-2</v>
      </c>
    </row>
    <row r="3755" spans="1:7" x14ac:dyDescent="0.2">
      <c r="A3755" s="1">
        <v>42716</v>
      </c>
      <c r="B3755">
        <v>0</v>
      </c>
      <c r="C3755" t="s">
        <v>13</v>
      </c>
      <c r="D3755">
        <v>0</v>
      </c>
      <c r="E3755">
        <f t="shared" si="116"/>
        <v>1</v>
      </c>
      <c r="F3755" s="1">
        <f t="shared" si="117"/>
        <v>42716</v>
      </c>
      <c r="G3755" cm="1">
        <f t="array" ref="G3755">PRODUCT( _xlfn._xlws.FILTER($E:$E, ($C:$C=C3755)*($F:$F=F3755)) ) - 1</f>
        <v>1.4286549619746847E-2</v>
      </c>
    </row>
    <row r="3756" spans="1:7" x14ac:dyDescent="0.2">
      <c r="A3756" s="1">
        <v>42717</v>
      </c>
      <c r="B3756">
        <v>0</v>
      </c>
      <c r="C3756" t="s">
        <v>13</v>
      </c>
      <c r="D3756">
        <v>9.9670000000000002E-3</v>
      </c>
      <c r="E3756">
        <f t="shared" si="116"/>
        <v>1.0099670000000001</v>
      </c>
      <c r="F3756" s="1">
        <f t="shared" si="117"/>
        <v>42716</v>
      </c>
      <c r="G3756" cm="1">
        <f t="array" ref="G3756">PRODUCT( _xlfn._xlws.FILTER($E:$E, ($C:$C=C3756)*($F:$F=F3756)) ) - 1</f>
        <v>1.4286549619746847E-2</v>
      </c>
    </row>
    <row r="3757" spans="1:7" x14ac:dyDescent="0.2">
      <c r="A3757" s="1">
        <v>42718</v>
      </c>
      <c r="B3757">
        <v>0</v>
      </c>
      <c r="C3757" t="s">
        <v>13</v>
      </c>
      <c r="D3757">
        <v>-5.8110000000000002E-3</v>
      </c>
      <c r="E3757">
        <f t="shared" si="116"/>
        <v>0.99418899999999999</v>
      </c>
      <c r="F3757" s="1">
        <f t="shared" si="117"/>
        <v>42716</v>
      </c>
      <c r="G3757" cm="1">
        <f t="array" ref="G3757">PRODUCT( _xlfn._xlws.FILTER($E:$E, ($C:$C=C3757)*($F:$F=F3757)) ) - 1</f>
        <v>1.4286549619746847E-2</v>
      </c>
    </row>
    <row r="3758" spans="1:7" x14ac:dyDescent="0.2">
      <c r="A3758" s="1">
        <v>42719</v>
      </c>
      <c r="B3758">
        <v>0</v>
      </c>
      <c r="C3758" t="s">
        <v>13</v>
      </c>
      <c r="D3758">
        <v>9.044E-3</v>
      </c>
      <c r="E3758">
        <f t="shared" si="116"/>
        <v>1.0090440000000001</v>
      </c>
      <c r="F3758" s="1">
        <f t="shared" si="117"/>
        <v>42716</v>
      </c>
      <c r="G3758" cm="1">
        <f t="array" ref="G3758">PRODUCT( _xlfn._xlws.FILTER($E:$E, ($C:$C=C3758)*($F:$F=F3758)) ) - 1</f>
        <v>1.4286549619746847E-2</v>
      </c>
    </row>
    <row r="3759" spans="1:7" x14ac:dyDescent="0.2">
      <c r="A3759" s="1">
        <v>42720</v>
      </c>
      <c r="B3759">
        <v>0</v>
      </c>
      <c r="C3759" t="s">
        <v>13</v>
      </c>
      <c r="D3759">
        <v>1.093E-3</v>
      </c>
      <c r="E3759">
        <f t="shared" si="116"/>
        <v>1.001093</v>
      </c>
      <c r="F3759" s="1">
        <f t="shared" si="117"/>
        <v>42716</v>
      </c>
      <c r="G3759" cm="1">
        <f t="array" ref="G3759">PRODUCT( _xlfn._xlws.FILTER($E:$E, ($C:$C=C3759)*($F:$F=F3759)) ) - 1</f>
        <v>1.4286549619746847E-2</v>
      </c>
    </row>
    <row r="3760" spans="1:7" x14ac:dyDescent="0.2">
      <c r="A3760" s="1">
        <v>42723</v>
      </c>
      <c r="B3760">
        <v>0</v>
      </c>
      <c r="C3760" t="s">
        <v>13</v>
      </c>
      <c r="D3760">
        <v>2.1840000000000002E-3</v>
      </c>
      <c r="E3760">
        <f t="shared" si="116"/>
        <v>1.002184</v>
      </c>
      <c r="F3760" s="1">
        <f t="shared" si="117"/>
        <v>42723</v>
      </c>
      <c r="G3760" cm="1">
        <f t="array" ref="G3760">PRODUCT( _xlfn._xlws.FILTER($E:$E, ($C:$C=C3760)*($F:$F=F3760)) ) - 1</f>
        <v>9.8252186081748683E-4</v>
      </c>
    </row>
    <row r="3761" spans="1:7" x14ac:dyDescent="0.2">
      <c r="A3761" s="1">
        <v>42724</v>
      </c>
      <c r="B3761">
        <v>0</v>
      </c>
      <c r="C3761" t="s">
        <v>13</v>
      </c>
      <c r="D3761">
        <v>1.743E-3</v>
      </c>
      <c r="E3761">
        <f t="shared" si="116"/>
        <v>1.0017430000000001</v>
      </c>
      <c r="F3761" s="1">
        <f t="shared" si="117"/>
        <v>42723</v>
      </c>
      <c r="G3761" cm="1">
        <f t="array" ref="G3761">PRODUCT( _xlfn._xlws.FILTER($E:$E, ($C:$C=C3761)*($F:$F=F3761)) ) - 1</f>
        <v>9.8252186081748683E-4</v>
      </c>
    </row>
    <row r="3762" spans="1:7" x14ac:dyDescent="0.2">
      <c r="A3762" s="1">
        <v>42725</v>
      </c>
      <c r="B3762">
        <v>0</v>
      </c>
      <c r="C3762" t="s">
        <v>13</v>
      </c>
      <c r="D3762">
        <v>1.0900000000000001E-4</v>
      </c>
      <c r="E3762">
        <f t="shared" si="116"/>
        <v>1.0001089999999999</v>
      </c>
      <c r="F3762" s="1">
        <f t="shared" si="117"/>
        <v>42723</v>
      </c>
      <c r="G3762" cm="1">
        <f t="array" ref="G3762">PRODUCT( _xlfn._xlws.FILTER($E:$E, ($C:$C=C3762)*($F:$F=F3762)) ) - 1</f>
        <v>9.8252186081748683E-4</v>
      </c>
    </row>
    <row r="3763" spans="1:7" x14ac:dyDescent="0.2">
      <c r="A3763" s="1">
        <v>42726</v>
      </c>
      <c r="B3763">
        <v>0</v>
      </c>
      <c r="C3763" t="s">
        <v>13</v>
      </c>
      <c r="D3763">
        <v>6.5200000000000002E-4</v>
      </c>
      <c r="E3763">
        <f t="shared" si="116"/>
        <v>1.0006520000000001</v>
      </c>
      <c r="F3763" s="1">
        <f t="shared" si="117"/>
        <v>42723</v>
      </c>
      <c r="G3763" cm="1">
        <f t="array" ref="G3763">PRODUCT( _xlfn._xlws.FILTER($E:$E, ($C:$C=C3763)*($F:$F=F3763)) ) - 1</f>
        <v>9.8252186081748683E-4</v>
      </c>
    </row>
    <row r="3764" spans="1:7" x14ac:dyDescent="0.2">
      <c r="A3764" s="1">
        <v>42727</v>
      </c>
      <c r="B3764">
        <v>0</v>
      </c>
      <c r="C3764" t="s">
        <v>13</v>
      </c>
      <c r="D3764">
        <v>-3.6949999999999999E-3</v>
      </c>
      <c r="E3764">
        <f t="shared" si="116"/>
        <v>0.996305</v>
      </c>
      <c r="F3764" s="1">
        <f t="shared" si="117"/>
        <v>42723</v>
      </c>
      <c r="G3764" cm="1">
        <f t="array" ref="G3764">PRODUCT( _xlfn._xlws.FILTER($E:$E, ($C:$C=C3764)*($F:$F=F3764)) ) - 1</f>
        <v>9.8252186081748683E-4</v>
      </c>
    </row>
    <row r="3765" spans="1:7" x14ac:dyDescent="0.2">
      <c r="A3765" s="1">
        <v>42732</v>
      </c>
      <c r="B3765">
        <v>0</v>
      </c>
      <c r="C3765" t="s">
        <v>13</v>
      </c>
      <c r="D3765">
        <v>1.3090000000000001E-3</v>
      </c>
      <c r="E3765">
        <f t="shared" si="116"/>
        <v>1.001309</v>
      </c>
      <c r="F3765" s="1">
        <f t="shared" si="117"/>
        <v>42730</v>
      </c>
      <c r="G3765" cm="1">
        <f t="array" ref="G3765">PRODUCT( _xlfn._xlws.FILTER($E:$E, ($C:$C=C3765)*($F:$F=F3765)) ) - 1</f>
        <v>-8.8341671123467469E-3</v>
      </c>
    </row>
    <row r="3766" spans="1:7" x14ac:dyDescent="0.2">
      <c r="A3766" s="1">
        <v>42733</v>
      </c>
      <c r="B3766">
        <v>0</v>
      </c>
      <c r="C3766" t="s">
        <v>13</v>
      </c>
      <c r="D3766">
        <v>-4.248E-3</v>
      </c>
      <c r="E3766">
        <f t="shared" si="116"/>
        <v>0.99575199999999997</v>
      </c>
      <c r="F3766" s="1">
        <f t="shared" si="117"/>
        <v>42730</v>
      </c>
      <c r="G3766" cm="1">
        <f t="array" ref="G3766">PRODUCT( _xlfn._xlws.FILTER($E:$E, ($C:$C=C3766)*($F:$F=F3766)) ) - 1</f>
        <v>-8.8341671123467469E-3</v>
      </c>
    </row>
    <row r="3767" spans="1:7" x14ac:dyDescent="0.2">
      <c r="A3767" s="1">
        <v>42734</v>
      </c>
      <c r="B3767">
        <v>0</v>
      </c>
      <c r="C3767" t="s">
        <v>13</v>
      </c>
      <c r="D3767">
        <v>-5.9069999999999999E-3</v>
      </c>
      <c r="E3767">
        <f t="shared" si="116"/>
        <v>0.994093</v>
      </c>
      <c r="F3767" s="1">
        <f t="shared" si="117"/>
        <v>42730</v>
      </c>
      <c r="G3767" cm="1">
        <f t="array" ref="G3767">PRODUCT( _xlfn._xlws.FILTER($E:$E, ($C:$C=C3767)*($F:$F=F3767)) ) - 1</f>
        <v>-8.8341671123467469E-3</v>
      </c>
    </row>
    <row r="3768" spans="1:7" x14ac:dyDescent="0.2">
      <c r="A3768" s="1">
        <v>40911</v>
      </c>
      <c r="B3768">
        <v>0</v>
      </c>
      <c r="C3768" t="s">
        <v>14</v>
      </c>
      <c r="D3768">
        <v>5.5140000000000002E-2</v>
      </c>
      <c r="E3768">
        <f t="shared" si="116"/>
        <v>1.05514</v>
      </c>
      <c r="F3768" s="1">
        <f t="shared" si="117"/>
        <v>40910</v>
      </c>
      <c r="G3768" cm="1">
        <f t="array" ref="G3768">PRODUCT( _xlfn._xlws.FILTER($E:$E, ($C:$C=C3768)*($F:$F=F3768)) ) - 1</f>
        <v>7.3860367073613764E-2</v>
      </c>
    </row>
    <row r="3769" spans="1:7" x14ac:dyDescent="0.2">
      <c r="A3769" s="1">
        <v>40912</v>
      </c>
      <c r="B3769">
        <v>0</v>
      </c>
      <c r="C3769" t="s">
        <v>14</v>
      </c>
      <c r="D3769">
        <v>1.4515999999999999E-2</v>
      </c>
      <c r="E3769">
        <f t="shared" si="116"/>
        <v>1.014516</v>
      </c>
      <c r="F3769" s="1">
        <f t="shared" si="117"/>
        <v>40910</v>
      </c>
      <c r="G3769" cm="1">
        <f t="array" ref="G3769">PRODUCT( _xlfn._xlws.FILTER($E:$E, ($C:$C=C3769)*($F:$F=F3769)) ) - 1</f>
        <v>7.3860367073613764E-2</v>
      </c>
    </row>
    <row r="3770" spans="1:7" x14ac:dyDescent="0.2">
      <c r="A3770" s="1">
        <v>40913</v>
      </c>
      <c r="B3770">
        <v>0</v>
      </c>
      <c r="C3770" t="s">
        <v>14</v>
      </c>
      <c r="D3770">
        <v>3.1799999999999998E-4</v>
      </c>
      <c r="E3770">
        <f t="shared" si="116"/>
        <v>1.000318</v>
      </c>
      <c r="F3770" s="1">
        <f t="shared" si="117"/>
        <v>40910</v>
      </c>
      <c r="G3770" cm="1">
        <f t="array" ref="G3770">PRODUCT( _xlfn._xlws.FILTER($E:$E, ($C:$C=C3770)*($F:$F=F3770)) ) - 1</f>
        <v>7.3860367073613764E-2</v>
      </c>
    </row>
    <row r="3771" spans="1:7" x14ac:dyDescent="0.2">
      <c r="A3771" s="1">
        <v>40914</v>
      </c>
      <c r="B3771">
        <v>0</v>
      </c>
      <c r="C3771" t="s">
        <v>14</v>
      </c>
      <c r="D3771">
        <v>2.8609999999999998E-3</v>
      </c>
      <c r="E3771">
        <f t="shared" si="116"/>
        <v>1.002861</v>
      </c>
      <c r="F3771" s="1">
        <f t="shared" si="117"/>
        <v>40910</v>
      </c>
      <c r="G3771" cm="1">
        <f t="array" ref="G3771">PRODUCT( _xlfn._xlws.FILTER($E:$E, ($C:$C=C3771)*($F:$F=F3771)) ) - 1</f>
        <v>7.3860367073613764E-2</v>
      </c>
    </row>
    <row r="3772" spans="1:7" x14ac:dyDescent="0.2">
      <c r="A3772" s="1">
        <v>40917</v>
      </c>
      <c r="B3772">
        <v>0</v>
      </c>
      <c r="C3772" t="s">
        <v>14</v>
      </c>
      <c r="D3772">
        <v>1.141E-2</v>
      </c>
      <c r="E3772">
        <f t="shared" si="116"/>
        <v>1.0114099999999999</v>
      </c>
      <c r="F3772" s="1">
        <f t="shared" si="117"/>
        <v>40917</v>
      </c>
      <c r="G3772" cm="1">
        <f t="array" ref="G3772">PRODUCT( _xlfn._xlws.FILTER($E:$E, ($C:$C=C3772)*($F:$F=F3772)) ) - 1</f>
        <v>3.4231234884093409E-2</v>
      </c>
    </row>
    <row r="3773" spans="1:7" x14ac:dyDescent="0.2">
      <c r="A3773" s="1">
        <v>40918</v>
      </c>
      <c r="B3773">
        <v>0</v>
      </c>
      <c r="C3773" t="s">
        <v>14</v>
      </c>
      <c r="D3773">
        <v>2.8518000000000002E-2</v>
      </c>
      <c r="E3773">
        <f t="shared" si="116"/>
        <v>1.028518</v>
      </c>
      <c r="F3773" s="1">
        <f t="shared" si="117"/>
        <v>40917</v>
      </c>
      <c r="G3773" cm="1">
        <f t="array" ref="G3773">PRODUCT( _xlfn._xlws.FILTER($E:$E, ($C:$C=C3773)*($F:$F=F3773)) ) - 1</f>
        <v>3.4231234884093409E-2</v>
      </c>
    </row>
    <row r="3774" spans="1:7" x14ac:dyDescent="0.2">
      <c r="A3774" s="1">
        <v>40919</v>
      </c>
      <c r="B3774">
        <v>0</v>
      </c>
      <c r="C3774" t="s">
        <v>14</v>
      </c>
      <c r="D3774">
        <v>-2.7420000000000001E-3</v>
      </c>
      <c r="E3774">
        <f t="shared" si="116"/>
        <v>0.99725799999999998</v>
      </c>
      <c r="F3774" s="1">
        <f t="shared" si="117"/>
        <v>40917</v>
      </c>
      <c r="G3774" cm="1">
        <f t="array" ref="G3774">PRODUCT( _xlfn._xlws.FILTER($E:$E, ($C:$C=C3774)*($F:$F=F3774)) ) - 1</f>
        <v>3.4231234884093409E-2</v>
      </c>
    </row>
    <row r="3775" spans="1:7" x14ac:dyDescent="0.2">
      <c r="A3775" s="1">
        <v>40920</v>
      </c>
      <c r="B3775">
        <v>0</v>
      </c>
      <c r="C3775" t="s">
        <v>14</v>
      </c>
      <c r="D3775">
        <v>-2.444E-3</v>
      </c>
      <c r="E3775">
        <f t="shared" si="116"/>
        <v>0.997556</v>
      </c>
      <c r="F3775" s="1">
        <f t="shared" si="117"/>
        <v>40917</v>
      </c>
      <c r="G3775" cm="1">
        <f t="array" ref="G3775">PRODUCT( _xlfn._xlws.FILTER($E:$E, ($C:$C=C3775)*($F:$F=F3775)) ) - 1</f>
        <v>3.4231234884093409E-2</v>
      </c>
    </row>
    <row r="3776" spans="1:7" x14ac:dyDescent="0.2">
      <c r="A3776" s="1">
        <v>40921</v>
      </c>
      <c r="B3776">
        <v>0</v>
      </c>
      <c r="C3776" t="s">
        <v>14</v>
      </c>
      <c r="D3776">
        <v>-6.1300000000000005E-4</v>
      </c>
      <c r="E3776">
        <f t="shared" si="116"/>
        <v>0.99938700000000003</v>
      </c>
      <c r="F3776" s="1">
        <f t="shared" si="117"/>
        <v>40917</v>
      </c>
      <c r="G3776" cm="1">
        <f t="array" ref="G3776">PRODUCT( _xlfn._xlws.FILTER($E:$E, ($C:$C=C3776)*($F:$F=F3776)) ) - 1</f>
        <v>3.4231234884093409E-2</v>
      </c>
    </row>
    <row r="3777" spans="1:7" x14ac:dyDescent="0.2">
      <c r="A3777" s="1">
        <v>40924</v>
      </c>
      <c r="B3777">
        <v>0</v>
      </c>
      <c r="C3777" t="s">
        <v>14</v>
      </c>
      <c r="D3777">
        <v>9.4999999999999998E-3</v>
      </c>
      <c r="E3777">
        <f t="shared" si="116"/>
        <v>1.0095000000000001</v>
      </c>
      <c r="F3777" s="1">
        <f t="shared" si="117"/>
        <v>40924</v>
      </c>
      <c r="G3777" cm="1">
        <f t="array" ref="G3777">PRODUCT( _xlfn._xlws.FILTER($E:$E, ($C:$C=C3777)*($F:$F=F3777)) ) - 1</f>
        <v>3.7081235251484435E-2</v>
      </c>
    </row>
    <row r="3778" spans="1:7" x14ac:dyDescent="0.2">
      <c r="A3778" s="1">
        <v>40925</v>
      </c>
      <c r="B3778">
        <v>0</v>
      </c>
      <c r="C3778" t="s">
        <v>14</v>
      </c>
      <c r="D3778">
        <v>8.5000000000000006E-3</v>
      </c>
      <c r="E3778">
        <f t="shared" si="116"/>
        <v>1.0085</v>
      </c>
      <c r="F3778" s="1">
        <f t="shared" si="117"/>
        <v>40924</v>
      </c>
      <c r="G3778" cm="1">
        <f t="array" ref="G3778">PRODUCT( _xlfn._xlws.FILTER($E:$E, ($C:$C=C3778)*($F:$F=F3778)) ) - 1</f>
        <v>3.7081235251484435E-2</v>
      </c>
    </row>
    <row r="3779" spans="1:7" x14ac:dyDescent="0.2">
      <c r="A3779" s="1">
        <v>40926</v>
      </c>
      <c r="B3779">
        <v>0</v>
      </c>
      <c r="C3779" t="s">
        <v>14</v>
      </c>
      <c r="D3779">
        <v>2.1673999999999999E-2</v>
      </c>
      <c r="E3779">
        <f t="shared" si="116"/>
        <v>1.021674</v>
      </c>
      <c r="F3779" s="1">
        <f t="shared" si="117"/>
        <v>40924</v>
      </c>
      <c r="G3779" cm="1">
        <f t="array" ref="G3779">PRODUCT( _xlfn._xlws.FILTER($E:$E, ($C:$C=C3779)*($F:$F=F3779)) ) - 1</f>
        <v>3.7081235251484435E-2</v>
      </c>
    </row>
    <row r="3780" spans="1:7" x14ac:dyDescent="0.2">
      <c r="A3780" s="1">
        <v>40927</v>
      </c>
      <c r="B3780">
        <v>0</v>
      </c>
      <c r="C3780" t="s">
        <v>14</v>
      </c>
      <c r="D3780">
        <v>5.8900000000000001E-4</v>
      </c>
      <c r="E3780">
        <f t="shared" ref="E3780:E3843" si="118">D3780+1</f>
        <v>1.000589</v>
      </c>
      <c r="F3780" s="1">
        <f t="shared" ref="F3780:F3843" si="119">A3780 - (WEEKDAY(A3780, 2) - 1)</f>
        <v>40924</v>
      </c>
      <c r="G3780" cm="1">
        <f t="array" ref="G3780">PRODUCT( _xlfn._xlws.FILTER($E:$E, ($C:$C=C3780)*($F:$F=F3780)) ) - 1</f>
        <v>3.7081235251484435E-2</v>
      </c>
    </row>
    <row r="3781" spans="1:7" x14ac:dyDescent="0.2">
      <c r="A3781" s="1">
        <v>40928</v>
      </c>
      <c r="B3781">
        <v>0</v>
      </c>
      <c r="C3781" t="s">
        <v>14</v>
      </c>
      <c r="D3781">
        <v>-3.5339999999999998E-3</v>
      </c>
      <c r="E3781">
        <f t="shared" si="118"/>
        <v>0.99646599999999996</v>
      </c>
      <c r="F3781" s="1">
        <f t="shared" si="119"/>
        <v>40924</v>
      </c>
      <c r="G3781" cm="1">
        <f t="array" ref="G3781">PRODUCT( _xlfn._xlws.FILTER($E:$E, ($C:$C=C3781)*($F:$F=F3781)) ) - 1</f>
        <v>3.7081235251484435E-2</v>
      </c>
    </row>
    <row r="3782" spans="1:7" x14ac:dyDescent="0.2">
      <c r="A3782" s="1">
        <v>40931</v>
      </c>
      <c r="B3782">
        <v>0</v>
      </c>
      <c r="C3782" t="s">
        <v>14</v>
      </c>
      <c r="D3782">
        <v>1.1228999999999999E-2</v>
      </c>
      <c r="E3782">
        <f t="shared" si="118"/>
        <v>1.0112289999999999</v>
      </c>
      <c r="F3782" s="1">
        <f t="shared" si="119"/>
        <v>40931</v>
      </c>
      <c r="G3782" cm="1">
        <f t="array" ref="G3782">PRODUCT( _xlfn._xlws.FILTER($E:$E, ($C:$C=C3782)*($F:$F=F3782)) ) - 1</f>
        <v>2.1276050014199521E-2</v>
      </c>
    </row>
    <row r="3783" spans="1:7" x14ac:dyDescent="0.2">
      <c r="A3783" s="1">
        <v>40932</v>
      </c>
      <c r="B3783">
        <v>0</v>
      </c>
      <c r="C3783" t="s">
        <v>14</v>
      </c>
      <c r="D3783">
        <v>-3.5070000000000001E-3</v>
      </c>
      <c r="E3783">
        <f t="shared" si="118"/>
        <v>0.99649299999999996</v>
      </c>
      <c r="F3783" s="1">
        <f t="shared" si="119"/>
        <v>40931</v>
      </c>
      <c r="G3783" cm="1">
        <f t="array" ref="G3783">PRODUCT( _xlfn._xlws.FILTER($E:$E, ($C:$C=C3783)*($F:$F=F3783)) ) - 1</f>
        <v>2.1276050014199521E-2</v>
      </c>
    </row>
    <row r="3784" spans="1:7" x14ac:dyDescent="0.2">
      <c r="A3784" s="1">
        <v>40933</v>
      </c>
      <c r="B3784">
        <v>0</v>
      </c>
      <c r="C3784" t="s">
        <v>14</v>
      </c>
      <c r="D3784">
        <v>9.6780000000000008E-3</v>
      </c>
      <c r="E3784">
        <f t="shared" si="118"/>
        <v>1.0096780000000001</v>
      </c>
      <c r="F3784" s="1">
        <f t="shared" si="119"/>
        <v>40931</v>
      </c>
      <c r="G3784" cm="1">
        <f t="array" ref="G3784">PRODUCT( _xlfn._xlws.FILTER($E:$E, ($C:$C=C3784)*($F:$F=F3784)) ) - 1</f>
        <v>2.1276050014199521E-2</v>
      </c>
    </row>
    <row r="3785" spans="1:7" x14ac:dyDescent="0.2">
      <c r="A3785" s="1">
        <v>40934</v>
      </c>
      <c r="B3785">
        <v>0</v>
      </c>
      <c r="C3785" t="s">
        <v>14</v>
      </c>
      <c r="D3785">
        <v>-1.1620000000000001E-3</v>
      </c>
      <c r="E3785">
        <f t="shared" si="118"/>
        <v>0.998838</v>
      </c>
      <c r="F3785" s="1">
        <f t="shared" si="119"/>
        <v>40931</v>
      </c>
      <c r="G3785" cm="1">
        <f t="array" ref="G3785">PRODUCT( _xlfn._xlws.FILTER($E:$E, ($C:$C=C3785)*($F:$F=F3785)) ) - 1</f>
        <v>2.1276050014199521E-2</v>
      </c>
    </row>
    <row r="3786" spans="1:7" x14ac:dyDescent="0.2">
      <c r="A3786" s="1">
        <v>40935</v>
      </c>
      <c r="B3786">
        <v>0</v>
      </c>
      <c r="C3786" t="s">
        <v>14</v>
      </c>
      <c r="D3786">
        <v>4.9430000000000003E-3</v>
      </c>
      <c r="E3786">
        <f t="shared" si="118"/>
        <v>1.0049429999999999</v>
      </c>
      <c r="F3786" s="1">
        <f t="shared" si="119"/>
        <v>40931</v>
      </c>
      <c r="G3786" cm="1">
        <f t="array" ref="G3786">PRODUCT( _xlfn._xlws.FILTER($E:$E, ($C:$C=C3786)*($F:$F=F3786)) ) - 1</f>
        <v>2.1276050014199521E-2</v>
      </c>
    </row>
    <row r="3787" spans="1:7" x14ac:dyDescent="0.2">
      <c r="A3787" s="1">
        <v>40938</v>
      </c>
      <c r="B3787">
        <v>0</v>
      </c>
      <c r="C3787" t="s">
        <v>14</v>
      </c>
      <c r="D3787">
        <v>-6.3660000000000001E-3</v>
      </c>
      <c r="E3787">
        <f t="shared" si="118"/>
        <v>0.99363400000000002</v>
      </c>
      <c r="F3787" s="1">
        <f t="shared" si="119"/>
        <v>40938</v>
      </c>
      <c r="G3787" cm="1">
        <f t="array" ref="G3787">PRODUCT( _xlfn._xlws.FILTER($E:$E, ($C:$C=C3787)*($F:$F=F3787)) ) - 1</f>
        <v>9.8370883367728812E-3</v>
      </c>
    </row>
    <row r="3788" spans="1:7" x14ac:dyDescent="0.2">
      <c r="A3788" s="1">
        <v>40939</v>
      </c>
      <c r="B3788">
        <v>0</v>
      </c>
      <c r="C3788" t="s">
        <v>14</v>
      </c>
      <c r="D3788">
        <v>5.8240000000000002E-3</v>
      </c>
      <c r="E3788">
        <f t="shared" si="118"/>
        <v>1.0058240000000001</v>
      </c>
      <c r="F3788" s="1">
        <f t="shared" si="119"/>
        <v>40938</v>
      </c>
      <c r="G3788" cm="1">
        <f t="array" ref="G3788">PRODUCT( _xlfn._xlws.FILTER($E:$E, ($C:$C=C3788)*($F:$F=F3788)) ) - 1</f>
        <v>9.8370883367728812E-3</v>
      </c>
    </row>
    <row r="3789" spans="1:7" x14ac:dyDescent="0.2">
      <c r="A3789" s="1">
        <v>40940</v>
      </c>
      <c r="B3789">
        <v>0</v>
      </c>
      <c r="C3789" t="s">
        <v>14</v>
      </c>
      <c r="D3789">
        <v>-8.6899999999999998E-4</v>
      </c>
      <c r="E3789">
        <f t="shared" si="118"/>
        <v>0.99913099999999999</v>
      </c>
      <c r="F3789" s="1">
        <f t="shared" si="119"/>
        <v>40938</v>
      </c>
      <c r="G3789" cm="1">
        <f t="array" ref="G3789">PRODUCT( _xlfn._xlws.FILTER($E:$E, ($C:$C=C3789)*($F:$F=F3789)) ) - 1</f>
        <v>9.8370883367728812E-3</v>
      </c>
    </row>
    <row r="3790" spans="1:7" x14ac:dyDescent="0.2">
      <c r="A3790" s="1">
        <v>40941</v>
      </c>
      <c r="B3790">
        <v>0</v>
      </c>
      <c r="C3790" t="s">
        <v>14</v>
      </c>
      <c r="D3790">
        <v>-7.5339999999999999E-3</v>
      </c>
      <c r="E3790">
        <f t="shared" si="118"/>
        <v>0.99246599999999996</v>
      </c>
      <c r="F3790" s="1">
        <f t="shared" si="119"/>
        <v>40938</v>
      </c>
      <c r="G3790" cm="1">
        <f t="array" ref="G3790">PRODUCT( _xlfn._xlws.FILTER($E:$E, ($C:$C=C3790)*($F:$F=F3790)) ) - 1</f>
        <v>9.8370883367728812E-3</v>
      </c>
    </row>
    <row r="3791" spans="1:7" x14ac:dyDescent="0.2">
      <c r="A3791" s="1">
        <v>40942</v>
      </c>
      <c r="B3791">
        <v>0</v>
      </c>
      <c r="C3791" t="s">
        <v>14</v>
      </c>
      <c r="D3791">
        <v>1.8977999999999998E-2</v>
      </c>
      <c r="E3791">
        <f t="shared" si="118"/>
        <v>1.0189779999999999</v>
      </c>
      <c r="F3791" s="1">
        <f t="shared" si="119"/>
        <v>40938</v>
      </c>
      <c r="G3791" cm="1">
        <f t="array" ref="G3791">PRODUCT( _xlfn._xlws.FILTER($E:$E, ($C:$C=C3791)*($F:$F=F3791)) ) - 1</f>
        <v>9.8370883367728812E-3</v>
      </c>
    </row>
    <row r="3792" spans="1:7" x14ac:dyDescent="0.2">
      <c r="A3792" s="1">
        <v>40945</v>
      </c>
      <c r="B3792">
        <v>0</v>
      </c>
      <c r="C3792" t="s">
        <v>14</v>
      </c>
      <c r="D3792">
        <v>5.7300000000000005E-4</v>
      </c>
      <c r="E3792">
        <f t="shared" si="118"/>
        <v>1.0005729999999999</v>
      </c>
      <c r="F3792" s="1">
        <f t="shared" si="119"/>
        <v>40945</v>
      </c>
      <c r="G3792" cm="1">
        <f t="array" ref="G3792">PRODUCT( _xlfn._xlws.FILTER($E:$E, ($C:$C=C3792)*($F:$F=F3792)) ) - 1</f>
        <v>-2.9513355972874411E-2</v>
      </c>
    </row>
    <row r="3793" spans="1:7" x14ac:dyDescent="0.2">
      <c r="A3793" s="1">
        <v>40946</v>
      </c>
      <c r="B3793">
        <v>0</v>
      </c>
      <c r="C3793" t="s">
        <v>14</v>
      </c>
      <c r="D3793">
        <v>-9.1640000000000003E-3</v>
      </c>
      <c r="E3793">
        <f t="shared" si="118"/>
        <v>0.99083600000000005</v>
      </c>
      <c r="F3793" s="1">
        <f t="shared" si="119"/>
        <v>40945</v>
      </c>
      <c r="G3793" cm="1">
        <f t="array" ref="G3793">PRODUCT( _xlfn._xlws.FILTER($E:$E, ($C:$C=C3793)*($F:$F=F3793)) ) - 1</f>
        <v>-2.9513355972874411E-2</v>
      </c>
    </row>
    <row r="3794" spans="1:7" x14ac:dyDescent="0.2">
      <c r="A3794" s="1">
        <v>40947</v>
      </c>
      <c r="B3794">
        <v>0</v>
      </c>
      <c r="C3794" t="s">
        <v>14</v>
      </c>
      <c r="D3794">
        <v>2.601E-3</v>
      </c>
      <c r="E3794">
        <f t="shared" si="118"/>
        <v>1.0026010000000001</v>
      </c>
      <c r="F3794" s="1">
        <f t="shared" si="119"/>
        <v>40945</v>
      </c>
      <c r="G3794" cm="1">
        <f t="array" ref="G3794">PRODUCT( _xlfn._xlws.FILTER($E:$E, ($C:$C=C3794)*($F:$F=F3794)) ) - 1</f>
        <v>-2.9513355972874411E-2</v>
      </c>
    </row>
    <row r="3795" spans="1:7" x14ac:dyDescent="0.2">
      <c r="A3795" s="1">
        <v>40948</v>
      </c>
      <c r="B3795">
        <v>0</v>
      </c>
      <c r="C3795" t="s">
        <v>14</v>
      </c>
      <c r="D3795">
        <v>-2.8830000000000001E-3</v>
      </c>
      <c r="E3795">
        <f t="shared" si="118"/>
        <v>0.99711700000000003</v>
      </c>
      <c r="F3795" s="1">
        <f t="shared" si="119"/>
        <v>40945</v>
      </c>
      <c r="G3795" cm="1">
        <f t="array" ref="G3795">PRODUCT( _xlfn._xlws.FILTER($E:$E, ($C:$C=C3795)*($F:$F=F3795)) ) - 1</f>
        <v>-2.9513355972874411E-2</v>
      </c>
    </row>
    <row r="3796" spans="1:7" x14ac:dyDescent="0.2">
      <c r="A3796" s="1">
        <v>40949</v>
      </c>
      <c r="B3796">
        <v>0</v>
      </c>
      <c r="C3796" t="s">
        <v>14</v>
      </c>
      <c r="D3796">
        <v>-2.0815E-2</v>
      </c>
      <c r="E3796">
        <f t="shared" si="118"/>
        <v>0.97918499999999997</v>
      </c>
      <c r="F3796" s="1">
        <f t="shared" si="119"/>
        <v>40945</v>
      </c>
      <c r="G3796" cm="1">
        <f t="array" ref="G3796">PRODUCT( _xlfn._xlws.FILTER($E:$E, ($C:$C=C3796)*($F:$F=F3796)) ) - 1</f>
        <v>-2.9513355972874411E-2</v>
      </c>
    </row>
    <row r="3797" spans="1:7" x14ac:dyDescent="0.2">
      <c r="A3797" s="1">
        <v>40952</v>
      </c>
      <c r="B3797">
        <v>0</v>
      </c>
      <c r="C3797" t="s">
        <v>14</v>
      </c>
      <c r="D3797">
        <v>-2.9520000000000002E-3</v>
      </c>
      <c r="E3797">
        <f t="shared" si="118"/>
        <v>0.99704800000000005</v>
      </c>
      <c r="F3797" s="1">
        <f t="shared" si="119"/>
        <v>40952</v>
      </c>
      <c r="G3797" cm="1">
        <f t="array" ref="G3797">PRODUCT( _xlfn._xlws.FILTER($E:$E, ($C:$C=C3797)*($F:$F=F3797)) ) - 1</f>
        <v>7.970577972352233E-3</v>
      </c>
    </row>
    <row r="3798" spans="1:7" x14ac:dyDescent="0.2">
      <c r="A3798" s="1">
        <v>40953</v>
      </c>
      <c r="B3798">
        <v>0</v>
      </c>
      <c r="C3798" t="s">
        <v>14</v>
      </c>
      <c r="D3798">
        <v>-1.1850000000000001E-3</v>
      </c>
      <c r="E3798">
        <f t="shared" si="118"/>
        <v>0.99881500000000001</v>
      </c>
      <c r="F3798" s="1">
        <f t="shared" si="119"/>
        <v>40952</v>
      </c>
      <c r="G3798" cm="1">
        <f t="array" ref="G3798">PRODUCT( _xlfn._xlws.FILTER($E:$E, ($C:$C=C3798)*($F:$F=F3798)) ) - 1</f>
        <v>7.970577972352233E-3</v>
      </c>
    </row>
    <row r="3799" spans="1:7" x14ac:dyDescent="0.2">
      <c r="A3799" s="1">
        <v>40954</v>
      </c>
      <c r="B3799">
        <v>0</v>
      </c>
      <c r="C3799" t="s">
        <v>14</v>
      </c>
      <c r="D3799">
        <v>1.4527E-2</v>
      </c>
      <c r="E3799">
        <f t="shared" si="118"/>
        <v>1.014527</v>
      </c>
      <c r="F3799" s="1">
        <f t="shared" si="119"/>
        <v>40952</v>
      </c>
      <c r="G3799" cm="1">
        <f t="array" ref="G3799">PRODUCT( _xlfn._xlws.FILTER($E:$E, ($C:$C=C3799)*($F:$F=F3799)) ) - 1</f>
        <v>7.970577972352233E-3</v>
      </c>
    </row>
    <row r="3800" spans="1:7" x14ac:dyDescent="0.2">
      <c r="A3800" s="1">
        <v>40955</v>
      </c>
      <c r="B3800">
        <v>0</v>
      </c>
      <c r="C3800" t="s">
        <v>14</v>
      </c>
      <c r="D3800">
        <v>5.8399999999999999E-4</v>
      </c>
      <c r="E3800">
        <f t="shared" si="118"/>
        <v>1.0005839999999999</v>
      </c>
      <c r="F3800" s="1">
        <f t="shared" si="119"/>
        <v>40952</v>
      </c>
      <c r="G3800" cm="1">
        <f t="array" ref="G3800">PRODUCT( _xlfn._xlws.FILTER($E:$E, ($C:$C=C3800)*($F:$F=F3800)) ) - 1</f>
        <v>7.970577972352233E-3</v>
      </c>
    </row>
    <row r="3801" spans="1:7" x14ac:dyDescent="0.2">
      <c r="A3801" s="1">
        <v>40956</v>
      </c>
      <c r="B3801">
        <v>0</v>
      </c>
      <c r="C3801" t="s">
        <v>14</v>
      </c>
      <c r="D3801">
        <v>-2.921E-3</v>
      </c>
      <c r="E3801">
        <f t="shared" si="118"/>
        <v>0.99707900000000005</v>
      </c>
      <c r="F3801" s="1">
        <f t="shared" si="119"/>
        <v>40952</v>
      </c>
      <c r="G3801" cm="1">
        <f t="array" ref="G3801">PRODUCT( _xlfn._xlws.FILTER($E:$E, ($C:$C=C3801)*($F:$F=F3801)) ) - 1</f>
        <v>7.970577972352233E-3</v>
      </c>
    </row>
    <row r="3802" spans="1:7" x14ac:dyDescent="0.2">
      <c r="A3802" s="1">
        <v>40960</v>
      </c>
      <c r="B3802">
        <v>0</v>
      </c>
      <c r="C3802" t="s">
        <v>14</v>
      </c>
      <c r="D3802">
        <v>1.7575E-2</v>
      </c>
      <c r="E3802">
        <f t="shared" si="118"/>
        <v>1.0175749999999999</v>
      </c>
      <c r="F3802" s="1">
        <f t="shared" si="119"/>
        <v>40959</v>
      </c>
      <c r="G3802" cm="1">
        <f t="array" ref="G3802">PRODUCT( _xlfn._xlws.FILTER($E:$E, ($C:$C=C3802)*($F:$F=F3802)) ) - 1</f>
        <v>8.2894740214888962E-2</v>
      </c>
    </row>
    <row r="3803" spans="1:7" x14ac:dyDescent="0.2">
      <c r="A3803" s="1">
        <v>40961</v>
      </c>
      <c r="B3803">
        <v>0</v>
      </c>
      <c r="C3803" t="s">
        <v>14</v>
      </c>
      <c r="D3803">
        <v>2.5042999999999999E-2</v>
      </c>
      <c r="E3803">
        <f t="shared" si="118"/>
        <v>1.0250429999999999</v>
      </c>
      <c r="F3803" s="1">
        <f t="shared" si="119"/>
        <v>40959</v>
      </c>
      <c r="G3803" cm="1">
        <f t="array" ref="G3803">PRODUCT( _xlfn._xlws.FILTER($E:$E, ($C:$C=C3803)*($F:$F=F3803)) ) - 1</f>
        <v>8.2894740214888962E-2</v>
      </c>
    </row>
    <row r="3804" spans="1:7" x14ac:dyDescent="0.2">
      <c r="A3804" s="1">
        <v>40962</v>
      </c>
      <c r="B3804">
        <v>0</v>
      </c>
      <c r="C3804" t="s">
        <v>14</v>
      </c>
      <c r="D3804">
        <v>2.1904E-2</v>
      </c>
      <c r="E3804">
        <f t="shared" si="118"/>
        <v>1.0219039999999999</v>
      </c>
      <c r="F3804" s="1">
        <f t="shared" si="119"/>
        <v>40959</v>
      </c>
      <c r="G3804" cm="1">
        <f t="array" ref="G3804">PRODUCT( _xlfn._xlws.FILTER($E:$E, ($C:$C=C3804)*($F:$F=F3804)) ) - 1</f>
        <v>8.2894740214888962E-2</v>
      </c>
    </row>
    <row r="3805" spans="1:7" x14ac:dyDescent="0.2">
      <c r="A3805" s="1">
        <v>40963</v>
      </c>
      <c r="B3805">
        <v>0</v>
      </c>
      <c r="C3805" t="s">
        <v>14</v>
      </c>
      <c r="D3805">
        <v>1.5938999999999998E-2</v>
      </c>
      <c r="E3805">
        <f t="shared" si="118"/>
        <v>1.0159389999999999</v>
      </c>
      <c r="F3805" s="1">
        <f t="shared" si="119"/>
        <v>40959</v>
      </c>
      <c r="G3805" cm="1">
        <f t="array" ref="G3805">PRODUCT( _xlfn._xlws.FILTER($E:$E, ($C:$C=C3805)*($F:$F=F3805)) ) - 1</f>
        <v>8.2894740214888962E-2</v>
      </c>
    </row>
    <row r="3806" spans="1:7" x14ac:dyDescent="0.2">
      <c r="A3806" s="1">
        <v>40966</v>
      </c>
      <c r="B3806">
        <v>0</v>
      </c>
      <c r="C3806" t="s">
        <v>14</v>
      </c>
      <c r="D3806">
        <v>-2.1909999999999999E-2</v>
      </c>
      <c r="E3806">
        <f t="shared" si="118"/>
        <v>0.97809000000000001</v>
      </c>
      <c r="F3806" s="1">
        <f t="shared" si="119"/>
        <v>40966</v>
      </c>
      <c r="G3806" cm="1">
        <f t="array" ref="G3806">PRODUCT( _xlfn._xlws.FILTER($E:$E, ($C:$C=C3806)*($F:$F=F3806)) ) - 1</f>
        <v>-3.8172235335052318E-2</v>
      </c>
    </row>
    <row r="3807" spans="1:7" x14ac:dyDescent="0.2">
      <c r="A3807" s="1">
        <v>40967</v>
      </c>
      <c r="B3807">
        <v>0</v>
      </c>
      <c r="C3807" t="s">
        <v>14</v>
      </c>
      <c r="D3807">
        <v>3.3189999999999999E-3</v>
      </c>
      <c r="E3807">
        <f t="shared" si="118"/>
        <v>1.0033190000000001</v>
      </c>
      <c r="F3807" s="1">
        <f t="shared" si="119"/>
        <v>40966</v>
      </c>
      <c r="G3807" cm="1">
        <f t="array" ref="G3807">PRODUCT( _xlfn._xlws.FILTER($E:$E, ($C:$C=C3807)*($F:$F=F3807)) ) - 1</f>
        <v>-3.8172235335052318E-2</v>
      </c>
    </row>
    <row r="3808" spans="1:7" x14ac:dyDescent="0.2">
      <c r="A3808" s="1">
        <v>40968</v>
      </c>
      <c r="B3808">
        <v>0</v>
      </c>
      <c r="C3808" t="s">
        <v>14</v>
      </c>
      <c r="D3808">
        <v>-1.8192E-2</v>
      </c>
      <c r="E3808">
        <f t="shared" si="118"/>
        <v>0.98180800000000001</v>
      </c>
      <c r="F3808" s="1">
        <f t="shared" si="119"/>
        <v>40966</v>
      </c>
      <c r="G3808" cm="1">
        <f t="array" ref="G3808">PRODUCT( _xlfn._xlws.FILTER($E:$E, ($C:$C=C3808)*($F:$F=F3808)) ) - 1</f>
        <v>-3.8172235335052318E-2</v>
      </c>
    </row>
    <row r="3809" spans="1:7" x14ac:dyDescent="0.2">
      <c r="A3809" s="1">
        <v>40969</v>
      </c>
      <c r="B3809">
        <v>0</v>
      </c>
      <c r="C3809" t="s">
        <v>14</v>
      </c>
      <c r="D3809">
        <v>9.2639999999999997E-3</v>
      </c>
      <c r="E3809">
        <f t="shared" si="118"/>
        <v>1.0092639999999999</v>
      </c>
      <c r="F3809" s="1">
        <f t="shared" si="119"/>
        <v>40966</v>
      </c>
      <c r="G3809" cm="1">
        <f t="array" ref="G3809">PRODUCT( _xlfn._xlws.FILTER($E:$E, ($C:$C=C3809)*($F:$F=F3809)) ) - 1</f>
        <v>-3.8172235335052318E-2</v>
      </c>
    </row>
    <row r="3810" spans="1:7" x14ac:dyDescent="0.2">
      <c r="A3810" s="1">
        <v>40970</v>
      </c>
      <c r="B3810">
        <v>0</v>
      </c>
      <c r="C3810" t="s">
        <v>14</v>
      </c>
      <c r="D3810">
        <v>-1.0881999999999999E-2</v>
      </c>
      <c r="E3810">
        <f t="shared" si="118"/>
        <v>0.98911800000000005</v>
      </c>
      <c r="F3810" s="1">
        <f t="shared" si="119"/>
        <v>40966</v>
      </c>
      <c r="G3810" cm="1">
        <f t="array" ref="G3810">PRODUCT( _xlfn._xlws.FILTER($E:$E, ($C:$C=C3810)*($F:$F=F3810)) ) - 1</f>
        <v>-3.8172235335052318E-2</v>
      </c>
    </row>
    <row r="3811" spans="1:7" x14ac:dyDescent="0.2">
      <c r="A3811" s="1">
        <v>40973</v>
      </c>
      <c r="B3811">
        <v>0</v>
      </c>
      <c r="C3811" t="s">
        <v>14</v>
      </c>
      <c r="D3811">
        <v>-1.8054000000000001E-2</v>
      </c>
      <c r="E3811">
        <f t="shared" si="118"/>
        <v>0.98194599999999999</v>
      </c>
      <c r="F3811" s="1">
        <f t="shared" si="119"/>
        <v>40973</v>
      </c>
      <c r="G3811" cm="1">
        <f t="array" ref="G3811">PRODUCT( _xlfn._xlws.FILTER($E:$E, ($C:$C=C3811)*($F:$F=F3811)) ) - 1</f>
        <v>-3.4132415797823334E-2</v>
      </c>
    </row>
    <row r="3812" spans="1:7" x14ac:dyDescent="0.2">
      <c r="A3812" s="1">
        <v>40974</v>
      </c>
      <c r="B3812">
        <v>0</v>
      </c>
      <c r="C3812" t="s">
        <v>14</v>
      </c>
      <c r="D3812">
        <v>-4.2804000000000002E-2</v>
      </c>
      <c r="E3812">
        <f t="shared" si="118"/>
        <v>0.95719600000000005</v>
      </c>
      <c r="F3812" s="1">
        <f t="shared" si="119"/>
        <v>40973</v>
      </c>
      <c r="G3812" cm="1">
        <f t="array" ref="G3812">PRODUCT( _xlfn._xlws.FILTER($E:$E, ($C:$C=C3812)*($F:$F=F3812)) ) - 1</f>
        <v>-3.4132415797823334E-2</v>
      </c>
    </row>
    <row r="3813" spans="1:7" x14ac:dyDescent="0.2">
      <c r="A3813" s="1">
        <v>40975</v>
      </c>
      <c r="B3813">
        <v>0</v>
      </c>
      <c r="C3813" t="s">
        <v>14</v>
      </c>
      <c r="D3813">
        <v>1.2005E-2</v>
      </c>
      <c r="E3813">
        <f t="shared" si="118"/>
        <v>1.012005</v>
      </c>
      <c r="F3813" s="1">
        <f t="shared" si="119"/>
        <v>40973</v>
      </c>
      <c r="G3813" cm="1">
        <f t="array" ref="G3813">PRODUCT( _xlfn._xlws.FILTER($E:$E, ($C:$C=C3813)*($F:$F=F3813)) ) - 1</f>
        <v>-3.4132415797823334E-2</v>
      </c>
    </row>
    <row r="3814" spans="1:7" x14ac:dyDescent="0.2">
      <c r="A3814" s="1">
        <v>40976</v>
      </c>
      <c r="B3814">
        <v>0</v>
      </c>
      <c r="C3814" t="s">
        <v>14</v>
      </c>
      <c r="D3814">
        <v>1.6310999999999999E-2</v>
      </c>
      <c r="E3814">
        <f t="shared" si="118"/>
        <v>1.016311</v>
      </c>
      <c r="F3814" s="1">
        <f t="shared" si="119"/>
        <v>40973</v>
      </c>
      <c r="G3814" cm="1">
        <f t="array" ref="G3814">PRODUCT( _xlfn._xlws.FILTER($E:$E, ($C:$C=C3814)*($F:$F=F3814)) ) - 1</f>
        <v>-3.4132415797823334E-2</v>
      </c>
    </row>
    <row r="3815" spans="1:7" x14ac:dyDescent="0.2">
      <c r="A3815" s="1">
        <v>40977</v>
      </c>
      <c r="B3815">
        <v>0</v>
      </c>
      <c r="C3815" t="s">
        <v>14</v>
      </c>
      <c r="D3815">
        <v>-8.7500000000000002E-4</v>
      </c>
      <c r="E3815">
        <f t="shared" si="118"/>
        <v>0.99912500000000004</v>
      </c>
      <c r="F3815" s="1">
        <f t="shared" si="119"/>
        <v>40973</v>
      </c>
      <c r="G3815" cm="1">
        <f t="array" ref="G3815">PRODUCT( _xlfn._xlws.FILTER($E:$E, ($C:$C=C3815)*($F:$F=F3815)) ) - 1</f>
        <v>-3.4132415797823334E-2</v>
      </c>
    </row>
    <row r="3816" spans="1:7" x14ac:dyDescent="0.2">
      <c r="A3816" s="1">
        <v>40980</v>
      </c>
      <c r="B3816">
        <v>0</v>
      </c>
      <c r="C3816" t="s">
        <v>14</v>
      </c>
      <c r="D3816">
        <v>-3.0665999999999999E-2</v>
      </c>
      <c r="E3816">
        <f t="shared" si="118"/>
        <v>0.96933400000000003</v>
      </c>
      <c r="F3816" s="1">
        <f t="shared" si="119"/>
        <v>40980</v>
      </c>
      <c r="G3816" cm="1">
        <f t="array" ref="G3816">PRODUCT( _xlfn._xlws.FILTER($E:$E, ($C:$C=C3816)*($F:$F=F3816)) ) - 1</f>
        <v>-3.8552375608615352E-2</v>
      </c>
    </row>
    <row r="3817" spans="1:7" x14ac:dyDescent="0.2">
      <c r="A3817" s="1">
        <v>40981</v>
      </c>
      <c r="B3817">
        <v>0</v>
      </c>
      <c r="C3817" t="s">
        <v>14</v>
      </c>
      <c r="D3817">
        <v>2.5610000000000001E-2</v>
      </c>
      <c r="E3817">
        <f t="shared" si="118"/>
        <v>1.0256099999999999</v>
      </c>
      <c r="F3817" s="1">
        <f t="shared" si="119"/>
        <v>40980</v>
      </c>
      <c r="G3817" cm="1">
        <f t="array" ref="G3817">PRODUCT( _xlfn._xlws.FILTER($E:$E, ($C:$C=C3817)*($F:$F=F3817)) ) - 1</f>
        <v>-3.8552375608615352E-2</v>
      </c>
    </row>
    <row r="3818" spans="1:7" x14ac:dyDescent="0.2">
      <c r="A3818" s="1">
        <v>40982</v>
      </c>
      <c r="B3818">
        <v>0</v>
      </c>
      <c r="C3818" t="s">
        <v>14</v>
      </c>
      <c r="D3818">
        <v>-3.7897E-2</v>
      </c>
      <c r="E3818">
        <f t="shared" si="118"/>
        <v>0.96210300000000004</v>
      </c>
      <c r="F3818" s="1">
        <f t="shared" si="119"/>
        <v>40980</v>
      </c>
      <c r="G3818" cm="1">
        <f t="array" ref="G3818">PRODUCT( _xlfn._xlws.FILTER($E:$E, ($C:$C=C3818)*($F:$F=F3818)) ) - 1</f>
        <v>-3.8552375608615352E-2</v>
      </c>
    </row>
    <row r="3819" spans="1:7" x14ac:dyDescent="0.2">
      <c r="A3819" s="1">
        <v>40983</v>
      </c>
      <c r="B3819">
        <v>0</v>
      </c>
      <c r="C3819" t="s">
        <v>14</v>
      </c>
      <c r="D3819">
        <v>4.8849999999999996E-3</v>
      </c>
      <c r="E3819">
        <f t="shared" si="118"/>
        <v>1.004885</v>
      </c>
      <c r="F3819" s="1">
        <f t="shared" si="119"/>
        <v>40980</v>
      </c>
      <c r="G3819" cm="1">
        <f t="array" ref="G3819">PRODUCT( _xlfn._xlws.FILTER($E:$E, ($C:$C=C3819)*($F:$F=F3819)) ) - 1</f>
        <v>-3.8552375608615352E-2</v>
      </c>
    </row>
    <row r="3820" spans="1:7" x14ac:dyDescent="0.2">
      <c r="A3820" s="1">
        <v>40984</v>
      </c>
      <c r="B3820">
        <v>0</v>
      </c>
      <c r="C3820" t="s">
        <v>14</v>
      </c>
      <c r="D3820">
        <v>3.0400000000000002E-4</v>
      </c>
      <c r="E3820">
        <f t="shared" si="118"/>
        <v>1.0003040000000001</v>
      </c>
      <c r="F3820" s="1">
        <f t="shared" si="119"/>
        <v>40980</v>
      </c>
      <c r="G3820" cm="1">
        <f t="array" ref="G3820">PRODUCT( _xlfn._xlws.FILTER($E:$E, ($C:$C=C3820)*($F:$F=F3820)) ) - 1</f>
        <v>-3.8552375608615352E-2</v>
      </c>
    </row>
    <row r="3821" spans="1:7" x14ac:dyDescent="0.2">
      <c r="A3821" s="1">
        <v>40987</v>
      </c>
      <c r="B3821">
        <v>0</v>
      </c>
      <c r="C3821" t="s">
        <v>14</v>
      </c>
      <c r="D3821">
        <v>1.6403000000000001E-2</v>
      </c>
      <c r="E3821">
        <f t="shared" si="118"/>
        <v>1.0164029999999999</v>
      </c>
      <c r="F3821" s="1">
        <f t="shared" si="119"/>
        <v>40987</v>
      </c>
      <c r="G3821" cm="1">
        <f t="array" ref="G3821">PRODUCT( _xlfn._xlws.FILTER($E:$E, ($C:$C=C3821)*($F:$F=F3821)) ) - 1</f>
        <v>-3.6446071228440902E-3</v>
      </c>
    </row>
    <row r="3822" spans="1:7" x14ac:dyDescent="0.2">
      <c r="A3822" s="1">
        <v>40988</v>
      </c>
      <c r="B3822">
        <v>0</v>
      </c>
      <c r="C3822" t="s">
        <v>14</v>
      </c>
      <c r="D3822">
        <v>-1.2253E-2</v>
      </c>
      <c r="E3822">
        <f t="shared" si="118"/>
        <v>0.98774700000000004</v>
      </c>
      <c r="F3822" s="1">
        <f t="shared" si="119"/>
        <v>40987</v>
      </c>
      <c r="G3822" cm="1">
        <f t="array" ref="G3822">PRODUCT( _xlfn._xlws.FILTER($E:$E, ($C:$C=C3822)*($F:$F=F3822)) ) - 1</f>
        <v>-3.6446071228440902E-3</v>
      </c>
    </row>
    <row r="3823" spans="1:7" x14ac:dyDescent="0.2">
      <c r="A3823" s="1">
        <v>40989</v>
      </c>
      <c r="B3823">
        <v>0</v>
      </c>
      <c r="C3823" t="s">
        <v>14</v>
      </c>
      <c r="D3823">
        <v>3.0299999999999999E-4</v>
      </c>
      <c r="E3823">
        <f t="shared" si="118"/>
        <v>1.0003029999999999</v>
      </c>
      <c r="F3823" s="1">
        <f t="shared" si="119"/>
        <v>40987</v>
      </c>
      <c r="G3823" cm="1">
        <f t="array" ref="G3823">PRODUCT( _xlfn._xlws.FILTER($E:$E, ($C:$C=C3823)*($F:$F=F3823)) ) - 1</f>
        <v>-3.6446071228440902E-3</v>
      </c>
    </row>
    <row r="3824" spans="1:7" x14ac:dyDescent="0.2">
      <c r="A3824" s="1">
        <v>40990</v>
      </c>
      <c r="B3824">
        <v>0</v>
      </c>
      <c r="C3824" t="s">
        <v>14</v>
      </c>
      <c r="D3824">
        <v>-1.7846000000000001E-2</v>
      </c>
      <c r="E3824">
        <f t="shared" si="118"/>
        <v>0.98215399999999997</v>
      </c>
      <c r="F3824" s="1">
        <f t="shared" si="119"/>
        <v>40987</v>
      </c>
      <c r="G3824" cm="1">
        <f t="array" ref="G3824">PRODUCT( _xlfn._xlws.FILTER($E:$E, ($C:$C=C3824)*($F:$F=F3824)) ) - 1</f>
        <v>-3.6446071228440902E-3</v>
      </c>
    </row>
    <row r="3825" spans="1:7" x14ac:dyDescent="0.2">
      <c r="A3825" s="1">
        <v>40991</v>
      </c>
      <c r="B3825">
        <v>0</v>
      </c>
      <c r="C3825" t="s">
        <v>14</v>
      </c>
      <c r="D3825">
        <v>1.0163E-2</v>
      </c>
      <c r="E3825">
        <f t="shared" si="118"/>
        <v>1.0101629999999999</v>
      </c>
      <c r="F3825" s="1">
        <f t="shared" si="119"/>
        <v>40987</v>
      </c>
      <c r="G3825" cm="1">
        <f t="array" ref="G3825">PRODUCT( _xlfn._xlws.FILTER($E:$E, ($C:$C=C3825)*($F:$F=F3825)) ) - 1</f>
        <v>-3.6446071228440902E-3</v>
      </c>
    </row>
    <row r="3826" spans="1:7" x14ac:dyDescent="0.2">
      <c r="A3826" s="1">
        <v>40994</v>
      </c>
      <c r="B3826">
        <v>0</v>
      </c>
      <c r="C3826" t="s">
        <v>14</v>
      </c>
      <c r="D3826">
        <v>9.7560000000000008E-3</v>
      </c>
      <c r="E3826">
        <f t="shared" si="118"/>
        <v>1.0097560000000001</v>
      </c>
      <c r="F3826" s="1">
        <f t="shared" si="119"/>
        <v>40994</v>
      </c>
      <c r="G3826" cm="1">
        <f t="array" ref="G3826">PRODUCT( _xlfn._xlws.FILTER($E:$E, ($C:$C=C3826)*($F:$F=F3826)) ) - 1</f>
        <v>-6.4013767569738311E-3</v>
      </c>
    </row>
    <row r="3827" spans="1:7" x14ac:dyDescent="0.2">
      <c r="A3827" s="1">
        <v>40995</v>
      </c>
      <c r="B3827">
        <v>0</v>
      </c>
      <c r="C3827" t="s">
        <v>14</v>
      </c>
      <c r="D3827">
        <v>-7.2459999999999998E-3</v>
      </c>
      <c r="E3827">
        <f t="shared" si="118"/>
        <v>0.99275400000000003</v>
      </c>
      <c r="F3827" s="1">
        <f t="shared" si="119"/>
        <v>40994</v>
      </c>
      <c r="G3827" cm="1">
        <f t="array" ref="G3827">PRODUCT( _xlfn._xlws.FILTER($E:$E, ($C:$C=C3827)*($F:$F=F3827)) ) - 1</f>
        <v>-6.4013767569738311E-3</v>
      </c>
    </row>
    <row r="3828" spans="1:7" x14ac:dyDescent="0.2">
      <c r="A3828" s="1">
        <v>40996</v>
      </c>
      <c r="B3828">
        <v>0</v>
      </c>
      <c r="C3828" t="s">
        <v>14</v>
      </c>
      <c r="D3828">
        <v>-1.2165E-2</v>
      </c>
      <c r="E3828">
        <f t="shared" si="118"/>
        <v>0.98783500000000002</v>
      </c>
      <c r="F3828" s="1">
        <f t="shared" si="119"/>
        <v>40994</v>
      </c>
      <c r="G3828" cm="1">
        <f t="array" ref="G3828">PRODUCT( _xlfn._xlws.FILTER($E:$E, ($C:$C=C3828)*($F:$F=F3828)) ) - 1</f>
        <v>-6.4013767569738311E-3</v>
      </c>
    </row>
    <row r="3829" spans="1:7" x14ac:dyDescent="0.2">
      <c r="A3829" s="1">
        <v>40997</v>
      </c>
      <c r="B3829">
        <v>0</v>
      </c>
      <c r="C3829" t="s">
        <v>14</v>
      </c>
      <c r="D3829">
        <v>-2.1549999999999998E-3</v>
      </c>
      <c r="E3829">
        <f t="shared" si="118"/>
        <v>0.99784499999999998</v>
      </c>
      <c r="F3829" s="1">
        <f t="shared" si="119"/>
        <v>40994</v>
      </c>
      <c r="G3829" cm="1">
        <f t="array" ref="G3829">PRODUCT( _xlfn._xlws.FILTER($E:$E, ($C:$C=C3829)*($F:$F=F3829)) ) - 1</f>
        <v>-6.4013767569738311E-3</v>
      </c>
    </row>
    <row r="3830" spans="1:7" x14ac:dyDescent="0.2">
      <c r="A3830" s="1">
        <v>40998</v>
      </c>
      <c r="B3830">
        <v>0</v>
      </c>
      <c r="C3830" t="s">
        <v>14</v>
      </c>
      <c r="D3830">
        <v>5.5539999999999999E-3</v>
      </c>
      <c r="E3830">
        <f t="shared" si="118"/>
        <v>1.0055540000000001</v>
      </c>
      <c r="F3830" s="1">
        <f t="shared" si="119"/>
        <v>40994</v>
      </c>
      <c r="G3830" cm="1">
        <f t="array" ref="G3830">PRODUCT( _xlfn._xlws.FILTER($E:$E, ($C:$C=C3830)*($F:$F=F3830)) ) - 1</f>
        <v>-6.4013767569738311E-3</v>
      </c>
    </row>
    <row r="3831" spans="1:7" x14ac:dyDescent="0.2">
      <c r="A3831" s="1">
        <v>41001</v>
      </c>
      <c r="B3831">
        <v>0</v>
      </c>
      <c r="C3831" t="s">
        <v>14</v>
      </c>
      <c r="D3831">
        <v>1.8717000000000001E-2</v>
      </c>
      <c r="E3831">
        <f t="shared" si="118"/>
        <v>1.0187170000000001</v>
      </c>
      <c r="F3831" s="1">
        <f t="shared" si="119"/>
        <v>41001</v>
      </c>
      <c r="G3831" cm="1">
        <f t="array" ref="G3831">PRODUCT( _xlfn._xlws.FILTER($E:$E, ($C:$C=C3831)*($F:$F=F3831)) ) - 1</f>
        <v>-6.5664909228089985E-2</v>
      </c>
    </row>
    <row r="3832" spans="1:7" x14ac:dyDescent="0.2">
      <c r="A3832" s="1">
        <v>41002</v>
      </c>
      <c r="B3832">
        <v>0</v>
      </c>
      <c r="C3832" t="s">
        <v>14</v>
      </c>
      <c r="D3832">
        <v>-1.3854999999999999E-2</v>
      </c>
      <c r="E3832">
        <f t="shared" si="118"/>
        <v>0.98614500000000005</v>
      </c>
      <c r="F3832" s="1">
        <f t="shared" si="119"/>
        <v>41001</v>
      </c>
      <c r="G3832" cm="1">
        <f t="array" ref="G3832">PRODUCT( _xlfn._xlws.FILTER($E:$E, ($C:$C=C3832)*($F:$F=F3832)) ) - 1</f>
        <v>-6.5664909228089985E-2</v>
      </c>
    </row>
    <row r="3833" spans="1:7" x14ac:dyDescent="0.2">
      <c r="A3833" s="1">
        <v>41003</v>
      </c>
      <c r="B3833">
        <v>0</v>
      </c>
      <c r="C3833" t="s">
        <v>14</v>
      </c>
      <c r="D3833">
        <v>-4.5205000000000002E-2</v>
      </c>
      <c r="E3833">
        <f t="shared" si="118"/>
        <v>0.95479499999999995</v>
      </c>
      <c r="F3833" s="1">
        <f t="shared" si="119"/>
        <v>41001</v>
      </c>
      <c r="G3833" cm="1">
        <f t="array" ref="G3833">PRODUCT( _xlfn._xlws.FILTER($E:$E, ($C:$C=C3833)*($F:$F=F3833)) ) - 1</f>
        <v>-6.5664909228089985E-2</v>
      </c>
    </row>
    <row r="3834" spans="1:7" x14ac:dyDescent="0.2">
      <c r="A3834" s="1">
        <v>41004</v>
      </c>
      <c r="B3834">
        <v>0</v>
      </c>
      <c r="C3834" t="s">
        <v>14</v>
      </c>
      <c r="D3834">
        <v>-2.5912000000000001E-2</v>
      </c>
      <c r="E3834">
        <f t="shared" si="118"/>
        <v>0.97408799999999995</v>
      </c>
      <c r="F3834" s="1">
        <f t="shared" si="119"/>
        <v>41001</v>
      </c>
      <c r="G3834" cm="1">
        <f t="array" ref="G3834">PRODUCT( _xlfn._xlws.FILTER($E:$E, ($C:$C=C3834)*($F:$F=F3834)) ) - 1</f>
        <v>-6.5664909228089985E-2</v>
      </c>
    </row>
    <row r="3835" spans="1:7" x14ac:dyDescent="0.2">
      <c r="A3835" s="1">
        <v>41008</v>
      </c>
      <c r="B3835">
        <v>0</v>
      </c>
      <c r="C3835" t="s">
        <v>14</v>
      </c>
      <c r="D3835">
        <v>-4.5979999999999997E-3</v>
      </c>
      <c r="E3835">
        <f t="shared" si="118"/>
        <v>0.99540200000000001</v>
      </c>
      <c r="F3835" s="1">
        <f t="shared" si="119"/>
        <v>41008</v>
      </c>
      <c r="G3835" cm="1">
        <f t="array" ref="G3835">PRODUCT( _xlfn._xlws.FILTER($E:$E, ($C:$C=C3835)*($F:$F=F3835)) ) - 1</f>
        <v>-2.1573849173783799E-7</v>
      </c>
    </row>
    <row r="3836" spans="1:7" x14ac:dyDescent="0.2">
      <c r="A3836" s="1">
        <v>41009</v>
      </c>
      <c r="B3836">
        <v>0</v>
      </c>
      <c r="C3836" t="s">
        <v>14</v>
      </c>
      <c r="D3836">
        <v>-2.0785000000000001E-2</v>
      </c>
      <c r="E3836">
        <f t="shared" si="118"/>
        <v>0.97921499999999995</v>
      </c>
      <c r="F3836" s="1">
        <f t="shared" si="119"/>
        <v>41008</v>
      </c>
      <c r="G3836" cm="1">
        <f t="array" ref="G3836">PRODUCT( _xlfn._xlws.FILTER($E:$E, ($C:$C=C3836)*($F:$F=F3836)) ) - 1</f>
        <v>-2.1573849173783799E-7</v>
      </c>
    </row>
    <row r="3837" spans="1:7" x14ac:dyDescent="0.2">
      <c r="A3837" s="1">
        <v>41010</v>
      </c>
      <c r="B3837">
        <v>0</v>
      </c>
      <c r="C3837" t="s">
        <v>14</v>
      </c>
      <c r="D3837">
        <v>1.4825E-2</v>
      </c>
      <c r="E3837">
        <f t="shared" si="118"/>
        <v>1.0148250000000001</v>
      </c>
      <c r="F3837" s="1">
        <f t="shared" si="119"/>
        <v>41008</v>
      </c>
      <c r="G3837" cm="1">
        <f t="array" ref="G3837">PRODUCT( _xlfn._xlws.FILTER($E:$E, ($C:$C=C3837)*($F:$F=F3837)) ) - 1</f>
        <v>-2.1573849173783799E-7</v>
      </c>
    </row>
    <row r="3838" spans="1:7" x14ac:dyDescent="0.2">
      <c r="A3838" s="1">
        <v>41011</v>
      </c>
      <c r="B3838">
        <v>0</v>
      </c>
      <c r="C3838" t="s">
        <v>14</v>
      </c>
      <c r="D3838">
        <v>2.7556000000000001E-2</v>
      </c>
      <c r="E3838">
        <f t="shared" si="118"/>
        <v>1.0275559999999999</v>
      </c>
      <c r="F3838" s="1">
        <f t="shared" si="119"/>
        <v>41008</v>
      </c>
      <c r="G3838" cm="1">
        <f t="array" ref="G3838">PRODUCT( _xlfn._xlws.FILTER($E:$E, ($C:$C=C3838)*($F:$F=F3838)) ) - 1</f>
        <v>-2.1573849173783799E-7</v>
      </c>
    </row>
    <row r="3839" spans="1:7" x14ac:dyDescent="0.2">
      <c r="A3839" s="1">
        <v>41012</v>
      </c>
      <c r="B3839">
        <v>0</v>
      </c>
      <c r="C3839" t="s">
        <v>14</v>
      </c>
      <c r="D3839">
        <v>-1.6154999999999999E-2</v>
      </c>
      <c r="E3839">
        <f t="shared" si="118"/>
        <v>0.98384499999999997</v>
      </c>
      <c r="F3839" s="1">
        <f t="shared" si="119"/>
        <v>41008</v>
      </c>
      <c r="G3839" cm="1">
        <f t="array" ref="G3839">PRODUCT( _xlfn._xlws.FILTER($E:$E, ($C:$C=C3839)*($F:$F=F3839)) ) - 1</f>
        <v>-2.1573849173783799E-7</v>
      </c>
    </row>
    <row r="3840" spans="1:7" x14ac:dyDescent="0.2">
      <c r="A3840" s="1">
        <v>41015</v>
      </c>
      <c r="B3840">
        <v>0</v>
      </c>
      <c r="C3840" t="s">
        <v>14</v>
      </c>
      <c r="D3840">
        <v>1.1823E-2</v>
      </c>
      <c r="E3840">
        <f t="shared" si="118"/>
        <v>1.0118229999999999</v>
      </c>
      <c r="F3840" s="1">
        <f t="shared" si="119"/>
        <v>41015</v>
      </c>
      <c r="G3840" cm="1">
        <f t="array" ref="G3840">PRODUCT( _xlfn._xlws.FILTER($E:$E, ($C:$C=C3840)*($F:$F=F3840)) ) - 1</f>
        <v>1.7733874667766436E-2</v>
      </c>
    </row>
    <row r="3841" spans="1:7" x14ac:dyDescent="0.2">
      <c r="A3841" s="1">
        <v>41016</v>
      </c>
      <c r="B3841">
        <v>0</v>
      </c>
      <c r="C3841" t="s">
        <v>14</v>
      </c>
      <c r="D3841">
        <v>2.0122999999999999E-2</v>
      </c>
      <c r="E3841">
        <f t="shared" si="118"/>
        <v>1.0201229999999999</v>
      </c>
      <c r="F3841" s="1">
        <f t="shared" si="119"/>
        <v>41015</v>
      </c>
      <c r="G3841" cm="1">
        <f t="array" ref="G3841">PRODUCT( _xlfn._xlws.FILTER($E:$E, ($C:$C=C3841)*($F:$F=F3841)) ) - 1</f>
        <v>1.7733874667766436E-2</v>
      </c>
    </row>
    <row r="3842" spans="1:7" x14ac:dyDescent="0.2">
      <c r="A3842" s="1">
        <v>41017</v>
      </c>
      <c r="B3842">
        <v>0</v>
      </c>
      <c r="C3842" t="s">
        <v>14</v>
      </c>
      <c r="D3842">
        <v>-6.045E-3</v>
      </c>
      <c r="E3842">
        <f t="shared" si="118"/>
        <v>0.99395500000000003</v>
      </c>
      <c r="F3842" s="1">
        <f t="shared" si="119"/>
        <v>41015</v>
      </c>
      <c r="G3842" cm="1">
        <f t="array" ref="G3842">PRODUCT( _xlfn._xlws.FILTER($E:$E, ($C:$C=C3842)*($F:$F=F3842)) ) - 1</f>
        <v>1.7733874667766436E-2</v>
      </c>
    </row>
    <row r="3843" spans="1:7" x14ac:dyDescent="0.2">
      <c r="A3843" s="1">
        <v>41018</v>
      </c>
      <c r="B3843">
        <v>0</v>
      </c>
      <c r="C3843" t="s">
        <v>14</v>
      </c>
      <c r="D3843">
        <v>5.7619999999999998E-3</v>
      </c>
      <c r="E3843">
        <f t="shared" si="118"/>
        <v>1.005762</v>
      </c>
      <c r="F3843" s="1">
        <f t="shared" si="119"/>
        <v>41015</v>
      </c>
      <c r="G3843" cm="1">
        <f t="array" ref="G3843">PRODUCT( _xlfn._xlws.FILTER($E:$E, ($C:$C=C3843)*($F:$F=F3843)) ) - 1</f>
        <v>1.7733874667766436E-2</v>
      </c>
    </row>
    <row r="3844" spans="1:7" x14ac:dyDescent="0.2">
      <c r="A3844" s="1">
        <v>41019</v>
      </c>
      <c r="B3844">
        <v>0</v>
      </c>
      <c r="C3844" t="s">
        <v>14</v>
      </c>
      <c r="D3844">
        <v>-1.3686E-2</v>
      </c>
      <c r="E3844">
        <f t="shared" ref="E3844:E3907" si="120">D3844+1</f>
        <v>0.98631400000000002</v>
      </c>
      <c r="F3844" s="1">
        <f t="shared" ref="F3844:F3907" si="121">A3844 - (WEEKDAY(A3844, 2) - 1)</f>
        <v>41015</v>
      </c>
      <c r="G3844" cm="1">
        <f t="array" ref="G3844">PRODUCT( _xlfn._xlws.FILTER($E:$E, ($C:$C=C3844)*($F:$F=F3844)) ) - 1</f>
        <v>1.7733874667766436E-2</v>
      </c>
    </row>
    <row r="3845" spans="1:7" x14ac:dyDescent="0.2">
      <c r="A3845" s="1">
        <v>41022</v>
      </c>
      <c r="B3845">
        <v>0</v>
      </c>
      <c r="C3845" t="s">
        <v>14</v>
      </c>
      <c r="D3845">
        <v>9.68E-4</v>
      </c>
      <c r="E3845">
        <f t="shared" si="120"/>
        <v>1.0009680000000001</v>
      </c>
      <c r="F3845" s="1">
        <f t="shared" si="121"/>
        <v>41022</v>
      </c>
      <c r="G3845" cm="1">
        <f t="array" ref="G3845">PRODUCT( _xlfn._xlws.FILTER($E:$E, ($C:$C=C3845)*($F:$F=F3845)) ) - 1</f>
        <v>2.0975421649379822E-2</v>
      </c>
    </row>
    <row r="3846" spans="1:7" x14ac:dyDescent="0.2">
      <c r="A3846" s="1">
        <v>41023</v>
      </c>
      <c r="B3846">
        <v>0</v>
      </c>
      <c r="C3846" t="s">
        <v>14</v>
      </c>
      <c r="D3846">
        <v>9.6699999999999998E-4</v>
      </c>
      <c r="E3846">
        <f t="shared" si="120"/>
        <v>1.0009669999999999</v>
      </c>
      <c r="F3846" s="1">
        <f t="shared" si="121"/>
        <v>41022</v>
      </c>
      <c r="G3846" cm="1">
        <f t="array" ref="G3846">PRODUCT( _xlfn._xlws.FILTER($E:$E, ($C:$C=C3846)*($F:$F=F3846)) ) - 1</f>
        <v>2.0975421649379822E-2</v>
      </c>
    </row>
    <row r="3847" spans="1:7" x14ac:dyDescent="0.2">
      <c r="A3847" s="1">
        <v>41024</v>
      </c>
      <c r="B3847">
        <v>0</v>
      </c>
      <c r="C3847" t="s">
        <v>14</v>
      </c>
      <c r="D3847">
        <v>1.3527000000000001E-2</v>
      </c>
      <c r="E3847">
        <f t="shared" si="120"/>
        <v>1.0135270000000001</v>
      </c>
      <c r="F3847" s="1">
        <f t="shared" si="121"/>
        <v>41022</v>
      </c>
      <c r="G3847" cm="1">
        <f t="array" ref="G3847">PRODUCT( _xlfn._xlws.FILTER($E:$E, ($C:$C=C3847)*($F:$F=F3847)) ) - 1</f>
        <v>2.0975421649379822E-2</v>
      </c>
    </row>
    <row r="3848" spans="1:7" x14ac:dyDescent="0.2">
      <c r="A3848" s="1">
        <v>41025</v>
      </c>
      <c r="B3848">
        <v>0</v>
      </c>
      <c r="C3848" t="s">
        <v>14</v>
      </c>
      <c r="D3848">
        <v>3.1799999999999998E-4</v>
      </c>
      <c r="E3848">
        <f t="shared" si="120"/>
        <v>1.000318</v>
      </c>
      <c r="F3848" s="1">
        <f t="shared" si="121"/>
        <v>41022</v>
      </c>
      <c r="G3848" cm="1">
        <f t="array" ref="G3848">PRODUCT( _xlfn._xlws.FILTER($E:$E, ($C:$C=C3848)*($F:$F=F3848)) ) - 1</f>
        <v>2.0975421649379822E-2</v>
      </c>
    </row>
    <row r="3849" spans="1:7" x14ac:dyDescent="0.2">
      <c r="A3849" s="1">
        <v>41026</v>
      </c>
      <c r="B3849">
        <v>0</v>
      </c>
      <c r="C3849" t="s">
        <v>14</v>
      </c>
      <c r="D3849">
        <v>5.0829999999999998E-3</v>
      </c>
      <c r="E3849">
        <f t="shared" si="120"/>
        <v>1.0050829999999999</v>
      </c>
      <c r="F3849" s="1">
        <f t="shared" si="121"/>
        <v>41022</v>
      </c>
      <c r="G3849" cm="1">
        <f t="array" ref="G3849">PRODUCT( _xlfn._xlws.FILTER($E:$E, ($C:$C=C3849)*($F:$F=F3849)) ) - 1</f>
        <v>2.0975421649379822E-2</v>
      </c>
    </row>
    <row r="3850" spans="1:7" x14ac:dyDescent="0.2">
      <c r="A3850" s="1">
        <v>41029</v>
      </c>
      <c r="B3850">
        <v>0</v>
      </c>
      <c r="C3850" t="s">
        <v>14</v>
      </c>
      <c r="D3850">
        <v>3.1289999999999998E-2</v>
      </c>
      <c r="E3850">
        <f t="shared" si="120"/>
        <v>1.03129</v>
      </c>
      <c r="F3850" s="1">
        <f t="shared" si="121"/>
        <v>41029</v>
      </c>
      <c r="G3850" cm="1">
        <f t="array" ref="G3850">PRODUCT( _xlfn._xlws.FILTER($E:$E, ($C:$C=C3850)*($F:$F=F3850)) ) - 1</f>
        <v>-4.5828117771952837E-2</v>
      </c>
    </row>
    <row r="3851" spans="1:7" x14ac:dyDescent="0.2">
      <c r="A3851" s="1">
        <v>41030</v>
      </c>
      <c r="B3851">
        <v>0</v>
      </c>
      <c r="C3851" t="s">
        <v>14</v>
      </c>
      <c r="D3851">
        <v>9.4999999999999998E-3</v>
      </c>
      <c r="E3851">
        <f t="shared" si="120"/>
        <v>1.0095000000000001</v>
      </c>
      <c r="F3851" s="1">
        <f t="shared" si="121"/>
        <v>41029</v>
      </c>
      <c r="G3851" cm="1">
        <f t="array" ref="G3851">PRODUCT( _xlfn._xlws.FILTER($E:$E, ($C:$C=C3851)*($F:$F=F3851)) ) - 1</f>
        <v>-4.5828117771952837E-2</v>
      </c>
    </row>
    <row r="3852" spans="1:7" x14ac:dyDescent="0.2">
      <c r="A3852" s="1">
        <v>41031</v>
      </c>
      <c r="B3852">
        <v>0</v>
      </c>
      <c r="C3852" t="s">
        <v>14</v>
      </c>
      <c r="D3852">
        <v>-2.1250999999999999E-2</v>
      </c>
      <c r="E3852">
        <f t="shared" si="120"/>
        <v>0.97874899999999998</v>
      </c>
      <c r="F3852" s="1">
        <f t="shared" si="121"/>
        <v>41029</v>
      </c>
      <c r="G3852" cm="1">
        <f t="array" ref="G3852">PRODUCT( _xlfn._xlws.FILTER($E:$E, ($C:$C=C3852)*($F:$F=F3852)) ) - 1</f>
        <v>-4.5828117771952837E-2</v>
      </c>
    </row>
    <row r="3853" spans="1:7" x14ac:dyDescent="0.2">
      <c r="A3853" s="1">
        <v>41032</v>
      </c>
      <c r="B3853">
        <v>0</v>
      </c>
      <c r="C3853" t="s">
        <v>14</v>
      </c>
      <c r="D3853">
        <v>-2.8535999999999999E-2</v>
      </c>
      <c r="E3853">
        <f t="shared" si="120"/>
        <v>0.97146399999999999</v>
      </c>
      <c r="F3853" s="1">
        <f t="shared" si="121"/>
        <v>41029</v>
      </c>
      <c r="G3853" cm="1">
        <f t="array" ref="G3853">PRODUCT( _xlfn._xlws.FILTER($E:$E, ($C:$C=C3853)*($F:$F=F3853)) ) - 1</f>
        <v>-4.5828117771952837E-2</v>
      </c>
    </row>
    <row r="3854" spans="1:7" x14ac:dyDescent="0.2">
      <c r="A3854" s="1">
        <v>41033</v>
      </c>
      <c r="B3854">
        <v>0</v>
      </c>
      <c r="C3854" t="s">
        <v>14</v>
      </c>
      <c r="D3854">
        <v>-3.6079E-2</v>
      </c>
      <c r="E3854">
        <f t="shared" si="120"/>
        <v>0.96392100000000003</v>
      </c>
      <c r="F3854" s="1">
        <f t="shared" si="121"/>
        <v>41029</v>
      </c>
      <c r="G3854" cm="1">
        <f t="array" ref="G3854">PRODUCT( _xlfn._xlws.FILTER($E:$E, ($C:$C=C3854)*($F:$F=F3854)) ) - 1</f>
        <v>-4.5828117771952837E-2</v>
      </c>
    </row>
    <row r="3855" spans="1:7" x14ac:dyDescent="0.2">
      <c r="A3855" s="1">
        <v>41036</v>
      </c>
      <c r="B3855">
        <v>0</v>
      </c>
      <c r="C3855" t="s">
        <v>14</v>
      </c>
      <c r="D3855">
        <v>9.9400000000000009E-4</v>
      </c>
      <c r="E3855">
        <f t="shared" si="120"/>
        <v>1.0009939999999999</v>
      </c>
      <c r="F3855" s="1">
        <f t="shared" si="121"/>
        <v>41036</v>
      </c>
      <c r="G3855" cm="1">
        <f t="array" ref="G3855">PRODUCT( _xlfn._xlws.FILTER($E:$E, ($C:$C=C3855)*($F:$F=F3855)) ) - 1</f>
        <v>-4.7697831387544576E-2</v>
      </c>
    </row>
    <row r="3856" spans="1:7" x14ac:dyDescent="0.2">
      <c r="A3856" s="1">
        <v>41037</v>
      </c>
      <c r="B3856">
        <v>0</v>
      </c>
      <c r="C3856" t="s">
        <v>14</v>
      </c>
      <c r="D3856">
        <v>-1.4891E-2</v>
      </c>
      <c r="E3856">
        <f t="shared" si="120"/>
        <v>0.98510900000000001</v>
      </c>
      <c r="F3856" s="1">
        <f t="shared" si="121"/>
        <v>41036</v>
      </c>
      <c r="G3856" cm="1">
        <f t="array" ref="G3856">PRODUCT( _xlfn._xlws.FILTER($E:$E, ($C:$C=C3856)*($F:$F=F3856)) ) - 1</f>
        <v>-4.7697831387544576E-2</v>
      </c>
    </row>
    <row r="3857" spans="1:7" x14ac:dyDescent="0.2">
      <c r="A3857" s="1">
        <v>41038</v>
      </c>
      <c r="B3857">
        <v>0</v>
      </c>
      <c r="C3857" t="s">
        <v>14</v>
      </c>
      <c r="D3857">
        <v>-2.3514E-2</v>
      </c>
      <c r="E3857">
        <f t="shared" si="120"/>
        <v>0.97648599999999997</v>
      </c>
      <c r="F3857" s="1">
        <f t="shared" si="121"/>
        <v>41036</v>
      </c>
      <c r="G3857" cm="1">
        <f t="array" ref="G3857">PRODUCT( _xlfn._xlws.FILTER($E:$E, ($C:$C=C3857)*($F:$F=F3857)) ) - 1</f>
        <v>-4.7697831387544576E-2</v>
      </c>
    </row>
    <row r="3858" spans="1:7" x14ac:dyDescent="0.2">
      <c r="A3858" s="1">
        <v>41039</v>
      </c>
      <c r="B3858">
        <v>0</v>
      </c>
      <c r="C3858" t="s">
        <v>14</v>
      </c>
      <c r="D3858">
        <v>7.9120000000000006E-3</v>
      </c>
      <c r="E3858">
        <f t="shared" si="120"/>
        <v>1.0079119999999999</v>
      </c>
      <c r="F3858" s="1">
        <f t="shared" si="121"/>
        <v>41036</v>
      </c>
      <c r="G3858" cm="1">
        <f t="array" ref="G3858">PRODUCT( _xlfn._xlws.FILTER($E:$E, ($C:$C=C3858)*($F:$F=F3858)) ) - 1</f>
        <v>-4.7697831387544576E-2</v>
      </c>
    </row>
    <row r="3859" spans="1:7" x14ac:dyDescent="0.2">
      <c r="A3859" s="1">
        <v>41040</v>
      </c>
      <c r="B3859">
        <v>0</v>
      </c>
      <c r="C3859" t="s">
        <v>14</v>
      </c>
      <c r="D3859">
        <v>-1.8770999999999999E-2</v>
      </c>
      <c r="E3859">
        <f t="shared" si="120"/>
        <v>0.98122900000000002</v>
      </c>
      <c r="F3859" s="1">
        <f t="shared" si="121"/>
        <v>41036</v>
      </c>
      <c r="G3859" cm="1">
        <f t="array" ref="G3859">PRODUCT( _xlfn._xlws.FILTER($E:$E, ($C:$C=C3859)*($F:$F=F3859)) ) - 1</f>
        <v>-4.7697831387544576E-2</v>
      </c>
    </row>
    <row r="3860" spans="1:7" x14ac:dyDescent="0.2">
      <c r="A3860" s="1">
        <v>41043</v>
      </c>
      <c r="B3860">
        <v>0</v>
      </c>
      <c r="C3860" t="s">
        <v>14</v>
      </c>
      <c r="D3860">
        <v>-2.6435E-2</v>
      </c>
      <c r="E3860">
        <f t="shared" si="120"/>
        <v>0.97356500000000001</v>
      </c>
      <c r="F3860" s="1">
        <f t="shared" si="121"/>
        <v>41043</v>
      </c>
      <c r="G3860" cm="1">
        <f t="array" ref="G3860">PRODUCT( _xlfn._xlws.FILTER($E:$E, ($C:$C=C3860)*($F:$F=F3860)) ) - 1</f>
        <v>-4.6957381209131954E-2</v>
      </c>
    </row>
    <row r="3861" spans="1:7" x14ac:dyDescent="0.2">
      <c r="A3861" s="1">
        <v>41044</v>
      </c>
      <c r="B3861">
        <v>0</v>
      </c>
      <c r="C3861" t="s">
        <v>14</v>
      </c>
      <c r="D3861">
        <v>-1.1433E-2</v>
      </c>
      <c r="E3861">
        <f t="shared" si="120"/>
        <v>0.98856699999999997</v>
      </c>
      <c r="F3861" s="1">
        <f t="shared" si="121"/>
        <v>41043</v>
      </c>
      <c r="G3861" cm="1">
        <f t="array" ref="G3861">PRODUCT( _xlfn._xlws.FILTER($E:$E, ($C:$C=C3861)*($F:$F=F3861)) ) - 1</f>
        <v>-4.6957381209131954E-2</v>
      </c>
    </row>
    <row r="3862" spans="1:7" x14ac:dyDescent="0.2">
      <c r="A3862" s="1">
        <v>41045</v>
      </c>
      <c r="B3862">
        <v>0</v>
      </c>
      <c r="C3862" t="s">
        <v>14</v>
      </c>
      <c r="D3862">
        <v>-7.9509999999999997E-3</v>
      </c>
      <c r="E3862">
        <f t="shared" si="120"/>
        <v>0.99204899999999996</v>
      </c>
      <c r="F3862" s="1">
        <f t="shared" si="121"/>
        <v>41043</v>
      </c>
      <c r="G3862" cm="1">
        <f t="array" ref="G3862">PRODUCT( _xlfn._xlws.FILTER($E:$E, ($C:$C=C3862)*($F:$F=F3862)) ) - 1</f>
        <v>-4.6957381209131954E-2</v>
      </c>
    </row>
    <row r="3863" spans="1:7" x14ac:dyDescent="0.2">
      <c r="A3863" s="1">
        <v>41046</v>
      </c>
      <c r="B3863">
        <v>0</v>
      </c>
      <c r="C3863" t="s">
        <v>14</v>
      </c>
      <c r="D3863">
        <v>3.2789999999999998E-3</v>
      </c>
      <c r="E3863">
        <f t="shared" si="120"/>
        <v>1.003279</v>
      </c>
      <c r="F3863" s="1">
        <f t="shared" si="121"/>
        <v>41043</v>
      </c>
      <c r="G3863" cm="1">
        <f t="array" ref="G3863">PRODUCT( _xlfn._xlws.FILTER($E:$E, ($C:$C=C3863)*($F:$F=F3863)) ) - 1</f>
        <v>-4.6957381209131954E-2</v>
      </c>
    </row>
    <row r="3864" spans="1:7" x14ac:dyDescent="0.2">
      <c r="A3864" s="1">
        <v>41047</v>
      </c>
      <c r="B3864">
        <v>0</v>
      </c>
      <c r="C3864" t="s">
        <v>14</v>
      </c>
      <c r="D3864">
        <v>-5.084E-3</v>
      </c>
      <c r="E3864">
        <f t="shared" si="120"/>
        <v>0.99491600000000002</v>
      </c>
      <c r="F3864" s="1">
        <f t="shared" si="121"/>
        <v>41043</v>
      </c>
      <c r="G3864" cm="1">
        <f t="array" ref="G3864">PRODUCT( _xlfn._xlws.FILTER($E:$E, ($C:$C=C3864)*($F:$F=F3864)) ) - 1</f>
        <v>-4.6957381209131954E-2</v>
      </c>
    </row>
    <row r="3865" spans="1:7" x14ac:dyDescent="0.2">
      <c r="A3865" s="1">
        <v>41051</v>
      </c>
      <c r="B3865">
        <v>0</v>
      </c>
      <c r="C3865" t="s">
        <v>14</v>
      </c>
      <c r="D3865">
        <v>3.2847000000000001E-2</v>
      </c>
      <c r="E3865">
        <f t="shared" si="120"/>
        <v>1.0328470000000001</v>
      </c>
      <c r="F3865" s="1">
        <f t="shared" si="121"/>
        <v>41050</v>
      </c>
      <c r="G3865" cm="1">
        <f t="array" ref="G3865">PRODUCT( _xlfn._xlws.FILTER($E:$E, ($C:$C=C3865)*($F:$F=F3865)) ) - 1</f>
        <v>5.3649728442577871E-2</v>
      </c>
    </row>
    <row r="3866" spans="1:7" x14ac:dyDescent="0.2">
      <c r="A3866" s="1">
        <v>41052</v>
      </c>
      <c r="B3866">
        <v>0</v>
      </c>
      <c r="C3866" t="s">
        <v>14</v>
      </c>
      <c r="D3866">
        <v>8.1270000000000005E-3</v>
      </c>
      <c r="E3866">
        <f t="shared" si="120"/>
        <v>1.008127</v>
      </c>
      <c r="F3866" s="1">
        <f t="shared" si="121"/>
        <v>41050</v>
      </c>
      <c r="G3866" cm="1">
        <f t="array" ref="G3866">PRODUCT( _xlfn._xlws.FILTER($E:$E, ($C:$C=C3866)*($F:$F=F3866)) ) - 1</f>
        <v>5.3649728442577871E-2</v>
      </c>
    </row>
    <row r="3867" spans="1:7" x14ac:dyDescent="0.2">
      <c r="A3867" s="1">
        <v>41053</v>
      </c>
      <c r="B3867">
        <v>0</v>
      </c>
      <c r="C3867" t="s">
        <v>14</v>
      </c>
      <c r="D3867">
        <v>-1.402E-3</v>
      </c>
      <c r="E3867">
        <f t="shared" si="120"/>
        <v>0.99859799999999999</v>
      </c>
      <c r="F3867" s="1">
        <f t="shared" si="121"/>
        <v>41050</v>
      </c>
      <c r="G3867" cm="1">
        <f t="array" ref="G3867">PRODUCT( _xlfn._xlws.FILTER($E:$E, ($C:$C=C3867)*($F:$F=F3867)) ) - 1</f>
        <v>5.3649728442577871E-2</v>
      </c>
    </row>
    <row r="3868" spans="1:7" x14ac:dyDescent="0.2">
      <c r="A3868" s="1">
        <v>41054</v>
      </c>
      <c r="B3868">
        <v>0</v>
      </c>
      <c r="C3868" t="s">
        <v>14</v>
      </c>
      <c r="D3868">
        <v>1.3337999999999999E-2</v>
      </c>
      <c r="E3868">
        <f t="shared" si="120"/>
        <v>1.0133380000000001</v>
      </c>
      <c r="F3868" s="1">
        <f t="shared" si="121"/>
        <v>41050</v>
      </c>
      <c r="G3868" cm="1">
        <f t="array" ref="G3868">PRODUCT( _xlfn._xlws.FILTER($E:$E, ($C:$C=C3868)*($F:$F=F3868)) ) - 1</f>
        <v>5.3649728442577871E-2</v>
      </c>
    </row>
    <row r="3869" spans="1:7" x14ac:dyDescent="0.2">
      <c r="A3869" s="1">
        <v>41057</v>
      </c>
      <c r="B3869">
        <v>0</v>
      </c>
      <c r="C3869" t="s">
        <v>14</v>
      </c>
      <c r="D3869">
        <v>1.039E-3</v>
      </c>
      <c r="E3869">
        <f t="shared" si="120"/>
        <v>1.001039</v>
      </c>
      <c r="F3869" s="1">
        <f t="shared" si="121"/>
        <v>41057</v>
      </c>
      <c r="G3869" cm="1">
        <f t="array" ref="G3869">PRODUCT( _xlfn._xlws.FILTER($E:$E, ($C:$C=C3869)*($F:$F=F3869)) ) - 1</f>
        <v>-4.4081003561437404E-2</v>
      </c>
    </row>
    <row r="3870" spans="1:7" x14ac:dyDescent="0.2">
      <c r="A3870" s="1">
        <v>41058</v>
      </c>
      <c r="B3870">
        <v>0</v>
      </c>
      <c r="C3870" t="s">
        <v>14</v>
      </c>
      <c r="D3870">
        <v>1.0035000000000001E-2</v>
      </c>
      <c r="E3870">
        <f t="shared" si="120"/>
        <v>1.010035</v>
      </c>
      <c r="F3870" s="1">
        <f t="shared" si="121"/>
        <v>41057</v>
      </c>
      <c r="G3870" cm="1">
        <f t="array" ref="G3870">PRODUCT( _xlfn._xlws.FILTER($E:$E, ($C:$C=C3870)*($F:$F=F3870)) ) - 1</f>
        <v>-4.4081003561437404E-2</v>
      </c>
    </row>
    <row r="3871" spans="1:7" x14ac:dyDescent="0.2">
      <c r="A3871" s="1">
        <v>41059</v>
      </c>
      <c r="B3871">
        <v>0</v>
      </c>
      <c r="C3871" t="s">
        <v>14</v>
      </c>
      <c r="D3871">
        <v>-3.5629000000000001E-2</v>
      </c>
      <c r="E3871">
        <f t="shared" si="120"/>
        <v>0.96437099999999998</v>
      </c>
      <c r="F3871" s="1">
        <f t="shared" si="121"/>
        <v>41057</v>
      </c>
      <c r="G3871" cm="1">
        <f t="array" ref="G3871">PRODUCT( _xlfn._xlws.FILTER($E:$E, ($C:$C=C3871)*($F:$F=F3871)) ) - 1</f>
        <v>-4.4081003561437404E-2</v>
      </c>
    </row>
    <row r="3872" spans="1:7" x14ac:dyDescent="0.2">
      <c r="A3872" s="1">
        <v>41060</v>
      </c>
      <c r="B3872">
        <v>0</v>
      </c>
      <c r="C3872" t="s">
        <v>14</v>
      </c>
      <c r="D3872">
        <v>3.5500000000000001E-4</v>
      </c>
      <c r="E3872">
        <f t="shared" si="120"/>
        <v>1.0003550000000001</v>
      </c>
      <c r="F3872" s="1">
        <f t="shared" si="121"/>
        <v>41057</v>
      </c>
      <c r="G3872" cm="1">
        <f t="array" ref="G3872">PRODUCT( _xlfn._xlws.FILTER($E:$E, ($C:$C=C3872)*($F:$F=F3872)) ) - 1</f>
        <v>-4.4081003561437404E-2</v>
      </c>
    </row>
    <row r="3873" spans="1:7" x14ac:dyDescent="0.2">
      <c r="A3873" s="1">
        <v>41061</v>
      </c>
      <c r="B3873">
        <v>0</v>
      </c>
      <c r="C3873" t="s">
        <v>14</v>
      </c>
      <c r="D3873">
        <v>-1.9979E-2</v>
      </c>
      <c r="E3873">
        <f t="shared" si="120"/>
        <v>0.98002100000000003</v>
      </c>
      <c r="F3873" s="1">
        <f t="shared" si="121"/>
        <v>41057</v>
      </c>
      <c r="G3873" cm="1">
        <f t="array" ref="G3873">PRODUCT( _xlfn._xlws.FILTER($E:$E, ($C:$C=C3873)*($F:$F=F3873)) ) - 1</f>
        <v>-4.4081003561437404E-2</v>
      </c>
    </row>
    <row r="3874" spans="1:7" x14ac:dyDescent="0.2">
      <c r="A3874" s="1">
        <v>41064</v>
      </c>
      <c r="B3874">
        <v>0</v>
      </c>
      <c r="C3874" t="s">
        <v>14</v>
      </c>
      <c r="D3874">
        <v>8.737E-3</v>
      </c>
      <c r="E3874">
        <f t="shared" si="120"/>
        <v>1.008737</v>
      </c>
      <c r="F3874" s="1">
        <f t="shared" si="121"/>
        <v>41064</v>
      </c>
      <c r="G3874" cm="1">
        <f t="array" ref="G3874">PRODUCT( _xlfn._xlws.FILTER($E:$E, ($C:$C=C3874)*($F:$F=F3874)) ) - 1</f>
        <v>5.6789815163837742E-2</v>
      </c>
    </row>
    <row r="3875" spans="1:7" x14ac:dyDescent="0.2">
      <c r="A3875" s="1">
        <v>41065</v>
      </c>
      <c r="B3875">
        <v>0</v>
      </c>
      <c r="C3875" t="s">
        <v>14</v>
      </c>
      <c r="D3875">
        <v>2.1291999999999998E-2</v>
      </c>
      <c r="E3875">
        <f t="shared" si="120"/>
        <v>1.0212920000000001</v>
      </c>
      <c r="F3875" s="1">
        <f t="shared" si="121"/>
        <v>41064</v>
      </c>
      <c r="G3875" cm="1">
        <f t="array" ref="G3875">PRODUCT( _xlfn._xlws.FILTER($E:$E, ($C:$C=C3875)*($F:$F=F3875)) ) - 1</f>
        <v>5.6789815163837742E-2</v>
      </c>
    </row>
    <row r="3876" spans="1:7" x14ac:dyDescent="0.2">
      <c r="A3876" s="1">
        <v>41066</v>
      </c>
      <c r="B3876">
        <v>0</v>
      </c>
      <c r="C3876" t="s">
        <v>14</v>
      </c>
      <c r="D3876">
        <v>3.3216000000000002E-2</v>
      </c>
      <c r="E3876">
        <f t="shared" si="120"/>
        <v>1.0332159999999999</v>
      </c>
      <c r="F3876" s="1">
        <f t="shared" si="121"/>
        <v>41064</v>
      </c>
      <c r="G3876" cm="1">
        <f t="array" ref="G3876">PRODUCT( _xlfn._xlws.FILTER($E:$E, ($C:$C=C3876)*($F:$F=F3876)) ) - 1</f>
        <v>5.6789815163837742E-2</v>
      </c>
    </row>
    <row r="3877" spans="1:7" x14ac:dyDescent="0.2">
      <c r="A3877" s="1">
        <v>41067</v>
      </c>
      <c r="B3877">
        <v>0</v>
      </c>
      <c r="C3877" t="s">
        <v>14</v>
      </c>
      <c r="D3877">
        <v>2.7360000000000002E-3</v>
      </c>
      <c r="E3877">
        <f t="shared" si="120"/>
        <v>1.0027360000000001</v>
      </c>
      <c r="F3877" s="1">
        <f t="shared" si="121"/>
        <v>41064</v>
      </c>
      <c r="G3877" cm="1">
        <f t="array" ref="G3877">PRODUCT( _xlfn._xlws.FILTER($E:$E, ($C:$C=C3877)*($F:$F=F3877)) ) - 1</f>
        <v>5.6789815163837742E-2</v>
      </c>
    </row>
    <row r="3878" spans="1:7" x14ac:dyDescent="0.2">
      <c r="A3878" s="1">
        <v>41068</v>
      </c>
      <c r="B3878">
        <v>0</v>
      </c>
      <c r="C3878" t="s">
        <v>14</v>
      </c>
      <c r="D3878">
        <v>-9.8910000000000005E-3</v>
      </c>
      <c r="E3878">
        <f t="shared" si="120"/>
        <v>0.99010900000000002</v>
      </c>
      <c r="F3878" s="1">
        <f t="shared" si="121"/>
        <v>41064</v>
      </c>
      <c r="G3878" cm="1">
        <f t="array" ref="G3878">PRODUCT( _xlfn._xlws.FILTER($E:$E, ($C:$C=C3878)*($F:$F=F3878)) ) - 1</f>
        <v>5.6789815163837742E-2</v>
      </c>
    </row>
    <row r="3879" spans="1:7" x14ac:dyDescent="0.2">
      <c r="A3879" s="1">
        <v>41071</v>
      </c>
      <c r="B3879">
        <v>0</v>
      </c>
      <c r="C3879" t="s">
        <v>14</v>
      </c>
      <c r="D3879">
        <v>-2.4112999999999999E-2</v>
      </c>
      <c r="E3879">
        <f t="shared" si="120"/>
        <v>0.97588699999999995</v>
      </c>
      <c r="F3879" s="1">
        <f t="shared" si="121"/>
        <v>41071</v>
      </c>
      <c r="G3879" cm="1">
        <f t="array" ref="G3879">PRODUCT( _xlfn._xlws.FILTER($E:$E, ($C:$C=C3879)*($F:$F=F3879)) ) - 1</f>
        <v>-6.8873526027768417E-4</v>
      </c>
    </row>
    <row r="3880" spans="1:7" x14ac:dyDescent="0.2">
      <c r="A3880" s="1">
        <v>41072</v>
      </c>
      <c r="B3880">
        <v>0</v>
      </c>
      <c r="C3880" t="s">
        <v>14</v>
      </c>
      <c r="D3880">
        <v>2.2591E-2</v>
      </c>
      <c r="E3880">
        <f t="shared" si="120"/>
        <v>1.022591</v>
      </c>
      <c r="F3880" s="1">
        <f t="shared" si="121"/>
        <v>41071</v>
      </c>
      <c r="G3880" cm="1">
        <f t="array" ref="G3880">PRODUCT( _xlfn._xlws.FILTER($E:$E, ($C:$C=C3880)*($F:$F=F3880)) ) - 1</f>
        <v>-6.8873526027768417E-4</v>
      </c>
    </row>
    <row r="3881" spans="1:7" x14ac:dyDescent="0.2">
      <c r="A3881" s="1">
        <v>41073</v>
      </c>
      <c r="B3881">
        <v>0</v>
      </c>
      <c r="C3881" t="s">
        <v>14</v>
      </c>
      <c r="D3881">
        <v>-3.797E-3</v>
      </c>
      <c r="E3881">
        <f t="shared" si="120"/>
        <v>0.99620299999999995</v>
      </c>
      <c r="F3881" s="1">
        <f t="shared" si="121"/>
        <v>41071</v>
      </c>
      <c r="G3881" cm="1">
        <f t="array" ref="G3881">PRODUCT( _xlfn._xlws.FILTER($E:$E, ($C:$C=C3881)*($F:$F=F3881)) ) - 1</f>
        <v>-6.8873526027768417E-4</v>
      </c>
    </row>
    <row r="3882" spans="1:7" x14ac:dyDescent="0.2">
      <c r="A3882" s="1">
        <v>41074</v>
      </c>
      <c r="B3882">
        <v>0</v>
      </c>
      <c r="C3882" t="s">
        <v>14</v>
      </c>
      <c r="D3882">
        <v>-1.1781E-2</v>
      </c>
      <c r="E3882">
        <f t="shared" si="120"/>
        <v>0.98821899999999996</v>
      </c>
      <c r="F3882" s="1">
        <f t="shared" si="121"/>
        <v>41071</v>
      </c>
      <c r="G3882" cm="1">
        <f t="array" ref="G3882">PRODUCT( _xlfn._xlws.FILTER($E:$E, ($C:$C=C3882)*($F:$F=F3882)) ) - 1</f>
        <v>-6.8873526027768417E-4</v>
      </c>
    </row>
    <row r="3883" spans="1:7" x14ac:dyDescent="0.2">
      <c r="A3883" s="1">
        <v>41075</v>
      </c>
      <c r="B3883">
        <v>0</v>
      </c>
      <c r="C3883" t="s">
        <v>14</v>
      </c>
      <c r="D3883">
        <v>1.7180999999999998E-2</v>
      </c>
      <c r="E3883">
        <f t="shared" si="120"/>
        <v>1.0171809999999999</v>
      </c>
      <c r="F3883" s="1">
        <f t="shared" si="121"/>
        <v>41071</v>
      </c>
      <c r="G3883" cm="1">
        <f t="array" ref="G3883">PRODUCT( _xlfn._xlws.FILTER($E:$E, ($C:$C=C3883)*($F:$F=F3883)) ) - 1</f>
        <v>-6.8873526027768417E-4</v>
      </c>
    </row>
    <row r="3884" spans="1:7" x14ac:dyDescent="0.2">
      <c r="A3884" s="1">
        <v>41078</v>
      </c>
      <c r="B3884">
        <v>0</v>
      </c>
      <c r="C3884" t="s">
        <v>14</v>
      </c>
      <c r="D3884">
        <v>8.2730000000000008E-3</v>
      </c>
      <c r="E3884">
        <f t="shared" si="120"/>
        <v>1.008273</v>
      </c>
      <c r="F3884" s="1">
        <f t="shared" si="121"/>
        <v>41078</v>
      </c>
      <c r="G3884" cm="1">
        <f t="array" ref="G3884">PRODUCT( _xlfn._xlws.FILTER($E:$E, ($C:$C=C3884)*($F:$F=F3884)) ) - 1</f>
        <v>-2.5852779136929183E-2</v>
      </c>
    </row>
    <row r="3885" spans="1:7" x14ac:dyDescent="0.2">
      <c r="A3885" s="1">
        <v>41079</v>
      </c>
      <c r="B3885">
        <v>0</v>
      </c>
      <c r="C3885" t="s">
        <v>14</v>
      </c>
      <c r="D3885">
        <v>3.1111E-2</v>
      </c>
      <c r="E3885">
        <f t="shared" si="120"/>
        <v>1.0311110000000001</v>
      </c>
      <c r="F3885" s="1">
        <f t="shared" si="121"/>
        <v>41078</v>
      </c>
      <c r="G3885" cm="1">
        <f t="array" ref="G3885">PRODUCT( _xlfn._xlws.FILTER($E:$E, ($C:$C=C3885)*($F:$F=F3885)) ) - 1</f>
        <v>-2.5852779136929183E-2</v>
      </c>
    </row>
    <row r="3886" spans="1:7" x14ac:dyDescent="0.2">
      <c r="A3886" s="1">
        <v>41080</v>
      </c>
      <c r="B3886">
        <v>0</v>
      </c>
      <c r="C3886" t="s">
        <v>14</v>
      </c>
      <c r="D3886">
        <v>-1.6910000000000001E-2</v>
      </c>
      <c r="E3886">
        <f t="shared" si="120"/>
        <v>0.98309000000000002</v>
      </c>
      <c r="F3886" s="1">
        <f t="shared" si="121"/>
        <v>41078</v>
      </c>
      <c r="G3886" cm="1">
        <f t="array" ref="G3886">PRODUCT( _xlfn._xlws.FILTER($E:$E, ($C:$C=C3886)*($F:$F=F3886)) ) - 1</f>
        <v>-2.5852779136929183E-2</v>
      </c>
    </row>
    <row r="3887" spans="1:7" x14ac:dyDescent="0.2">
      <c r="A3887" s="1">
        <v>41081</v>
      </c>
      <c r="B3887">
        <v>0</v>
      </c>
      <c r="C3887" t="s">
        <v>14</v>
      </c>
      <c r="D3887">
        <v>-6.5767000000000006E-2</v>
      </c>
      <c r="E3887">
        <f t="shared" si="120"/>
        <v>0.93423299999999998</v>
      </c>
      <c r="F3887" s="1">
        <f t="shared" si="121"/>
        <v>41078</v>
      </c>
      <c r="G3887" cm="1">
        <f t="array" ref="G3887">PRODUCT( _xlfn._xlws.FILTER($E:$E, ($C:$C=C3887)*($F:$F=F3887)) ) - 1</f>
        <v>-2.5852779136929183E-2</v>
      </c>
    </row>
    <row r="3888" spans="1:7" x14ac:dyDescent="0.2">
      <c r="A3888" s="1">
        <v>41082</v>
      </c>
      <c r="B3888">
        <v>0</v>
      </c>
      <c r="C3888" t="s">
        <v>14</v>
      </c>
      <c r="D3888">
        <v>2.0216999999999999E-2</v>
      </c>
      <c r="E3888">
        <f t="shared" si="120"/>
        <v>1.0202169999999999</v>
      </c>
      <c r="F3888" s="1">
        <f t="shared" si="121"/>
        <v>41078</v>
      </c>
      <c r="G3888" cm="1">
        <f t="array" ref="G3888">PRODUCT( _xlfn._xlws.FILTER($E:$E, ($C:$C=C3888)*($F:$F=F3888)) ) - 1</f>
        <v>-2.5852779136929183E-2</v>
      </c>
    </row>
    <row r="3889" spans="1:7" x14ac:dyDescent="0.2">
      <c r="A3889" s="1">
        <v>41085</v>
      </c>
      <c r="B3889">
        <v>0</v>
      </c>
      <c r="C3889" t="s">
        <v>14</v>
      </c>
      <c r="D3889">
        <v>-1.9462E-2</v>
      </c>
      <c r="E3889">
        <f t="shared" si="120"/>
        <v>0.98053800000000002</v>
      </c>
      <c r="F3889" s="1">
        <f t="shared" si="121"/>
        <v>41085</v>
      </c>
      <c r="G3889" cm="1">
        <f t="array" ref="G3889">PRODUCT( _xlfn._xlws.FILTER($E:$E, ($C:$C=C3889)*($F:$F=F3889)) ) - 1</f>
        <v>4.1756583334893849E-2</v>
      </c>
    </row>
    <row r="3890" spans="1:7" x14ac:dyDescent="0.2">
      <c r="A3890" s="1">
        <v>41086</v>
      </c>
      <c r="B3890">
        <v>0</v>
      </c>
      <c r="C3890" t="s">
        <v>14</v>
      </c>
      <c r="D3890">
        <v>7.2199999999999999E-4</v>
      </c>
      <c r="E3890">
        <f t="shared" si="120"/>
        <v>1.0007219999999999</v>
      </c>
      <c r="F3890" s="1">
        <f t="shared" si="121"/>
        <v>41085</v>
      </c>
      <c r="G3890" cm="1">
        <f t="array" ref="G3890">PRODUCT( _xlfn._xlws.FILTER($E:$E, ($C:$C=C3890)*($F:$F=F3890)) ) - 1</f>
        <v>4.1756583334893849E-2</v>
      </c>
    </row>
    <row r="3891" spans="1:7" x14ac:dyDescent="0.2">
      <c r="A3891" s="1">
        <v>41087</v>
      </c>
      <c r="B3891">
        <v>0</v>
      </c>
      <c r="C3891" t="s">
        <v>14</v>
      </c>
      <c r="D3891">
        <v>1.8391999999999999E-2</v>
      </c>
      <c r="E3891">
        <f t="shared" si="120"/>
        <v>1.018392</v>
      </c>
      <c r="F3891" s="1">
        <f t="shared" si="121"/>
        <v>41085</v>
      </c>
      <c r="G3891" cm="1">
        <f t="array" ref="G3891">PRODUCT( _xlfn._xlws.FILTER($E:$E, ($C:$C=C3891)*($F:$F=F3891)) ) - 1</f>
        <v>4.1756583334893849E-2</v>
      </c>
    </row>
    <row r="3892" spans="1:7" x14ac:dyDescent="0.2">
      <c r="A3892" s="1">
        <v>41088</v>
      </c>
      <c r="B3892">
        <v>0</v>
      </c>
      <c r="C3892" t="s">
        <v>14</v>
      </c>
      <c r="D3892">
        <v>2.1250000000000002E-3</v>
      </c>
      <c r="E3892">
        <f t="shared" si="120"/>
        <v>1.0021249999999999</v>
      </c>
      <c r="F3892" s="1">
        <f t="shared" si="121"/>
        <v>41085</v>
      </c>
      <c r="G3892" cm="1">
        <f t="array" ref="G3892">PRODUCT( _xlfn._xlws.FILTER($E:$E, ($C:$C=C3892)*($F:$F=F3892)) ) - 1</f>
        <v>4.1756583334893849E-2</v>
      </c>
    </row>
    <row r="3893" spans="1:7" x14ac:dyDescent="0.2">
      <c r="A3893" s="1">
        <v>41089</v>
      </c>
      <c r="B3893">
        <v>0</v>
      </c>
      <c r="C3893" t="s">
        <v>14</v>
      </c>
      <c r="D3893">
        <v>4.0282999999999999E-2</v>
      </c>
      <c r="E3893">
        <f t="shared" si="120"/>
        <v>1.0402830000000001</v>
      </c>
      <c r="F3893" s="1">
        <f t="shared" si="121"/>
        <v>41085</v>
      </c>
      <c r="G3893" cm="1">
        <f t="array" ref="G3893">PRODUCT( _xlfn._xlws.FILTER($E:$E, ($C:$C=C3893)*($F:$F=F3893)) ) - 1</f>
        <v>4.1756583334893849E-2</v>
      </c>
    </row>
    <row r="3894" spans="1:7" x14ac:dyDescent="0.2">
      <c r="A3894" s="1">
        <v>41093</v>
      </c>
      <c r="B3894">
        <v>0</v>
      </c>
      <c r="C3894" t="s">
        <v>14</v>
      </c>
      <c r="D3894">
        <v>4.3138999999999997E-2</v>
      </c>
      <c r="E3894">
        <f t="shared" si="120"/>
        <v>1.043139</v>
      </c>
      <c r="F3894" s="1">
        <f t="shared" si="121"/>
        <v>41092</v>
      </c>
      <c r="G3894" cm="1">
        <f t="array" ref="G3894">PRODUCT( _xlfn._xlws.FILTER($E:$E, ($C:$C=C3894)*($F:$F=F3894)) ) - 1</f>
        <v>-2.7177579827618592E-3</v>
      </c>
    </row>
    <row r="3895" spans="1:7" x14ac:dyDescent="0.2">
      <c r="A3895" s="1">
        <v>41094</v>
      </c>
      <c r="B3895">
        <v>0</v>
      </c>
      <c r="C3895" t="s">
        <v>14</v>
      </c>
      <c r="D3895">
        <v>1.3676000000000001E-2</v>
      </c>
      <c r="E3895">
        <f t="shared" si="120"/>
        <v>1.013676</v>
      </c>
      <c r="F3895" s="1">
        <f t="shared" si="121"/>
        <v>41092</v>
      </c>
      <c r="G3895" cm="1">
        <f t="array" ref="G3895">PRODUCT( _xlfn._xlws.FILTER($E:$E, ($C:$C=C3895)*($F:$F=F3895)) ) - 1</f>
        <v>-2.7177579827618592E-3</v>
      </c>
    </row>
    <row r="3896" spans="1:7" x14ac:dyDescent="0.2">
      <c r="A3896" s="1">
        <v>41095</v>
      </c>
      <c r="B3896">
        <v>0</v>
      </c>
      <c r="C3896" t="s">
        <v>14</v>
      </c>
      <c r="D3896">
        <v>-2.3449999999999999E-2</v>
      </c>
      <c r="E3896">
        <f t="shared" si="120"/>
        <v>0.97655000000000003</v>
      </c>
      <c r="F3896" s="1">
        <f t="shared" si="121"/>
        <v>41092</v>
      </c>
      <c r="G3896" cm="1">
        <f t="array" ref="G3896">PRODUCT( _xlfn._xlws.FILTER($E:$E, ($C:$C=C3896)*($F:$F=F3896)) ) - 1</f>
        <v>-2.7177579827618592E-3</v>
      </c>
    </row>
    <row r="3897" spans="1:7" x14ac:dyDescent="0.2">
      <c r="A3897" s="1">
        <v>41096</v>
      </c>
      <c r="B3897">
        <v>0</v>
      </c>
      <c r="C3897" t="s">
        <v>14</v>
      </c>
      <c r="D3897">
        <v>-3.4210999999999998E-2</v>
      </c>
      <c r="E3897">
        <f t="shared" si="120"/>
        <v>0.96578900000000001</v>
      </c>
      <c r="F3897" s="1">
        <f t="shared" si="121"/>
        <v>41092</v>
      </c>
      <c r="G3897" cm="1">
        <f t="array" ref="G3897">PRODUCT( _xlfn._xlws.FILTER($E:$E, ($C:$C=C3897)*($F:$F=F3897)) ) - 1</f>
        <v>-2.7177579827618592E-3</v>
      </c>
    </row>
    <row r="3898" spans="1:7" x14ac:dyDescent="0.2">
      <c r="A3898" s="1">
        <v>41099</v>
      </c>
      <c r="B3898">
        <v>0</v>
      </c>
      <c r="C3898" t="s">
        <v>14</v>
      </c>
      <c r="D3898">
        <v>-6.8120000000000003E-3</v>
      </c>
      <c r="E3898">
        <f t="shared" si="120"/>
        <v>0.99318799999999996</v>
      </c>
      <c r="F3898" s="1">
        <f t="shared" si="121"/>
        <v>41099</v>
      </c>
      <c r="G3898" cm="1">
        <f t="array" ref="G3898">PRODUCT( _xlfn._xlws.FILTER($E:$E, ($C:$C=C3898)*($F:$F=F3898)) ) - 1</f>
        <v>1.7035812946004647E-3</v>
      </c>
    </row>
    <row r="3899" spans="1:7" x14ac:dyDescent="0.2">
      <c r="A3899" s="1">
        <v>41100</v>
      </c>
      <c r="B3899">
        <v>0</v>
      </c>
      <c r="C3899" t="s">
        <v>14</v>
      </c>
      <c r="D3899">
        <v>-1.5089E-2</v>
      </c>
      <c r="E3899">
        <f t="shared" si="120"/>
        <v>0.98491099999999998</v>
      </c>
      <c r="F3899" s="1">
        <f t="shared" si="121"/>
        <v>41099</v>
      </c>
      <c r="G3899" cm="1">
        <f t="array" ref="G3899">PRODUCT( _xlfn._xlws.FILTER($E:$E, ($C:$C=C3899)*($F:$F=F3899)) ) - 1</f>
        <v>1.7035812946004647E-3</v>
      </c>
    </row>
    <row r="3900" spans="1:7" x14ac:dyDescent="0.2">
      <c r="A3900" s="1">
        <v>41101</v>
      </c>
      <c r="B3900">
        <v>0</v>
      </c>
      <c r="C3900" t="s">
        <v>14</v>
      </c>
      <c r="D3900">
        <v>1.8454000000000002E-2</v>
      </c>
      <c r="E3900">
        <f t="shared" si="120"/>
        <v>1.018454</v>
      </c>
      <c r="F3900" s="1">
        <f t="shared" si="121"/>
        <v>41099</v>
      </c>
      <c r="G3900" cm="1">
        <f t="array" ref="G3900">PRODUCT( _xlfn._xlws.FILTER($E:$E, ($C:$C=C3900)*($F:$F=F3900)) ) - 1</f>
        <v>1.7035812946004647E-3</v>
      </c>
    </row>
    <row r="3901" spans="1:7" x14ac:dyDescent="0.2">
      <c r="A3901" s="1">
        <v>41102</v>
      </c>
      <c r="B3901">
        <v>0</v>
      </c>
      <c r="C3901" t="s">
        <v>14</v>
      </c>
      <c r="D3901">
        <v>-1.3675E-2</v>
      </c>
      <c r="E3901">
        <f t="shared" si="120"/>
        <v>0.98632500000000001</v>
      </c>
      <c r="F3901" s="1">
        <f t="shared" si="121"/>
        <v>41099</v>
      </c>
      <c r="G3901" cm="1">
        <f t="array" ref="G3901">PRODUCT( _xlfn._xlws.FILTER($E:$E, ($C:$C=C3901)*($F:$F=F3901)) ) - 1</f>
        <v>1.7035812946004647E-3</v>
      </c>
    </row>
    <row r="3902" spans="1:7" x14ac:dyDescent="0.2">
      <c r="A3902" s="1">
        <v>41103</v>
      </c>
      <c r="B3902">
        <v>0</v>
      </c>
      <c r="C3902" t="s">
        <v>14</v>
      </c>
      <c r="D3902">
        <v>1.9411000000000001E-2</v>
      </c>
      <c r="E3902">
        <f t="shared" si="120"/>
        <v>1.0194110000000001</v>
      </c>
      <c r="F3902" s="1">
        <f t="shared" si="121"/>
        <v>41099</v>
      </c>
      <c r="G3902" cm="1">
        <f t="array" ref="G3902">PRODUCT( _xlfn._xlws.FILTER($E:$E, ($C:$C=C3902)*($F:$F=F3902)) ) - 1</f>
        <v>1.7035812946004647E-3</v>
      </c>
    </row>
    <row r="3903" spans="1:7" x14ac:dyDescent="0.2">
      <c r="A3903" s="1">
        <v>41106</v>
      </c>
      <c r="B3903">
        <v>0</v>
      </c>
      <c r="C3903" t="s">
        <v>14</v>
      </c>
      <c r="D3903">
        <v>1.0541E-2</v>
      </c>
      <c r="E3903">
        <f t="shared" si="120"/>
        <v>1.0105409999999999</v>
      </c>
      <c r="F3903" s="1">
        <f t="shared" si="121"/>
        <v>41106</v>
      </c>
      <c r="G3903" cm="1">
        <f t="array" ref="G3903">PRODUCT( _xlfn._xlws.FILTER($E:$E, ($C:$C=C3903)*($F:$F=F3903)) ) - 1</f>
        <v>3.6382469390042305E-2</v>
      </c>
    </row>
    <row r="3904" spans="1:7" x14ac:dyDescent="0.2">
      <c r="A3904" s="1">
        <v>41107</v>
      </c>
      <c r="B3904">
        <v>0</v>
      </c>
      <c r="C3904" t="s">
        <v>14</v>
      </c>
      <c r="D3904">
        <v>9.0849999999999993E-3</v>
      </c>
      <c r="E3904">
        <f t="shared" si="120"/>
        <v>1.009085</v>
      </c>
      <c r="F3904" s="1">
        <f t="shared" si="121"/>
        <v>41106</v>
      </c>
      <c r="G3904" cm="1">
        <f t="array" ref="G3904">PRODUCT( _xlfn._xlws.FILTER($E:$E, ($C:$C=C3904)*($F:$F=F3904)) ) - 1</f>
        <v>3.6382469390042305E-2</v>
      </c>
    </row>
    <row r="3905" spans="1:7" x14ac:dyDescent="0.2">
      <c r="A3905" s="1">
        <v>41108</v>
      </c>
      <c r="B3905">
        <v>0</v>
      </c>
      <c r="C3905" t="s">
        <v>14</v>
      </c>
      <c r="D3905">
        <v>7.0020000000000004E-3</v>
      </c>
      <c r="E3905">
        <f t="shared" si="120"/>
        <v>1.007002</v>
      </c>
      <c r="F3905" s="1">
        <f t="shared" si="121"/>
        <v>41106</v>
      </c>
      <c r="G3905" cm="1">
        <f t="array" ref="G3905">PRODUCT( _xlfn._xlws.FILTER($E:$E, ($C:$C=C3905)*($F:$F=F3905)) ) - 1</f>
        <v>3.6382469390042305E-2</v>
      </c>
    </row>
    <row r="3906" spans="1:7" x14ac:dyDescent="0.2">
      <c r="A3906" s="1">
        <v>41109</v>
      </c>
      <c r="B3906">
        <v>0</v>
      </c>
      <c r="C3906" t="s">
        <v>14</v>
      </c>
      <c r="D3906">
        <v>1.2914E-2</v>
      </c>
      <c r="E3906">
        <f t="shared" si="120"/>
        <v>1.0129140000000001</v>
      </c>
      <c r="F3906" s="1">
        <f t="shared" si="121"/>
        <v>41106</v>
      </c>
      <c r="G3906" cm="1">
        <f t="array" ref="G3906">PRODUCT( _xlfn._xlws.FILTER($E:$E, ($C:$C=C3906)*($F:$F=F3906)) ) - 1</f>
        <v>3.6382469390042305E-2</v>
      </c>
    </row>
    <row r="3907" spans="1:7" x14ac:dyDescent="0.2">
      <c r="A3907" s="1">
        <v>41110</v>
      </c>
      <c r="B3907">
        <v>0</v>
      </c>
      <c r="C3907" t="s">
        <v>14</v>
      </c>
      <c r="D3907">
        <v>-3.5959999999999998E-3</v>
      </c>
      <c r="E3907">
        <f t="shared" si="120"/>
        <v>0.99640399999999996</v>
      </c>
      <c r="F3907" s="1">
        <f t="shared" si="121"/>
        <v>41106</v>
      </c>
      <c r="G3907" cm="1">
        <f t="array" ref="G3907">PRODUCT( _xlfn._xlws.FILTER($E:$E, ($C:$C=C3907)*($F:$F=F3907)) ) - 1</f>
        <v>3.6382469390042305E-2</v>
      </c>
    </row>
    <row r="3908" spans="1:7" x14ac:dyDescent="0.2">
      <c r="A3908" s="1">
        <v>41113</v>
      </c>
      <c r="B3908">
        <v>0</v>
      </c>
      <c r="C3908" t="s">
        <v>14</v>
      </c>
      <c r="D3908">
        <v>-5.9059999999999998E-3</v>
      </c>
      <c r="E3908">
        <f t="shared" ref="E3908:E3971" si="122">D3908+1</f>
        <v>0.99409400000000003</v>
      </c>
      <c r="F3908" s="1">
        <f t="shared" ref="F3908:F3971" si="123">A3908 - (WEEKDAY(A3908, 2) - 1)</f>
        <v>41113</v>
      </c>
      <c r="G3908" cm="1">
        <f t="array" ref="G3908">PRODUCT( _xlfn._xlws.FILTER($E:$E, ($C:$C=C3908)*($F:$F=F3908)) ) - 1</f>
        <v>4.6259133431545418E-2</v>
      </c>
    </row>
    <row r="3909" spans="1:7" x14ac:dyDescent="0.2">
      <c r="A3909" s="1">
        <v>41114</v>
      </c>
      <c r="B3909">
        <v>0</v>
      </c>
      <c r="C3909" t="s">
        <v>14</v>
      </c>
      <c r="D3909">
        <v>-1.7822000000000001E-2</v>
      </c>
      <c r="E3909">
        <f t="shared" si="122"/>
        <v>0.982178</v>
      </c>
      <c r="F3909" s="1">
        <f t="shared" si="123"/>
        <v>41113</v>
      </c>
      <c r="G3909" cm="1">
        <f t="array" ref="G3909">PRODUCT( _xlfn._xlws.FILTER($E:$E, ($C:$C=C3909)*($F:$F=F3909)) ) - 1</f>
        <v>4.6259133431545418E-2</v>
      </c>
    </row>
    <row r="3910" spans="1:7" x14ac:dyDescent="0.2">
      <c r="A3910" s="1">
        <v>41115</v>
      </c>
      <c r="B3910">
        <v>0</v>
      </c>
      <c r="C3910" t="s">
        <v>14</v>
      </c>
      <c r="D3910">
        <v>3.7297999999999998E-2</v>
      </c>
      <c r="E3910">
        <f t="shared" si="122"/>
        <v>1.0372980000000001</v>
      </c>
      <c r="F3910" s="1">
        <f t="shared" si="123"/>
        <v>41113</v>
      </c>
      <c r="G3910" cm="1">
        <f t="array" ref="G3910">PRODUCT( _xlfn._xlws.FILTER($E:$E, ($C:$C=C3910)*($F:$F=F3910)) ) - 1</f>
        <v>4.6259133431545418E-2</v>
      </c>
    </row>
    <row r="3911" spans="1:7" x14ac:dyDescent="0.2">
      <c r="A3911" s="1">
        <v>41116</v>
      </c>
      <c r="B3911">
        <v>0</v>
      </c>
      <c r="C3911" t="s">
        <v>14</v>
      </c>
      <c r="D3911">
        <v>3.2070000000000001E-2</v>
      </c>
      <c r="E3911">
        <f t="shared" si="122"/>
        <v>1.03207</v>
      </c>
      <c r="F3911" s="1">
        <f t="shared" si="123"/>
        <v>41113</v>
      </c>
      <c r="G3911" cm="1">
        <f t="array" ref="G3911">PRODUCT( _xlfn._xlws.FILTER($E:$E, ($C:$C=C3911)*($F:$F=F3911)) ) - 1</f>
        <v>4.6259133431545418E-2</v>
      </c>
    </row>
    <row r="3912" spans="1:7" x14ac:dyDescent="0.2">
      <c r="A3912" s="1">
        <v>41117</v>
      </c>
      <c r="B3912">
        <v>0</v>
      </c>
      <c r="C3912" t="s">
        <v>14</v>
      </c>
      <c r="D3912">
        <v>9.4200000000000002E-4</v>
      </c>
      <c r="E3912">
        <f t="shared" si="122"/>
        <v>1.000942</v>
      </c>
      <c r="F3912" s="1">
        <f t="shared" si="123"/>
        <v>41113</v>
      </c>
      <c r="G3912" cm="1">
        <f t="array" ref="G3912">PRODUCT( _xlfn._xlws.FILTER($E:$E, ($C:$C=C3912)*($F:$F=F3912)) ) - 1</f>
        <v>4.6259133431545418E-2</v>
      </c>
    </row>
    <row r="3913" spans="1:7" x14ac:dyDescent="0.2">
      <c r="A3913" s="1">
        <v>41120</v>
      </c>
      <c r="B3913">
        <v>0</v>
      </c>
      <c r="C3913" t="s">
        <v>14</v>
      </c>
      <c r="D3913">
        <v>-1.5678999999999998E-2</v>
      </c>
      <c r="E3913">
        <f t="shared" si="122"/>
        <v>0.984321</v>
      </c>
      <c r="F3913" s="1">
        <f t="shared" si="123"/>
        <v>41120</v>
      </c>
      <c r="G3913" cm="1">
        <f t="array" ref="G3913">PRODUCT( _xlfn._xlws.FILTER($E:$E, ($C:$C=C3913)*($F:$F=F3913)) ) - 1</f>
        <v>-8.1531473648152053E-3</v>
      </c>
    </row>
    <row r="3914" spans="1:7" x14ac:dyDescent="0.2">
      <c r="A3914" s="1">
        <v>41121</v>
      </c>
      <c r="B3914">
        <v>0</v>
      </c>
      <c r="C3914" t="s">
        <v>14</v>
      </c>
      <c r="D3914">
        <v>-2.3255999999999999E-2</v>
      </c>
      <c r="E3914">
        <f t="shared" si="122"/>
        <v>0.97674400000000006</v>
      </c>
      <c r="F3914" s="1">
        <f t="shared" si="123"/>
        <v>41120</v>
      </c>
      <c r="G3914" cm="1">
        <f t="array" ref="G3914">PRODUCT( _xlfn._xlws.FILTER($E:$E, ($C:$C=C3914)*($F:$F=F3914)) ) - 1</f>
        <v>-8.1531473648152053E-3</v>
      </c>
    </row>
    <row r="3915" spans="1:7" x14ac:dyDescent="0.2">
      <c r="A3915" s="1">
        <v>41122</v>
      </c>
      <c r="B3915">
        <v>0</v>
      </c>
      <c r="C3915" t="s">
        <v>14</v>
      </c>
      <c r="D3915">
        <v>3.588E-3</v>
      </c>
      <c r="E3915">
        <f t="shared" si="122"/>
        <v>1.0035879999999999</v>
      </c>
      <c r="F3915" s="1">
        <f t="shared" si="123"/>
        <v>41120</v>
      </c>
      <c r="G3915" cm="1">
        <f t="array" ref="G3915">PRODUCT( _xlfn._xlws.FILTER($E:$E, ($C:$C=C3915)*($F:$F=F3915)) ) - 1</f>
        <v>-8.1531473648152053E-3</v>
      </c>
    </row>
    <row r="3916" spans="1:7" x14ac:dyDescent="0.2">
      <c r="A3916" s="1">
        <v>41123</v>
      </c>
      <c r="B3916">
        <v>0</v>
      </c>
      <c r="C3916" t="s">
        <v>14</v>
      </c>
      <c r="D3916">
        <v>-7.4749999999999999E-3</v>
      </c>
      <c r="E3916">
        <f t="shared" si="122"/>
        <v>0.99252499999999999</v>
      </c>
      <c r="F3916" s="1">
        <f t="shared" si="123"/>
        <v>41120</v>
      </c>
      <c r="G3916" cm="1">
        <f t="array" ref="G3916">PRODUCT( _xlfn._xlws.FILTER($E:$E, ($C:$C=C3916)*($F:$F=F3916)) ) - 1</f>
        <v>-8.1531473648152053E-3</v>
      </c>
    </row>
    <row r="3917" spans="1:7" x14ac:dyDescent="0.2">
      <c r="A3917" s="1">
        <v>41124</v>
      </c>
      <c r="B3917">
        <v>0</v>
      </c>
      <c r="C3917" t="s">
        <v>14</v>
      </c>
      <c r="D3917">
        <v>3.5691000000000001E-2</v>
      </c>
      <c r="E3917">
        <f t="shared" si="122"/>
        <v>1.0356909999999999</v>
      </c>
      <c r="F3917" s="1">
        <f t="shared" si="123"/>
        <v>41120</v>
      </c>
      <c r="G3917" cm="1">
        <f t="array" ref="G3917">PRODUCT( _xlfn._xlws.FILTER($E:$E, ($C:$C=C3917)*($F:$F=F3917)) ) - 1</f>
        <v>-8.1531473648152053E-3</v>
      </c>
    </row>
    <row r="3918" spans="1:7" x14ac:dyDescent="0.2">
      <c r="A3918" s="1">
        <v>41128</v>
      </c>
      <c r="B3918">
        <v>0</v>
      </c>
      <c r="C3918" t="s">
        <v>14</v>
      </c>
      <c r="D3918">
        <v>1.8969E-2</v>
      </c>
      <c r="E3918">
        <f t="shared" si="122"/>
        <v>1.018969</v>
      </c>
      <c r="F3918" s="1">
        <f t="shared" si="123"/>
        <v>41127</v>
      </c>
      <c r="G3918" cm="1">
        <f t="array" ref="G3918">PRODUCT( _xlfn._xlws.FILTER($E:$E, ($C:$C=C3918)*($F:$F=F3918)) ) - 1</f>
        <v>4.7422558548524396E-3</v>
      </c>
    </row>
    <row r="3919" spans="1:7" x14ac:dyDescent="0.2">
      <c r="A3919" s="1">
        <v>41129</v>
      </c>
      <c r="B3919">
        <v>0</v>
      </c>
      <c r="C3919" t="s">
        <v>14</v>
      </c>
      <c r="D3919">
        <v>-1.5513000000000001E-2</v>
      </c>
      <c r="E3919">
        <f t="shared" si="122"/>
        <v>0.984487</v>
      </c>
      <c r="F3919" s="1">
        <f t="shared" si="123"/>
        <v>41127</v>
      </c>
      <c r="G3919" cm="1">
        <f t="array" ref="G3919">PRODUCT( _xlfn._xlws.FILTER($E:$E, ($C:$C=C3919)*($F:$F=F3919)) ) - 1</f>
        <v>4.7422558548524396E-3</v>
      </c>
    </row>
    <row r="3920" spans="1:7" x14ac:dyDescent="0.2">
      <c r="A3920" s="1">
        <v>41130</v>
      </c>
      <c r="B3920">
        <v>0</v>
      </c>
      <c r="C3920" t="s">
        <v>14</v>
      </c>
      <c r="D3920">
        <v>4.4120000000000001E-3</v>
      </c>
      <c r="E3920">
        <f t="shared" si="122"/>
        <v>1.0044120000000001</v>
      </c>
      <c r="F3920" s="1">
        <f t="shared" si="123"/>
        <v>41127</v>
      </c>
      <c r="G3920" cm="1">
        <f t="array" ref="G3920">PRODUCT( _xlfn._xlws.FILTER($E:$E, ($C:$C=C3920)*($F:$F=F3920)) ) - 1</f>
        <v>4.7422558548524396E-3</v>
      </c>
    </row>
    <row r="3921" spans="1:7" x14ac:dyDescent="0.2">
      <c r="A3921" s="1">
        <v>41131</v>
      </c>
      <c r="B3921">
        <v>0</v>
      </c>
      <c r="C3921" t="s">
        <v>14</v>
      </c>
      <c r="D3921">
        <v>-2.8240000000000001E-3</v>
      </c>
      <c r="E3921">
        <f t="shared" si="122"/>
        <v>0.99717599999999995</v>
      </c>
      <c r="F3921" s="1">
        <f t="shared" si="123"/>
        <v>41127</v>
      </c>
      <c r="G3921" cm="1">
        <f t="array" ref="G3921">PRODUCT( _xlfn._xlws.FILTER($E:$E, ($C:$C=C3921)*($F:$F=F3921)) ) - 1</f>
        <v>4.7422558548524396E-3</v>
      </c>
    </row>
    <row r="3922" spans="1:7" x14ac:dyDescent="0.2">
      <c r="A3922" s="1">
        <v>41134</v>
      </c>
      <c r="B3922">
        <v>0</v>
      </c>
      <c r="C3922" t="s">
        <v>14</v>
      </c>
      <c r="D3922">
        <v>-6.6080000000000002E-3</v>
      </c>
      <c r="E3922">
        <f t="shared" si="122"/>
        <v>0.99339200000000005</v>
      </c>
      <c r="F3922" s="1">
        <f t="shared" si="123"/>
        <v>41134</v>
      </c>
      <c r="G3922" cm="1">
        <f t="array" ref="G3922">PRODUCT( _xlfn._xlws.FILTER($E:$E, ($C:$C=C3922)*($F:$F=F3922)) ) - 1</f>
        <v>2.0453796091128629E-2</v>
      </c>
    </row>
    <row r="3923" spans="1:7" x14ac:dyDescent="0.2">
      <c r="A3923" s="1">
        <v>41135</v>
      </c>
      <c r="B3923">
        <v>0</v>
      </c>
      <c r="C3923" t="s">
        <v>14</v>
      </c>
      <c r="D3923">
        <v>0</v>
      </c>
      <c r="E3923">
        <f t="shared" si="122"/>
        <v>1</v>
      </c>
      <c r="F3923" s="1">
        <f t="shared" si="123"/>
        <v>41134</v>
      </c>
      <c r="G3923" cm="1">
        <f t="array" ref="G3923">PRODUCT( _xlfn._xlws.FILTER($E:$E, ($C:$C=C3923)*($F:$F=F3923)) ) - 1</f>
        <v>2.0453796091128629E-2</v>
      </c>
    </row>
    <row r="3924" spans="1:7" x14ac:dyDescent="0.2">
      <c r="A3924" s="1">
        <v>41136</v>
      </c>
      <c r="B3924">
        <v>0</v>
      </c>
      <c r="C3924" t="s">
        <v>14</v>
      </c>
      <c r="D3924">
        <v>5.7019999999999996E-3</v>
      </c>
      <c r="E3924">
        <f t="shared" si="122"/>
        <v>1.0057020000000001</v>
      </c>
      <c r="F3924" s="1">
        <f t="shared" si="123"/>
        <v>41134</v>
      </c>
      <c r="G3924" cm="1">
        <f t="array" ref="G3924">PRODUCT( _xlfn._xlws.FILTER($E:$E, ($C:$C=C3924)*($F:$F=F3924)) ) - 1</f>
        <v>2.0453796091128629E-2</v>
      </c>
    </row>
    <row r="3925" spans="1:7" x14ac:dyDescent="0.2">
      <c r="A3925" s="1">
        <v>41137</v>
      </c>
      <c r="B3925">
        <v>0</v>
      </c>
      <c r="C3925" t="s">
        <v>14</v>
      </c>
      <c r="D3925">
        <v>9.7640000000000001E-3</v>
      </c>
      <c r="E3925">
        <f t="shared" si="122"/>
        <v>1.0097640000000001</v>
      </c>
      <c r="F3925" s="1">
        <f t="shared" si="123"/>
        <v>41134</v>
      </c>
      <c r="G3925" cm="1">
        <f t="array" ref="G3925">PRODUCT( _xlfn._xlws.FILTER($E:$E, ($C:$C=C3925)*($F:$F=F3925)) ) - 1</f>
        <v>2.0453796091128629E-2</v>
      </c>
    </row>
    <row r="3926" spans="1:7" x14ac:dyDescent="0.2">
      <c r="A3926" s="1">
        <v>41138</v>
      </c>
      <c r="B3926">
        <v>0</v>
      </c>
      <c r="C3926" t="s">
        <v>14</v>
      </c>
      <c r="D3926">
        <v>1.1540999999999999E-2</v>
      </c>
      <c r="E3926">
        <f t="shared" si="122"/>
        <v>1.011541</v>
      </c>
      <c r="F3926" s="1">
        <f t="shared" si="123"/>
        <v>41134</v>
      </c>
      <c r="G3926" cm="1">
        <f t="array" ref="G3926">PRODUCT( _xlfn._xlws.FILTER($E:$E, ($C:$C=C3926)*($F:$F=F3926)) ) - 1</f>
        <v>2.0453796091128629E-2</v>
      </c>
    </row>
    <row r="3927" spans="1:7" x14ac:dyDescent="0.2">
      <c r="A3927" s="1">
        <v>41141</v>
      </c>
      <c r="B3927">
        <v>0</v>
      </c>
      <c r="C3927" t="s">
        <v>14</v>
      </c>
      <c r="D3927">
        <v>-7.0920000000000002E-3</v>
      </c>
      <c r="E3927">
        <f t="shared" si="122"/>
        <v>0.99290800000000001</v>
      </c>
      <c r="F3927" s="1">
        <f t="shared" si="123"/>
        <v>41141</v>
      </c>
      <c r="G3927" cm="1">
        <f t="array" ref="G3927">PRODUCT( _xlfn._xlws.FILTER($E:$E, ($C:$C=C3927)*($F:$F=F3927)) ) - 1</f>
        <v>-3.0527728507374952E-2</v>
      </c>
    </row>
    <row r="3928" spans="1:7" x14ac:dyDescent="0.2">
      <c r="A3928" s="1">
        <v>41142</v>
      </c>
      <c r="B3928">
        <v>0</v>
      </c>
      <c r="C3928" t="s">
        <v>14</v>
      </c>
      <c r="D3928">
        <v>-3.1100000000000002E-4</v>
      </c>
      <c r="E3928">
        <f t="shared" si="122"/>
        <v>0.99968900000000005</v>
      </c>
      <c r="F3928" s="1">
        <f t="shared" si="123"/>
        <v>41141</v>
      </c>
      <c r="G3928" cm="1">
        <f t="array" ref="G3928">PRODUCT( _xlfn._xlws.FILTER($E:$E, ($C:$C=C3928)*($F:$F=F3928)) ) - 1</f>
        <v>-3.0527728507374952E-2</v>
      </c>
    </row>
    <row r="3929" spans="1:7" x14ac:dyDescent="0.2">
      <c r="A3929" s="1">
        <v>41143</v>
      </c>
      <c r="B3929">
        <v>0</v>
      </c>
      <c r="C3929" t="s">
        <v>14</v>
      </c>
      <c r="D3929">
        <v>-1.4290000000000001E-2</v>
      </c>
      <c r="E3929">
        <f t="shared" si="122"/>
        <v>0.98570999999999998</v>
      </c>
      <c r="F3929" s="1">
        <f t="shared" si="123"/>
        <v>41141</v>
      </c>
      <c r="G3929" cm="1">
        <f t="array" ref="G3929">PRODUCT( _xlfn._xlws.FILTER($E:$E, ($C:$C=C3929)*($F:$F=F3929)) ) - 1</f>
        <v>-3.0527728507374952E-2</v>
      </c>
    </row>
    <row r="3930" spans="1:7" x14ac:dyDescent="0.2">
      <c r="A3930" s="1">
        <v>41144</v>
      </c>
      <c r="B3930">
        <v>0</v>
      </c>
      <c r="C3930" t="s">
        <v>14</v>
      </c>
      <c r="D3930">
        <v>-1.5128000000000001E-2</v>
      </c>
      <c r="E3930">
        <f t="shared" si="122"/>
        <v>0.98487199999999997</v>
      </c>
      <c r="F3930" s="1">
        <f t="shared" si="123"/>
        <v>41141</v>
      </c>
      <c r="G3930" cm="1">
        <f t="array" ref="G3930">PRODUCT( _xlfn._xlws.FILTER($E:$E, ($C:$C=C3930)*($F:$F=F3930)) ) - 1</f>
        <v>-3.0527728507374952E-2</v>
      </c>
    </row>
    <row r="3931" spans="1:7" x14ac:dyDescent="0.2">
      <c r="A3931" s="1">
        <v>41145</v>
      </c>
      <c r="B3931">
        <v>0</v>
      </c>
      <c r="C3931" t="s">
        <v>14</v>
      </c>
      <c r="D3931">
        <v>6.0800000000000003E-3</v>
      </c>
      <c r="E3931">
        <f t="shared" si="122"/>
        <v>1.0060800000000001</v>
      </c>
      <c r="F3931" s="1">
        <f t="shared" si="123"/>
        <v>41141</v>
      </c>
      <c r="G3931" cm="1">
        <f t="array" ref="G3931">PRODUCT( _xlfn._xlws.FILTER($E:$E, ($C:$C=C3931)*($F:$F=F3931)) ) - 1</f>
        <v>-3.0527728507374952E-2</v>
      </c>
    </row>
    <row r="3932" spans="1:7" x14ac:dyDescent="0.2">
      <c r="A3932" s="1">
        <v>41148</v>
      </c>
      <c r="B3932">
        <v>0</v>
      </c>
      <c r="C3932" t="s">
        <v>14</v>
      </c>
      <c r="D3932">
        <v>6.3599999999999996E-4</v>
      </c>
      <c r="E3932">
        <f t="shared" si="122"/>
        <v>1.0006360000000001</v>
      </c>
      <c r="F3932" s="1">
        <f t="shared" si="123"/>
        <v>41148</v>
      </c>
      <c r="G3932" cm="1">
        <f t="array" ref="G3932">PRODUCT( _xlfn._xlws.FILTER($E:$E, ($C:$C=C3932)*($F:$F=F3932)) ) - 1</f>
        <v>-1.5887766139636939E-2</v>
      </c>
    </row>
    <row r="3933" spans="1:7" x14ac:dyDescent="0.2">
      <c r="A3933" s="1">
        <v>41149</v>
      </c>
      <c r="B3933">
        <v>0</v>
      </c>
      <c r="C3933" t="s">
        <v>14</v>
      </c>
      <c r="D3933">
        <v>3.1799999999999998E-4</v>
      </c>
      <c r="E3933">
        <f t="shared" si="122"/>
        <v>1.000318</v>
      </c>
      <c r="F3933" s="1">
        <f t="shared" si="123"/>
        <v>41148</v>
      </c>
      <c r="G3933" cm="1">
        <f t="array" ref="G3933">PRODUCT( _xlfn._xlws.FILTER($E:$E, ($C:$C=C3933)*($F:$F=F3933)) ) - 1</f>
        <v>-1.5887766139636939E-2</v>
      </c>
    </row>
    <row r="3934" spans="1:7" x14ac:dyDescent="0.2">
      <c r="A3934" s="1">
        <v>41150</v>
      </c>
      <c r="B3934">
        <v>0</v>
      </c>
      <c r="C3934" t="s">
        <v>14</v>
      </c>
      <c r="D3934">
        <v>-1.1439E-2</v>
      </c>
      <c r="E3934">
        <f t="shared" si="122"/>
        <v>0.98856100000000002</v>
      </c>
      <c r="F3934" s="1">
        <f t="shared" si="123"/>
        <v>41148</v>
      </c>
      <c r="G3934" cm="1">
        <f t="array" ref="G3934">PRODUCT( _xlfn._xlws.FILTER($E:$E, ($C:$C=C3934)*($F:$F=F3934)) ) - 1</f>
        <v>-1.5887766139636939E-2</v>
      </c>
    </row>
    <row r="3935" spans="1:7" x14ac:dyDescent="0.2">
      <c r="A3935" s="1">
        <v>41151</v>
      </c>
      <c r="B3935">
        <v>0</v>
      </c>
      <c r="C3935" t="s">
        <v>14</v>
      </c>
      <c r="D3935">
        <v>-8.9999999999999993E-3</v>
      </c>
      <c r="E3935">
        <f t="shared" si="122"/>
        <v>0.99099999999999999</v>
      </c>
      <c r="F3935" s="1">
        <f t="shared" si="123"/>
        <v>41148</v>
      </c>
      <c r="G3935" cm="1">
        <f t="array" ref="G3935">PRODUCT( _xlfn._xlws.FILTER($E:$E, ($C:$C=C3935)*($F:$F=F3935)) ) - 1</f>
        <v>-1.5887766139636939E-2</v>
      </c>
    </row>
    <row r="3936" spans="1:7" x14ac:dyDescent="0.2">
      <c r="A3936" s="1">
        <v>41152</v>
      </c>
      <c r="B3936">
        <v>0</v>
      </c>
      <c r="C3936" t="s">
        <v>14</v>
      </c>
      <c r="D3936">
        <v>3.5829999999999998E-3</v>
      </c>
      <c r="E3936">
        <f t="shared" si="122"/>
        <v>1.0035829999999999</v>
      </c>
      <c r="F3936" s="1">
        <f t="shared" si="123"/>
        <v>41148</v>
      </c>
      <c r="G3936" cm="1">
        <f t="array" ref="G3936">PRODUCT( _xlfn._xlws.FILTER($E:$E, ($C:$C=C3936)*($F:$F=F3936)) ) - 1</f>
        <v>-1.5887766139636939E-2</v>
      </c>
    </row>
    <row r="3937" spans="1:7" x14ac:dyDescent="0.2">
      <c r="A3937" s="1">
        <v>41156</v>
      </c>
      <c r="B3937">
        <v>0</v>
      </c>
      <c r="C3937" t="s">
        <v>14</v>
      </c>
      <c r="D3937">
        <v>1.0062E-2</v>
      </c>
      <c r="E3937">
        <f t="shared" si="122"/>
        <v>1.010062</v>
      </c>
      <c r="F3937" s="1">
        <f t="shared" si="123"/>
        <v>41155</v>
      </c>
      <c r="G3937" cm="1">
        <f t="array" ref="G3937">PRODUCT( _xlfn._xlws.FILTER($E:$E, ($C:$C=C3937)*($F:$F=F3937)) ) - 1</f>
        <v>5.7774197103031222E-2</v>
      </c>
    </row>
    <row r="3938" spans="1:7" x14ac:dyDescent="0.2">
      <c r="A3938" s="1">
        <v>41157</v>
      </c>
      <c r="B3938">
        <v>0</v>
      </c>
      <c r="C3938" t="s">
        <v>14</v>
      </c>
      <c r="D3938">
        <v>7.391E-3</v>
      </c>
      <c r="E3938">
        <f t="shared" si="122"/>
        <v>1.0073909999999999</v>
      </c>
      <c r="F3938" s="1">
        <f t="shared" si="123"/>
        <v>41155</v>
      </c>
      <c r="G3938" cm="1">
        <f t="array" ref="G3938">PRODUCT( _xlfn._xlws.FILTER($E:$E, ($C:$C=C3938)*($F:$F=F3938)) ) - 1</f>
        <v>5.7774197103031222E-2</v>
      </c>
    </row>
    <row r="3939" spans="1:7" x14ac:dyDescent="0.2">
      <c r="A3939" s="1">
        <v>41158</v>
      </c>
      <c r="B3939">
        <v>0</v>
      </c>
      <c r="C3939" t="s">
        <v>14</v>
      </c>
      <c r="D3939">
        <v>1.5949000000000001E-2</v>
      </c>
      <c r="E3939">
        <f t="shared" si="122"/>
        <v>1.015949</v>
      </c>
      <c r="F3939" s="1">
        <f t="shared" si="123"/>
        <v>41155</v>
      </c>
      <c r="G3939" cm="1">
        <f t="array" ref="G3939">PRODUCT( _xlfn._xlws.FILTER($E:$E, ($C:$C=C3939)*($F:$F=F3939)) ) - 1</f>
        <v>5.7774197103031222E-2</v>
      </c>
    </row>
    <row r="3940" spans="1:7" x14ac:dyDescent="0.2">
      <c r="A3940" s="1">
        <v>41159</v>
      </c>
      <c r="B3940">
        <v>0</v>
      </c>
      <c r="C3940" t="s">
        <v>14</v>
      </c>
      <c r="D3940">
        <v>2.3234000000000001E-2</v>
      </c>
      <c r="E3940">
        <f t="shared" si="122"/>
        <v>1.023234</v>
      </c>
      <c r="F3940" s="1">
        <f t="shared" si="123"/>
        <v>41155</v>
      </c>
      <c r="G3940" cm="1">
        <f t="array" ref="G3940">PRODUCT( _xlfn._xlws.FILTER($E:$E, ($C:$C=C3940)*($F:$F=F3940)) ) - 1</f>
        <v>5.7774197103031222E-2</v>
      </c>
    </row>
    <row r="3941" spans="1:7" x14ac:dyDescent="0.2">
      <c r="A3941" s="1">
        <v>41162</v>
      </c>
      <c r="B3941">
        <v>0</v>
      </c>
      <c r="C3941" t="s">
        <v>14</v>
      </c>
      <c r="D3941">
        <v>-1.534E-3</v>
      </c>
      <c r="E3941">
        <f t="shared" si="122"/>
        <v>0.99846599999999996</v>
      </c>
      <c r="F3941" s="1">
        <f t="shared" si="123"/>
        <v>41162</v>
      </c>
      <c r="G3941" cm="1">
        <f t="array" ref="G3941">PRODUCT( _xlfn._xlws.FILTER($E:$E, ($C:$C=C3941)*($F:$F=F3941)) ) - 1</f>
        <v>5.30842002023868E-2</v>
      </c>
    </row>
    <row r="3942" spans="1:7" x14ac:dyDescent="0.2">
      <c r="A3942" s="1">
        <v>41163</v>
      </c>
      <c r="B3942">
        <v>0</v>
      </c>
      <c r="C3942" t="s">
        <v>14</v>
      </c>
      <c r="D3942">
        <v>1.8439999999999999E-3</v>
      </c>
      <c r="E3942">
        <f t="shared" si="122"/>
        <v>1.001844</v>
      </c>
      <c r="F3942" s="1">
        <f t="shared" si="123"/>
        <v>41162</v>
      </c>
      <c r="G3942" cm="1">
        <f t="array" ref="G3942">PRODUCT( _xlfn._xlws.FILTER($E:$E, ($C:$C=C3942)*($F:$F=F3942)) ) - 1</f>
        <v>5.30842002023868E-2</v>
      </c>
    </row>
    <row r="3943" spans="1:7" x14ac:dyDescent="0.2">
      <c r="A3943" s="1">
        <v>41164</v>
      </c>
      <c r="B3943">
        <v>0</v>
      </c>
      <c r="C3943" t="s">
        <v>14</v>
      </c>
      <c r="D3943">
        <v>6.1399999999999996E-4</v>
      </c>
      <c r="E3943">
        <f t="shared" si="122"/>
        <v>1.0006139999999999</v>
      </c>
      <c r="F3943" s="1">
        <f t="shared" si="123"/>
        <v>41162</v>
      </c>
      <c r="G3943" cm="1">
        <f t="array" ref="G3943">PRODUCT( _xlfn._xlws.FILTER($E:$E, ($C:$C=C3943)*($F:$F=F3943)) ) - 1</f>
        <v>5.30842002023868E-2</v>
      </c>
    </row>
    <row r="3944" spans="1:7" x14ac:dyDescent="0.2">
      <c r="A3944" s="1">
        <v>41165</v>
      </c>
      <c r="B3944">
        <v>0</v>
      </c>
      <c r="C3944" t="s">
        <v>14</v>
      </c>
      <c r="D3944">
        <v>1.7167000000000002E-2</v>
      </c>
      <c r="E3944">
        <f t="shared" si="122"/>
        <v>1.0171669999999999</v>
      </c>
      <c r="F3944" s="1">
        <f t="shared" si="123"/>
        <v>41162</v>
      </c>
      <c r="G3944" cm="1">
        <f t="array" ref="G3944">PRODUCT( _xlfn._xlws.FILTER($E:$E, ($C:$C=C3944)*($F:$F=F3944)) ) - 1</f>
        <v>5.30842002023868E-2</v>
      </c>
    </row>
    <row r="3945" spans="1:7" x14ac:dyDescent="0.2">
      <c r="A3945" s="1">
        <v>41166</v>
      </c>
      <c r="B3945">
        <v>0</v>
      </c>
      <c r="C3945" t="s">
        <v>14</v>
      </c>
      <c r="D3945">
        <v>3.4358E-2</v>
      </c>
      <c r="E3945">
        <f t="shared" si="122"/>
        <v>1.0343580000000001</v>
      </c>
      <c r="F3945" s="1">
        <f t="shared" si="123"/>
        <v>41162</v>
      </c>
      <c r="G3945" cm="1">
        <f t="array" ref="G3945">PRODUCT( _xlfn._xlws.FILTER($E:$E, ($C:$C=C3945)*($F:$F=F3945)) ) - 1</f>
        <v>5.30842002023868E-2</v>
      </c>
    </row>
    <row r="3946" spans="1:7" x14ac:dyDescent="0.2">
      <c r="A3946" s="1">
        <v>41169</v>
      </c>
      <c r="B3946">
        <v>0</v>
      </c>
      <c r="C3946" t="s">
        <v>14</v>
      </c>
      <c r="D3946">
        <v>-8.7410000000000005E-3</v>
      </c>
      <c r="E3946">
        <f t="shared" si="122"/>
        <v>0.991259</v>
      </c>
      <c r="F3946" s="1">
        <f t="shared" si="123"/>
        <v>41169</v>
      </c>
      <c r="G3946" cm="1">
        <f t="array" ref="G3946">PRODUCT( _xlfn._xlws.FILTER($E:$E, ($C:$C=C3946)*($F:$F=F3946)) ) - 1</f>
        <v>-3.875184958289335E-2</v>
      </c>
    </row>
    <row r="3947" spans="1:7" x14ac:dyDescent="0.2">
      <c r="A3947" s="1">
        <v>41170</v>
      </c>
      <c r="B3947">
        <v>0</v>
      </c>
      <c r="C3947" t="s">
        <v>14</v>
      </c>
      <c r="D3947">
        <v>-1.4402999999999999E-2</v>
      </c>
      <c r="E3947">
        <f t="shared" si="122"/>
        <v>0.98559700000000006</v>
      </c>
      <c r="F3947" s="1">
        <f t="shared" si="123"/>
        <v>41169</v>
      </c>
      <c r="G3947" cm="1">
        <f t="array" ref="G3947">PRODUCT( _xlfn._xlws.FILTER($E:$E, ($C:$C=C3947)*($F:$F=F3947)) ) - 1</f>
        <v>-3.875184958289335E-2</v>
      </c>
    </row>
    <row r="3948" spans="1:7" x14ac:dyDescent="0.2">
      <c r="A3948" s="1">
        <v>41171</v>
      </c>
      <c r="B3948">
        <v>0</v>
      </c>
      <c r="C3948" t="s">
        <v>14</v>
      </c>
      <c r="D3948">
        <v>-2.0877E-2</v>
      </c>
      <c r="E3948">
        <f t="shared" si="122"/>
        <v>0.97912299999999997</v>
      </c>
      <c r="F3948" s="1">
        <f t="shared" si="123"/>
        <v>41169</v>
      </c>
      <c r="G3948" cm="1">
        <f t="array" ref="G3948">PRODUCT( _xlfn._xlws.FILTER($E:$E, ($C:$C=C3948)*($F:$F=F3948)) ) - 1</f>
        <v>-3.875184958289335E-2</v>
      </c>
    </row>
    <row r="3949" spans="1:7" x14ac:dyDescent="0.2">
      <c r="A3949" s="1">
        <v>41172</v>
      </c>
      <c r="B3949">
        <v>0</v>
      </c>
      <c r="C3949" t="s">
        <v>14</v>
      </c>
      <c r="D3949">
        <v>6.3969999999999999E-3</v>
      </c>
      <c r="E3949">
        <f t="shared" si="122"/>
        <v>1.006397</v>
      </c>
      <c r="F3949" s="1">
        <f t="shared" si="123"/>
        <v>41169</v>
      </c>
      <c r="G3949" cm="1">
        <f t="array" ref="G3949">PRODUCT( _xlfn._xlws.FILTER($E:$E, ($C:$C=C3949)*($F:$F=F3949)) ) - 1</f>
        <v>-3.875184958289335E-2</v>
      </c>
    </row>
    <row r="3950" spans="1:7" x14ac:dyDescent="0.2">
      <c r="A3950" s="1">
        <v>41173</v>
      </c>
      <c r="B3950">
        <v>0</v>
      </c>
      <c r="C3950" t="s">
        <v>14</v>
      </c>
      <c r="D3950">
        <v>-1.513E-3</v>
      </c>
      <c r="E3950">
        <f t="shared" si="122"/>
        <v>0.99848700000000001</v>
      </c>
      <c r="F3950" s="1">
        <f t="shared" si="123"/>
        <v>41169</v>
      </c>
      <c r="G3950" cm="1">
        <f t="array" ref="G3950">PRODUCT( _xlfn._xlws.FILTER($E:$E, ($C:$C=C3950)*($F:$F=F3950)) ) - 1</f>
        <v>-3.875184958289335E-2</v>
      </c>
    </row>
    <row r="3951" spans="1:7" x14ac:dyDescent="0.2">
      <c r="A3951" s="1">
        <v>41176</v>
      </c>
      <c r="B3951">
        <v>0</v>
      </c>
      <c r="C3951" t="s">
        <v>14</v>
      </c>
      <c r="D3951">
        <v>-6.6689999999999996E-3</v>
      </c>
      <c r="E3951">
        <f t="shared" si="122"/>
        <v>0.99333099999999996</v>
      </c>
      <c r="F3951" s="1">
        <f t="shared" si="123"/>
        <v>41176</v>
      </c>
      <c r="G3951" cm="1">
        <f t="array" ref="G3951">PRODUCT( _xlfn._xlws.FILTER($E:$E, ($C:$C=C3951)*($F:$F=F3951)) ) - 1</f>
        <v>-1.9704683335684203E-2</v>
      </c>
    </row>
    <row r="3952" spans="1:7" x14ac:dyDescent="0.2">
      <c r="A3952" s="1">
        <v>41177</v>
      </c>
      <c r="B3952">
        <v>0</v>
      </c>
      <c r="C3952" t="s">
        <v>14</v>
      </c>
      <c r="D3952">
        <v>-1.6479000000000001E-2</v>
      </c>
      <c r="E3952">
        <f t="shared" si="122"/>
        <v>0.98352099999999998</v>
      </c>
      <c r="F3952" s="1">
        <f t="shared" si="123"/>
        <v>41176</v>
      </c>
      <c r="G3952" cm="1">
        <f t="array" ref="G3952">PRODUCT( _xlfn._xlws.FILTER($E:$E, ($C:$C=C3952)*($F:$F=F3952)) ) - 1</f>
        <v>-1.9704683335684203E-2</v>
      </c>
    </row>
    <row r="3953" spans="1:7" x14ac:dyDescent="0.2">
      <c r="A3953" s="1">
        <v>41178</v>
      </c>
      <c r="B3953">
        <v>0</v>
      </c>
      <c r="C3953" t="s">
        <v>14</v>
      </c>
      <c r="D3953">
        <v>-6.8259999999999996E-3</v>
      </c>
      <c r="E3953">
        <f t="shared" si="122"/>
        <v>0.993174</v>
      </c>
      <c r="F3953" s="1">
        <f t="shared" si="123"/>
        <v>41176</v>
      </c>
      <c r="G3953" cm="1">
        <f t="array" ref="G3953">PRODUCT( _xlfn._xlws.FILTER($E:$E, ($C:$C=C3953)*($F:$F=F3953)) ) - 1</f>
        <v>-1.9704683335684203E-2</v>
      </c>
    </row>
    <row r="3954" spans="1:7" x14ac:dyDescent="0.2">
      <c r="A3954" s="1">
        <v>41179</v>
      </c>
      <c r="B3954">
        <v>0</v>
      </c>
      <c r="C3954" t="s">
        <v>14</v>
      </c>
      <c r="D3954">
        <v>1.2808E-2</v>
      </c>
      <c r="E3954">
        <f t="shared" si="122"/>
        <v>1.0128079999999999</v>
      </c>
      <c r="F3954" s="1">
        <f t="shared" si="123"/>
        <v>41176</v>
      </c>
      <c r="G3954" cm="1">
        <f t="array" ref="G3954">PRODUCT( _xlfn._xlws.FILTER($E:$E, ($C:$C=C3954)*($F:$F=F3954)) ) - 1</f>
        <v>-1.9704683335684203E-2</v>
      </c>
    </row>
    <row r="3955" spans="1:7" x14ac:dyDescent="0.2">
      <c r="A3955" s="1">
        <v>41180</v>
      </c>
      <c r="B3955">
        <v>0</v>
      </c>
      <c r="C3955" t="s">
        <v>14</v>
      </c>
      <c r="D3955">
        <v>-2.4680000000000001E-3</v>
      </c>
      <c r="E3955">
        <f t="shared" si="122"/>
        <v>0.99753199999999997</v>
      </c>
      <c r="F3955" s="1">
        <f t="shared" si="123"/>
        <v>41176</v>
      </c>
      <c r="G3955" cm="1">
        <f t="array" ref="G3955">PRODUCT( _xlfn._xlws.FILTER($E:$E, ($C:$C=C3955)*($F:$F=F3955)) ) - 1</f>
        <v>-1.9704683335684203E-2</v>
      </c>
    </row>
    <row r="3956" spans="1:7" x14ac:dyDescent="0.2">
      <c r="A3956" s="1">
        <v>41183</v>
      </c>
      <c r="B3956">
        <v>0</v>
      </c>
      <c r="C3956" t="s">
        <v>14</v>
      </c>
      <c r="D3956">
        <v>9.2759999999999995E-3</v>
      </c>
      <c r="E3956">
        <f t="shared" si="122"/>
        <v>1.0092760000000001</v>
      </c>
      <c r="F3956" s="1">
        <f t="shared" si="123"/>
        <v>41183</v>
      </c>
      <c r="G3956" cm="1">
        <f t="array" ref="G3956">PRODUCT( _xlfn._xlws.FILTER($E:$E, ($C:$C=C3956)*($F:$F=F3956)) ) - 1</f>
        <v>2.0407705792188757E-2</v>
      </c>
    </row>
    <row r="3957" spans="1:7" x14ac:dyDescent="0.2">
      <c r="A3957" s="1">
        <v>41184</v>
      </c>
      <c r="B3957">
        <v>0</v>
      </c>
      <c r="C3957" t="s">
        <v>14</v>
      </c>
      <c r="D3957">
        <v>8.8850000000000005E-3</v>
      </c>
      <c r="E3957">
        <f t="shared" si="122"/>
        <v>1.008885</v>
      </c>
      <c r="F3957" s="1">
        <f t="shared" si="123"/>
        <v>41183</v>
      </c>
      <c r="G3957" cm="1">
        <f t="array" ref="G3957">PRODUCT( _xlfn._xlws.FILTER($E:$E, ($C:$C=C3957)*($F:$F=F3957)) ) - 1</f>
        <v>2.0407705792188757E-2</v>
      </c>
    </row>
    <row r="3958" spans="1:7" x14ac:dyDescent="0.2">
      <c r="A3958" s="1">
        <v>41185</v>
      </c>
      <c r="B3958">
        <v>0</v>
      </c>
      <c r="C3958" t="s">
        <v>14</v>
      </c>
      <c r="D3958">
        <v>-5.77E-3</v>
      </c>
      <c r="E3958">
        <f t="shared" si="122"/>
        <v>0.99422999999999995</v>
      </c>
      <c r="F3958" s="1">
        <f t="shared" si="123"/>
        <v>41183</v>
      </c>
      <c r="G3958" cm="1">
        <f t="array" ref="G3958">PRODUCT( _xlfn._xlws.FILTER($E:$E, ($C:$C=C3958)*($F:$F=F3958)) ) - 1</f>
        <v>2.0407705792188757E-2</v>
      </c>
    </row>
    <row r="3959" spans="1:7" x14ac:dyDescent="0.2">
      <c r="A3959" s="1">
        <v>41186</v>
      </c>
      <c r="B3959">
        <v>0</v>
      </c>
      <c r="C3959" t="s">
        <v>14</v>
      </c>
      <c r="D3959">
        <v>1.2522999999999999E-2</v>
      </c>
      <c r="E3959">
        <f t="shared" si="122"/>
        <v>1.0125230000000001</v>
      </c>
      <c r="F3959" s="1">
        <f t="shared" si="123"/>
        <v>41183</v>
      </c>
      <c r="G3959" cm="1">
        <f t="array" ref="G3959">PRODUCT( _xlfn._xlws.FILTER($E:$E, ($C:$C=C3959)*($F:$F=F3959)) ) - 1</f>
        <v>2.0407705792188757E-2</v>
      </c>
    </row>
    <row r="3960" spans="1:7" x14ac:dyDescent="0.2">
      <c r="A3960" s="1">
        <v>41187</v>
      </c>
      <c r="B3960">
        <v>0</v>
      </c>
      <c r="C3960" t="s">
        <v>14</v>
      </c>
      <c r="D3960">
        <v>-4.5250000000000004E-3</v>
      </c>
      <c r="E3960">
        <f t="shared" si="122"/>
        <v>0.995475</v>
      </c>
      <c r="F3960" s="1">
        <f t="shared" si="123"/>
        <v>41183</v>
      </c>
      <c r="G3960" cm="1">
        <f t="array" ref="G3960">PRODUCT( _xlfn._xlws.FILTER($E:$E, ($C:$C=C3960)*($F:$F=F3960)) ) - 1</f>
        <v>2.0407705792188757E-2</v>
      </c>
    </row>
    <row r="3961" spans="1:7" x14ac:dyDescent="0.2">
      <c r="A3961" s="1">
        <v>41191</v>
      </c>
      <c r="B3961">
        <v>0</v>
      </c>
      <c r="C3961" t="s">
        <v>14</v>
      </c>
      <c r="D3961">
        <v>-9.3939999999999996E-3</v>
      </c>
      <c r="E3961">
        <f t="shared" si="122"/>
        <v>0.99060599999999999</v>
      </c>
      <c r="F3961" s="1">
        <f t="shared" si="123"/>
        <v>41190</v>
      </c>
      <c r="G3961" cm="1">
        <f t="array" ref="G3961">PRODUCT( _xlfn._xlws.FILTER($E:$E, ($C:$C=C3961)*($F:$F=F3961)) ) - 1</f>
        <v>-1.9394720543843169E-2</v>
      </c>
    </row>
    <row r="3962" spans="1:7" x14ac:dyDescent="0.2">
      <c r="A3962" s="1">
        <v>41192</v>
      </c>
      <c r="B3962">
        <v>0</v>
      </c>
      <c r="C3962" t="s">
        <v>14</v>
      </c>
      <c r="D3962">
        <v>-1.2236E-2</v>
      </c>
      <c r="E3962">
        <f t="shared" si="122"/>
        <v>0.98776399999999998</v>
      </c>
      <c r="F3962" s="1">
        <f t="shared" si="123"/>
        <v>41190</v>
      </c>
      <c r="G3962" cm="1">
        <f t="array" ref="G3962">PRODUCT( _xlfn._xlws.FILTER($E:$E, ($C:$C=C3962)*($F:$F=F3962)) ) - 1</f>
        <v>-1.9394720543843169E-2</v>
      </c>
    </row>
    <row r="3963" spans="1:7" x14ac:dyDescent="0.2">
      <c r="A3963" s="1">
        <v>41193</v>
      </c>
      <c r="B3963">
        <v>0</v>
      </c>
      <c r="C3963" t="s">
        <v>14</v>
      </c>
      <c r="D3963">
        <v>1.5479999999999999E-3</v>
      </c>
      <c r="E3963">
        <f t="shared" si="122"/>
        <v>1.0015480000000001</v>
      </c>
      <c r="F3963" s="1">
        <f t="shared" si="123"/>
        <v>41190</v>
      </c>
      <c r="G3963" cm="1">
        <f t="array" ref="G3963">PRODUCT( _xlfn._xlws.FILTER($E:$E, ($C:$C=C3963)*($F:$F=F3963)) ) - 1</f>
        <v>-1.9394720543843169E-2</v>
      </c>
    </row>
    <row r="3964" spans="1:7" x14ac:dyDescent="0.2">
      <c r="A3964" s="1">
        <v>41194</v>
      </c>
      <c r="B3964">
        <v>0</v>
      </c>
      <c r="C3964" t="s">
        <v>14</v>
      </c>
      <c r="D3964">
        <v>6.1799999999999995E-4</v>
      </c>
      <c r="E3964">
        <f t="shared" si="122"/>
        <v>1.000618</v>
      </c>
      <c r="F3964" s="1">
        <f t="shared" si="123"/>
        <v>41190</v>
      </c>
      <c r="G3964" cm="1">
        <f t="array" ref="G3964">PRODUCT( _xlfn._xlws.FILTER($E:$E, ($C:$C=C3964)*($F:$F=F3964)) ) - 1</f>
        <v>-1.9394720543843169E-2</v>
      </c>
    </row>
    <row r="3965" spans="1:7" x14ac:dyDescent="0.2">
      <c r="A3965" s="1">
        <v>41197</v>
      </c>
      <c r="B3965">
        <v>0</v>
      </c>
      <c r="C3965" t="s">
        <v>14</v>
      </c>
      <c r="D3965">
        <v>6.1799999999999995E-4</v>
      </c>
      <c r="E3965">
        <f t="shared" si="122"/>
        <v>1.000618</v>
      </c>
      <c r="F3965" s="1">
        <f t="shared" si="123"/>
        <v>41197</v>
      </c>
      <c r="G3965" cm="1">
        <f t="array" ref="G3965">PRODUCT( _xlfn._xlws.FILTER($E:$E, ($C:$C=C3965)*($F:$F=F3965)) ) - 1</f>
        <v>4.3263794982504766E-2</v>
      </c>
    </row>
    <row r="3966" spans="1:7" x14ac:dyDescent="0.2">
      <c r="A3966" s="1">
        <v>41198</v>
      </c>
      <c r="B3966">
        <v>0</v>
      </c>
      <c r="C3966" t="s">
        <v>14</v>
      </c>
      <c r="D3966">
        <v>2.4088999999999999E-2</v>
      </c>
      <c r="E3966">
        <f t="shared" si="122"/>
        <v>1.024089</v>
      </c>
      <c r="F3966" s="1">
        <f t="shared" si="123"/>
        <v>41197</v>
      </c>
      <c r="G3966" cm="1">
        <f t="array" ref="G3966">PRODUCT( _xlfn._xlws.FILTER($E:$E, ($C:$C=C3966)*($F:$F=F3966)) ) - 1</f>
        <v>4.3263794982504766E-2</v>
      </c>
    </row>
    <row r="3967" spans="1:7" x14ac:dyDescent="0.2">
      <c r="A3967" s="1">
        <v>41199</v>
      </c>
      <c r="B3967">
        <v>0</v>
      </c>
      <c r="C3967" t="s">
        <v>14</v>
      </c>
      <c r="D3967">
        <v>1.3269E-2</v>
      </c>
      <c r="E3967">
        <f t="shared" si="122"/>
        <v>1.013269</v>
      </c>
      <c r="F3967" s="1">
        <f t="shared" si="123"/>
        <v>41197</v>
      </c>
      <c r="G3967" cm="1">
        <f t="array" ref="G3967">PRODUCT( _xlfn._xlws.FILTER($E:$E, ($C:$C=C3967)*($F:$F=F3967)) ) - 1</f>
        <v>4.3263794982504766E-2</v>
      </c>
    </row>
    <row r="3968" spans="1:7" x14ac:dyDescent="0.2">
      <c r="A3968" s="1">
        <v>41200</v>
      </c>
      <c r="B3968">
        <v>0</v>
      </c>
      <c r="C3968" t="s">
        <v>14</v>
      </c>
      <c r="D3968">
        <v>6.548E-3</v>
      </c>
      <c r="E3968">
        <f t="shared" si="122"/>
        <v>1.006548</v>
      </c>
      <c r="F3968" s="1">
        <f t="shared" si="123"/>
        <v>41197</v>
      </c>
      <c r="G3968" cm="1">
        <f t="array" ref="G3968">PRODUCT( _xlfn._xlws.FILTER($E:$E, ($C:$C=C3968)*($F:$F=F3968)) ) - 1</f>
        <v>4.3263794982504766E-2</v>
      </c>
    </row>
    <row r="3969" spans="1:7" x14ac:dyDescent="0.2">
      <c r="A3969" s="1">
        <v>41201</v>
      </c>
      <c r="B3969">
        <v>0</v>
      </c>
      <c r="C3969" t="s">
        <v>14</v>
      </c>
      <c r="D3969">
        <v>-1.774E-3</v>
      </c>
      <c r="E3969">
        <f t="shared" si="122"/>
        <v>0.99822599999999995</v>
      </c>
      <c r="F3969" s="1">
        <f t="shared" si="123"/>
        <v>41197</v>
      </c>
      <c r="G3969" cm="1">
        <f t="array" ref="G3969">PRODUCT( _xlfn._xlws.FILTER($E:$E, ($C:$C=C3969)*($F:$F=F3969)) ) - 1</f>
        <v>4.3263794982504766E-2</v>
      </c>
    </row>
    <row r="3970" spans="1:7" x14ac:dyDescent="0.2">
      <c r="A3970" s="1">
        <v>41204</v>
      </c>
      <c r="B3970">
        <v>0</v>
      </c>
      <c r="C3970" t="s">
        <v>14</v>
      </c>
      <c r="D3970">
        <v>-1.1256E-2</v>
      </c>
      <c r="E3970">
        <f t="shared" si="122"/>
        <v>0.98874399999999996</v>
      </c>
      <c r="F3970" s="1">
        <f t="shared" si="123"/>
        <v>41204</v>
      </c>
      <c r="G3970" cm="1">
        <f t="array" ref="G3970">PRODUCT( _xlfn._xlws.FILTER($E:$E, ($C:$C=C3970)*($F:$F=F3970)) ) - 1</f>
        <v>-1.7477110831979337E-2</v>
      </c>
    </row>
    <row r="3971" spans="1:7" x14ac:dyDescent="0.2">
      <c r="A3971" s="1">
        <v>41205</v>
      </c>
      <c r="B3971">
        <v>0</v>
      </c>
      <c r="C3971" t="s">
        <v>14</v>
      </c>
      <c r="D3971">
        <v>-2.1569999999999999E-2</v>
      </c>
      <c r="E3971">
        <f t="shared" si="122"/>
        <v>0.97843000000000002</v>
      </c>
      <c r="F3971" s="1">
        <f t="shared" si="123"/>
        <v>41204</v>
      </c>
      <c r="G3971" cm="1">
        <f t="array" ref="G3971">PRODUCT( _xlfn._xlws.FILTER($E:$E, ($C:$C=C3971)*($F:$F=F3971)) ) - 1</f>
        <v>-1.7477110831979337E-2</v>
      </c>
    </row>
    <row r="3972" spans="1:7" x14ac:dyDescent="0.2">
      <c r="A3972" s="1">
        <v>41206</v>
      </c>
      <c r="B3972">
        <v>0</v>
      </c>
      <c r="C3972" t="s">
        <v>14</v>
      </c>
      <c r="D3972">
        <v>1.8370000000000001E-3</v>
      </c>
      <c r="E3972">
        <f t="shared" ref="E3972:E4035" si="124">D3972+1</f>
        <v>1.0018370000000001</v>
      </c>
      <c r="F3972" s="1">
        <f t="shared" ref="F3972:F4035" si="125">A3972 - (WEEKDAY(A3972, 2) - 1)</f>
        <v>41204</v>
      </c>
      <c r="G3972" cm="1">
        <f t="array" ref="G3972">PRODUCT( _xlfn._xlws.FILTER($E:$E, ($C:$C=C3972)*($F:$F=F3972)) ) - 1</f>
        <v>-1.7477110831979337E-2</v>
      </c>
    </row>
    <row r="3973" spans="1:7" x14ac:dyDescent="0.2">
      <c r="A3973" s="1">
        <v>41207</v>
      </c>
      <c r="B3973">
        <v>0</v>
      </c>
      <c r="C3973" t="s">
        <v>14</v>
      </c>
      <c r="D3973">
        <v>1.2836E-2</v>
      </c>
      <c r="E3973">
        <f t="shared" si="124"/>
        <v>1.0128360000000001</v>
      </c>
      <c r="F3973" s="1">
        <f t="shared" si="125"/>
        <v>41204</v>
      </c>
      <c r="G3973" cm="1">
        <f t="array" ref="G3973">PRODUCT( _xlfn._xlws.FILTER($E:$E, ($C:$C=C3973)*($F:$F=F3973)) ) - 1</f>
        <v>-1.7477110831979337E-2</v>
      </c>
    </row>
    <row r="3974" spans="1:7" x14ac:dyDescent="0.2">
      <c r="A3974" s="1">
        <v>41208</v>
      </c>
      <c r="B3974">
        <v>0</v>
      </c>
      <c r="C3974" t="s">
        <v>14</v>
      </c>
      <c r="D3974">
        <v>9.0499999999999999E-4</v>
      </c>
      <c r="E3974">
        <f t="shared" si="124"/>
        <v>1.0009049999999999</v>
      </c>
      <c r="F3974" s="1">
        <f t="shared" si="125"/>
        <v>41204</v>
      </c>
      <c r="G3974" cm="1">
        <f t="array" ref="G3974">PRODUCT( _xlfn._xlws.FILTER($E:$E, ($C:$C=C3974)*($F:$F=F3974)) ) - 1</f>
        <v>-1.7477110831979337E-2</v>
      </c>
    </row>
    <row r="3975" spans="1:7" x14ac:dyDescent="0.2">
      <c r="A3975" s="1">
        <v>41211</v>
      </c>
      <c r="B3975">
        <v>0</v>
      </c>
      <c r="C3975" t="s">
        <v>14</v>
      </c>
      <c r="D3975">
        <v>-2.1099999999999999E-3</v>
      </c>
      <c r="E3975">
        <f t="shared" si="124"/>
        <v>0.99789000000000005</v>
      </c>
      <c r="F3975" s="1">
        <f t="shared" si="125"/>
        <v>41211</v>
      </c>
      <c r="G3975" cm="1">
        <f t="array" ref="G3975">PRODUCT( _xlfn._xlws.FILTER($E:$E, ($C:$C=C3975)*($F:$F=F3975)) ) - 1</f>
        <v>4.4618597848967045E-2</v>
      </c>
    </row>
    <row r="3976" spans="1:7" x14ac:dyDescent="0.2">
      <c r="A3976" s="1">
        <v>41212</v>
      </c>
      <c r="B3976">
        <v>0</v>
      </c>
      <c r="C3976" t="s">
        <v>14</v>
      </c>
      <c r="D3976">
        <v>5.1359999999999999E-3</v>
      </c>
      <c r="E3976">
        <f t="shared" si="124"/>
        <v>1.005136</v>
      </c>
      <c r="F3976" s="1">
        <f t="shared" si="125"/>
        <v>41211</v>
      </c>
      <c r="G3976" cm="1">
        <f t="array" ref="G3976">PRODUCT( _xlfn._xlws.FILTER($E:$E, ($C:$C=C3976)*($F:$F=F3976)) ) - 1</f>
        <v>4.4618597848967045E-2</v>
      </c>
    </row>
    <row r="3977" spans="1:7" x14ac:dyDescent="0.2">
      <c r="A3977" s="1">
        <v>41213</v>
      </c>
      <c r="B3977">
        <v>0</v>
      </c>
      <c r="C3977" t="s">
        <v>14</v>
      </c>
      <c r="D3977">
        <v>7.5139999999999998E-3</v>
      </c>
      <c r="E3977">
        <f t="shared" si="124"/>
        <v>1.007514</v>
      </c>
      <c r="F3977" s="1">
        <f t="shared" si="125"/>
        <v>41211</v>
      </c>
      <c r="G3977" cm="1">
        <f t="array" ref="G3977">PRODUCT( _xlfn._xlws.FILTER($E:$E, ($C:$C=C3977)*($F:$F=F3977)) ) - 1</f>
        <v>4.4618597848967045E-2</v>
      </c>
    </row>
    <row r="3978" spans="1:7" x14ac:dyDescent="0.2">
      <c r="A3978" s="1">
        <v>41214</v>
      </c>
      <c r="B3978">
        <v>0</v>
      </c>
      <c r="C3978" t="s">
        <v>14</v>
      </c>
      <c r="D3978">
        <v>3.4605999999999998E-2</v>
      </c>
      <c r="E3978">
        <f t="shared" si="124"/>
        <v>1.0346059999999999</v>
      </c>
      <c r="F3978" s="1">
        <f t="shared" si="125"/>
        <v>41211</v>
      </c>
      <c r="G3978" cm="1">
        <f t="array" ref="G3978">PRODUCT( _xlfn._xlws.FILTER($E:$E, ($C:$C=C3978)*($F:$F=F3978)) ) - 1</f>
        <v>4.4618597848967045E-2</v>
      </c>
    </row>
    <row r="3979" spans="1:7" x14ac:dyDescent="0.2">
      <c r="A3979" s="1">
        <v>41215</v>
      </c>
      <c r="B3979">
        <v>0</v>
      </c>
      <c r="C3979" t="s">
        <v>14</v>
      </c>
      <c r="D3979">
        <v>-8.6499999999999999E-4</v>
      </c>
      <c r="E3979">
        <f t="shared" si="124"/>
        <v>0.999135</v>
      </c>
      <c r="F3979" s="1">
        <f t="shared" si="125"/>
        <v>41211</v>
      </c>
      <c r="G3979" cm="1">
        <f t="array" ref="G3979">PRODUCT( _xlfn._xlws.FILTER($E:$E, ($C:$C=C3979)*($F:$F=F3979)) ) - 1</f>
        <v>4.4618597848967045E-2</v>
      </c>
    </row>
    <row r="3980" spans="1:7" x14ac:dyDescent="0.2">
      <c r="A3980" s="1">
        <v>41218</v>
      </c>
      <c r="B3980">
        <v>0</v>
      </c>
      <c r="C3980" t="s">
        <v>14</v>
      </c>
      <c r="D3980">
        <v>-6.0610000000000004E-3</v>
      </c>
      <c r="E3980">
        <f t="shared" si="124"/>
        <v>0.99393900000000002</v>
      </c>
      <c r="F3980" s="1">
        <f t="shared" si="125"/>
        <v>41218</v>
      </c>
      <c r="G3980" cm="1">
        <f t="array" ref="G3980">PRODUCT( _xlfn._xlws.FILTER($E:$E, ($C:$C=C3980)*($F:$F=F3980)) ) - 1</f>
        <v>-4.011586583591642E-2</v>
      </c>
    </row>
    <row r="3981" spans="1:7" x14ac:dyDescent="0.2">
      <c r="A3981" s="1">
        <v>41219</v>
      </c>
      <c r="B3981">
        <v>0</v>
      </c>
      <c r="C3981" t="s">
        <v>14</v>
      </c>
      <c r="D3981">
        <v>4.3550000000000004E-3</v>
      </c>
      <c r="E3981">
        <f t="shared" si="124"/>
        <v>1.0043550000000001</v>
      </c>
      <c r="F3981" s="1">
        <f t="shared" si="125"/>
        <v>41218</v>
      </c>
      <c r="G3981" cm="1">
        <f t="array" ref="G3981">PRODUCT( _xlfn._xlws.FILTER($E:$E, ($C:$C=C3981)*($F:$F=F3981)) ) - 1</f>
        <v>-4.011586583591642E-2</v>
      </c>
    </row>
    <row r="3982" spans="1:7" x14ac:dyDescent="0.2">
      <c r="A3982" s="1">
        <v>41220</v>
      </c>
      <c r="B3982">
        <v>0</v>
      </c>
      <c r="C3982" t="s">
        <v>14</v>
      </c>
      <c r="D3982">
        <v>-2.6596999999999999E-2</v>
      </c>
      <c r="E3982">
        <f t="shared" si="124"/>
        <v>0.97340300000000002</v>
      </c>
      <c r="F3982" s="1">
        <f t="shared" si="125"/>
        <v>41218</v>
      </c>
      <c r="G3982" cm="1">
        <f t="array" ref="G3982">PRODUCT( _xlfn._xlws.FILTER($E:$E, ($C:$C=C3982)*($F:$F=F3982)) ) - 1</f>
        <v>-4.011586583591642E-2</v>
      </c>
    </row>
    <row r="3983" spans="1:7" x14ac:dyDescent="0.2">
      <c r="A3983" s="1">
        <v>41221</v>
      </c>
      <c r="B3983">
        <v>0</v>
      </c>
      <c r="C3983" t="s">
        <v>14</v>
      </c>
      <c r="D3983">
        <v>-1.0692E-2</v>
      </c>
      <c r="E3983">
        <f t="shared" si="124"/>
        <v>0.98930799999999997</v>
      </c>
      <c r="F3983" s="1">
        <f t="shared" si="125"/>
        <v>41218</v>
      </c>
      <c r="G3983" cm="1">
        <f t="array" ref="G3983">PRODUCT( _xlfn._xlws.FILTER($E:$E, ($C:$C=C3983)*($F:$F=F3983)) ) - 1</f>
        <v>-4.011586583591642E-2</v>
      </c>
    </row>
    <row r="3984" spans="1:7" x14ac:dyDescent="0.2">
      <c r="A3984" s="1">
        <v>41222</v>
      </c>
      <c r="B3984">
        <v>0</v>
      </c>
      <c r="C3984" t="s">
        <v>14</v>
      </c>
      <c r="D3984">
        <v>-1.5009999999999999E-3</v>
      </c>
      <c r="E3984">
        <f t="shared" si="124"/>
        <v>0.99849900000000003</v>
      </c>
      <c r="F3984" s="1">
        <f t="shared" si="125"/>
        <v>41218</v>
      </c>
      <c r="G3984" cm="1">
        <f t="array" ref="G3984">PRODUCT( _xlfn._xlws.FILTER($E:$E, ($C:$C=C3984)*($F:$F=F3984)) ) - 1</f>
        <v>-4.011586583591642E-2</v>
      </c>
    </row>
    <row r="3985" spans="1:7" x14ac:dyDescent="0.2">
      <c r="A3985" s="1">
        <v>41225</v>
      </c>
      <c r="B3985">
        <v>0</v>
      </c>
      <c r="C3985" t="s">
        <v>14</v>
      </c>
      <c r="D3985">
        <v>3.9090000000000001E-3</v>
      </c>
      <c r="E3985">
        <f t="shared" si="124"/>
        <v>1.0039089999999999</v>
      </c>
      <c r="F3985" s="1">
        <f t="shared" si="125"/>
        <v>41225</v>
      </c>
      <c r="G3985" cm="1">
        <f t="array" ref="G3985">PRODUCT( _xlfn._xlws.FILTER($E:$E, ($C:$C=C3985)*($F:$F=F3985)) ) - 1</f>
        <v>-5.1713099869496681E-2</v>
      </c>
    </row>
    <row r="3986" spans="1:7" x14ac:dyDescent="0.2">
      <c r="A3986" s="1">
        <v>41226</v>
      </c>
      <c r="B3986">
        <v>0</v>
      </c>
      <c r="C3986" t="s">
        <v>14</v>
      </c>
      <c r="D3986">
        <v>-2.5156999999999999E-2</v>
      </c>
      <c r="E3986">
        <f t="shared" si="124"/>
        <v>0.97484300000000002</v>
      </c>
      <c r="F3986" s="1">
        <f t="shared" si="125"/>
        <v>41225</v>
      </c>
      <c r="G3986" cm="1">
        <f t="array" ref="G3986">PRODUCT( _xlfn._xlws.FILTER($E:$E, ($C:$C=C3986)*($F:$F=F3986)) ) - 1</f>
        <v>-5.1713099869496681E-2</v>
      </c>
    </row>
    <row r="3987" spans="1:7" x14ac:dyDescent="0.2">
      <c r="A3987" s="1">
        <v>41227</v>
      </c>
      <c r="B3987">
        <v>0</v>
      </c>
      <c r="C3987" t="s">
        <v>14</v>
      </c>
      <c r="D3987">
        <v>-2.1198000000000002E-2</v>
      </c>
      <c r="E3987">
        <f t="shared" si="124"/>
        <v>0.97880199999999995</v>
      </c>
      <c r="F3987" s="1">
        <f t="shared" si="125"/>
        <v>41225</v>
      </c>
      <c r="G3987" cm="1">
        <f t="array" ref="G3987">PRODUCT( _xlfn._xlws.FILTER($E:$E, ($C:$C=C3987)*($F:$F=F3987)) ) - 1</f>
        <v>-5.1713099869496681E-2</v>
      </c>
    </row>
    <row r="3988" spans="1:7" x14ac:dyDescent="0.2">
      <c r="A3988" s="1">
        <v>41228</v>
      </c>
      <c r="B3988">
        <v>0</v>
      </c>
      <c r="C3988" t="s">
        <v>14</v>
      </c>
      <c r="D3988">
        <v>-5.6499999999999996E-3</v>
      </c>
      <c r="E3988">
        <f t="shared" si="124"/>
        <v>0.99434999999999996</v>
      </c>
      <c r="F3988" s="1">
        <f t="shared" si="125"/>
        <v>41225</v>
      </c>
      <c r="G3988" cm="1">
        <f t="array" ref="G3988">PRODUCT( _xlfn._xlws.FILTER($E:$E, ($C:$C=C3988)*($F:$F=F3988)) ) - 1</f>
        <v>-5.1713099869496681E-2</v>
      </c>
    </row>
    <row r="3989" spans="1:7" x14ac:dyDescent="0.2">
      <c r="A3989" s="1">
        <v>41229</v>
      </c>
      <c r="B3989">
        <v>0</v>
      </c>
      <c r="C3989" t="s">
        <v>14</v>
      </c>
      <c r="D3989">
        <v>-4.4190000000000002E-3</v>
      </c>
      <c r="E3989">
        <f t="shared" si="124"/>
        <v>0.99558100000000005</v>
      </c>
      <c r="F3989" s="1">
        <f t="shared" si="125"/>
        <v>41225</v>
      </c>
      <c r="G3989" cm="1">
        <f t="array" ref="G3989">PRODUCT( _xlfn._xlws.FILTER($E:$E, ($C:$C=C3989)*($F:$F=F3989)) ) - 1</f>
        <v>-5.1713099869496681E-2</v>
      </c>
    </row>
    <row r="3990" spans="1:7" x14ac:dyDescent="0.2">
      <c r="A3990" s="1">
        <v>41232</v>
      </c>
      <c r="B3990">
        <v>0</v>
      </c>
      <c r="C3990" t="s">
        <v>14</v>
      </c>
      <c r="D3990">
        <v>3.3291000000000001E-2</v>
      </c>
      <c r="E3990">
        <f t="shared" si="124"/>
        <v>1.033291</v>
      </c>
      <c r="F3990" s="1">
        <f t="shared" si="125"/>
        <v>41232</v>
      </c>
      <c r="G3990" cm="1">
        <f t="array" ref="G3990">PRODUCT( _xlfn._xlws.FILTER($E:$E, ($C:$C=C3990)*($F:$F=F3990)) ) - 1</f>
        <v>6.0558386519246277E-2</v>
      </c>
    </row>
    <row r="3991" spans="1:7" x14ac:dyDescent="0.2">
      <c r="A3991" s="1">
        <v>41233</v>
      </c>
      <c r="B3991">
        <v>0</v>
      </c>
      <c r="C3991" t="s">
        <v>14</v>
      </c>
      <c r="D3991">
        <v>1.0126E-2</v>
      </c>
      <c r="E3991">
        <f t="shared" si="124"/>
        <v>1.0101260000000001</v>
      </c>
      <c r="F3991" s="1">
        <f t="shared" si="125"/>
        <v>41232</v>
      </c>
      <c r="G3991" cm="1">
        <f t="array" ref="G3991">PRODUCT( _xlfn._xlws.FILTER($E:$E, ($C:$C=C3991)*($F:$F=F3991)) ) - 1</f>
        <v>6.0558386519246277E-2</v>
      </c>
    </row>
    <row r="3992" spans="1:7" x14ac:dyDescent="0.2">
      <c r="A3992" s="1">
        <v>41234</v>
      </c>
      <c r="B3992">
        <v>0</v>
      </c>
      <c r="C3992" t="s">
        <v>14</v>
      </c>
      <c r="D3992">
        <v>7.5940000000000001E-3</v>
      </c>
      <c r="E3992">
        <f t="shared" si="124"/>
        <v>1.0075940000000001</v>
      </c>
      <c r="F3992" s="1">
        <f t="shared" si="125"/>
        <v>41232</v>
      </c>
      <c r="G3992" cm="1">
        <f t="array" ref="G3992">PRODUCT( _xlfn._xlws.FILTER($E:$E, ($C:$C=C3992)*($F:$F=F3992)) ) - 1</f>
        <v>6.0558386519246277E-2</v>
      </c>
    </row>
    <row r="3993" spans="1:7" x14ac:dyDescent="0.2">
      <c r="A3993" s="1">
        <v>41235</v>
      </c>
      <c r="B3993">
        <v>0</v>
      </c>
      <c r="C3993" t="s">
        <v>14</v>
      </c>
      <c r="D3993">
        <v>4.2209999999999999E-3</v>
      </c>
      <c r="E3993">
        <f t="shared" si="124"/>
        <v>1.004221</v>
      </c>
      <c r="F3993" s="1">
        <f t="shared" si="125"/>
        <v>41232</v>
      </c>
      <c r="G3993" cm="1">
        <f t="array" ref="G3993">PRODUCT( _xlfn._xlws.FILTER($E:$E, ($C:$C=C3993)*($F:$F=F3993)) ) - 1</f>
        <v>6.0558386519246277E-2</v>
      </c>
    </row>
    <row r="3994" spans="1:7" x14ac:dyDescent="0.2">
      <c r="A3994" s="1">
        <v>41236</v>
      </c>
      <c r="B3994">
        <v>0</v>
      </c>
      <c r="C3994" t="s">
        <v>14</v>
      </c>
      <c r="D3994">
        <v>4.2030000000000001E-3</v>
      </c>
      <c r="E3994">
        <f t="shared" si="124"/>
        <v>1.004203</v>
      </c>
      <c r="F3994" s="1">
        <f t="shared" si="125"/>
        <v>41232</v>
      </c>
      <c r="G3994" cm="1">
        <f t="array" ref="G3994">PRODUCT( _xlfn._xlws.FILTER($E:$E, ($C:$C=C3994)*($F:$F=F3994)) ) - 1</f>
        <v>6.0558386519246277E-2</v>
      </c>
    </row>
    <row r="3995" spans="1:7" x14ac:dyDescent="0.2">
      <c r="A3995" s="1">
        <v>41239</v>
      </c>
      <c r="B3995">
        <v>0</v>
      </c>
      <c r="C3995" t="s">
        <v>14</v>
      </c>
      <c r="D3995">
        <v>-3.5869999999999999E-3</v>
      </c>
      <c r="E3995">
        <f t="shared" si="124"/>
        <v>0.99641299999999999</v>
      </c>
      <c r="F3995" s="1">
        <f t="shared" si="125"/>
        <v>41239</v>
      </c>
      <c r="G3995" cm="1">
        <f t="array" ref="G3995">PRODUCT( _xlfn._xlws.FILTER($E:$E, ($C:$C=C3995)*($F:$F=F3995)) ) - 1</f>
        <v>-2.575579783438986E-2</v>
      </c>
    </row>
    <row r="3996" spans="1:7" x14ac:dyDescent="0.2">
      <c r="A3996" s="1">
        <v>41240</v>
      </c>
      <c r="B3996">
        <v>0</v>
      </c>
      <c r="C3996" t="s">
        <v>14</v>
      </c>
      <c r="D3996">
        <v>-1.3200999999999999E-2</v>
      </c>
      <c r="E3996">
        <f t="shared" si="124"/>
        <v>0.98679899999999998</v>
      </c>
      <c r="F3996" s="1">
        <f t="shared" si="125"/>
        <v>41239</v>
      </c>
      <c r="G3996" cm="1">
        <f t="array" ref="G3996">PRODUCT( _xlfn._xlws.FILTER($E:$E, ($C:$C=C3996)*($F:$F=F3996)) ) - 1</f>
        <v>-2.575579783438986E-2</v>
      </c>
    </row>
    <row r="3997" spans="1:7" x14ac:dyDescent="0.2">
      <c r="A3997" s="1">
        <v>41241</v>
      </c>
      <c r="B3997">
        <v>0</v>
      </c>
      <c r="C3997" t="s">
        <v>14</v>
      </c>
      <c r="D3997">
        <v>-4.8650000000000004E-3</v>
      </c>
      <c r="E3997">
        <f t="shared" si="124"/>
        <v>0.99513499999999999</v>
      </c>
      <c r="F3997" s="1">
        <f t="shared" si="125"/>
        <v>41239</v>
      </c>
      <c r="G3997" cm="1">
        <f t="array" ref="G3997">PRODUCT( _xlfn._xlws.FILTER($E:$E, ($C:$C=C3997)*($F:$F=F3997)) ) - 1</f>
        <v>-2.575579783438986E-2</v>
      </c>
    </row>
    <row r="3998" spans="1:7" x14ac:dyDescent="0.2">
      <c r="A3998" s="1">
        <v>41242</v>
      </c>
      <c r="B3998">
        <v>0</v>
      </c>
      <c r="C3998" t="s">
        <v>14</v>
      </c>
      <c r="D3998">
        <v>7.6379999999999998E-3</v>
      </c>
      <c r="E3998">
        <f t="shared" si="124"/>
        <v>1.007638</v>
      </c>
      <c r="F3998" s="1">
        <f t="shared" si="125"/>
        <v>41239</v>
      </c>
      <c r="G3998" cm="1">
        <f t="array" ref="G3998">PRODUCT( _xlfn._xlws.FILTER($E:$E, ($C:$C=C3998)*($F:$F=F3998)) ) - 1</f>
        <v>-2.575579783438986E-2</v>
      </c>
    </row>
    <row r="3999" spans="1:7" x14ac:dyDescent="0.2">
      <c r="A3999" s="1">
        <v>41243</v>
      </c>
      <c r="B3999">
        <v>0</v>
      </c>
      <c r="C3999" t="s">
        <v>14</v>
      </c>
      <c r="D3999">
        <v>-1.1872000000000001E-2</v>
      </c>
      <c r="E3999">
        <f t="shared" si="124"/>
        <v>0.98812800000000001</v>
      </c>
      <c r="F3999" s="1">
        <f t="shared" si="125"/>
        <v>41239</v>
      </c>
      <c r="G3999" cm="1">
        <f t="array" ref="G3999">PRODUCT( _xlfn._xlws.FILTER($E:$E, ($C:$C=C3999)*($F:$F=F3999)) ) - 1</f>
        <v>-2.575579783438986E-2</v>
      </c>
    </row>
    <row r="4000" spans="1:7" x14ac:dyDescent="0.2">
      <c r="A4000" s="1">
        <v>41246</v>
      </c>
      <c r="B4000">
        <v>0</v>
      </c>
      <c r="C4000" t="s">
        <v>14</v>
      </c>
      <c r="D4000">
        <v>-4.313E-3</v>
      </c>
      <c r="E4000">
        <f t="shared" si="124"/>
        <v>0.99568699999999999</v>
      </c>
      <c r="F4000" s="1">
        <f t="shared" si="125"/>
        <v>41246</v>
      </c>
      <c r="G4000" cm="1">
        <f t="array" ref="G4000">PRODUCT( _xlfn._xlws.FILTER($E:$E, ($C:$C=C4000)*($F:$F=F4000)) ) - 1</f>
        <v>-6.7782341917089761E-3</v>
      </c>
    </row>
    <row r="4001" spans="1:7" x14ac:dyDescent="0.2">
      <c r="A4001" s="1">
        <v>41247</v>
      </c>
      <c r="B4001">
        <v>0</v>
      </c>
      <c r="C4001" t="s">
        <v>14</v>
      </c>
      <c r="D4001">
        <v>-1.8569999999999999E-3</v>
      </c>
      <c r="E4001">
        <f t="shared" si="124"/>
        <v>0.998143</v>
      </c>
      <c r="F4001" s="1">
        <f t="shared" si="125"/>
        <v>41246</v>
      </c>
      <c r="G4001" cm="1">
        <f t="array" ref="G4001">PRODUCT( _xlfn._xlws.FILTER($E:$E, ($C:$C=C4001)*($F:$F=F4001)) ) - 1</f>
        <v>-6.7782341917089761E-3</v>
      </c>
    </row>
    <row r="4002" spans="1:7" x14ac:dyDescent="0.2">
      <c r="A4002" s="1">
        <v>41248</v>
      </c>
      <c r="B4002">
        <v>0</v>
      </c>
      <c r="C4002" t="s">
        <v>14</v>
      </c>
      <c r="D4002">
        <v>1.3018999999999999E-2</v>
      </c>
      <c r="E4002">
        <f t="shared" si="124"/>
        <v>1.0130189999999999</v>
      </c>
      <c r="F4002" s="1">
        <f t="shared" si="125"/>
        <v>41246</v>
      </c>
      <c r="G4002" cm="1">
        <f t="array" ref="G4002">PRODUCT( _xlfn._xlws.FILTER($E:$E, ($C:$C=C4002)*($F:$F=F4002)) ) - 1</f>
        <v>-6.7782341917089761E-3</v>
      </c>
    </row>
    <row r="4003" spans="1:7" x14ac:dyDescent="0.2">
      <c r="A4003" s="1">
        <v>41249</v>
      </c>
      <c r="B4003">
        <v>0</v>
      </c>
      <c r="C4003" t="s">
        <v>14</v>
      </c>
      <c r="D4003">
        <v>-6.1199999999999996E-3</v>
      </c>
      <c r="E4003">
        <f t="shared" si="124"/>
        <v>0.99387999999999999</v>
      </c>
      <c r="F4003" s="1">
        <f t="shared" si="125"/>
        <v>41246</v>
      </c>
      <c r="G4003" cm="1">
        <f t="array" ref="G4003">PRODUCT( _xlfn._xlws.FILTER($E:$E, ($C:$C=C4003)*($F:$F=F4003)) ) - 1</f>
        <v>-6.7782341917089761E-3</v>
      </c>
    </row>
    <row r="4004" spans="1:7" x14ac:dyDescent="0.2">
      <c r="A4004" s="1">
        <v>41250</v>
      </c>
      <c r="B4004">
        <v>0</v>
      </c>
      <c r="C4004" t="s">
        <v>14</v>
      </c>
      <c r="D4004">
        <v>-7.3889999999999997E-3</v>
      </c>
      <c r="E4004">
        <f t="shared" si="124"/>
        <v>0.99261100000000002</v>
      </c>
      <c r="F4004" s="1">
        <f t="shared" si="125"/>
        <v>41246</v>
      </c>
      <c r="G4004" cm="1">
        <f t="array" ref="G4004">PRODUCT( _xlfn._xlws.FILTER($E:$E, ($C:$C=C4004)*($F:$F=F4004)) ) - 1</f>
        <v>-6.7782341917089761E-3</v>
      </c>
    </row>
    <row r="4005" spans="1:7" x14ac:dyDescent="0.2">
      <c r="A4005" s="1">
        <v>41253</v>
      </c>
      <c r="B4005">
        <v>0</v>
      </c>
      <c r="C4005" t="s">
        <v>14</v>
      </c>
      <c r="D4005">
        <v>-6.2030000000000002E-3</v>
      </c>
      <c r="E4005">
        <f t="shared" si="124"/>
        <v>0.99379700000000004</v>
      </c>
      <c r="F4005" s="1">
        <f t="shared" si="125"/>
        <v>41253</v>
      </c>
      <c r="G4005" cm="1">
        <f t="array" ref="G4005">PRODUCT( _xlfn._xlws.FILTER($E:$E, ($C:$C=C4005)*($F:$F=F4005)) ) - 1</f>
        <v>-3.7213549431970305E-3</v>
      </c>
    </row>
    <row r="4006" spans="1:7" x14ac:dyDescent="0.2">
      <c r="A4006" s="1">
        <v>41254</v>
      </c>
      <c r="B4006">
        <v>0</v>
      </c>
      <c r="C4006" t="s">
        <v>14</v>
      </c>
      <c r="D4006">
        <v>1.8730000000000001E-3</v>
      </c>
      <c r="E4006">
        <f t="shared" si="124"/>
        <v>1.001873</v>
      </c>
      <c r="F4006" s="1">
        <f t="shared" si="125"/>
        <v>41253</v>
      </c>
      <c r="G4006" cm="1">
        <f t="array" ref="G4006">PRODUCT( _xlfn._xlws.FILTER($E:$E, ($C:$C=C4006)*($F:$F=F4006)) ) - 1</f>
        <v>-3.7213549431970305E-3</v>
      </c>
    </row>
    <row r="4007" spans="1:7" x14ac:dyDescent="0.2">
      <c r="A4007" s="1">
        <v>41255</v>
      </c>
      <c r="B4007">
        <v>0</v>
      </c>
      <c r="C4007" t="s">
        <v>14</v>
      </c>
      <c r="D4007">
        <v>3.1150000000000001E-3</v>
      </c>
      <c r="E4007">
        <f t="shared" si="124"/>
        <v>1.003115</v>
      </c>
      <c r="F4007" s="1">
        <f t="shared" si="125"/>
        <v>41253</v>
      </c>
      <c r="G4007" cm="1">
        <f t="array" ref="G4007">PRODUCT( _xlfn._xlws.FILTER($E:$E, ($C:$C=C4007)*($F:$F=F4007)) ) - 1</f>
        <v>-3.7213549431970305E-3</v>
      </c>
    </row>
    <row r="4008" spans="1:7" x14ac:dyDescent="0.2">
      <c r="A4008" s="1">
        <v>41256</v>
      </c>
      <c r="B4008">
        <v>0</v>
      </c>
      <c r="C4008" t="s">
        <v>14</v>
      </c>
      <c r="D4008">
        <v>-1.6149E-2</v>
      </c>
      <c r="E4008">
        <f t="shared" si="124"/>
        <v>0.98385100000000003</v>
      </c>
      <c r="F4008" s="1">
        <f t="shared" si="125"/>
        <v>41253</v>
      </c>
      <c r="G4008" cm="1">
        <f t="array" ref="G4008">PRODUCT( _xlfn._xlws.FILTER($E:$E, ($C:$C=C4008)*($F:$F=F4008)) ) - 1</f>
        <v>-3.7213549431970305E-3</v>
      </c>
    </row>
    <row r="4009" spans="1:7" x14ac:dyDescent="0.2">
      <c r="A4009" s="1">
        <v>41257</v>
      </c>
      <c r="B4009">
        <v>0</v>
      </c>
      <c r="C4009" t="s">
        <v>14</v>
      </c>
      <c r="D4009">
        <v>1.3889E-2</v>
      </c>
      <c r="E4009">
        <f t="shared" si="124"/>
        <v>1.013889</v>
      </c>
      <c r="F4009" s="1">
        <f t="shared" si="125"/>
        <v>41253</v>
      </c>
      <c r="G4009" cm="1">
        <f t="array" ref="G4009">PRODUCT( _xlfn._xlws.FILTER($E:$E, ($C:$C=C4009)*($F:$F=F4009)) ) - 1</f>
        <v>-3.7213549431970305E-3</v>
      </c>
    </row>
    <row r="4010" spans="1:7" x14ac:dyDescent="0.2">
      <c r="A4010" s="1">
        <v>41260</v>
      </c>
      <c r="B4010">
        <v>0</v>
      </c>
      <c r="C4010" t="s">
        <v>14</v>
      </c>
      <c r="D4010">
        <v>1.8680000000000001E-3</v>
      </c>
      <c r="E4010">
        <f t="shared" si="124"/>
        <v>1.001868</v>
      </c>
      <c r="F4010" s="1">
        <f t="shared" si="125"/>
        <v>41260</v>
      </c>
      <c r="G4010" cm="1">
        <f t="array" ref="G4010">PRODUCT( _xlfn._xlws.FILTER($E:$E, ($C:$C=C4010)*($F:$F=F4010)) ) - 1</f>
        <v>1.6499298011673158E-2</v>
      </c>
    </row>
    <row r="4011" spans="1:7" x14ac:dyDescent="0.2">
      <c r="A4011" s="1">
        <v>41261</v>
      </c>
      <c r="B4011">
        <v>0</v>
      </c>
      <c r="C4011" t="s">
        <v>14</v>
      </c>
      <c r="D4011">
        <v>1.4605E-2</v>
      </c>
      <c r="E4011">
        <f t="shared" si="124"/>
        <v>1.014605</v>
      </c>
      <c r="F4011" s="1">
        <f t="shared" si="125"/>
        <v>41260</v>
      </c>
      <c r="G4011" cm="1">
        <f t="array" ref="G4011">PRODUCT( _xlfn._xlws.FILTER($E:$E, ($C:$C=C4011)*($F:$F=F4011)) ) - 1</f>
        <v>1.6499298011673158E-2</v>
      </c>
    </row>
    <row r="4012" spans="1:7" x14ac:dyDescent="0.2">
      <c r="A4012" s="1">
        <v>41262</v>
      </c>
      <c r="B4012">
        <v>0</v>
      </c>
      <c r="C4012" t="s">
        <v>14</v>
      </c>
      <c r="D4012">
        <v>1.225E-3</v>
      </c>
      <c r="E4012">
        <f t="shared" si="124"/>
        <v>1.001225</v>
      </c>
      <c r="F4012" s="1">
        <f t="shared" si="125"/>
        <v>41260</v>
      </c>
      <c r="G4012" cm="1">
        <f t="array" ref="G4012">PRODUCT( _xlfn._xlws.FILTER($E:$E, ($C:$C=C4012)*($F:$F=F4012)) ) - 1</f>
        <v>1.6499298011673158E-2</v>
      </c>
    </row>
    <row r="4013" spans="1:7" x14ac:dyDescent="0.2">
      <c r="A4013" s="1">
        <v>41263</v>
      </c>
      <c r="B4013">
        <v>0</v>
      </c>
      <c r="C4013" t="s">
        <v>14</v>
      </c>
      <c r="D4013">
        <v>-1.5299999999999999E-3</v>
      </c>
      <c r="E4013">
        <f t="shared" si="124"/>
        <v>0.99846999999999997</v>
      </c>
      <c r="F4013" s="1">
        <f t="shared" si="125"/>
        <v>41260</v>
      </c>
      <c r="G4013" cm="1">
        <f t="array" ref="G4013">PRODUCT( _xlfn._xlws.FILTER($E:$E, ($C:$C=C4013)*($F:$F=F4013)) ) - 1</f>
        <v>1.6499298011673158E-2</v>
      </c>
    </row>
    <row r="4014" spans="1:7" x14ac:dyDescent="0.2">
      <c r="A4014" s="1">
        <v>41264</v>
      </c>
      <c r="B4014">
        <v>0</v>
      </c>
      <c r="C4014" t="s">
        <v>14</v>
      </c>
      <c r="D4014">
        <v>3.0600000000000001E-4</v>
      </c>
      <c r="E4014">
        <f t="shared" si="124"/>
        <v>1.0003059999999999</v>
      </c>
      <c r="F4014" s="1">
        <f t="shared" si="125"/>
        <v>41260</v>
      </c>
      <c r="G4014" cm="1">
        <f t="array" ref="G4014">PRODUCT( _xlfn._xlws.FILTER($E:$E, ($C:$C=C4014)*($F:$F=F4014)) ) - 1</f>
        <v>1.6499298011673158E-2</v>
      </c>
    </row>
    <row r="4015" spans="1:7" x14ac:dyDescent="0.2">
      <c r="A4015" s="1">
        <v>41267</v>
      </c>
      <c r="B4015">
        <v>0</v>
      </c>
      <c r="C4015" t="s">
        <v>14</v>
      </c>
      <c r="D4015">
        <v>-5.5129999999999997E-3</v>
      </c>
      <c r="E4015">
        <f t="shared" si="124"/>
        <v>0.99448700000000001</v>
      </c>
      <c r="F4015" s="1">
        <f t="shared" si="125"/>
        <v>41267</v>
      </c>
      <c r="G4015" cm="1">
        <f t="array" ref="G4015">PRODUCT( _xlfn._xlws.FILTER($E:$E, ($C:$C=C4015)*($F:$F=F4015)) ) - 1</f>
        <v>-1.3169207780124204E-2</v>
      </c>
    </row>
    <row r="4016" spans="1:7" x14ac:dyDescent="0.2">
      <c r="A4016" s="1">
        <v>41270</v>
      </c>
      <c r="B4016">
        <v>0</v>
      </c>
      <c r="C4016" t="s">
        <v>14</v>
      </c>
      <c r="D4016">
        <v>4.62E-3</v>
      </c>
      <c r="E4016">
        <f t="shared" si="124"/>
        <v>1.0046200000000001</v>
      </c>
      <c r="F4016" s="1">
        <f t="shared" si="125"/>
        <v>41267</v>
      </c>
      <c r="G4016" cm="1">
        <f t="array" ref="G4016">PRODUCT( _xlfn._xlws.FILTER($E:$E, ($C:$C=C4016)*($F:$F=F4016)) ) - 1</f>
        <v>-1.3169207780124204E-2</v>
      </c>
    </row>
    <row r="4017" spans="1:7" x14ac:dyDescent="0.2">
      <c r="A4017" s="1">
        <v>41271</v>
      </c>
      <c r="B4017">
        <v>0</v>
      </c>
      <c r="C4017" t="s">
        <v>14</v>
      </c>
      <c r="D4017">
        <v>-1.2262E-2</v>
      </c>
      <c r="E4017">
        <f t="shared" si="124"/>
        <v>0.987738</v>
      </c>
      <c r="F4017" s="1">
        <f t="shared" si="125"/>
        <v>41267</v>
      </c>
      <c r="G4017" cm="1">
        <f t="array" ref="G4017">PRODUCT( _xlfn._xlws.FILTER($E:$E, ($C:$C=C4017)*($F:$F=F4017)) ) - 1</f>
        <v>-1.3169207780124204E-2</v>
      </c>
    </row>
    <row r="4018" spans="1:7" x14ac:dyDescent="0.2">
      <c r="A4018" s="1">
        <v>41274</v>
      </c>
      <c r="B4018">
        <v>0</v>
      </c>
      <c r="C4018" t="s">
        <v>14</v>
      </c>
      <c r="D4018">
        <v>1.5207999999999999E-2</v>
      </c>
      <c r="E4018">
        <f t="shared" si="124"/>
        <v>1.0152079999999999</v>
      </c>
      <c r="F4018" s="1">
        <f t="shared" si="125"/>
        <v>41274</v>
      </c>
      <c r="G4018" cm="1">
        <f t="array" ref="G4018">PRODUCT( _xlfn._xlws.FILTER($E:$E, ($C:$C=C4018)*($F:$F=F4018)) ) - 1</f>
        <v>4.221008171231988E-2</v>
      </c>
    </row>
    <row r="4019" spans="1:7" x14ac:dyDescent="0.2">
      <c r="A4019" s="1">
        <v>41276</v>
      </c>
      <c r="B4019">
        <v>0</v>
      </c>
      <c r="C4019" t="s">
        <v>14</v>
      </c>
      <c r="D4019">
        <v>2.1399999999999999E-2</v>
      </c>
      <c r="E4019">
        <f t="shared" si="124"/>
        <v>1.0214000000000001</v>
      </c>
      <c r="F4019" s="1">
        <f t="shared" si="125"/>
        <v>41274</v>
      </c>
      <c r="G4019" cm="1">
        <f t="array" ref="G4019">PRODUCT( _xlfn._xlws.FILTER($E:$E, ($C:$C=C4019)*($F:$F=F4019)) ) - 1</f>
        <v>4.221008171231988E-2</v>
      </c>
    </row>
    <row r="4020" spans="1:7" x14ac:dyDescent="0.2">
      <c r="A4020" s="1">
        <v>41277</v>
      </c>
      <c r="B4020">
        <v>0</v>
      </c>
      <c r="C4020" t="s">
        <v>14</v>
      </c>
      <c r="D4020">
        <v>5.9900000000000003E-4</v>
      </c>
      <c r="E4020">
        <f t="shared" si="124"/>
        <v>1.000599</v>
      </c>
      <c r="F4020" s="1">
        <f t="shared" si="125"/>
        <v>41274</v>
      </c>
      <c r="G4020" cm="1">
        <f t="array" ref="G4020">PRODUCT( _xlfn._xlws.FILTER($E:$E, ($C:$C=C4020)*($F:$F=F4020)) ) - 1</f>
        <v>4.221008171231988E-2</v>
      </c>
    </row>
    <row r="4021" spans="1:7" x14ac:dyDescent="0.2">
      <c r="A4021" s="1">
        <v>41278</v>
      </c>
      <c r="B4021">
        <v>0</v>
      </c>
      <c r="C4021" t="s">
        <v>14</v>
      </c>
      <c r="D4021">
        <v>4.4869999999999997E-3</v>
      </c>
      <c r="E4021">
        <f t="shared" si="124"/>
        <v>1.0044869999999999</v>
      </c>
      <c r="F4021" s="1">
        <f t="shared" si="125"/>
        <v>41274</v>
      </c>
      <c r="G4021" cm="1">
        <f t="array" ref="G4021">PRODUCT( _xlfn._xlws.FILTER($E:$E, ($C:$C=C4021)*($F:$F=F4021)) ) - 1</f>
        <v>4.221008171231988E-2</v>
      </c>
    </row>
    <row r="4022" spans="1:7" x14ac:dyDescent="0.2">
      <c r="A4022" s="1">
        <v>41281</v>
      </c>
      <c r="B4022">
        <v>0</v>
      </c>
      <c r="C4022" t="s">
        <v>14</v>
      </c>
      <c r="D4022">
        <v>-1.0423E-2</v>
      </c>
      <c r="E4022">
        <f t="shared" si="124"/>
        <v>0.98957700000000004</v>
      </c>
      <c r="F4022" s="1">
        <f t="shared" si="125"/>
        <v>41281</v>
      </c>
      <c r="G4022" cm="1">
        <f t="array" ref="G4022">PRODUCT( _xlfn._xlws.FILTER($E:$E, ($C:$C=C4022)*($F:$F=F4022)) ) - 1</f>
        <v>-1.7861942473785808E-3</v>
      </c>
    </row>
    <row r="4023" spans="1:7" x14ac:dyDescent="0.2">
      <c r="A4023" s="1">
        <v>41282</v>
      </c>
      <c r="B4023">
        <v>0</v>
      </c>
      <c r="C4023" t="s">
        <v>14</v>
      </c>
      <c r="D4023">
        <v>-2.7079999999999999E-3</v>
      </c>
      <c r="E4023">
        <f t="shared" si="124"/>
        <v>0.99729199999999996</v>
      </c>
      <c r="F4023" s="1">
        <f t="shared" si="125"/>
        <v>41281</v>
      </c>
      <c r="G4023" cm="1">
        <f t="array" ref="G4023">PRODUCT( _xlfn._xlws.FILTER($E:$E, ($C:$C=C4023)*($F:$F=F4023)) ) - 1</f>
        <v>-1.7861942473785808E-3</v>
      </c>
    </row>
    <row r="4024" spans="1:7" x14ac:dyDescent="0.2">
      <c r="A4024" s="1">
        <v>41283</v>
      </c>
      <c r="B4024">
        <v>0</v>
      </c>
      <c r="C4024" t="s">
        <v>14</v>
      </c>
      <c r="D4024">
        <v>3.9230000000000003E-3</v>
      </c>
      <c r="E4024">
        <f t="shared" si="124"/>
        <v>1.0039229999999999</v>
      </c>
      <c r="F4024" s="1">
        <f t="shared" si="125"/>
        <v>41281</v>
      </c>
      <c r="G4024" cm="1">
        <f t="array" ref="G4024">PRODUCT( _xlfn._xlws.FILTER($E:$E, ($C:$C=C4024)*($F:$F=F4024)) ) - 1</f>
        <v>-1.7861942473785808E-3</v>
      </c>
    </row>
    <row r="4025" spans="1:7" x14ac:dyDescent="0.2">
      <c r="A4025" s="1">
        <v>41284</v>
      </c>
      <c r="B4025">
        <v>0</v>
      </c>
      <c r="C4025" t="s">
        <v>14</v>
      </c>
      <c r="D4025">
        <v>9.3179999999999999E-3</v>
      </c>
      <c r="E4025">
        <f t="shared" si="124"/>
        <v>1.0093179999999999</v>
      </c>
      <c r="F4025" s="1">
        <f t="shared" si="125"/>
        <v>41281</v>
      </c>
      <c r="G4025" cm="1">
        <f t="array" ref="G4025">PRODUCT( _xlfn._xlws.FILTER($E:$E, ($C:$C=C4025)*($F:$F=F4025)) ) - 1</f>
        <v>-1.7861942473785808E-3</v>
      </c>
    </row>
    <row r="4026" spans="1:7" x14ac:dyDescent="0.2">
      <c r="A4026" s="1">
        <v>41285</v>
      </c>
      <c r="B4026">
        <v>0</v>
      </c>
      <c r="C4026" t="s">
        <v>14</v>
      </c>
      <c r="D4026">
        <v>-1.787E-3</v>
      </c>
      <c r="E4026">
        <f t="shared" si="124"/>
        <v>0.99821300000000002</v>
      </c>
      <c r="F4026" s="1">
        <f t="shared" si="125"/>
        <v>41281</v>
      </c>
      <c r="G4026" cm="1">
        <f t="array" ref="G4026">PRODUCT( _xlfn._xlws.FILTER($E:$E, ($C:$C=C4026)*($F:$F=F4026)) ) - 1</f>
        <v>-1.7861942473785808E-3</v>
      </c>
    </row>
    <row r="4027" spans="1:7" x14ac:dyDescent="0.2">
      <c r="A4027" s="1">
        <v>41288</v>
      </c>
      <c r="B4027">
        <v>0</v>
      </c>
      <c r="C4027" t="s">
        <v>14</v>
      </c>
      <c r="D4027">
        <v>7.1599999999999997E-3</v>
      </c>
      <c r="E4027">
        <f t="shared" si="124"/>
        <v>1.0071600000000001</v>
      </c>
      <c r="F4027" s="1">
        <f t="shared" si="125"/>
        <v>41288</v>
      </c>
      <c r="G4027" cm="1">
        <f t="array" ref="G4027">PRODUCT( _xlfn._xlws.FILTER($E:$E, ($C:$C=C4027)*($F:$F=F4027)) ) - 1</f>
        <v>6.5633524899135764E-3</v>
      </c>
    </row>
    <row r="4028" spans="1:7" x14ac:dyDescent="0.2">
      <c r="A4028" s="1">
        <v>41289</v>
      </c>
      <c r="B4028">
        <v>0</v>
      </c>
      <c r="C4028" t="s">
        <v>14</v>
      </c>
      <c r="D4028">
        <v>4.7390000000000002E-3</v>
      </c>
      <c r="E4028">
        <f t="shared" si="124"/>
        <v>1.004739</v>
      </c>
      <c r="F4028" s="1">
        <f t="shared" si="125"/>
        <v>41288</v>
      </c>
      <c r="G4028" cm="1">
        <f t="array" ref="G4028">PRODUCT( _xlfn._xlws.FILTER($E:$E, ($C:$C=C4028)*($F:$F=F4028)) ) - 1</f>
        <v>6.5633524899135764E-3</v>
      </c>
    </row>
    <row r="4029" spans="1:7" x14ac:dyDescent="0.2">
      <c r="A4029" s="1">
        <v>41290</v>
      </c>
      <c r="B4029">
        <v>0</v>
      </c>
      <c r="C4029" t="s">
        <v>14</v>
      </c>
      <c r="D4029">
        <v>-2.653E-3</v>
      </c>
      <c r="E4029">
        <f t="shared" si="124"/>
        <v>0.99734699999999998</v>
      </c>
      <c r="F4029" s="1">
        <f t="shared" si="125"/>
        <v>41288</v>
      </c>
      <c r="G4029" cm="1">
        <f t="array" ref="G4029">PRODUCT( _xlfn._xlws.FILTER($E:$E, ($C:$C=C4029)*($F:$F=F4029)) ) - 1</f>
        <v>6.5633524899135764E-3</v>
      </c>
    </row>
    <row r="4030" spans="1:7" x14ac:dyDescent="0.2">
      <c r="A4030" s="1">
        <v>41291</v>
      </c>
      <c r="B4030">
        <v>0</v>
      </c>
      <c r="C4030" t="s">
        <v>14</v>
      </c>
      <c r="D4030">
        <v>4.4339999999999996E-3</v>
      </c>
      <c r="E4030">
        <f t="shared" si="124"/>
        <v>1.004434</v>
      </c>
      <c r="F4030" s="1">
        <f t="shared" si="125"/>
        <v>41288</v>
      </c>
      <c r="G4030" cm="1">
        <f t="array" ref="G4030">PRODUCT( _xlfn._xlws.FILTER($E:$E, ($C:$C=C4030)*($F:$F=F4030)) ) - 1</f>
        <v>6.5633524899135764E-3</v>
      </c>
    </row>
    <row r="4031" spans="1:7" x14ac:dyDescent="0.2">
      <c r="A4031" s="1">
        <v>41292</v>
      </c>
      <c r="B4031">
        <v>0</v>
      </c>
      <c r="C4031" t="s">
        <v>14</v>
      </c>
      <c r="D4031">
        <v>-7.0629999999999998E-3</v>
      </c>
      <c r="E4031">
        <f t="shared" si="124"/>
        <v>0.99293699999999996</v>
      </c>
      <c r="F4031" s="1">
        <f t="shared" si="125"/>
        <v>41288</v>
      </c>
      <c r="G4031" cm="1">
        <f t="array" ref="G4031">PRODUCT( _xlfn._xlws.FILTER($E:$E, ($C:$C=C4031)*($F:$F=F4031)) ) - 1</f>
        <v>6.5633524899135764E-3</v>
      </c>
    </row>
    <row r="4032" spans="1:7" x14ac:dyDescent="0.2">
      <c r="A4032" s="1">
        <v>41295</v>
      </c>
      <c r="B4032">
        <v>0</v>
      </c>
      <c r="C4032" t="s">
        <v>14</v>
      </c>
      <c r="D4032">
        <v>1.7780000000000001E-3</v>
      </c>
      <c r="E4032">
        <f t="shared" si="124"/>
        <v>1.0017780000000001</v>
      </c>
      <c r="F4032" s="1">
        <f t="shared" si="125"/>
        <v>41295</v>
      </c>
      <c r="G4032" cm="1">
        <f t="array" ref="G4032">PRODUCT( _xlfn._xlws.FILTER($E:$E, ($C:$C=C4032)*($F:$F=F4032)) ) - 1</f>
        <v>1.8672028732476864E-2</v>
      </c>
    </row>
    <row r="4033" spans="1:7" x14ac:dyDescent="0.2">
      <c r="A4033" s="1">
        <v>41296</v>
      </c>
      <c r="B4033">
        <v>0</v>
      </c>
      <c r="C4033" t="s">
        <v>14</v>
      </c>
      <c r="D4033">
        <v>1.0651000000000001E-2</v>
      </c>
      <c r="E4033">
        <f t="shared" si="124"/>
        <v>1.010651</v>
      </c>
      <c r="F4033" s="1">
        <f t="shared" si="125"/>
        <v>41295</v>
      </c>
      <c r="G4033" cm="1">
        <f t="array" ref="G4033">PRODUCT( _xlfn._xlws.FILTER($E:$E, ($C:$C=C4033)*($F:$F=F4033)) ) - 1</f>
        <v>1.8672028732476864E-2</v>
      </c>
    </row>
    <row r="4034" spans="1:7" x14ac:dyDescent="0.2">
      <c r="A4034" s="1">
        <v>41297</v>
      </c>
      <c r="B4034">
        <v>0</v>
      </c>
      <c r="C4034" t="s">
        <v>14</v>
      </c>
      <c r="D4034">
        <v>-5.2690000000000002E-3</v>
      </c>
      <c r="E4034">
        <f t="shared" si="124"/>
        <v>0.99473100000000003</v>
      </c>
      <c r="F4034" s="1">
        <f t="shared" si="125"/>
        <v>41295</v>
      </c>
      <c r="G4034" cm="1">
        <f t="array" ref="G4034">PRODUCT( _xlfn._xlws.FILTER($E:$E, ($C:$C=C4034)*($F:$F=F4034)) ) - 1</f>
        <v>1.8672028732476864E-2</v>
      </c>
    </row>
    <row r="4035" spans="1:7" x14ac:dyDescent="0.2">
      <c r="A4035" s="1">
        <v>41298</v>
      </c>
      <c r="B4035">
        <v>0</v>
      </c>
      <c r="C4035" t="s">
        <v>14</v>
      </c>
      <c r="D4035">
        <v>4.4140000000000004E-3</v>
      </c>
      <c r="E4035">
        <f t="shared" si="124"/>
        <v>1.0044139999999999</v>
      </c>
      <c r="F4035" s="1">
        <f t="shared" si="125"/>
        <v>41295</v>
      </c>
      <c r="G4035" cm="1">
        <f t="array" ref="G4035">PRODUCT( _xlfn._xlws.FILTER($E:$E, ($C:$C=C4035)*($F:$F=F4035)) ) - 1</f>
        <v>1.8672028732476864E-2</v>
      </c>
    </row>
    <row r="4036" spans="1:7" x14ac:dyDescent="0.2">
      <c r="A4036" s="1">
        <v>41299</v>
      </c>
      <c r="B4036">
        <v>0</v>
      </c>
      <c r="C4036" t="s">
        <v>14</v>
      </c>
      <c r="D4036">
        <v>7.0320000000000001E-3</v>
      </c>
      <c r="E4036">
        <f t="shared" ref="E4036:E4099" si="126">D4036+1</f>
        <v>1.0070319999999999</v>
      </c>
      <c r="F4036" s="1">
        <f t="shared" ref="F4036:F4099" si="127">A4036 - (WEEKDAY(A4036, 2) - 1)</f>
        <v>41295</v>
      </c>
      <c r="G4036" cm="1">
        <f t="array" ref="G4036">PRODUCT( _xlfn._xlws.FILTER($E:$E, ($C:$C=C4036)*($F:$F=F4036)) ) - 1</f>
        <v>1.8672028732476864E-2</v>
      </c>
    </row>
    <row r="4037" spans="1:7" x14ac:dyDescent="0.2">
      <c r="A4037" s="1">
        <v>41302</v>
      </c>
      <c r="B4037">
        <v>0</v>
      </c>
      <c r="C4037" t="s">
        <v>14</v>
      </c>
      <c r="D4037">
        <v>3.4919999999999999E-3</v>
      </c>
      <c r="E4037">
        <f t="shared" si="126"/>
        <v>1.0034920000000001</v>
      </c>
      <c r="F4037" s="1">
        <f t="shared" si="127"/>
        <v>41302</v>
      </c>
      <c r="G4037" cm="1">
        <f t="array" ref="G4037">PRODUCT( _xlfn._xlws.FILTER($E:$E, ($C:$C=C4037)*($F:$F=F4037)) ) - 1</f>
        <v>1.4548545629937681E-3</v>
      </c>
    </row>
    <row r="4038" spans="1:7" x14ac:dyDescent="0.2">
      <c r="A4038" s="1">
        <v>41303</v>
      </c>
      <c r="B4038">
        <v>0</v>
      </c>
      <c r="C4038" t="s">
        <v>14</v>
      </c>
      <c r="D4038">
        <v>5.8E-4</v>
      </c>
      <c r="E4038">
        <f t="shared" si="126"/>
        <v>1.00058</v>
      </c>
      <c r="F4038" s="1">
        <f t="shared" si="127"/>
        <v>41302</v>
      </c>
      <c r="G4038" cm="1">
        <f t="array" ref="G4038">PRODUCT( _xlfn._xlws.FILTER($E:$E, ($C:$C=C4038)*($F:$F=F4038)) ) - 1</f>
        <v>1.4548545629937681E-3</v>
      </c>
    </row>
    <row r="4039" spans="1:7" x14ac:dyDescent="0.2">
      <c r="A4039" s="1">
        <v>41304</v>
      </c>
      <c r="B4039">
        <v>0</v>
      </c>
      <c r="C4039" t="s">
        <v>14</v>
      </c>
      <c r="D4039">
        <v>-3.7669999999999999E-3</v>
      </c>
      <c r="E4039">
        <f t="shared" si="126"/>
        <v>0.99623300000000004</v>
      </c>
      <c r="F4039" s="1">
        <f t="shared" si="127"/>
        <v>41302</v>
      </c>
      <c r="G4039" cm="1">
        <f t="array" ref="G4039">PRODUCT( _xlfn._xlws.FILTER($E:$E, ($C:$C=C4039)*($F:$F=F4039)) ) - 1</f>
        <v>1.4548545629937681E-3</v>
      </c>
    </row>
    <row r="4040" spans="1:7" x14ac:dyDescent="0.2">
      <c r="A4040" s="1">
        <v>41305</v>
      </c>
      <c r="B4040">
        <v>0</v>
      </c>
      <c r="C4040" t="s">
        <v>14</v>
      </c>
      <c r="D4040">
        <v>-1.3962E-2</v>
      </c>
      <c r="E4040">
        <f t="shared" si="126"/>
        <v>0.98603799999999997</v>
      </c>
      <c r="F4040" s="1">
        <f t="shared" si="127"/>
        <v>41302</v>
      </c>
      <c r="G4040" cm="1">
        <f t="array" ref="G4040">PRODUCT( _xlfn._xlws.FILTER($E:$E, ($C:$C=C4040)*($F:$F=F4040)) ) - 1</f>
        <v>1.4548545629937681E-3</v>
      </c>
    </row>
    <row r="4041" spans="1:7" x14ac:dyDescent="0.2">
      <c r="A4041" s="1">
        <v>41306</v>
      </c>
      <c r="B4041">
        <v>0</v>
      </c>
      <c r="C4041" t="s">
        <v>14</v>
      </c>
      <c r="D4041">
        <v>1.5339E-2</v>
      </c>
      <c r="E4041">
        <f t="shared" si="126"/>
        <v>1.015339</v>
      </c>
      <c r="F4041" s="1">
        <f t="shared" si="127"/>
        <v>41302</v>
      </c>
      <c r="G4041" cm="1">
        <f t="array" ref="G4041">PRODUCT( _xlfn._xlws.FILTER($E:$E, ($C:$C=C4041)*($F:$F=F4041)) ) - 1</f>
        <v>1.4548545629937681E-3</v>
      </c>
    </row>
    <row r="4042" spans="1:7" x14ac:dyDescent="0.2">
      <c r="A4042" s="1">
        <v>41309</v>
      </c>
      <c r="B4042">
        <v>0</v>
      </c>
      <c r="C4042" t="s">
        <v>14</v>
      </c>
      <c r="D4042">
        <v>-7.554E-3</v>
      </c>
      <c r="E4042">
        <f t="shared" si="126"/>
        <v>0.99244600000000005</v>
      </c>
      <c r="F4042" s="1">
        <f t="shared" si="127"/>
        <v>41309</v>
      </c>
      <c r="G4042" cm="1">
        <f t="array" ref="G4042">PRODUCT( _xlfn._xlws.FILTER($E:$E, ($C:$C=C4042)*($F:$F=F4042)) ) - 1</f>
        <v>-6.1591899904842151E-2</v>
      </c>
    </row>
    <row r="4043" spans="1:7" x14ac:dyDescent="0.2">
      <c r="A4043" s="1">
        <v>41310</v>
      </c>
      <c r="B4043">
        <v>0</v>
      </c>
      <c r="C4043" t="s">
        <v>14</v>
      </c>
      <c r="D4043">
        <v>6.4400000000000004E-3</v>
      </c>
      <c r="E4043">
        <f t="shared" si="126"/>
        <v>1.00644</v>
      </c>
      <c r="F4043" s="1">
        <f t="shared" si="127"/>
        <v>41309</v>
      </c>
      <c r="G4043" cm="1">
        <f t="array" ref="G4043">PRODUCT( _xlfn._xlws.FILTER($E:$E, ($C:$C=C4043)*($F:$F=F4043)) ) - 1</f>
        <v>-6.1591899904842151E-2</v>
      </c>
    </row>
    <row r="4044" spans="1:7" x14ac:dyDescent="0.2">
      <c r="A4044" s="1">
        <v>41311</v>
      </c>
      <c r="B4044">
        <v>0</v>
      </c>
      <c r="C4044" t="s">
        <v>14</v>
      </c>
      <c r="D4044">
        <v>-5.3809999999999997E-2</v>
      </c>
      <c r="E4044">
        <f t="shared" si="126"/>
        <v>0.94618999999999998</v>
      </c>
      <c r="F4044" s="1">
        <f t="shared" si="127"/>
        <v>41309</v>
      </c>
      <c r="G4044" cm="1">
        <f t="array" ref="G4044">PRODUCT( _xlfn._xlws.FILTER($E:$E, ($C:$C=C4044)*($F:$F=F4044)) ) - 1</f>
        <v>-6.1591899904842151E-2</v>
      </c>
    </row>
    <row r="4045" spans="1:7" x14ac:dyDescent="0.2">
      <c r="A4045" s="1">
        <v>41312</v>
      </c>
      <c r="B4045">
        <v>0</v>
      </c>
      <c r="C4045" t="s">
        <v>14</v>
      </c>
      <c r="D4045">
        <v>-9.2219999999999993E-3</v>
      </c>
      <c r="E4045">
        <f t="shared" si="126"/>
        <v>0.99077800000000005</v>
      </c>
      <c r="F4045" s="1">
        <f t="shared" si="127"/>
        <v>41309</v>
      </c>
      <c r="G4045" cm="1">
        <f t="array" ref="G4045">PRODUCT( _xlfn._xlws.FILTER($E:$E, ($C:$C=C4045)*($F:$F=F4045)) ) - 1</f>
        <v>-6.1591899904842151E-2</v>
      </c>
    </row>
    <row r="4046" spans="1:7" x14ac:dyDescent="0.2">
      <c r="A4046" s="1">
        <v>41313</v>
      </c>
      <c r="B4046">
        <v>0</v>
      </c>
      <c r="C4046" t="s">
        <v>14</v>
      </c>
      <c r="D4046">
        <v>2.1719999999999999E-3</v>
      </c>
      <c r="E4046">
        <f t="shared" si="126"/>
        <v>1.0021720000000001</v>
      </c>
      <c r="F4046" s="1">
        <f t="shared" si="127"/>
        <v>41309</v>
      </c>
      <c r="G4046" cm="1">
        <f t="array" ref="G4046">PRODUCT( _xlfn._xlws.FILTER($E:$E, ($C:$C=C4046)*($F:$F=F4046)) ) - 1</f>
        <v>-6.1591899904842151E-2</v>
      </c>
    </row>
    <row r="4047" spans="1:7" x14ac:dyDescent="0.2">
      <c r="A4047" s="1">
        <v>41316</v>
      </c>
      <c r="B4047">
        <v>0</v>
      </c>
      <c r="C4047" t="s">
        <v>14</v>
      </c>
      <c r="D4047">
        <v>1.5479999999999999E-3</v>
      </c>
      <c r="E4047">
        <f t="shared" si="126"/>
        <v>1.0015480000000001</v>
      </c>
      <c r="F4047" s="1">
        <f t="shared" si="127"/>
        <v>41316</v>
      </c>
      <c r="G4047" cm="1">
        <f t="array" ref="G4047">PRODUCT( _xlfn._xlws.FILTER($E:$E, ($C:$C=C4047)*($F:$F=F4047)) ) - 1</f>
        <v>-1.7028260227722858E-2</v>
      </c>
    </row>
    <row r="4048" spans="1:7" x14ac:dyDescent="0.2">
      <c r="A4048" s="1">
        <v>41317</v>
      </c>
      <c r="B4048">
        <v>0</v>
      </c>
      <c r="C4048" t="s">
        <v>14</v>
      </c>
      <c r="D4048">
        <v>8.3459999999999993E-3</v>
      </c>
      <c r="E4048">
        <f t="shared" si="126"/>
        <v>1.008346</v>
      </c>
      <c r="F4048" s="1">
        <f t="shared" si="127"/>
        <v>41316</v>
      </c>
      <c r="G4048" cm="1">
        <f t="array" ref="G4048">PRODUCT( _xlfn._xlws.FILTER($E:$E, ($C:$C=C4048)*($F:$F=F4048)) ) - 1</f>
        <v>-1.7028260227722858E-2</v>
      </c>
    </row>
    <row r="4049" spans="1:7" x14ac:dyDescent="0.2">
      <c r="A4049" s="1">
        <v>41318</v>
      </c>
      <c r="B4049">
        <v>0</v>
      </c>
      <c r="C4049" t="s">
        <v>14</v>
      </c>
      <c r="D4049">
        <v>3.9849999999999998E-3</v>
      </c>
      <c r="E4049">
        <f t="shared" si="126"/>
        <v>1.0039849999999999</v>
      </c>
      <c r="F4049" s="1">
        <f t="shared" si="127"/>
        <v>41316</v>
      </c>
      <c r="G4049" cm="1">
        <f t="array" ref="G4049">PRODUCT( _xlfn._xlws.FILTER($E:$E, ($C:$C=C4049)*($F:$F=F4049)) ) - 1</f>
        <v>-1.7028260227722858E-2</v>
      </c>
    </row>
    <row r="4050" spans="1:7" x14ac:dyDescent="0.2">
      <c r="A4050" s="1">
        <v>41319</v>
      </c>
      <c r="B4050">
        <v>0</v>
      </c>
      <c r="C4050" t="s">
        <v>14</v>
      </c>
      <c r="D4050">
        <v>-1.7099E-2</v>
      </c>
      <c r="E4050">
        <f t="shared" si="126"/>
        <v>0.98290100000000002</v>
      </c>
      <c r="F4050" s="1">
        <f t="shared" si="127"/>
        <v>41316</v>
      </c>
      <c r="G4050" cm="1">
        <f t="array" ref="G4050">PRODUCT( _xlfn._xlws.FILTER($E:$E, ($C:$C=C4050)*($F:$F=F4050)) ) - 1</f>
        <v>-1.7028260227722858E-2</v>
      </c>
    </row>
    <row r="4051" spans="1:7" x14ac:dyDescent="0.2">
      <c r="A4051" s="1">
        <v>41320</v>
      </c>
      <c r="B4051">
        <v>0</v>
      </c>
      <c r="C4051" t="s">
        <v>14</v>
      </c>
      <c r="D4051">
        <v>-1.3669000000000001E-2</v>
      </c>
      <c r="E4051">
        <f t="shared" si="126"/>
        <v>0.98633099999999996</v>
      </c>
      <c r="F4051" s="1">
        <f t="shared" si="127"/>
        <v>41316</v>
      </c>
      <c r="G4051" cm="1">
        <f t="array" ref="G4051">PRODUCT( _xlfn._xlws.FILTER($E:$E, ($C:$C=C4051)*($F:$F=F4051)) ) - 1</f>
        <v>-1.7028260227722858E-2</v>
      </c>
    </row>
    <row r="4052" spans="1:7" x14ac:dyDescent="0.2">
      <c r="A4052" s="1">
        <v>41324</v>
      </c>
      <c r="B4052">
        <v>0</v>
      </c>
      <c r="C4052" t="s">
        <v>14</v>
      </c>
      <c r="D4052">
        <v>1.3228E-2</v>
      </c>
      <c r="E4052">
        <f t="shared" si="126"/>
        <v>1.013228</v>
      </c>
      <c r="F4052" s="1">
        <f t="shared" si="127"/>
        <v>41323</v>
      </c>
      <c r="G4052" cm="1">
        <f t="array" ref="G4052">PRODUCT( _xlfn._xlws.FILTER($E:$E, ($C:$C=C4052)*($F:$F=F4052)) ) - 1</f>
        <v>6.298020687414807E-3</v>
      </c>
    </row>
    <row r="4053" spans="1:7" x14ac:dyDescent="0.2">
      <c r="A4053" s="1">
        <v>41325</v>
      </c>
      <c r="B4053">
        <v>0</v>
      </c>
      <c r="C4053" t="s">
        <v>14</v>
      </c>
      <c r="D4053">
        <v>-4.9740000000000001E-3</v>
      </c>
      <c r="E4053">
        <f t="shared" si="126"/>
        <v>0.99502599999999997</v>
      </c>
      <c r="F4053" s="1">
        <f t="shared" si="127"/>
        <v>41323</v>
      </c>
      <c r="G4053" cm="1">
        <f t="array" ref="G4053">PRODUCT( _xlfn._xlws.FILTER($E:$E, ($C:$C=C4053)*($F:$F=F4053)) ) - 1</f>
        <v>6.298020687414807E-3</v>
      </c>
    </row>
    <row r="4054" spans="1:7" x14ac:dyDescent="0.2">
      <c r="A4054" s="1">
        <v>41326</v>
      </c>
      <c r="B4054">
        <v>0</v>
      </c>
      <c r="C4054" t="s">
        <v>14</v>
      </c>
      <c r="D4054">
        <v>-1.5308E-2</v>
      </c>
      <c r="E4054">
        <f t="shared" si="126"/>
        <v>0.98469200000000001</v>
      </c>
      <c r="F4054" s="1">
        <f t="shared" si="127"/>
        <v>41323</v>
      </c>
      <c r="G4054" cm="1">
        <f t="array" ref="G4054">PRODUCT( _xlfn._xlws.FILTER($E:$E, ($C:$C=C4054)*($F:$F=F4054)) ) - 1</f>
        <v>6.298020687414807E-3</v>
      </c>
    </row>
    <row r="4055" spans="1:7" x14ac:dyDescent="0.2">
      <c r="A4055" s="1">
        <v>41327</v>
      </c>
      <c r="B4055">
        <v>0</v>
      </c>
      <c r="C4055" t="s">
        <v>14</v>
      </c>
      <c r="D4055">
        <v>1.3642E-2</v>
      </c>
      <c r="E4055">
        <f t="shared" si="126"/>
        <v>1.0136419999999999</v>
      </c>
      <c r="F4055" s="1">
        <f t="shared" si="127"/>
        <v>41323</v>
      </c>
      <c r="G4055" cm="1">
        <f t="array" ref="G4055">PRODUCT( _xlfn._xlws.FILTER($E:$E, ($C:$C=C4055)*($F:$F=F4055)) ) - 1</f>
        <v>6.298020687414807E-3</v>
      </c>
    </row>
    <row r="4056" spans="1:7" x14ac:dyDescent="0.2">
      <c r="A4056" s="1">
        <v>41330</v>
      </c>
      <c r="B4056">
        <v>0</v>
      </c>
      <c r="C4056" t="s">
        <v>14</v>
      </c>
      <c r="D4056">
        <v>-1.8152999999999999E-2</v>
      </c>
      <c r="E4056">
        <f t="shared" si="126"/>
        <v>0.98184700000000003</v>
      </c>
      <c r="F4056" s="1">
        <f t="shared" si="127"/>
        <v>41330</v>
      </c>
      <c r="G4056" cm="1">
        <f t="array" ref="G4056">PRODUCT( _xlfn._xlws.FILTER($E:$E, ($C:$C=C4056)*($F:$F=F4056)) ) - 1</f>
        <v>-2.8840689855454071E-2</v>
      </c>
    </row>
    <row r="4057" spans="1:7" x14ac:dyDescent="0.2">
      <c r="A4057" s="1">
        <v>41331</v>
      </c>
      <c r="B4057">
        <v>0</v>
      </c>
      <c r="C4057" t="s">
        <v>14</v>
      </c>
      <c r="D4057">
        <v>-1.4345E-2</v>
      </c>
      <c r="E4057">
        <f t="shared" si="126"/>
        <v>0.98565499999999995</v>
      </c>
      <c r="F4057" s="1">
        <f t="shared" si="127"/>
        <v>41330</v>
      </c>
      <c r="G4057" cm="1">
        <f t="array" ref="G4057">PRODUCT( _xlfn._xlws.FILTER($E:$E, ($C:$C=C4057)*($F:$F=F4057)) ) - 1</f>
        <v>-2.8840689855454071E-2</v>
      </c>
    </row>
    <row r="4058" spans="1:7" x14ac:dyDescent="0.2">
      <c r="A4058" s="1">
        <v>41332</v>
      </c>
      <c r="B4058">
        <v>0</v>
      </c>
      <c r="C4058" t="s">
        <v>14</v>
      </c>
      <c r="D4058">
        <v>4.2040000000000003E-3</v>
      </c>
      <c r="E4058">
        <f t="shared" si="126"/>
        <v>1.0042040000000001</v>
      </c>
      <c r="F4058" s="1">
        <f t="shared" si="127"/>
        <v>41330</v>
      </c>
      <c r="G4058" cm="1">
        <f t="array" ref="G4058">PRODUCT( _xlfn._xlws.FILTER($E:$E, ($C:$C=C4058)*($F:$F=F4058)) ) - 1</f>
        <v>-2.8840689855454071E-2</v>
      </c>
    </row>
    <row r="4059" spans="1:7" x14ac:dyDescent="0.2">
      <c r="A4059" s="1">
        <v>41333</v>
      </c>
      <c r="B4059">
        <v>0</v>
      </c>
      <c r="C4059" t="s">
        <v>14</v>
      </c>
      <c r="D4059">
        <v>1.0628E-2</v>
      </c>
      <c r="E4059">
        <f t="shared" si="126"/>
        <v>1.0106280000000001</v>
      </c>
      <c r="F4059" s="1">
        <f t="shared" si="127"/>
        <v>41330</v>
      </c>
      <c r="G4059" cm="1">
        <f t="array" ref="G4059">PRODUCT( _xlfn._xlws.FILTER($E:$E, ($C:$C=C4059)*($F:$F=F4059)) ) - 1</f>
        <v>-2.8840689855454071E-2</v>
      </c>
    </row>
    <row r="4060" spans="1:7" x14ac:dyDescent="0.2">
      <c r="A4060" s="1">
        <v>41334</v>
      </c>
      <c r="B4060">
        <v>0</v>
      </c>
      <c r="C4060" t="s">
        <v>14</v>
      </c>
      <c r="D4060">
        <v>-1.12E-2</v>
      </c>
      <c r="E4060">
        <f t="shared" si="126"/>
        <v>0.98880000000000001</v>
      </c>
      <c r="F4060" s="1">
        <f t="shared" si="127"/>
        <v>41330</v>
      </c>
      <c r="G4060" cm="1">
        <f t="array" ref="G4060">PRODUCT( _xlfn._xlws.FILTER($E:$E, ($C:$C=C4060)*($F:$F=F4060)) ) - 1</f>
        <v>-2.8840689855454071E-2</v>
      </c>
    </row>
    <row r="4061" spans="1:7" x14ac:dyDescent="0.2">
      <c r="A4061" s="1">
        <v>41337</v>
      </c>
      <c r="B4061">
        <v>0</v>
      </c>
      <c r="C4061" t="s">
        <v>14</v>
      </c>
      <c r="D4061">
        <v>-9.3849999999999992E-3</v>
      </c>
      <c r="E4061">
        <f t="shared" si="126"/>
        <v>0.99061500000000002</v>
      </c>
      <c r="F4061" s="1">
        <f t="shared" si="127"/>
        <v>41337</v>
      </c>
      <c r="G4061" cm="1">
        <f t="array" ref="G4061">PRODUCT( _xlfn._xlws.FILTER($E:$E, ($C:$C=C4061)*($F:$F=F4061)) ) - 1</f>
        <v>1.7799705179665448E-2</v>
      </c>
    </row>
    <row r="4062" spans="1:7" x14ac:dyDescent="0.2">
      <c r="A4062" s="1">
        <v>41338</v>
      </c>
      <c r="B4062">
        <v>0</v>
      </c>
      <c r="C4062" t="s">
        <v>14</v>
      </c>
      <c r="D4062">
        <v>7.8410000000000007E-3</v>
      </c>
      <c r="E4062">
        <f t="shared" si="126"/>
        <v>1.007841</v>
      </c>
      <c r="F4062" s="1">
        <f t="shared" si="127"/>
        <v>41337</v>
      </c>
      <c r="G4062" cm="1">
        <f t="array" ref="G4062">PRODUCT( _xlfn._xlws.FILTER($E:$E, ($C:$C=C4062)*($F:$F=F4062)) ) - 1</f>
        <v>1.7799705179665448E-2</v>
      </c>
    </row>
    <row r="4063" spans="1:7" x14ac:dyDescent="0.2">
      <c r="A4063" s="1">
        <v>41339</v>
      </c>
      <c r="B4063">
        <v>0</v>
      </c>
      <c r="C4063" t="s">
        <v>14</v>
      </c>
      <c r="D4063">
        <v>1.3938000000000001E-2</v>
      </c>
      <c r="E4063">
        <f t="shared" si="126"/>
        <v>1.013938</v>
      </c>
      <c r="F4063" s="1">
        <f t="shared" si="127"/>
        <v>41337</v>
      </c>
      <c r="G4063" cm="1">
        <f t="array" ref="G4063">PRODUCT( _xlfn._xlws.FILTER($E:$E, ($C:$C=C4063)*($F:$F=F4063)) ) - 1</f>
        <v>1.7799705179665448E-2</v>
      </c>
    </row>
    <row r="4064" spans="1:7" x14ac:dyDescent="0.2">
      <c r="A4064" s="1">
        <v>41340</v>
      </c>
      <c r="B4064">
        <v>0</v>
      </c>
      <c r="C4064" t="s">
        <v>14</v>
      </c>
      <c r="D4064">
        <v>5.4349999999999997E-3</v>
      </c>
      <c r="E4064">
        <f t="shared" si="126"/>
        <v>1.0054350000000001</v>
      </c>
      <c r="F4064" s="1">
        <f t="shared" si="127"/>
        <v>41337</v>
      </c>
      <c r="G4064" cm="1">
        <f t="array" ref="G4064">PRODUCT( _xlfn._xlws.FILTER($E:$E, ($C:$C=C4064)*($F:$F=F4064)) ) - 1</f>
        <v>1.7799705179665448E-2</v>
      </c>
    </row>
    <row r="4065" spans="1:7" x14ac:dyDescent="0.2">
      <c r="A4065" s="1">
        <v>41341</v>
      </c>
      <c r="B4065">
        <v>0</v>
      </c>
      <c r="C4065" t="s">
        <v>14</v>
      </c>
      <c r="D4065">
        <v>0</v>
      </c>
      <c r="E4065">
        <f t="shared" si="126"/>
        <v>1</v>
      </c>
      <c r="F4065" s="1">
        <f t="shared" si="127"/>
        <v>41337</v>
      </c>
      <c r="G4065" cm="1">
        <f t="array" ref="G4065">PRODUCT( _xlfn._xlws.FILTER($E:$E, ($C:$C=C4065)*($F:$F=F4065)) ) - 1</f>
        <v>1.7799705179665448E-2</v>
      </c>
    </row>
    <row r="4066" spans="1:7" x14ac:dyDescent="0.2">
      <c r="A4066" s="1">
        <v>41344</v>
      </c>
      <c r="B4066">
        <v>0</v>
      </c>
      <c r="C4066" t="s">
        <v>14</v>
      </c>
      <c r="D4066">
        <v>4.1330000000000004E-3</v>
      </c>
      <c r="E4066">
        <f t="shared" si="126"/>
        <v>1.0041329999999999</v>
      </c>
      <c r="F4066" s="1">
        <f t="shared" si="127"/>
        <v>41344</v>
      </c>
      <c r="G4066" cm="1">
        <f t="array" ref="G4066">PRODUCT( _xlfn._xlws.FILTER($E:$E, ($C:$C=C4066)*($F:$F=F4066)) ) - 1</f>
        <v>6.9949460433411659E-3</v>
      </c>
    </row>
    <row r="4067" spans="1:7" x14ac:dyDescent="0.2">
      <c r="A4067" s="1">
        <v>41345</v>
      </c>
      <c r="B4067">
        <v>0</v>
      </c>
      <c r="C4067" t="s">
        <v>14</v>
      </c>
      <c r="D4067">
        <v>1.9E-3</v>
      </c>
      <c r="E4067">
        <f t="shared" si="126"/>
        <v>1.0019</v>
      </c>
      <c r="F4067" s="1">
        <f t="shared" si="127"/>
        <v>41344</v>
      </c>
      <c r="G4067" cm="1">
        <f t="array" ref="G4067">PRODUCT( _xlfn._xlws.FILTER($E:$E, ($C:$C=C4067)*($F:$F=F4067)) ) - 1</f>
        <v>6.9949460433411659E-3</v>
      </c>
    </row>
    <row r="4068" spans="1:7" x14ac:dyDescent="0.2">
      <c r="A4068" s="1">
        <v>41346</v>
      </c>
      <c r="B4068">
        <v>0</v>
      </c>
      <c r="C4068" t="s">
        <v>14</v>
      </c>
      <c r="D4068">
        <v>-1.5803000000000001E-2</v>
      </c>
      <c r="E4068">
        <f t="shared" si="126"/>
        <v>0.98419699999999999</v>
      </c>
      <c r="F4068" s="1">
        <f t="shared" si="127"/>
        <v>41344</v>
      </c>
      <c r="G4068" cm="1">
        <f t="array" ref="G4068">PRODUCT( _xlfn._xlws.FILTER($E:$E, ($C:$C=C4068)*($F:$F=F4068)) ) - 1</f>
        <v>6.9949460433411659E-3</v>
      </c>
    </row>
    <row r="4069" spans="1:7" x14ac:dyDescent="0.2">
      <c r="A4069" s="1">
        <v>41347</v>
      </c>
      <c r="B4069">
        <v>0</v>
      </c>
      <c r="C4069" t="s">
        <v>14</v>
      </c>
      <c r="D4069">
        <v>1.1882E-2</v>
      </c>
      <c r="E4069">
        <f t="shared" si="126"/>
        <v>1.0118819999999999</v>
      </c>
      <c r="F4069" s="1">
        <f t="shared" si="127"/>
        <v>41344</v>
      </c>
      <c r="G4069" cm="1">
        <f t="array" ref="G4069">PRODUCT( _xlfn._xlws.FILTER($E:$E, ($C:$C=C4069)*($F:$F=F4069)) ) - 1</f>
        <v>6.9949460433411659E-3</v>
      </c>
    </row>
    <row r="4070" spans="1:7" x14ac:dyDescent="0.2">
      <c r="A4070" s="1">
        <v>41348</v>
      </c>
      <c r="B4070">
        <v>0</v>
      </c>
      <c r="C4070" t="s">
        <v>14</v>
      </c>
      <c r="D4070">
        <v>5.078E-3</v>
      </c>
      <c r="E4070">
        <f t="shared" si="126"/>
        <v>1.0050779999999999</v>
      </c>
      <c r="F4070" s="1">
        <f t="shared" si="127"/>
        <v>41344</v>
      </c>
      <c r="G4070" cm="1">
        <f t="array" ref="G4070">PRODUCT( _xlfn._xlws.FILTER($E:$E, ($C:$C=C4070)*($F:$F=F4070)) ) - 1</f>
        <v>6.9949460433411659E-3</v>
      </c>
    </row>
    <row r="4071" spans="1:7" x14ac:dyDescent="0.2">
      <c r="A4071" s="1">
        <v>41351</v>
      </c>
      <c r="B4071">
        <v>0</v>
      </c>
      <c r="C4071" t="s">
        <v>14</v>
      </c>
      <c r="D4071">
        <v>-1.8630000000000001E-2</v>
      </c>
      <c r="E4071">
        <f t="shared" si="126"/>
        <v>0.98136999999999996</v>
      </c>
      <c r="F4071" s="1">
        <f t="shared" si="127"/>
        <v>41351</v>
      </c>
      <c r="G4071" cm="1">
        <f t="array" ref="G4071">PRODUCT( _xlfn._xlws.FILTER($E:$E, ($C:$C=C4071)*($F:$F=F4071)) ) - 1</f>
        <v>-2.210248779502566E-2</v>
      </c>
    </row>
    <row r="4072" spans="1:7" x14ac:dyDescent="0.2">
      <c r="A4072" s="1">
        <v>41352</v>
      </c>
      <c r="B4072">
        <v>0</v>
      </c>
      <c r="C4072" t="s">
        <v>14</v>
      </c>
      <c r="D4072">
        <v>-2.2520000000000001E-3</v>
      </c>
      <c r="E4072">
        <f t="shared" si="126"/>
        <v>0.99774799999999997</v>
      </c>
      <c r="F4072" s="1">
        <f t="shared" si="127"/>
        <v>41351</v>
      </c>
      <c r="G4072" cm="1">
        <f t="array" ref="G4072">PRODUCT( _xlfn._xlws.FILTER($E:$E, ($C:$C=C4072)*($F:$F=F4072)) ) - 1</f>
        <v>-2.210248779502566E-2</v>
      </c>
    </row>
    <row r="4073" spans="1:7" x14ac:dyDescent="0.2">
      <c r="A4073" s="1">
        <v>41353</v>
      </c>
      <c r="B4073">
        <v>0</v>
      </c>
      <c r="C4073" t="s">
        <v>14</v>
      </c>
      <c r="D4073">
        <v>9.68E-4</v>
      </c>
      <c r="E4073">
        <f t="shared" si="126"/>
        <v>1.0009680000000001</v>
      </c>
      <c r="F4073" s="1">
        <f t="shared" si="127"/>
        <v>41351</v>
      </c>
      <c r="G4073" cm="1">
        <f t="array" ref="G4073">PRODUCT( _xlfn._xlws.FILTER($E:$E, ($C:$C=C4073)*($F:$F=F4073)) ) - 1</f>
        <v>-2.210248779502566E-2</v>
      </c>
    </row>
    <row r="4074" spans="1:7" x14ac:dyDescent="0.2">
      <c r="A4074" s="1">
        <v>41354</v>
      </c>
      <c r="B4074">
        <v>0</v>
      </c>
      <c r="C4074" t="s">
        <v>14</v>
      </c>
      <c r="D4074">
        <v>-4.1879999999999999E-3</v>
      </c>
      <c r="E4074">
        <f t="shared" si="126"/>
        <v>0.99581200000000003</v>
      </c>
      <c r="F4074" s="1">
        <f t="shared" si="127"/>
        <v>41351</v>
      </c>
      <c r="G4074" cm="1">
        <f t="array" ref="G4074">PRODUCT( _xlfn._xlws.FILTER($E:$E, ($C:$C=C4074)*($F:$F=F4074)) ) - 1</f>
        <v>-2.210248779502566E-2</v>
      </c>
    </row>
    <row r="4075" spans="1:7" x14ac:dyDescent="0.2">
      <c r="A4075" s="1">
        <v>41355</v>
      </c>
      <c r="B4075">
        <v>0</v>
      </c>
      <c r="C4075" t="s">
        <v>14</v>
      </c>
      <c r="D4075">
        <v>1.941E-3</v>
      </c>
      <c r="E4075">
        <f t="shared" si="126"/>
        <v>1.001941</v>
      </c>
      <c r="F4075" s="1">
        <f t="shared" si="127"/>
        <v>41351</v>
      </c>
      <c r="G4075" cm="1">
        <f t="array" ref="G4075">PRODUCT( _xlfn._xlws.FILTER($E:$E, ($C:$C=C4075)*($F:$F=F4075)) ) - 1</f>
        <v>-2.210248779502566E-2</v>
      </c>
    </row>
    <row r="4076" spans="1:7" x14ac:dyDescent="0.2">
      <c r="A4076" s="1">
        <v>41358</v>
      </c>
      <c r="B4076">
        <v>0</v>
      </c>
      <c r="C4076" t="s">
        <v>14</v>
      </c>
      <c r="D4076">
        <v>-7.7489999999999998E-3</v>
      </c>
      <c r="E4076">
        <f t="shared" si="126"/>
        <v>0.99225099999999999</v>
      </c>
      <c r="F4076" s="1">
        <f t="shared" si="127"/>
        <v>41358</v>
      </c>
      <c r="G4076" cm="1">
        <f t="array" ref="G4076">PRODUCT( _xlfn._xlws.FILTER($E:$E, ($C:$C=C4076)*($F:$F=F4076)) ) - 1</f>
        <v>-1.7113004184071579E-2</v>
      </c>
    </row>
    <row r="4077" spans="1:7" x14ac:dyDescent="0.2">
      <c r="A4077" s="1">
        <v>41359</v>
      </c>
      <c r="B4077">
        <v>0</v>
      </c>
      <c r="C4077" t="s">
        <v>14</v>
      </c>
      <c r="D4077">
        <v>0</v>
      </c>
      <c r="E4077">
        <f t="shared" si="126"/>
        <v>1</v>
      </c>
      <c r="F4077" s="1">
        <f t="shared" si="127"/>
        <v>41358</v>
      </c>
      <c r="G4077" cm="1">
        <f t="array" ref="G4077">PRODUCT( _xlfn._xlws.FILTER($E:$E, ($C:$C=C4077)*($F:$F=F4077)) ) - 1</f>
        <v>-1.7113004184071579E-2</v>
      </c>
    </row>
    <row r="4078" spans="1:7" x14ac:dyDescent="0.2">
      <c r="A4078" s="1">
        <v>41360</v>
      </c>
      <c r="B4078">
        <v>0</v>
      </c>
      <c r="C4078" t="s">
        <v>14</v>
      </c>
      <c r="D4078">
        <v>-1.0739E-2</v>
      </c>
      <c r="E4078">
        <f t="shared" si="126"/>
        <v>0.98926099999999995</v>
      </c>
      <c r="F4078" s="1">
        <f t="shared" si="127"/>
        <v>41358</v>
      </c>
      <c r="G4078" cm="1">
        <f t="array" ref="G4078">PRODUCT( _xlfn._xlws.FILTER($E:$E, ($C:$C=C4078)*($F:$F=F4078)) ) - 1</f>
        <v>-1.7113004184071579E-2</v>
      </c>
    </row>
    <row r="4079" spans="1:7" x14ac:dyDescent="0.2">
      <c r="A4079" s="1">
        <v>41361</v>
      </c>
      <c r="B4079">
        <v>0</v>
      </c>
      <c r="C4079" t="s">
        <v>14</v>
      </c>
      <c r="D4079">
        <v>1.3159999999999999E-3</v>
      </c>
      <c r="E4079">
        <f t="shared" si="126"/>
        <v>1.0013160000000001</v>
      </c>
      <c r="F4079" s="1">
        <f t="shared" si="127"/>
        <v>41358</v>
      </c>
      <c r="G4079" cm="1">
        <f t="array" ref="G4079">PRODUCT( _xlfn._xlws.FILTER($E:$E, ($C:$C=C4079)*($F:$F=F4079)) ) - 1</f>
        <v>-1.7113004184071579E-2</v>
      </c>
    </row>
    <row r="4080" spans="1:7" x14ac:dyDescent="0.2">
      <c r="A4080" s="1">
        <v>41365</v>
      </c>
      <c r="B4080">
        <v>0</v>
      </c>
      <c r="C4080" t="s">
        <v>14</v>
      </c>
      <c r="D4080">
        <v>1.2812E-2</v>
      </c>
      <c r="E4080">
        <f t="shared" si="126"/>
        <v>1.012812</v>
      </c>
      <c r="F4080" s="1">
        <f t="shared" si="127"/>
        <v>41365</v>
      </c>
      <c r="G4080" cm="1">
        <f t="array" ref="G4080">PRODUCT( _xlfn._xlws.FILTER($E:$E, ($C:$C=C4080)*($F:$F=F4080)) ) - 1</f>
        <v>-3.8764773086663484E-2</v>
      </c>
    </row>
    <row r="4081" spans="1:7" x14ac:dyDescent="0.2">
      <c r="A4081" s="1">
        <v>41366</v>
      </c>
      <c r="B4081">
        <v>0</v>
      </c>
      <c r="C4081" t="s">
        <v>14</v>
      </c>
      <c r="D4081">
        <v>1.2001E-2</v>
      </c>
      <c r="E4081">
        <f t="shared" si="126"/>
        <v>1.0120009999999999</v>
      </c>
      <c r="F4081" s="1">
        <f t="shared" si="127"/>
        <v>41365</v>
      </c>
      <c r="G4081" cm="1">
        <f t="array" ref="G4081">PRODUCT( _xlfn._xlws.FILTER($E:$E, ($C:$C=C4081)*($F:$F=F4081)) ) - 1</f>
        <v>-3.8764773086663484E-2</v>
      </c>
    </row>
    <row r="4082" spans="1:7" x14ac:dyDescent="0.2">
      <c r="A4082" s="1">
        <v>41367</v>
      </c>
      <c r="B4082">
        <v>0</v>
      </c>
      <c r="C4082" t="s">
        <v>14</v>
      </c>
      <c r="D4082">
        <v>-3.3013000000000001E-2</v>
      </c>
      <c r="E4082">
        <f t="shared" si="126"/>
        <v>0.96698700000000004</v>
      </c>
      <c r="F4082" s="1">
        <f t="shared" si="127"/>
        <v>41365</v>
      </c>
      <c r="G4082" cm="1">
        <f t="array" ref="G4082">PRODUCT( _xlfn._xlws.FILTER($E:$E, ($C:$C=C4082)*($F:$F=F4082)) ) - 1</f>
        <v>-3.8764773086663484E-2</v>
      </c>
    </row>
    <row r="4083" spans="1:7" x14ac:dyDescent="0.2">
      <c r="A4083" s="1">
        <v>41368</v>
      </c>
      <c r="B4083">
        <v>0</v>
      </c>
      <c r="C4083" t="s">
        <v>14</v>
      </c>
      <c r="D4083">
        <v>-2.9499000000000001E-2</v>
      </c>
      <c r="E4083">
        <f t="shared" si="126"/>
        <v>0.97050099999999995</v>
      </c>
      <c r="F4083" s="1">
        <f t="shared" si="127"/>
        <v>41365</v>
      </c>
      <c r="G4083" cm="1">
        <f t="array" ref="G4083">PRODUCT( _xlfn._xlws.FILTER($E:$E, ($C:$C=C4083)*($F:$F=F4083)) ) - 1</f>
        <v>-3.8764773086663484E-2</v>
      </c>
    </row>
    <row r="4084" spans="1:7" x14ac:dyDescent="0.2">
      <c r="A4084" s="1">
        <v>41369</v>
      </c>
      <c r="B4084">
        <v>0</v>
      </c>
      <c r="C4084" t="s">
        <v>14</v>
      </c>
      <c r="D4084">
        <v>-6.8300000000000001E-4</v>
      </c>
      <c r="E4084">
        <f t="shared" si="126"/>
        <v>0.99931700000000001</v>
      </c>
      <c r="F4084" s="1">
        <f t="shared" si="127"/>
        <v>41365</v>
      </c>
      <c r="G4084" cm="1">
        <f t="array" ref="G4084">PRODUCT( _xlfn._xlws.FILTER($E:$E, ($C:$C=C4084)*($F:$F=F4084)) ) - 1</f>
        <v>-3.8764773086663484E-2</v>
      </c>
    </row>
    <row r="4085" spans="1:7" x14ac:dyDescent="0.2">
      <c r="A4085" s="1">
        <v>41372</v>
      </c>
      <c r="B4085">
        <v>0</v>
      </c>
      <c r="C4085" t="s">
        <v>14</v>
      </c>
      <c r="D4085">
        <v>-1.0936E-2</v>
      </c>
      <c r="E4085">
        <f t="shared" si="126"/>
        <v>0.98906400000000005</v>
      </c>
      <c r="F4085" s="1">
        <f t="shared" si="127"/>
        <v>41372</v>
      </c>
      <c r="G4085" cm="1">
        <f t="array" ref="G4085">PRODUCT( _xlfn._xlws.FILTER($E:$E, ($C:$C=C4085)*($F:$F=F4085)) ) - 1</f>
        <v>-1.5037394481114408E-2</v>
      </c>
    </row>
    <row r="4086" spans="1:7" x14ac:dyDescent="0.2">
      <c r="A4086" s="1">
        <v>41373</v>
      </c>
      <c r="B4086">
        <v>0</v>
      </c>
      <c r="C4086" t="s">
        <v>14</v>
      </c>
      <c r="D4086">
        <v>3.1099000000000002E-2</v>
      </c>
      <c r="E4086">
        <f t="shared" si="126"/>
        <v>1.031099</v>
      </c>
      <c r="F4086" s="1">
        <f t="shared" si="127"/>
        <v>41372</v>
      </c>
      <c r="G4086" cm="1">
        <f t="array" ref="G4086">PRODUCT( _xlfn._xlws.FILTER($E:$E, ($C:$C=C4086)*($F:$F=F4086)) ) - 1</f>
        <v>-1.5037394481114408E-2</v>
      </c>
    </row>
    <row r="4087" spans="1:7" x14ac:dyDescent="0.2">
      <c r="A4087" s="1">
        <v>41374</v>
      </c>
      <c r="B4087">
        <v>0</v>
      </c>
      <c r="C4087" t="s">
        <v>14</v>
      </c>
      <c r="D4087">
        <v>9.3830000000000007E-3</v>
      </c>
      <c r="E4087">
        <f t="shared" si="126"/>
        <v>1.0093829999999999</v>
      </c>
      <c r="F4087" s="1">
        <f t="shared" si="127"/>
        <v>41372</v>
      </c>
      <c r="G4087" cm="1">
        <f t="array" ref="G4087">PRODUCT( _xlfn._xlws.FILTER($E:$E, ($C:$C=C4087)*($F:$F=F4087)) ) - 1</f>
        <v>-1.5037394481114408E-2</v>
      </c>
    </row>
    <row r="4088" spans="1:7" x14ac:dyDescent="0.2">
      <c r="A4088" s="1">
        <v>41375</v>
      </c>
      <c r="B4088">
        <v>0</v>
      </c>
      <c r="C4088" t="s">
        <v>14</v>
      </c>
      <c r="D4088">
        <v>-1.4607999999999999E-2</v>
      </c>
      <c r="E4088">
        <f t="shared" si="126"/>
        <v>0.98539200000000005</v>
      </c>
      <c r="F4088" s="1">
        <f t="shared" si="127"/>
        <v>41372</v>
      </c>
      <c r="G4088" cm="1">
        <f t="array" ref="G4088">PRODUCT( _xlfn._xlws.FILTER($E:$E, ($C:$C=C4088)*($F:$F=F4088)) ) - 1</f>
        <v>-1.5037394481114408E-2</v>
      </c>
    </row>
    <row r="4089" spans="1:7" x14ac:dyDescent="0.2">
      <c r="A4089" s="1">
        <v>41376</v>
      </c>
      <c r="B4089">
        <v>0</v>
      </c>
      <c r="C4089" t="s">
        <v>14</v>
      </c>
      <c r="D4089">
        <v>-2.8975999999999998E-2</v>
      </c>
      <c r="E4089">
        <f t="shared" si="126"/>
        <v>0.971024</v>
      </c>
      <c r="F4089" s="1">
        <f t="shared" si="127"/>
        <v>41372</v>
      </c>
      <c r="G4089" cm="1">
        <f t="array" ref="G4089">PRODUCT( _xlfn._xlws.FILTER($E:$E, ($C:$C=C4089)*($F:$F=F4089)) ) - 1</f>
        <v>-1.5037394481114408E-2</v>
      </c>
    </row>
    <row r="4090" spans="1:7" x14ac:dyDescent="0.2">
      <c r="A4090" s="1">
        <v>41379</v>
      </c>
      <c r="B4090">
        <v>0</v>
      </c>
      <c r="C4090" t="s">
        <v>14</v>
      </c>
      <c r="D4090">
        <v>-4.5802000000000002E-2</v>
      </c>
      <c r="E4090">
        <f t="shared" si="126"/>
        <v>0.95419799999999999</v>
      </c>
      <c r="F4090" s="1">
        <f t="shared" si="127"/>
        <v>41379</v>
      </c>
      <c r="G4090" cm="1">
        <f t="array" ref="G4090">PRODUCT( _xlfn._xlws.FILTER($E:$E, ($C:$C=C4090)*($F:$F=F4090)) ) - 1</f>
        <v>-2.3942862724628089E-2</v>
      </c>
    </row>
    <row r="4091" spans="1:7" x14ac:dyDescent="0.2">
      <c r="A4091" s="1">
        <v>41380</v>
      </c>
      <c r="B4091">
        <v>0</v>
      </c>
      <c r="C4091" t="s">
        <v>14</v>
      </c>
      <c r="D4091">
        <v>3.3091000000000002E-2</v>
      </c>
      <c r="E4091">
        <f t="shared" si="126"/>
        <v>1.033091</v>
      </c>
      <c r="F4091" s="1">
        <f t="shared" si="127"/>
        <v>41379</v>
      </c>
      <c r="G4091" cm="1">
        <f t="array" ref="G4091">PRODUCT( _xlfn._xlws.FILTER($E:$E, ($C:$C=C4091)*($F:$F=F4091)) ) - 1</f>
        <v>-2.3942862724628089E-2</v>
      </c>
    </row>
    <row r="4092" spans="1:7" x14ac:dyDescent="0.2">
      <c r="A4092" s="1">
        <v>41381</v>
      </c>
      <c r="B4092">
        <v>0</v>
      </c>
      <c r="C4092" t="s">
        <v>14</v>
      </c>
      <c r="D4092">
        <v>-1.5136E-2</v>
      </c>
      <c r="E4092">
        <f t="shared" si="126"/>
        <v>0.98486399999999996</v>
      </c>
      <c r="F4092" s="1">
        <f t="shared" si="127"/>
        <v>41379</v>
      </c>
      <c r="G4092" cm="1">
        <f t="array" ref="G4092">PRODUCT( _xlfn._xlws.FILTER($E:$E, ($C:$C=C4092)*($F:$F=F4092)) ) - 1</f>
        <v>-2.3942862724628089E-2</v>
      </c>
    </row>
    <row r="4093" spans="1:7" x14ac:dyDescent="0.2">
      <c r="A4093" s="1">
        <v>41382</v>
      </c>
      <c r="B4093">
        <v>0</v>
      </c>
      <c r="C4093" t="s">
        <v>14</v>
      </c>
      <c r="D4093">
        <v>1.2508999999999999E-2</v>
      </c>
      <c r="E4093">
        <f t="shared" si="126"/>
        <v>1.0125090000000001</v>
      </c>
      <c r="F4093" s="1">
        <f t="shared" si="127"/>
        <v>41379</v>
      </c>
      <c r="G4093" cm="1">
        <f t="array" ref="G4093">PRODUCT( _xlfn._xlws.FILTER($E:$E, ($C:$C=C4093)*($F:$F=F4093)) ) - 1</f>
        <v>-2.3942862724628089E-2</v>
      </c>
    </row>
    <row r="4094" spans="1:7" x14ac:dyDescent="0.2">
      <c r="A4094" s="1">
        <v>41383</v>
      </c>
      <c r="B4094">
        <v>0</v>
      </c>
      <c r="C4094" t="s">
        <v>14</v>
      </c>
      <c r="D4094">
        <v>-7.0600000000000003E-3</v>
      </c>
      <c r="E4094">
        <f t="shared" si="126"/>
        <v>0.99294000000000004</v>
      </c>
      <c r="F4094" s="1">
        <f t="shared" si="127"/>
        <v>41379</v>
      </c>
      <c r="G4094" cm="1">
        <f t="array" ref="G4094">PRODUCT( _xlfn._xlws.FILTER($E:$E, ($C:$C=C4094)*($F:$F=F4094)) ) - 1</f>
        <v>-2.3942862724628089E-2</v>
      </c>
    </row>
    <row r="4095" spans="1:7" x14ac:dyDescent="0.2">
      <c r="A4095" s="1">
        <v>41386</v>
      </c>
      <c r="B4095">
        <v>0</v>
      </c>
      <c r="C4095" t="s">
        <v>14</v>
      </c>
      <c r="D4095">
        <v>1.6708000000000001E-2</v>
      </c>
      <c r="E4095">
        <f t="shared" si="126"/>
        <v>1.0167079999999999</v>
      </c>
      <c r="F4095" s="1">
        <f t="shared" si="127"/>
        <v>41386</v>
      </c>
      <c r="G4095" cm="1">
        <f t="array" ref="G4095">PRODUCT( _xlfn._xlws.FILTER($E:$E, ($C:$C=C4095)*($F:$F=F4095)) ) - 1</f>
        <v>4.0881914751784265E-2</v>
      </c>
    </row>
    <row r="4096" spans="1:7" x14ac:dyDescent="0.2">
      <c r="A4096" s="1">
        <v>41387</v>
      </c>
      <c r="B4096">
        <v>0</v>
      </c>
      <c r="C4096" t="s">
        <v>14</v>
      </c>
      <c r="D4096">
        <v>9.0910000000000001E-3</v>
      </c>
      <c r="E4096">
        <f t="shared" si="126"/>
        <v>1.009091</v>
      </c>
      <c r="F4096" s="1">
        <f t="shared" si="127"/>
        <v>41386</v>
      </c>
      <c r="G4096" cm="1">
        <f t="array" ref="G4096">PRODUCT( _xlfn._xlws.FILTER($E:$E, ($C:$C=C4096)*($F:$F=F4096)) ) - 1</f>
        <v>4.0881914751784265E-2</v>
      </c>
    </row>
    <row r="4097" spans="1:7" x14ac:dyDescent="0.2">
      <c r="A4097" s="1">
        <v>41388</v>
      </c>
      <c r="B4097">
        <v>0</v>
      </c>
      <c r="C4097" t="s">
        <v>14</v>
      </c>
      <c r="D4097">
        <v>2.5641000000000001E-2</v>
      </c>
      <c r="E4097">
        <f t="shared" si="126"/>
        <v>1.025641</v>
      </c>
      <c r="F4097" s="1">
        <f t="shared" si="127"/>
        <v>41386</v>
      </c>
      <c r="G4097" cm="1">
        <f t="array" ref="G4097">PRODUCT( _xlfn._xlws.FILTER($E:$E, ($C:$C=C4097)*($F:$F=F4097)) ) - 1</f>
        <v>4.0881914751784265E-2</v>
      </c>
    </row>
    <row r="4098" spans="1:7" x14ac:dyDescent="0.2">
      <c r="A4098" s="1">
        <v>41389</v>
      </c>
      <c r="B4098">
        <v>0</v>
      </c>
      <c r="C4098" t="s">
        <v>14</v>
      </c>
      <c r="D4098">
        <v>-3.3799999999999998E-4</v>
      </c>
      <c r="E4098">
        <f t="shared" si="126"/>
        <v>0.99966200000000005</v>
      </c>
      <c r="F4098" s="1">
        <f t="shared" si="127"/>
        <v>41386</v>
      </c>
      <c r="G4098" cm="1">
        <f t="array" ref="G4098">PRODUCT( _xlfn._xlws.FILTER($E:$E, ($C:$C=C4098)*($F:$F=F4098)) ) - 1</f>
        <v>4.0881914751784265E-2</v>
      </c>
    </row>
    <row r="4099" spans="1:7" x14ac:dyDescent="0.2">
      <c r="A4099" s="1">
        <v>41390</v>
      </c>
      <c r="B4099">
        <v>0</v>
      </c>
      <c r="C4099" t="s">
        <v>14</v>
      </c>
      <c r="D4099">
        <v>-1.0475999999999999E-2</v>
      </c>
      <c r="E4099">
        <f t="shared" si="126"/>
        <v>0.98952399999999996</v>
      </c>
      <c r="F4099" s="1">
        <f t="shared" si="127"/>
        <v>41386</v>
      </c>
      <c r="G4099" cm="1">
        <f t="array" ref="G4099">PRODUCT( _xlfn._xlws.FILTER($E:$E, ($C:$C=C4099)*($F:$F=F4099)) ) - 1</f>
        <v>4.0881914751784265E-2</v>
      </c>
    </row>
    <row r="4100" spans="1:7" x14ac:dyDescent="0.2">
      <c r="A4100" s="1">
        <v>41393</v>
      </c>
      <c r="B4100">
        <v>0</v>
      </c>
      <c r="C4100" t="s">
        <v>14</v>
      </c>
      <c r="D4100">
        <v>1.2295E-2</v>
      </c>
      <c r="E4100">
        <f t="shared" ref="E4100:E4163" si="128">D4100+1</f>
        <v>1.0122949999999999</v>
      </c>
      <c r="F4100" s="1">
        <f t="shared" ref="F4100:F4163" si="129">A4100 - (WEEKDAY(A4100, 2) - 1)</f>
        <v>41393</v>
      </c>
      <c r="G4100" cm="1">
        <f t="array" ref="G4100">PRODUCT( _xlfn._xlws.FILTER($E:$E, ($C:$C=C4100)*($F:$F=F4100)) ) - 1</f>
        <v>6.1817866962781576E-2</v>
      </c>
    </row>
    <row r="4101" spans="1:7" x14ac:dyDescent="0.2">
      <c r="A4101" s="1">
        <v>41394</v>
      </c>
      <c r="B4101">
        <v>0</v>
      </c>
      <c r="C4101" t="s">
        <v>14</v>
      </c>
      <c r="D4101">
        <v>5.9716999999999999E-2</v>
      </c>
      <c r="E4101">
        <f t="shared" si="128"/>
        <v>1.059717</v>
      </c>
      <c r="F4101" s="1">
        <f t="shared" si="129"/>
        <v>41393</v>
      </c>
      <c r="G4101" cm="1">
        <f t="array" ref="G4101">PRODUCT( _xlfn._xlws.FILTER($E:$E, ($C:$C=C4101)*($F:$F=F4101)) ) - 1</f>
        <v>6.1817866962781576E-2</v>
      </c>
    </row>
    <row r="4102" spans="1:7" x14ac:dyDescent="0.2">
      <c r="A4102" s="1">
        <v>41395</v>
      </c>
      <c r="B4102">
        <v>0</v>
      </c>
      <c r="C4102" t="s">
        <v>14</v>
      </c>
      <c r="D4102">
        <v>-2.6742999999999999E-2</v>
      </c>
      <c r="E4102">
        <f t="shared" si="128"/>
        <v>0.97325700000000004</v>
      </c>
      <c r="F4102" s="1">
        <f t="shared" si="129"/>
        <v>41393</v>
      </c>
      <c r="G4102" cm="1">
        <f t="array" ref="G4102">PRODUCT( _xlfn._xlws.FILTER($E:$E, ($C:$C=C4102)*($F:$F=F4102)) ) - 1</f>
        <v>6.1817866962781576E-2</v>
      </c>
    </row>
    <row r="4103" spans="1:7" x14ac:dyDescent="0.2">
      <c r="A4103" s="1">
        <v>41396</v>
      </c>
      <c r="B4103">
        <v>0</v>
      </c>
      <c r="C4103" t="s">
        <v>14</v>
      </c>
      <c r="D4103">
        <v>8.1779999999999995E-3</v>
      </c>
      <c r="E4103">
        <f t="shared" si="128"/>
        <v>1.008178</v>
      </c>
      <c r="F4103" s="1">
        <f t="shared" si="129"/>
        <v>41393</v>
      </c>
      <c r="G4103" cm="1">
        <f t="array" ref="G4103">PRODUCT( _xlfn._xlws.FILTER($E:$E, ($C:$C=C4103)*($F:$F=F4103)) ) - 1</f>
        <v>6.1817866962781576E-2</v>
      </c>
    </row>
    <row r="4104" spans="1:7" x14ac:dyDescent="0.2">
      <c r="A4104" s="1">
        <v>41397</v>
      </c>
      <c r="B4104">
        <v>0</v>
      </c>
      <c r="C4104" t="s">
        <v>14</v>
      </c>
      <c r="D4104">
        <v>8.7609999999999997E-3</v>
      </c>
      <c r="E4104">
        <f t="shared" si="128"/>
        <v>1.008761</v>
      </c>
      <c r="F4104" s="1">
        <f t="shared" si="129"/>
        <v>41393</v>
      </c>
      <c r="G4104" cm="1">
        <f t="array" ref="G4104">PRODUCT( _xlfn._xlws.FILTER($E:$E, ($C:$C=C4104)*($F:$F=F4104)) ) - 1</f>
        <v>6.1817866962781576E-2</v>
      </c>
    </row>
    <row r="4105" spans="1:7" x14ac:dyDescent="0.2">
      <c r="A4105" s="1">
        <v>41400</v>
      </c>
      <c r="B4105">
        <v>0</v>
      </c>
      <c r="C4105" t="s">
        <v>14</v>
      </c>
      <c r="D4105">
        <v>-9.0060000000000001E-3</v>
      </c>
      <c r="E4105">
        <f t="shared" si="128"/>
        <v>0.99099400000000004</v>
      </c>
      <c r="F4105" s="1">
        <f t="shared" si="129"/>
        <v>41400</v>
      </c>
      <c r="G4105" cm="1">
        <f t="array" ref="G4105">PRODUCT( _xlfn._xlws.FILTER($E:$E, ($C:$C=C4105)*($F:$F=F4105)) ) - 1</f>
        <v>3.0557364276759591E-2</v>
      </c>
    </row>
    <row r="4106" spans="1:7" x14ac:dyDescent="0.2">
      <c r="A4106" s="1">
        <v>41401</v>
      </c>
      <c r="B4106">
        <v>0</v>
      </c>
      <c r="C4106" t="s">
        <v>14</v>
      </c>
      <c r="D4106">
        <v>2.0773E-2</v>
      </c>
      <c r="E4106">
        <f t="shared" si="128"/>
        <v>1.0207729999999999</v>
      </c>
      <c r="F4106" s="1">
        <f t="shared" si="129"/>
        <v>41400</v>
      </c>
      <c r="G4106" cm="1">
        <f t="array" ref="G4106">PRODUCT( _xlfn._xlws.FILTER($E:$E, ($C:$C=C4106)*($F:$F=F4106)) ) - 1</f>
        <v>3.0557364276759591E-2</v>
      </c>
    </row>
    <row r="4107" spans="1:7" x14ac:dyDescent="0.2">
      <c r="A4107" s="1">
        <v>41402</v>
      </c>
      <c r="B4107">
        <v>0</v>
      </c>
      <c r="C4107" t="s">
        <v>14</v>
      </c>
      <c r="D4107">
        <v>2.0667999999999999E-2</v>
      </c>
      <c r="E4107">
        <f t="shared" si="128"/>
        <v>1.0206679999999999</v>
      </c>
      <c r="F4107" s="1">
        <f t="shared" si="129"/>
        <v>41400</v>
      </c>
      <c r="G4107" cm="1">
        <f t="array" ref="G4107">PRODUCT( _xlfn._xlws.FILTER($E:$E, ($C:$C=C4107)*($F:$F=F4107)) ) - 1</f>
        <v>3.0557364276759591E-2</v>
      </c>
    </row>
    <row r="4108" spans="1:7" x14ac:dyDescent="0.2">
      <c r="A4108" s="1">
        <v>41403</v>
      </c>
      <c r="B4108">
        <v>0</v>
      </c>
      <c r="C4108" t="s">
        <v>14</v>
      </c>
      <c r="D4108">
        <v>-4.6730000000000001E-3</v>
      </c>
      <c r="E4108">
        <f t="shared" si="128"/>
        <v>0.99532699999999996</v>
      </c>
      <c r="F4108" s="1">
        <f t="shared" si="129"/>
        <v>41400</v>
      </c>
      <c r="G4108" cm="1">
        <f t="array" ref="G4108">PRODUCT( _xlfn._xlws.FILTER($E:$E, ($C:$C=C4108)*($F:$F=F4108)) ) - 1</f>
        <v>3.0557364276759591E-2</v>
      </c>
    </row>
    <row r="4109" spans="1:7" x14ac:dyDescent="0.2">
      <c r="A4109" s="1">
        <v>41404</v>
      </c>
      <c r="B4109">
        <v>0</v>
      </c>
      <c r="C4109" t="s">
        <v>14</v>
      </c>
      <c r="D4109">
        <v>2.8170000000000001E-3</v>
      </c>
      <c r="E4109">
        <f t="shared" si="128"/>
        <v>1.0028170000000001</v>
      </c>
      <c r="F4109" s="1">
        <f t="shared" si="129"/>
        <v>41400</v>
      </c>
      <c r="G4109" cm="1">
        <f t="array" ref="G4109">PRODUCT( _xlfn._xlws.FILTER($E:$E, ($C:$C=C4109)*($F:$F=F4109)) ) - 1</f>
        <v>3.0557364276759591E-2</v>
      </c>
    </row>
    <row r="4110" spans="1:7" x14ac:dyDescent="0.2">
      <c r="A4110" s="1">
        <v>41407</v>
      </c>
      <c r="B4110">
        <v>0</v>
      </c>
      <c r="C4110" t="s">
        <v>14</v>
      </c>
      <c r="D4110">
        <v>3.1199999999999999E-4</v>
      </c>
      <c r="E4110">
        <f t="shared" si="128"/>
        <v>1.0003120000000001</v>
      </c>
      <c r="F4110" s="1">
        <f t="shared" si="129"/>
        <v>41407</v>
      </c>
      <c r="G4110" cm="1">
        <f t="array" ref="G4110">PRODUCT( _xlfn._xlws.FILTER($E:$E, ($C:$C=C4110)*($F:$F=F4110)) ) - 1</f>
        <v>2.7465117016100882E-2</v>
      </c>
    </row>
    <row r="4111" spans="1:7" x14ac:dyDescent="0.2">
      <c r="A4111" s="1">
        <v>41408</v>
      </c>
      <c r="B4111">
        <v>0</v>
      </c>
      <c r="C4111" t="s">
        <v>14</v>
      </c>
      <c r="D4111">
        <v>1.1544E-2</v>
      </c>
      <c r="E4111">
        <f t="shared" si="128"/>
        <v>1.011544</v>
      </c>
      <c r="F4111" s="1">
        <f t="shared" si="129"/>
        <v>41407</v>
      </c>
      <c r="G4111" cm="1">
        <f t="array" ref="G4111">PRODUCT( _xlfn._xlws.FILTER($E:$E, ($C:$C=C4111)*($F:$F=F4111)) ) - 1</f>
        <v>2.7465117016100882E-2</v>
      </c>
    </row>
    <row r="4112" spans="1:7" x14ac:dyDescent="0.2">
      <c r="A4112" s="1">
        <v>41409</v>
      </c>
      <c r="B4112">
        <v>0</v>
      </c>
      <c r="C4112" t="s">
        <v>14</v>
      </c>
      <c r="D4112">
        <v>-6.169E-3</v>
      </c>
      <c r="E4112">
        <f t="shared" si="128"/>
        <v>0.99383100000000002</v>
      </c>
      <c r="F4112" s="1">
        <f t="shared" si="129"/>
        <v>41407</v>
      </c>
      <c r="G4112" cm="1">
        <f t="array" ref="G4112">PRODUCT( _xlfn._xlws.FILTER($E:$E, ($C:$C=C4112)*($F:$F=F4112)) ) - 1</f>
        <v>2.7465117016100882E-2</v>
      </c>
    </row>
    <row r="4113" spans="1:7" x14ac:dyDescent="0.2">
      <c r="A4113" s="1">
        <v>41410</v>
      </c>
      <c r="B4113">
        <v>0</v>
      </c>
      <c r="C4113" t="s">
        <v>14</v>
      </c>
      <c r="D4113">
        <v>-4.0350000000000004E-3</v>
      </c>
      <c r="E4113">
        <f t="shared" si="128"/>
        <v>0.99596499999999999</v>
      </c>
      <c r="F4113" s="1">
        <f t="shared" si="129"/>
        <v>41407</v>
      </c>
      <c r="G4113" cm="1">
        <f t="array" ref="G4113">PRODUCT( _xlfn._xlws.FILTER($E:$E, ($C:$C=C4113)*($F:$F=F4113)) ) - 1</f>
        <v>2.7465117016100882E-2</v>
      </c>
    </row>
    <row r="4114" spans="1:7" x14ac:dyDescent="0.2">
      <c r="A4114" s="1">
        <v>41411</v>
      </c>
      <c r="B4114">
        <v>0</v>
      </c>
      <c r="C4114" t="s">
        <v>14</v>
      </c>
      <c r="D4114">
        <v>2.5864999999999999E-2</v>
      </c>
      <c r="E4114">
        <f t="shared" si="128"/>
        <v>1.025865</v>
      </c>
      <c r="F4114" s="1">
        <f t="shared" si="129"/>
        <v>41407</v>
      </c>
      <c r="G4114" cm="1">
        <f t="array" ref="G4114">PRODUCT( _xlfn._xlws.FILTER($E:$E, ($C:$C=C4114)*($F:$F=F4114)) ) - 1</f>
        <v>2.7465117016100882E-2</v>
      </c>
    </row>
    <row r="4115" spans="1:7" x14ac:dyDescent="0.2">
      <c r="A4115" s="1">
        <v>41415</v>
      </c>
      <c r="B4115">
        <v>0</v>
      </c>
      <c r="C4115" t="s">
        <v>14</v>
      </c>
      <c r="D4115">
        <v>-2.7339999999999999E-3</v>
      </c>
      <c r="E4115">
        <f t="shared" si="128"/>
        <v>0.99726599999999999</v>
      </c>
      <c r="F4115" s="1">
        <f t="shared" si="129"/>
        <v>41414</v>
      </c>
      <c r="G4115" cm="1">
        <f t="array" ref="G4115">PRODUCT( _xlfn._xlws.FILTER($E:$E, ($C:$C=C4115)*($F:$F=F4115)) ) - 1</f>
        <v>-2.9465211501683908E-2</v>
      </c>
    </row>
    <row r="4116" spans="1:7" x14ac:dyDescent="0.2">
      <c r="A4116" s="1">
        <v>41416</v>
      </c>
      <c r="B4116">
        <v>0</v>
      </c>
      <c r="C4116" t="s">
        <v>14</v>
      </c>
      <c r="D4116">
        <v>-1.0052E-2</v>
      </c>
      <c r="E4116">
        <f t="shared" si="128"/>
        <v>0.98994800000000005</v>
      </c>
      <c r="F4116" s="1">
        <f t="shared" si="129"/>
        <v>41414</v>
      </c>
      <c r="G4116" cm="1">
        <f t="array" ref="G4116">PRODUCT( _xlfn._xlws.FILTER($E:$E, ($C:$C=C4116)*($F:$F=F4116)) ) - 1</f>
        <v>-2.9465211501683908E-2</v>
      </c>
    </row>
    <row r="4117" spans="1:7" x14ac:dyDescent="0.2">
      <c r="A4117" s="1">
        <v>41417</v>
      </c>
      <c r="B4117">
        <v>0</v>
      </c>
      <c r="C4117" t="s">
        <v>14</v>
      </c>
      <c r="D4117">
        <v>-5.5380000000000004E-3</v>
      </c>
      <c r="E4117">
        <f t="shared" si="128"/>
        <v>0.99446199999999996</v>
      </c>
      <c r="F4117" s="1">
        <f t="shared" si="129"/>
        <v>41414</v>
      </c>
      <c r="G4117" cm="1">
        <f t="array" ref="G4117">PRODUCT( _xlfn._xlws.FILTER($E:$E, ($C:$C=C4117)*($F:$F=F4117)) ) - 1</f>
        <v>-2.9465211501683908E-2</v>
      </c>
    </row>
    <row r="4118" spans="1:7" x14ac:dyDescent="0.2">
      <c r="A4118" s="1">
        <v>41418</v>
      </c>
      <c r="B4118">
        <v>0</v>
      </c>
      <c r="C4118" t="s">
        <v>14</v>
      </c>
      <c r="D4118">
        <v>-1.1448E-2</v>
      </c>
      <c r="E4118">
        <f t="shared" si="128"/>
        <v>0.98855199999999999</v>
      </c>
      <c r="F4118" s="1">
        <f t="shared" si="129"/>
        <v>41414</v>
      </c>
      <c r="G4118" cm="1">
        <f t="array" ref="G4118">PRODUCT( _xlfn._xlws.FILTER($E:$E, ($C:$C=C4118)*($F:$F=F4118)) ) - 1</f>
        <v>-2.9465211501683908E-2</v>
      </c>
    </row>
    <row r="4119" spans="1:7" x14ac:dyDescent="0.2">
      <c r="A4119" s="1">
        <v>41421</v>
      </c>
      <c r="B4119">
        <v>0</v>
      </c>
      <c r="C4119" t="s">
        <v>14</v>
      </c>
      <c r="D4119">
        <v>-3.4429999999999999E-3</v>
      </c>
      <c r="E4119">
        <f t="shared" si="128"/>
        <v>0.99655700000000003</v>
      </c>
      <c r="F4119" s="1">
        <f t="shared" si="129"/>
        <v>41421</v>
      </c>
      <c r="G4119" cm="1">
        <f t="array" ref="G4119">PRODUCT( _xlfn._xlws.FILTER($E:$E, ($C:$C=C4119)*($F:$F=F4119)) ) - 1</f>
        <v>-9.3895295363876086E-3</v>
      </c>
    </row>
    <row r="4120" spans="1:7" x14ac:dyDescent="0.2">
      <c r="A4120" s="1">
        <v>41422</v>
      </c>
      <c r="B4120">
        <v>0</v>
      </c>
      <c r="C4120" t="s">
        <v>14</v>
      </c>
      <c r="D4120">
        <v>1.6018000000000001E-2</v>
      </c>
      <c r="E4120">
        <f t="shared" si="128"/>
        <v>1.0160180000000001</v>
      </c>
      <c r="F4120" s="1">
        <f t="shared" si="129"/>
        <v>41421</v>
      </c>
      <c r="G4120" cm="1">
        <f t="array" ref="G4120">PRODUCT( _xlfn._xlws.FILTER($E:$E, ($C:$C=C4120)*($F:$F=F4120)) ) - 1</f>
        <v>-9.3895295363876086E-3</v>
      </c>
    </row>
    <row r="4121" spans="1:7" x14ac:dyDescent="0.2">
      <c r="A4121" s="1">
        <v>41423</v>
      </c>
      <c r="B4121">
        <v>0</v>
      </c>
      <c r="C4121" t="s">
        <v>14</v>
      </c>
      <c r="D4121">
        <v>6.182E-3</v>
      </c>
      <c r="E4121">
        <f t="shared" si="128"/>
        <v>1.0061819999999999</v>
      </c>
      <c r="F4121" s="1">
        <f t="shared" si="129"/>
        <v>41421</v>
      </c>
      <c r="G4121" cm="1">
        <f t="array" ref="G4121">PRODUCT( _xlfn._xlws.FILTER($E:$E, ($C:$C=C4121)*($F:$F=F4121)) ) - 1</f>
        <v>-9.3895295363876086E-3</v>
      </c>
    </row>
    <row r="4122" spans="1:7" x14ac:dyDescent="0.2">
      <c r="A4122" s="1">
        <v>41424</v>
      </c>
      <c r="B4122">
        <v>0</v>
      </c>
      <c r="C4122" t="s">
        <v>14</v>
      </c>
      <c r="D4122">
        <v>-8.9090000000000003E-3</v>
      </c>
      <c r="E4122">
        <f t="shared" si="128"/>
        <v>0.99109099999999994</v>
      </c>
      <c r="F4122" s="1">
        <f t="shared" si="129"/>
        <v>41421</v>
      </c>
      <c r="G4122" cm="1">
        <f t="array" ref="G4122">PRODUCT( _xlfn._xlws.FILTER($E:$E, ($C:$C=C4122)*($F:$F=F4122)) ) - 1</f>
        <v>-9.3895295363876086E-3</v>
      </c>
    </row>
    <row r="4123" spans="1:7" x14ac:dyDescent="0.2">
      <c r="A4123" s="1">
        <v>41425</v>
      </c>
      <c r="B4123">
        <v>0</v>
      </c>
      <c r="C4123" t="s">
        <v>14</v>
      </c>
      <c r="D4123">
        <v>-1.8908999999999999E-2</v>
      </c>
      <c r="E4123">
        <f t="shared" si="128"/>
        <v>0.98109100000000005</v>
      </c>
      <c r="F4123" s="1">
        <f t="shared" si="129"/>
        <v>41421</v>
      </c>
      <c r="G4123" cm="1">
        <f t="array" ref="G4123">PRODUCT( _xlfn._xlws.FILTER($E:$E, ($C:$C=C4123)*($F:$F=F4123)) ) - 1</f>
        <v>-9.3895295363876086E-3</v>
      </c>
    </row>
    <row r="4124" spans="1:7" x14ac:dyDescent="0.2">
      <c r="A4124" s="1">
        <v>41428</v>
      </c>
      <c r="B4124">
        <v>0</v>
      </c>
      <c r="C4124" t="s">
        <v>14</v>
      </c>
      <c r="D4124">
        <v>-3.4979999999999998E-3</v>
      </c>
      <c r="E4124">
        <f t="shared" si="128"/>
        <v>0.996502</v>
      </c>
      <c r="F4124" s="1">
        <f t="shared" si="129"/>
        <v>41428</v>
      </c>
      <c r="G4124" cm="1">
        <f t="array" ref="G4124">PRODUCT( _xlfn._xlws.FILTER($E:$E, ($C:$C=C4124)*($F:$F=F4124)) ) - 1</f>
        <v>6.6780441258147416E-3</v>
      </c>
    </row>
    <row r="4125" spans="1:7" x14ac:dyDescent="0.2">
      <c r="A4125" s="1">
        <v>41429</v>
      </c>
      <c r="B4125">
        <v>0</v>
      </c>
      <c r="C4125" t="s">
        <v>14</v>
      </c>
      <c r="D4125">
        <v>1.404E-2</v>
      </c>
      <c r="E4125">
        <f t="shared" si="128"/>
        <v>1.0140400000000001</v>
      </c>
      <c r="F4125" s="1">
        <f t="shared" si="129"/>
        <v>41428</v>
      </c>
      <c r="G4125" cm="1">
        <f t="array" ref="G4125">PRODUCT( _xlfn._xlws.FILTER($E:$E, ($C:$C=C4125)*($F:$F=F4125)) ) - 1</f>
        <v>6.6780441258147416E-3</v>
      </c>
    </row>
    <row r="4126" spans="1:7" x14ac:dyDescent="0.2">
      <c r="A4126" s="1">
        <v>41430</v>
      </c>
      <c r="B4126">
        <v>0</v>
      </c>
      <c r="C4126" t="s">
        <v>14</v>
      </c>
      <c r="D4126">
        <v>-7.2370000000000004E-3</v>
      </c>
      <c r="E4126">
        <f t="shared" si="128"/>
        <v>0.99276299999999995</v>
      </c>
      <c r="F4126" s="1">
        <f t="shared" si="129"/>
        <v>41428</v>
      </c>
      <c r="G4126" cm="1">
        <f t="array" ref="G4126">PRODUCT( _xlfn._xlws.FILTER($E:$E, ($C:$C=C4126)*($F:$F=F4126)) ) - 1</f>
        <v>6.6780441258147416E-3</v>
      </c>
    </row>
    <row r="4127" spans="1:7" x14ac:dyDescent="0.2">
      <c r="A4127" s="1">
        <v>41431</v>
      </c>
      <c r="B4127">
        <v>0</v>
      </c>
      <c r="C4127" t="s">
        <v>14</v>
      </c>
      <c r="D4127">
        <v>3.1700000000000001E-4</v>
      </c>
      <c r="E4127">
        <f t="shared" si="128"/>
        <v>1.0003169999999999</v>
      </c>
      <c r="F4127" s="1">
        <f t="shared" si="129"/>
        <v>41428</v>
      </c>
      <c r="G4127" cm="1">
        <f t="array" ref="G4127">PRODUCT( _xlfn._xlws.FILTER($E:$E, ($C:$C=C4127)*($F:$F=F4127)) ) - 1</f>
        <v>6.6780441258147416E-3</v>
      </c>
    </row>
    <row r="4128" spans="1:7" x14ac:dyDescent="0.2">
      <c r="A4128" s="1">
        <v>41432</v>
      </c>
      <c r="B4128">
        <v>0</v>
      </c>
      <c r="C4128" t="s">
        <v>14</v>
      </c>
      <c r="D4128">
        <v>3.1689999999999999E-3</v>
      </c>
      <c r="E4128">
        <f t="shared" si="128"/>
        <v>1.003169</v>
      </c>
      <c r="F4128" s="1">
        <f t="shared" si="129"/>
        <v>41428</v>
      </c>
      <c r="G4128" cm="1">
        <f t="array" ref="G4128">PRODUCT( _xlfn._xlws.FILTER($E:$E, ($C:$C=C4128)*($F:$F=F4128)) ) - 1</f>
        <v>6.6780441258147416E-3</v>
      </c>
    </row>
    <row r="4129" spans="1:7" x14ac:dyDescent="0.2">
      <c r="A4129" s="1">
        <v>41435</v>
      </c>
      <c r="B4129">
        <v>0</v>
      </c>
      <c r="C4129" t="s">
        <v>14</v>
      </c>
      <c r="D4129">
        <v>4.4219999999999997E-3</v>
      </c>
      <c r="E4129">
        <f t="shared" si="128"/>
        <v>1.0044219999999999</v>
      </c>
      <c r="F4129" s="1">
        <f t="shared" si="129"/>
        <v>41435</v>
      </c>
      <c r="G4129" cm="1">
        <f t="array" ref="G4129">PRODUCT( _xlfn._xlws.FILTER($E:$E, ($C:$C=C4129)*($F:$F=F4129)) ) - 1</f>
        <v>-2.2110377680065962E-2</v>
      </c>
    </row>
    <row r="4130" spans="1:7" x14ac:dyDescent="0.2">
      <c r="A4130" s="1">
        <v>41436</v>
      </c>
      <c r="B4130">
        <v>0</v>
      </c>
      <c r="C4130" t="s">
        <v>14</v>
      </c>
      <c r="D4130">
        <v>-2.2956000000000001E-2</v>
      </c>
      <c r="E4130">
        <f t="shared" si="128"/>
        <v>0.97704400000000002</v>
      </c>
      <c r="F4130" s="1">
        <f t="shared" si="129"/>
        <v>41435</v>
      </c>
      <c r="G4130" cm="1">
        <f t="array" ref="G4130">PRODUCT( _xlfn._xlws.FILTER($E:$E, ($C:$C=C4130)*($F:$F=F4130)) ) - 1</f>
        <v>-2.2110377680065962E-2</v>
      </c>
    </row>
    <row r="4131" spans="1:7" x14ac:dyDescent="0.2">
      <c r="A4131" s="1">
        <v>41437</v>
      </c>
      <c r="B4131">
        <v>0</v>
      </c>
      <c r="C4131" t="s">
        <v>14</v>
      </c>
      <c r="D4131">
        <v>-5.4720000000000003E-3</v>
      </c>
      <c r="E4131">
        <f t="shared" si="128"/>
        <v>0.99452799999999997</v>
      </c>
      <c r="F4131" s="1">
        <f t="shared" si="129"/>
        <v>41435</v>
      </c>
      <c r="G4131" cm="1">
        <f t="array" ref="G4131">PRODUCT( _xlfn._xlws.FILTER($E:$E, ($C:$C=C4131)*($F:$F=F4131)) ) - 1</f>
        <v>-2.2110377680065962E-2</v>
      </c>
    </row>
    <row r="4132" spans="1:7" x14ac:dyDescent="0.2">
      <c r="A4132" s="1">
        <v>41438</v>
      </c>
      <c r="B4132">
        <v>0</v>
      </c>
      <c r="C4132" t="s">
        <v>14</v>
      </c>
      <c r="D4132">
        <v>1.3592E-2</v>
      </c>
      <c r="E4132">
        <f t="shared" si="128"/>
        <v>1.013592</v>
      </c>
      <c r="F4132" s="1">
        <f t="shared" si="129"/>
        <v>41435</v>
      </c>
      <c r="G4132" cm="1">
        <f t="array" ref="G4132">PRODUCT( _xlfn._xlws.FILTER($E:$E, ($C:$C=C4132)*($F:$F=F4132)) ) - 1</f>
        <v>-2.2110377680065962E-2</v>
      </c>
    </row>
    <row r="4133" spans="1:7" x14ac:dyDescent="0.2">
      <c r="A4133" s="1">
        <v>41439</v>
      </c>
      <c r="B4133">
        <v>0</v>
      </c>
      <c r="C4133" t="s">
        <v>14</v>
      </c>
      <c r="D4133">
        <v>-1.1494000000000001E-2</v>
      </c>
      <c r="E4133">
        <f t="shared" si="128"/>
        <v>0.988506</v>
      </c>
      <c r="F4133" s="1">
        <f t="shared" si="129"/>
        <v>41435</v>
      </c>
      <c r="G4133" cm="1">
        <f t="array" ref="G4133">PRODUCT( _xlfn._xlws.FILTER($E:$E, ($C:$C=C4133)*($F:$F=F4133)) ) - 1</f>
        <v>-2.2110377680065962E-2</v>
      </c>
    </row>
    <row r="4134" spans="1:7" x14ac:dyDescent="0.2">
      <c r="A4134" s="1">
        <v>41442</v>
      </c>
      <c r="B4134">
        <v>0</v>
      </c>
      <c r="C4134" t="s">
        <v>14</v>
      </c>
      <c r="D4134">
        <v>9.044E-3</v>
      </c>
      <c r="E4134">
        <f t="shared" si="128"/>
        <v>1.0090440000000001</v>
      </c>
      <c r="F4134" s="1">
        <f t="shared" si="129"/>
        <v>41442</v>
      </c>
      <c r="G4134" cm="1">
        <f t="array" ref="G4134">PRODUCT( _xlfn._xlws.FILTER($E:$E, ($C:$C=C4134)*($F:$F=F4134)) ) - 1</f>
        <v>-5.1675153537239504E-3</v>
      </c>
    </row>
    <row r="4135" spans="1:7" x14ac:dyDescent="0.2">
      <c r="A4135" s="1">
        <v>41443</v>
      </c>
      <c r="B4135">
        <v>0</v>
      </c>
      <c r="C4135" t="s">
        <v>14</v>
      </c>
      <c r="D4135">
        <v>1.6324999999999999E-2</v>
      </c>
      <c r="E4135">
        <f t="shared" si="128"/>
        <v>1.0163249999999999</v>
      </c>
      <c r="F4135" s="1">
        <f t="shared" si="129"/>
        <v>41442</v>
      </c>
      <c r="G4135" cm="1">
        <f t="array" ref="G4135">PRODUCT( _xlfn._xlws.FILTER($E:$E, ($C:$C=C4135)*($F:$F=F4135)) ) - 1</f>
        <v>-5.1675153537239504E-3</v>
      </c>
    </row>
    <row r="4136" spans="1:7" x14ac:dyDescent="0.2">
      <c r="A4136" s="1">
        <v>41444</v>
      </c>
      <c r="B4136">
        <v>0</v>
      </c>
      <c r="C4136" t="s">
        <v>14</v>
      </c>
      <c r="D4136">
        <v>-7.5589999999999997E-3</v>
      </c>
      <c r="E4136">
        <f t="shared" si="128"/>
        <v>0.99244100000000002</v>
      </c>
      <c r="F4136" s="1">
        <f t="shared" si="129"/>
        <v>41442</v>
      </c>
      <c r="G4136" cm="1">
        <f t="array" ref="G4136">PRODUCT( _xlfn._xlws.FILTER($E:$E, ($C:$C=C4136)*($F:$F=F4136)) ) - 1</f>
        <v>-5.1675153537239504E-3</v>
      </c>
    </row>
    <row r="4137" spans="1:7" x14ac:dyDescent="0.2">
      <c r="A4137" s="1">
        <v>41445</v>
      </c>
      <c r="B4137">
        <v>0</v>
      </c>
      <c r="C4137" t="s">
        <v>14</v>
      </c>
      <c r="D4137">
        <v>-2.1579999999999998E-2</v>
      </c>
      <c r="E4137">
        <f t="shared" si="128"/>
        <v>0.97841999999999996</v>
      </c>
      <c r="F4137" s="1">
        <f t="shared" si="129"/>
        <v>41442</v>
      </c>
      <c r="G4137" cm="1">
        <f t="array" ref="G4137">PRODUCT( _xlfn._xlws.FILTER($E:$E, ($C:$C=C4137)*($F:$F=F4137)) ) - 1</f>
        <v>-5.1675153537239504E-3</v>
      </c>
    </row>
    <row r="4138" spans="1:7" x14ac:dyDescent="0.2">
      <c r="A4138" s="1">
        <v>41446</v>
      </c>
      <c r="B4138">
        <v>0</v>
      </c>
      <c r="C4138" t="s">
        <v>14</v>
      </c>
      <c r="D4138">
        <v>-9.7300000000000002E-4</v>
      </c>
      <c r="E4138">
        <f t="shared" si="128"/>
        <v>0.999027</v>
      </c>
      <c r="F4138" s="1">
        <f t="shared" si="129"/>
        <v>41442</v>
      </c>
      <c r="G4138" cm="1">
        <f t="array" ref="G4138">PRODUCT( _xlfn._xlws.FILTER($E:$E, ($C:$C=C4138)*($F:$F=F4138)) ) - 1</f>
        <v>-5.1675153537239504E-3</v>
      </c>
    </row>
    <row r="4139" spans="1:7" x14ac:dyDescent="0.2">
      <c r="A4139" s="1">
        <v>41449</v>
      </c>
      <c r="B4139">
        <v>0</v>
      </c>
      <c r="C4139" t="s">
        <v>14</v>
      </c>
      <c r="D4139">
        <v>-1.4286E-2</v>
      </c>
      <c r="E4139">
        <f t="shared" si="128"/>
        <v>0.98571399999999998</v>
      </c>
      <c r="F4139" s="1">
        <f t="shared" si="129"/>
        <v>41449</v>
      </c>
      <c r="G4139" cm="1">
        <f t="array" ref="G4139">PRODUCT( _xlfn._xlws.FILTER($E:$E, ($C:$C=C4139)*($F:$F=F4139)) ) - 1</f>
        <v>6.4932512850823798E-3</v>
      </c>
    </row>
    <row r="4140" spans="1:7" x14ac:dyDescent="0.2">
      <c r="A4140" s="1">
        <v>41450</v>
      </c>
      <c r="B4140">
        <v>0</v>
      </c>
      <c r="C4140" t="s">
        <v>14</v>
      </c>
      <c r="D4140">
        <v>3.2899999999999997E-4</v>
      </c>
      <c r="E4140">
        <f t="shared" si="128"/>
        <v>1.000329</v>
      </c>
      <c r="F4140" s="1">
        <f t="shared" si="129"/>
        <v>41449</v>
      </c>
      <c r="G4140" cm="1">
        <f t="array" ref="G4140">PRODUCT( _xlfn._xlws.FILTER($E:$E, ($C:$C=C4140)*($F:$F=F4140)) ) - 1</f>
        <v>6.4932512850823798E-3</v>
      </c>
    </row>
    <row r="4141" spans="1:7" x14ac:dyDescent="0.2">
      <c r="A4141" s="1">
        <v>41451</v>
      </c>
      <c r="B4141">
        <v>0</v>
      </c>
      <c r="C4141" t="s">
        <v>14</v>
      </c>
      <c r="D4141">
        <v>2.3050000000000002E-3</v>
      </c>
      <c r="E4141">
        <f t="shared" si="128"/>
        <v>1.002305</v>
      </c>
      <c r="F4141" s="1">
        <f t="shared" si="129"/>
        <v>41449</v>
      </c>
      <c r="G4141" cm="1">
        <f t="array" ref="G4141">PRODUCT( _xlfn._xlws.FILTER($E:$E, ($C:$C=C4141)*($F:$F=F4141)) ) - 1</f>
        <v>6.4932512850823798E-3</v>
      </c>
    </row>
    <row r="4142" spans="1:7" x14ac:dyDescent="0.2">
      <c r="A4142" s="1">
        <v>41452</v>
      </c>
      <c r="B4142">
        <v>0</v>
      </c>
      <c r="C4142" t="s">
        <v>14</v>
      </c>
      <c r="D4142">
        <v>1.3141E-2</v>
      </c>
      <c r="E4142">
        <f t="shared" si="128"/>
        <v>1.0131410000000001</v>
      </c>
      <c r="F4142" s="1">
        <f t="shared" si="129"/>
        <v>41449</v>
      </c>
      <c r="G4142" cm="1">
        <f t="array" ref="G4142">PRODUCT( _xlfn._xlws.FILTER($E:$E, ($C:$C=C4142)*($F:$F=F4142)) ) - 1</f>
        <v>6.4932512850823798E-3</v>
      </c>
    </row>
    <row r="4143" spans="1:7" x14ac:dyDescent="0.2">
      <c r="A4143" s="1">
        <v>41453</v>
      </c>
      <c r="B4143">
        <v>0</v>
      </c>
      <c r="C4143" t="s">
        <v>14</v>
      </c>
      <c r="D4143">
        <v>5.1879999999999999E-3</v>
      </c>
      <c r="E4143">
        <f t="shared" si="128"/>
        <v>1.005188</v>
      </c>
      <c r="F4143" s="1">
        <f t="shared" si="129"/>
        <v>41449</v>
      </c>
      <c r="G4143" cm="1">
        <f t="array" ref="G4143">PRODUCT( _xlfn._xlws.FILTER($E:$E, ($C:$C=C4143)*($F:$F=F4143)) ) - 1</f>
        <v>6.4932512850823798E-3</v>
      </c>
    </row>
    <row r="4144" spans="1:7" x14ac:dyDescent="0.2">
      <c r="A4144" s="1">
        <v>41457</v>
      </c>
      <c r="B4144">
        <v>0</v>
      </c>
      <c r="C4144" t="s">
        <v>14</v>
      </c>
      <c r="D4144">
        <v>6.4520000000000003E-3</v>
      </c>
      <c r="E4144">
        <f t="shared" si="128"/>
        <v>1.0064519999999999</v>
      </c>
      <c r="F4144" s="1">
        <f t="shared" si="129"/>
        <v>41456</v>
      </c>
      <c r="G4144" cm="1">
        <f t="array" ref="G4144">PRODUCT( _xlfn._xlws.FILTER($E:$E, ($C:$C=C4144)*($F:$F=F4144)) ) - 1</f>
        <v>4.193899931340006E-3</v>
      </c>
    </row>
    <row r="4145" spans="1:7" x14ac:dyDescent="0.2">
      <c r="A4145" s="1">
        <v>41458</v>
      </c>
      <c r="B4145">
        <v>0</v>
      </c>
      <c r="C4145" t="s">
        <v>14</v>
      </c>
      <c r="D4145">
        <v>-1.2819999999999999E-3</v>
      </c>
      <c r="E4145">
        <f t="shared" si="128"/>
        <v>0.99871799999999999</v>
      </c>
      <c r="F4145" s="1">
        <f t="shared" si="129"/>
        <v>41456</v>
      </c>
      <c r="G4145" cm="1">
        <f t="array" ref="G4145">PRODUCT( _xlfn._xlws.FILTER($E:$E, ($C:$C=C4145)*($F:$F=F4145)) ) - 1</f>
        <v>4.193899931340006E-3</v>
      </c>
    </row>
    <row r="4146" spans="1:7" x14ac:dyDescent="0.2">
      <c r="A4146" s="1">
        <v>41459</v>
      </c>
      <c r="B4146">
        <v>0</v>
      </c>
      <c r="C4146" t="s">
        <v>14</v>
      </c>
      <c r="D4146">
        <v>-1.926E-3</v>
      </c>
      <c r="E4146">
        <f t="shared" si="128"/>
        <v>0.99807400000000002</v>
      </c>
      <c r="F4146" s="1">
        <f t="shared" si="129"/>
        <v>41456</v>
      </c>
      <c r="G4146" cm="1">
        <f t="array" ref="G4146">PRODUCT( _xlfn._xlws.FILTER($E:$E, ($C:$C=C4146)*($F:$F=F4146)) ) - 1</f>
        <v>4.193899931340006E-3</v>
      </c>
    </row>
    <row r="4147" spans="1:7" x14ac:dyDescent="0.2">
      <c r="A4147" s="1">
        <v>41460</v>
      </c>
      <c r="B4147">
        <v>0</v>
      </c>
      <c r="C4147" t="s">
        <v>14</v>
      </c>
      <c r="D4147">
        <v>9.6500000000000004E-4</v>
      </c>
      <c r="E4147">
        <f t="shared" si="128"/>
        <v>1.0009650000000001</v>
      </c>
      <c r="F4147" s="1">
        <f t="shared" si="129"/>
        <v>41456</v>
      </c>
      <c r="G4147" cm="1">
        <f t="array" ref="G4147">PRODUCT( _xlfn._xlws.FILTER($E:$E, ($C:$C=C4147)*($F:$F=F4147)) ) - 1</f>
        <v>4.193899931340006E-3</v>
      </c>
    </row>
    <row r="4148" spans="1:7" x14ac:dyDescent="0.2">
      <c r="A4148" s="1">
        <v>41463</v>
      </c>
      <c r="B4148">
        <v>0</v>
      </c>
      <c r="C4148" t="s">
        <v>14</v>
      </c>
      <c r="D4148">
        <v>1.5098E-2</v>
      </c>
      <c r="E4148">
        <f t="shared" si="128"/>
        <v>1.0150980000000001</v>
      </c>
      <c r="F4148" s="1">
        <f t="shared" si="129"/>
        <v>41463</v>
      </c>
      <c r="G4148" cm="1">
        <f t="array" ref="G4148">PRODUCT( _xlfn._xlws.FILTER($E:$E, ($C:$C=C4148)*($F:$F=F4148)) ) - 1</f>
        <v>4.2081883031268585E-2</v>
      </c>
    </row>
    <row r="4149" spans="1:7" x14ac:dyDescent="0.2">
      <c r="A4149" s="1">
        <v>41464</v>
      </c>
      <c r="B4149">
        <v>0</v>
      </c>
      <c r="C4149" t="s">
        <v>14</v>
      </c>
      <c r="D4149">
        <v>1.2024999999999999E-2</v>
      </c>
      <c r="E4149">
        <f t="shared" si="128"/>
        <v>1.012025</v>
      </c>
      <c r="F4149" s="1">
        <f t="shared" si="129"/>
        <v>41463</v>
      </c>
      <c r="G4149" cm="1">
        <f t="array" ref="G4149">PRODUCT( _xlfn._xlws.FILTER($E:$E, ($C:$C=C4149)*($F:$F=F4149)) ) - 1</f>
        <v>4.2081883031268585E-2</v>
      </c>
    </row>
    <row r="4150" spans="1:7" x14ac:dyDescent="0.2">
      <c r="A4150" s="1">
        <v>41465</v>
      </c>
      <c r="B4150">
        <v>0</v>
      </c>
      <c r="C4150" t="s">
        <v>14</v>
      </c>
      <c r="D4150">
        <v>5.0029999999999996E-3</v>
      </c>
      <c r="E4150">
        <f t="shared" si="128"/>
        <v>1.0050030000000001</v>
      </c>
      <c r="F4150" s="1">
        <f t="shared" si="129"/>
        <v>41463</v>
      </c>
      <c r="G4150" cm="1">
        <f t="array" ref="G4150">PRODUCT( _xlfn._xlws.FILTER($E:$E, ($C:$C=C4150)*($F:$F=F4150)) ) - 1</f>
        <v>4.2081883031268585E-2</v>
      </c>
    </row>
    <row r="4151" spans="1:7" x14ac:dyDescent="0.2">
      <c r="A4151" s="1">
        <v>41466</v>
      </c>
      <c r="B4151">
        <v>0</v>
      </c>
      <c r="C4151" t="s">
        <v>14</v>
      </c>
      <c r="D4151">
        <v>2.5825000000000001E-2</v>
      </c>
      <c r="E4151">
        <f t="shared" si="128"/>
        <v>1.025825</v>
      </c>
      <c r="F4151" s="1">
        <f t="shared" si="129"/>
        <v>41463</v>
      </c>
      <c r="G4151" cm="1">
        <f t="array" ref="G4151">PRODUCT( _xlfn._xlws.FILTER($E:$E, ($C:$C=C4151)*($F:$F=F4151)) ) - 1</f>
        <v>4.2081883031268585E-2</v>
      </c>
    </row>
    <row r="4152" spans="1:7" x14ac:dyDescent="0.2">
      <c r="A4152" s="1">
        <v>41467</v>
      </c>
      <c r="B4152">
        <v>0</v>
      </c>
      <c r="C4152" t="s">
        <v>14</v>
      </c>
      <c r="D4152">
        <v>-1.6074999999999999E-2</v>
      </c>
      <c r="E4152">
        <f t="shared" si="128"/>
        <v>0.98392500000000005</v>
      </c>
      <c r="F4152" s="1">
        <f t="shared" si="129"/>
        <v>41463</v>
      </c>
      <c r="G4152" cm="1">
        <f t="array" ref="G4152">PRODUCT( _xlfn._xlws.FILTER($E:$E, ($C:$C=C4152)*($F:$F=F4152)) ) - 1</f>
        <v>4.2081883031268585E-2</v>
      </c>
    </row>
    <row r="4153" spans="1:7" x14ac:dyDescent="0.2">
      <c r="A4153" s="1">
        <v>41470</v>
      </c>
      <c r="B4153">
        <v>0</v>
      </c>
      <c r="C4153" t="s">
        <v>14</v>
      </c>
      <c r="D4153">
        <v>-4.3160000000000004E-3</v>
      </c>
      <c r="E4153">
        <f t="shared" si="128"/>
        <v>0.99568400000000001</v>
      </c>
      <c r="F4153" s="1">
        <f t="shared" si="129"/>
        <v>41470</v>
      </c>
      <c r="G4153" cm="1">
        <f t="array" ref="G4153">PRODUCT( _xlfn._xlws.FILTER($E:$E, ($C:$C=C4153)*($F:$F=F4153)) ) - 1</f>
        <v>1.7262237482922771E-2</v>
      </c>
    </row>
    <row r="4154" spans="1:7" x14ac:dyDescent="0.2">
      <c r="A4154" s="1">
        <v>41471</v>
      </c>
      <c r="B4154">
        <v>0</v>
      </c>
      <c r="C4154" t="s">
        <v>14</v>
      </c>
      <c r="D4154">
        <v>4.0249999999999999E-3</v>
      </c>
      <c r="E4154">
        <f t="shared" si="128"/>
        <v>1.0040249999999999</v>
      </c>
      <c r="F4154" s="1">
        <f t="shared" si="129"/>
        <v>41470</v>
      </c>
      <c r="G4154" cm="1">
        <f t="array" ref="G4154">PRODUCT( _xlfn._xlws.FILTER($E:$E, ($C:$C=C4154)*($F:$F=F4154)) ) - 1</f>
        <v>1.7262237482922771E-2</v>
      </c>
    </row>
    <row r="4155" spans="1:7" x14ac:dyDescent="0.2">
      <c r="A4155" s="1">
        <v>41472</v>
      </c>
      <c r="B4155">
        <v>0</v>
      </c>
      <c r="C4155" t="s">
        <v>14</v>
      </c>
      <c r="D4155">
        <v>6.1669999999999997E-3</v>
      </c>
      <c r="E4155">
        <f t="shared" si="128"/>
        <v>1.006167</v>
      </c>
      <c r="F4155" s="1">
        <f t="shared" si="129"/>
        <v>41470</v>
      </c>
      <c r="G4155" cm="1">
        <f t="array" ref="G4155">PRODUCT( _xlfn._xlws.FILTER($E:$E, ($C:$C=C4155)*($F:$F=F4155)) ) - 1</f>
        <v>1.7262237482922771E-2</v>
      </c>
    </row>
    <row r="4156" spans="1:7" x14ac:dyDescent="0.2">
      <c r="A4156" s="1">
        <v>41473</v>
      </c>
      <c r="B4156">
        <v>0</v>
      </c>
      <c r="C4156" t="s">
        <v>14</v>
      </c>
      <c r="D4156">
        <v>-2.4520000000000002E-3</v>
      </c>
      <c r="E4156">
        <f t="shared" si="128"/>
        <v>0.99754799999999999</v>
      </c>
      <c r="F4156" s="1">
        <f t="shared" si="129"/>
        <v>41470</v>
      </c>
      <c r="G4156" cm="1">
        <f t="array" ref="G4156">PRODUCT( _xlfn._xlws.FILTER($E:$E, ($C:$C=C4156)*($F:$F=F4156)) ) - 1</f>
        <v>1.7262237482922771E-2</v>
      </c>
    </row>
    <row r="4157" spans="1:7" x14ac:dyDescent="0.2">
      <c r="A4157" s="1">
        <v>41474</v>
      </c>
      <c r="B4157">
        <v>0</v>
      </c>
      <c r="C4157" t="s">
        <v>14</v>
      </c>
      <c r="D4157">
        <v>1.3825E-2</v>
      </c>
      <c r="E4157">
        <f t="shared" si="128"/>
        <v>1.013825</v>
      </c>
      <c r="F4157" s="1">
        <f t="shared" si="129"/>
        <v>41470</v>
      </c>
      <c r="G4157" cm="1">
        <f t="array" ref="G4157">PRODUCT( _xlfn._xlws.FILTER($E:$E, ($C:$C=C4157)*($F:$F=F4157)) ) - 1</f>
        <v>1.7262237482922771E-2</v>
      </c>
    </row>
    <row r="4158" spans="1:7" x14ac:dyDescent="0.2">
      <c r="A4158" s="1">
        <v>41477</v>
      </c>
      <c r="B4158">
        <v>0</v>
      </c>
      <c r="C4158" t="s">
        <v>14</v>
      </c>
      <c r="D4158">
        <v>2.7269999999999998E-3</v>
      </c>
      <c r="E4158">
        <f t="shared" si="128"/>
        <v>1.0027269999999999</v>
      </c>
      <c r="F4158" s="1">
        <f t="shared" si="129"/>
        <v>41477</v>
      </c>
      <c r="G4158" cm="1">
        <f t="array" ref="G4158">PRODUCT( _xlfn._xlws.FILTER($E:$E, ($C:$C=C4158)*($F:$F=F4158)) ) - 1</f>
        <v>-1.2121004638551813E-2</v>
      </c>
    </row>
    <row r="4159" spans="1:7" x14ac:dyDescent="0.2">
      <c r="A4159" s="1">
        <v>41478</v>
      </c>
      <c r="B4159">
        <v>0</v>
      </c>
      <c r="C4159" t="s">
        <v>14</v>
      </c>
      <c r="D4159">
        <v>4.2310000000000004E-3</v>
      </c>
      <c r="E4159">
        <f t="shared" si="128"/>
        <v>1.0042310000000001</v>
      </c>
      <c r="F4159" s="1">
        <f t="shared" si="129"/>
        <v>41477</v>
      </c>
      <c r="G4159" cm="1">
        <f t="array" ref="G4159">PRODUCT( _xlfn._xlws.FILTER($E:$E, ($C:$C=C4159)*($F:$F=F4159)) ) - 1</f>
        <v>-1.2121004638551813E-2</v>
      </c>
    </row>
    <row r="4160" spans="1:7" x14ac:dyDescent="0.2">
      <c r="A4160" s="1">
        <v>41479</v>
      </c>
      <c r="B4160">
        <v>0</v>
      </c>
      <c r="C4160" t="s">
        <v>14</v>
      </c>
      <c r="D4160">
        <v>-1.1736E-2</v>
      </c>
      <c r="E4160">
        <f t="shared" si="128"/>
        <v>0.98826400000000003</v>
      </c>
      <c r="F4160" s="1">
        <f t="shared" si="129"/>
        <v>41477</v>
      </c>
      <c r="G4160" cm="1">
        <f t="array" ref="G4160">PRODUCT( _xlfn._xlws.FILTER($E:$E, ($C:$C=C4160)*($F:$F=F4160)) ) - 1</f>
        <v>-1.2121004638551813E-2</v>
      </c>
    </row>
    <row r="4161" spans="1:7" x14ac:dyDescent="0.2">
      <c r="A4161" s="1">
        <v>41480</v>
      </c>
      <c r="B4161">
        <v>0</v>
      </c>
      <c r="C4161" t="s">
        <v>14</v>
      </c>
      <c r="D4161">
        <v>-1.5219999999999999E-3</v>
      </c>
      <c r="E4161">
        <f t="shared" si="128"/>
        <v>0.99847799999999998</v>
      </c>
      <c r="F4161" s="1">
        <f t="shared" si="129"/>
        <v>41477</v>
      </c>
      <c r="G4161" cm="1">
        <f t="array" ref="G4161">PRODUCT( _xlfn._xlws.FILTER($E:$E, ($C:$C=C4161)*($F:$F=F4161)) ) - 1</f>
        <v>-1.2121004638551813E-2</v>
      </c>
    </row>
    <row r="4162" spans="1:7" x14ac:dyDescent="0.2">
      <c r="A4162" s="1">
        <v>41481</v>
      </c>
      <c r="B4162">
        <v>0</v>
      </c>
      <c r="C4162" t="s">
        <v>14</v>
      </c>
      <c r="D4162">
        <v>-5.7949999999999998E-3</v>
      </c>
      <c r="E4162">
        <f t="shared" si="128"/>
        <v>0.99420500000000001</v>
      </c>
      <c r="F4162" s="1">
        <f t="shared" si="129"/>
        <v>41477</v>
      </c>
      <c r="G4162" cm="1">
        <f t="array" ref="G4162">PRODUCT( _xlfn._xlws.FILTER($E:$E, ($C:$C=C4162)*($F:$F=F4162)) ) - 1</f>
        <v>-1.2121004638551813E-2</v>
      </c>
    </row>
    <row r="4163" spans="1:7" x14ac:dyDescent="0.2">
      <c r="A4163" s="1">
        <v>41484</v>
      </c>
      <c r="B4163">
        <v>0</v>
      </c>
      <c r="C4163" t="s">
        <v>14</v>
      </c>
      <c r="D4163">
        <v>2.454E-3</v>
      </c>
      <c r="E4163">
        <f t="shared" si="128"/>
        <v>1.002454</v>
      </c>
      <c r="F4163" s="1">
        <f t="shared" si="129"/>
        <v>41484</v>
      </c>
      <c r="G4163" cm="1">
        <f t="array" ref="G4163">PRODUCT( _xlfn._xlws.FILTER($E:$E, ($C:$C=C4163)*($F:$F=F4163)) ) - 1</f>
        <v>4.0183840899887802E-2</v>
      </c>
    </row>
    <row r="4164" spans="1:7" x14ac:dyDescent="0.2">
      <c r="A4164" s="1">
        <v>41485</v>
      </c>
      <c r="B4164">
        <v>0</v>
      </c>
      <c r="C4164" t="s">
        <v>14</v>
      </c>
      <c r="D4164">
        <v>6.1200000000000002E-4</v>
      </c>
      <c r="E4164">
        <f t="shared" ref="E4164:E4227" si="130">D4164+1</f>
        <v>1.0006120000000001</v>
      </c>
      <c r="F4164" s="1">
        <f t="shared" ref="F4164:F4227" si="131">A4164 - (WEEKDAY(A4164, 2) - 1)</f>
        <v>41484</v>
      </c>
      <c r="G4164" cm="1">
        <f t="array" ref="G4164">PRODUCT( _xlfn._xlws.FILTER($E:$E, ($C:$C=C4164)*($F:$F=F4164)) ) - 1</f>
        <v>4.0183840899887802E-2</v>
      </c>
    </row>
    <row r="4165" spans="1:7" x14ac:dyDescent="0.2">
      <c r="A4165" s="1">
        <v>41486</v>
      </c>
      <c r="B4165">
        <v>0</v>
      </c>
      <c r="C4165" t="s">
        <v>14</v>
      </c>
      <c r="D4165">
        <v>-7.339E-3</v>
      </c>
      <c r="E4165">
        <f t="shared" si="130"/>
        <v>0.99266100000000002</v>
      </c>
      <c r="F4165" s="1">
        <f t="shared" si="131"/>
        <v>41484</v>
      </c>
      <c r="G4165" cm="1">
        <f t="array" ref="G4165">PRODUCT( _xlfn._xlws.FILTER($E:$E, ($C:$C=C4165)*($F:$F=F4165)) ) - 1</f>
        <v>4.0183840899887802E-2</v>
      </c>
    </row>
    <row r="4166" spans="1:7" x14ac:dyDescent="0.2">
      <c r="A4166" s="1">
        <v>41487</v>
      </c>
      <c r="B4166">
        <v>0</v>
      </c>
      <c r="C4166" t="s">
        <v>14</v>
      </c>
      <c r="D4166">
        <v>3.9433000000000003E-2</v>
      </c>
      <c r="E4166">
        <f t="shared" si="130"/>
        <v>1.0394330000000001</v>
      </c>
      <c r="F4166" s="1">
        <f t="shared" si="131"/>
        <v>41484</v>
      </c>
      <c r="G4166" cm="1">
        <f t="array" ref="G4166">PRODUCT( _xlfn._xlws.FILTER($E:$E, ($C:$C=C4166)*($F:$F=F4166)) ) - 1</f>
        <v>4.0183840899887802E-2</v>
      </c>
    </row>
    <row r="4167" spans="1:7" x14ac:dyDescent="0.2">
      <c r="A4167" s="1">
        <v>41488</v>
      </c>
      <c r="B4167">
        <v>0</v>
      </c>
      <c r="C4167" t="s">
        <v>14</v>
      </c>
      <c r="D4167">
        <v>5.0379999999999999E-3</v>
      </c>
      <c r="E4167">
        <f t="shared" si="130"/>
        <v>1.0050380000000001</v>
      </c>
      <c r="F4167" s="1">
        <f t="shared" si="131"/>
        <v>41484</v>
      </c>
      <c r="G4167" cm="1">
        <f t="array" ref="G4167">PRODUCT( _xlfn._xlws.FILTER($E:$E, ($C:$C=C4167)*($F:$F=F4167)) ) - 1</f>
        <v>4.0183840899887802E-2</v>
      </c>
    </row>
    <row r="4168" spans="1:7" x14ac:dyDescent="0.2">
      <c r="A4168" s="1">
        <v>41492</v>
      </c>
      <c r="B4168">
        <v>0</v>
      </c>
      <c r="C4168" t="s">
        <v>14</v>
      </c>
      <c r="D4168">
        <v>-8.2570000000000005E-3</v>
      </c>
      <c r="E4168">
        <f t="shared" si="130"/>
        <v>0.99174300000000004</v>
      </c>
      <c r="F4168" s="1">
        <f t="shared" si="131"/>
        <v>41491</v>
      </c>
      <c r="G4168" cm="1">
        <f t="array" ref="G4168">PRODUCT( _xlfn._xlws.FILTER($E:$E, ($C:$C=C4168)*($F:$F=F4168)) ) - 1</f>
        <v>-2.064329419493971E-2</v>
      </c>
    </row>
    <row r="4169" spans="1:7" x14ac:dyDescent="0.2">
      <c r="A4169" s="1">
        <v>41493</v>
      </c>
      <c r="B4169">
        <v>0</v>
      </c>
      <c r="C4169" t="s">
        <v>14</v>
      </c>
      <c r="D4169">
        <v>-6.5420000000000001E-3</v>
      </c>
      <c r="E4169">
        <f t="shared" si="130"/>
        <v>0.99345799999999995</v>
      </c>
      <c r="F4169" s="1">
        <f t="shared" si="131"/>
        <v>41491</v>
      </c>
      <c r="G4169" cm="1">
        <f t="array" ref="G4169">PRODUCT( _xlfn._xlws.FILTER($E:$E, ($C:$C=C4169)*($F:$F=F4169)) ) - 1</f>
        <v>-2.064329419493971E-2</v>
      </c>
    </row>
    <row r="4170" spans="1:7" x14ac:dyDescent="0.2">
      <c r="A4170" s="1">
        <v>41494</v>
      </c>
      <c r="B4170">
        <v>0</v>
      </c>
      <c r="C4170" t="s">
        <v>14</v>
      </c>
      <c r="D4170">
        <v>-8.6800000000000002E-3</v>
      </c>
      <c r="E4170">
        <f t="shared" si="130"/>
        <v>0.99131999999999998</v>
      </c>
      <c r="F4170" s="1">
        <f t="shared" si="131"/>
        <v>41491</v>
      </c>
      <c r="G4170" cm="1">
        <f t="array" ref="G4170">PRODUCT( _xlfn._xlws.FILTER($E:$E, ($C:$C=C4170)*($F:$F=F4170)) ) - 1</f>
        <v>-2.064329419493971E-2</v>
      </c>
    </row>
    <row r="4171" spans="1:7" x14ac:dyDescent="0.2">
      <c r="A4171" s="1">
        <v>41495</v>
      </c>
      <c r="B4171">
        <v>0</v>
      </c>
      <c r="C4171" t="s">
        <v>14</v>
      </c>
      <c r="D4171">
        <v>2.7169999999999998E-3</v>
      </c>
      <c r="E4171">
        <f t="shared" si="130"/>
        <v>1.0027170000000001</v>
      </c>
      <c r="F4171" s="1">
        <f t="shared" si="131"/>
        <v>41491</v>
      </c>
      <c r="G4171" cm="1">
        <f t="array" ref="G4171">PRODUCT( _xlfn._xlws.FILTER($E:$E, ($C:$C=C4171)*($F:$F=F4171)) ) - 1</f>
        <v>-2.064329419493971E-2</v>
      </c>
    </row>
    <row r="4172" spans="1:7" x14ac:dyDescent="0.2">
      <c r="A4172" s="1">
        <v>41498</v>
      </c>
      <c r="B4172">
        <v>0</v>
      </c>
      <c r="C4172" t="s">
        <v>14</v>
      </c>
      <c r="D4172">
        <v>-2.4090000000000001E-3</v>
      </c>
      <c r="E4172">
        <f t="shared" si="130"/>
        <v>0.99759100000000001</v>
      </c>
      <c r="F4172" s="1">
        <f t="shared" si="131"/>
        <v>41498</v>
      </c>
      <c r="G4172" cm="1">
        <f t="array" ref="G4172">PRODUCT( _xlfn._xlws.FILTER($E:$E, ($C:$C=C4172)*($F:$F=F4172)) ) - 1</f>
        <v>6.383710182038782E-2</v>
      </c>
    </row>
    <row r="4173" spans="1:7" x14ac:dyDescent="0.2">
      <c r="A4173" s="1">
        <v>41499</v>
      </c>
      <c r="B4173">
        <v>0</v>
      </c>
      <c r="C4173" t="s">
        <v>14</v>
      </c>
      <c r="D4173">
        <v>-6.0400000000000004E-4</v>
      </c>
      <c r="E4173">
        <f t="shared" si="130"/>
        <v>0.99939599999999995</v>
      </c>
      <c r="F4173" s="1">
        <f t="shared" si="131"/>
        <v>41498</v>
      </c>
      <c r="G4173" cm="1">
        <f t="array" ref="G4173">PRODUCT( _xlfn._xlws.FILTER($E:$E, ($C:$C=C4173)*($F:$F=F4173)) ) - 1</f>
        <v>6.383710182038782E-2</v>
      </c>
    </row>
    <row r="4174" spans="1:7" x14ac:dyDescent="0.2">
      <c r="A4174" s="1">
        <v>41500</v>
      </c>
      <c r="B4174">
        <v>0</v>
      </c>
      <c r="C4174" t="s">
        <v>14</v>
      </c>
      <c r="D4174">
        <v>2.0538000000000001E-2</v>
      </c>
      <c r="E4174">
        <f t="shared" si="130"/>
        <v>1.0205379999999999</v>
      </c>
      <c r="F4174" s="1">
        <f t="shared" si="131"/>
        <v>41498</v>
      </c>
      <c r="G4174" cm="1">
        <f t="array" ref="G4174">PRODUCT( _xlfn._xlws.FILTER($E:$E, ($C:$C=C4174)*($F:$F=F4174)) ) - 1</f>
        <v>6.383710182038782E-2</v>
      </c>
    </row>
    <row r="4175" spans="1:7" x14ac:dyDescent="0.2">
      <c r="A4175" s="1">
        <v>41501</v>
      </c>
      <c r="B4175">
        <v>0</v>
      </c>
      <c r="C4175" t="s">
        <v>14</v>
      </c>
      <c r="D4175">
        <v>3.4922000000000002E-2</v>
      </c>
      <c r="E4175">
        <f t="shared" si="130"/>
        <v>1.0349219999999999</v>
      </c>
      <c r="F4175" s="1">
        <f t="shared" si="131"/>
        <v>41498</v>
      </c>
      <c r="G4175" cm="1">
        <f t="array" ref="G4175">PRODUCT( _xlfn._xlws.FILTER($E:$E, ($C:$C=C4175)*($F:$F=F4175)) ) - 1</f>
        <v>6.383710182038782E-2</v>
      </c>
    </row>
    <row r="4176" spans="1:7" x14ac:dyDescent="0.2">
      <c r="A4176" s="1">
        <v>41502</v>
      </c>
      <c r="B4176">
        <v>0</v>
      </c>
      <c r="C4176" t="s">
        <v>14</v>
      </c>
      <c r="D4176">
        <v>1.0295E-2</v>
      </c>
      <c r="E4176">
        <f t="shared" si="130"/>
        <v>1.0102949999999999</v>
      </c>
      <c r="F4176" s="1">
        <f t="shared" si="131"/>
        <v>41498</v>
      </c>
      <c r="G4176" cm="1">
        <f t="array" ref="G4176">PRODUCT( _xlfn._xlws.FILTER($E:$E, ($C:$C=C4176)*($F:$F=F4176)) ) - 1</f>
        <v>6.383710182038782E-2</v>
      </c>
    </row>
    <row r="4177" spans="1:7" x14ac:dyDescent="0.2">
      <c r="A4177" s="1">
        <v>41505</v>
      </c>
      <c r="B4177">
        <v>0</v>
      </c>
      <c r="C4177" t="s">
        <v>14</v>
      </c>
      <c r="D4177">
        <v>-1.1322E-2</v>
      </c>
      <c r="E4177">
        <f t="shared" si="130"/>
        <v>0.98867799999999995</v>
      </c>
      <c r="F4177" s="1">
        <f t="shared" si="131"/>
        <v>41505</v>
      </c>
      <c r="G4177" cm="1">
        <f t="array" ref="G4177">PRODUCT( _xlfn._xlws.FILTER($E:$E, ($C:$C=C4177)*($F:$F=F4177)) ) - 1</f>
        <v>2.0661725908030615E-2</v>
      </c>
    </row>
    <row r="4178" spans="1:7" x14ac:dyDescent="0.2">
      <c r="A4178" s="1">
        <v>41506</v>
      </c>
      <c r="B4178">
        <v>0</v>
      </c>
      <c r="C4178" t="s">
        <v>14</v>
      </c>
      <c r="D4178">
        <v>-8.5899999999999995E-4</v>
      </c>
      <c r="E4178">
        <f t="shared" si="130"/>
        <v>0.99914099999999995</v>
      </c>
      <c r="F4178" s="1">
        <f t="shared" si="131"/>
        <v>41505</v>
      </c>
      <c r="G4178" cm="1">
        <f t="array" ref="G4178">PRODUCT( _xlfn._xlws.FILTER($E:$E, ($C:$C=C4178)*($F:$F=F4178)) ) - 1</f>
        <v>2.0661725908030615E-2</v>
      </c>
    </row>
    <row r="4179" spans="1:7" x14ac:dyDescent="0.2">
      <c r="A4179" s="1">
        <v>41507</v>
      </c>
      <c r="B4179">
        <v>0</v>
      </c>
      <c r="C4179" t="s">
        <v>14</v>
      </c>
      <c r="D4179">
        <v>-1.433E-3</v>
      </c>
      <c r="E4179">
        <f t="shared" si="130"/>
        <v>0.99856699999999998</v>
      </c>
      <c r="F4179" s="1">
        <f t="shared" si="131"/>
        <v>41505</v>
      </c>
      <c r="G4179" cm="1">
        <f t="array" ref="G4179">PRODUCT( _xlfn._xlws.FILTER($E:$E, ($C:$C=C4179)*($F:$F=F4179)) ) - 1</f>
        <v>2.0661725908030615E-2</v>
      </c>
    </row>
    <row r="4180" spans="1:7" x14ac:dyDescent="0.2">
      <c r="A4180" s="1">
        <v>41508</v>
      </c>
      <c r="B4180">
        <v>0</v>
      </c>
      <c r="C4180" t="s">
        <v>14</v>
      </c>
      <c r="D4180">
        <v>1.5207999999999999E-2</v>
      </c>
      <c r="E4180">
        <f t="shared" si="130"/>
        <v>1.0152079999999999</v>
      </c>
      <c r="F4180" s="1">
        <f t="shared" si="131"/>
        <v>41505</v>
      </c>
      <c r="G4180" cm="1">
        <f t="array" ref="G4180">PRODUCT( _xlfn._xlws.FILTER($E:$E, ($C:$C=C4180)*($F:$F=F4180)) ) - 1</f>
        <v>2.0661725908030615E-2</v>
      </c>
    </row>
    <row r="4181" spans="1:7" x14ac:dyDescent="0.2">
      <c r="A4181" s="1">
        <v>41509</v>
      </c>
      <c r="B4181">
        <v>0</v>
      </c>
      <c r="C4181" t="s">
        <v>14</v>
      </c>
      <c r="D4181">
        <v>1.9220000000000001E-2</v>
      </c>
      <c r="E4181">
        <f t="shared" si="130"/>
        <v>1.01922</v>
      </c>
      <c r="F4181" s="1">
        <f t="shared" si="131"/>
        <v>41505</v>
      </c>
      <c r="G4181" cm="1">
        <f t="array" ref="G4181">PRODUCT( _xlfn._xlws.FILTER($E:$E, ($C:$C=C4181)*($F:$F=F4181)) ) - 1</f>
        <v>2.0661725908030615E-2</v>
      </c>
    </row>
    <row r="4182" spans="1:7" x14ac:dyDescent="0.2">
      <c r="A4182" s="1">
        <v>41512</v>
      </c>
      <c r="B4182">
        <v>0</v>
      </c>
      <c r="C4182" t="s">
        <v>14</v>
      </c>
      <c r="D4182">
        <v>-6.9329999999999999E-3</v>
      </c>
      <c r="E4182">
        <f t="shared" si="130"/>
        <v>0.99306700000000003</v>
      </c>
      <c r="F4182" s="1">
        <f t="shared" si="131"/>
        <v>41512</v>
      </c>
      <c r="G4182" cm="1">
        <f t="array" ref="G4182">PRODUCT( _xlfn._xlws.FILTER($E:$E, ($C:$C=C4182)*($F:$F=F4182)) ) - 1</f>
        <v>-9.9819163991079485E-3</v>
      </c>
    </row>
    <row r="4183" spans="1:7" x14ac:dyDescent="0.2">
      <c r="A4183" s="1">
        <v>41513</v>
      </c>
      <c r="B4183">
        <v>0</v>
      </c>
      <c r="C4183" t="s">
        <v>14</v>
      </c>
      <c r="D4183">
        <v>8.378E-3</v>
      </c>
      <c r="E4183">
        <f t="shared" si="130"/>
        <v>1.008378</v>
      </c>
      <c r="F4183" s="1">
        <f t="shared" si="131"/>
        <v>41512</v>
      </c>
      <c r="G4183" cm="1">
        <f t="array" ref="G4183">PRODUCT( _xlfn._xlws.FILTER($E:$E, ($C:$C=C4183)*($F:$F=F4183)) ) - 1</f>
        <v>-9.9819163991079485E-3</v>
      </c>
    </row>
    <row r="4184" spans="1:7" x14ac:dyDescent="0.2">
      <c r="A4184" s="1">
        <v>41514</v>
      </c>
      <c r="B4184">
        <v>0</v>
      </c>
      <c r="C4184" t="s">
        <v>14</v>
      </c>
      <c r="D4184">
        <v>9.9699999999999997E-3</v>
      </c>
      <c r="E4184">
        <f t="shared" si="130"/>
        <v>1.00997</v>
      </c>
      <c r="F4184" s="1">
        <f t="shared" si="131"/>
        <v>41512</v>
      </c>
      <c r="G4184" cm="1">
        <f t="array" ref="G4184">PRODUCT( _xlfn._xlws.FILTER($E:$E, ($C:$C=C4184)*($F:$F=F4184)) ) - 1</f>
        <v>-9.9819163991079485E-3</v>
      </c>
    </row>
    <row r="4185" spans="1:7" x14ac:dyDescent="0.2">
      <c r="A4185" s="1">
        <v>41515</v>
      </c>
      <c r="B4185">
        <v>0</v>
      </c>
      <c r="C4185" t="s">
        <v>14</v>
      </c>
      <c r="D4185">
        <v>-1.0145E-2</v>
      </c>
      <c r="E4185">
        <f t="shared" si="130"/>
        <v>0.98985500000000004</v>
      </c>
      <c r="F4185" s="1">
        <f t="shared" si="131"/>
        <v>41512</v>
      </c>
      <c r="G4185" cm="1">
        <f t="array" ref="G4185">PRODUCT( _xlfn._xlws.FILTER($E:$E, ($C:$C=C4185)*($F:$F=F4185)) ) - 1</f>
        <v>-9.9819163991079485E-3</v>
      </c>
    </row>
    <row r="4186" spans="1:7" x14ac:dyDescent="0.2">
      <c r="A4186" s="1">
        <v>41516</v>
      </c>
      <c r="B4186">
        <v>0</v>
      </c>
      <c r="C4186" t="s">
        <v>14</v>
      </c>
      <c r="D4186">
        <v>-1.108E-2</v>
      </c>
      <c r="E4186">
        <f t="shared" si="130"/>
        <v>0.98892000000000002</v>
      </c>
      <c r="F4186" s="1">
        <f t="shared" si="131"/>
        <v>41512</v>
      </c>
      <c r="G4186" cm="1">
        <f t="array" ref="G4186">PRODUCT( _xlfn._xlws.FILTER($E:$E, ($C:$C=C4186)*($F:$F=F4186)) ) - 1</f>
        <v>-9.9819163991079485E-3</v>
      </c>
    </row>
    <row r="4187" spans="1:7" x14ac:dyDescent="0.2">
      <c r="A4187" s="1">
        <v>41520</v>
      </c>
      <c r="B4187">
        <v>0</v>
      </c>
      <c r="C4187" t="s">
        <v>14</v>
      </c>
      <c r="D4187">
        <v>1.8873000000000001E-2</v>
      </c>
      <c r="E4187">
        <f t="shared" si="130"/>
        <v>1.0188729999999999</v>
      </c>
      <c r="F4187" s="1">
        <f t="shared" si="131"/>
        <v>41519</v>
      </c>
      <c r="G4187" cm="1">
        <f t="array" ref="G4187">PRODUCT( _xlfn._xlws.FILTER($E:$E, ($C:$C=C4187)*($F:$F=F4187)) ) - 1</f>
        <v>3.3239120825205637E-2</v>
      </c>
    </row>
    <row r="4188" spans="1:7" x14ac:dyDescent="0.2">
      <c r="A4188" s="1">
        <v>41521</v>
      </c>
      <c r="B4188">
        <v>0</v>
      </c>
      <c r="C4188" t="s">
        <v>14</v>
      </c>
      <c r="D4188">
        <v>-9.4000000000000004E-3</v>
      </c>
      <c r="E4188">
        <f t="shared" si="130"/>
        <v>0.99060000000000004</v>
      </c>
      <c r="F4188" s="1">
        <f t="shared" si="131"/>
        <v>41519</v>
      </c>
      <c r="G4188" cm="1">
        <f t="array" ref="G4188">PRODUCT( _xlfn._xlws.FILTER($E:$E, ($C:$C=C4188)*($F:$F=F4188)) ) - 1</f>
        <v>3.3239120825205637E-2</v>
      </c>
    </row>
    <row r="4189" spans="1:7" x14ac:dyDescent="0.2">
      <c r="A4189" s="1">
        <v>41522</v>
      </c>
      <c r="B4189">
        <v>0</v>
      </c>
      <c r="C4189" t="s">
        <v>14</v>
      </c>
      <c r="D4189">
        <v>1.2001E-2</v>
      </c>
      <c r="E4189">
        <f t="shared" si="130"/>
        <v>1.0120009999999999</v>
      </c>
      <c r="F4189" s="1">
        <f t="shared" si="131"/>
        <v>41519</v>
      </c>
      <c r="G4189" cm="1">
        <f t="array" ref="G4189">PRODUCT( _xlfn._xlws.FILTER($E:$E, ($C:$C=C4189)*($F:$F=F4189)) ) - 1</f>
        <v>3.3239120825205637E-2</v>
      </c>
    </row>
    <row r="4190" spans="1:7" x14ac:dyDescent="0.2">
      <c r="A4190" s="1">
        <v>41523</v>
      </c>
      <c r="B4190">
        <v>0</v>
      </c>
      <c r="C4190" t="s">
        <v>14</v>
      </c>
      <c r="D4190">
        <v>1.1583E-2</v>
      </c>
      <c r="E4190">
        <f t="shared" si="130"/>
        <v>1.0115829999999999</v>
      </c>
      <c r="F4190" s="1">
        <f t="shared" si="131"/>
        <v>41519</v>
      </c>
      <c r="G4190" cm="1">
        <f t="array" ref="G4190">PRODUCT( _xlfn._xlws.FILTER($E:$E, ($C:$C=C4190)*($F:$F=F4190)) ) - 1</f>
        <v>3.3239120825205637E-2</v>
      </c>
    </row>
    <row r="4191" spans="1:7" x14ac:dyDescent="0.2">
      <c r="A4191" s="1">
        <v>41526</v>
      </c>
      <c r="B4191">
        <v>0</v>
      </c>
      <c r="C4191" t="s">
        <v>14</v>
      </c>
      <c r="D4191">
        <v>2.9989999999999999E-3</v>
      </c>
      <c r="E4191">
        <f t="shared" si="130"/>
        <v>1.002999</v>
      </c>
      <c r="F4191" s="1">
        <f t="shared" si="131"/>
        <v>41526</v>
      </c>
      <c r="G4191" cm="1">
        <f t="array" ref="G4191">PRODUCT( _xlfn._xlws.FILTER($E:$E, ($C:$C=C4191)*($F:$F=F4191)) ) - 1</f>
        <v>1.8266569884230144E-2</v>
      </c>
    </row>
    <row r="4192" spans="1:7" x14ac:dyDescent="0.2">
      <c r="A4192" s="1">
        <v>41527</v>
      </c>
      <c r="B4192">
        <v>0</v>
      </c>
      <c r="C4192" t="s">
        <v>14</v>
      </c>
      <c r="D4192">
        <v>-1.0057E-2</v>
      </c>
      <c r="E4192">
        <f t="shared" si="130"/>
        <v>0.98994300000000002</v>
      </c>
      <c r="F4192" s="1">
        <f t="shared" si="131"/>
        <v>41526</v>
      </c>
      <c r="G4192" cm="1">
        <f t="array" ref="G4192">PRODUCT( _xlfn._xlws.FILTER($E:$E, ($C:$C=C4192)*($F:$F=F4192)) ) - 1</f>
        <v>1.8266569884230144E-2</v>
      </c>
    </row>
    <row r="4193" spans="1:7" x14ac:dyDescent="0.2">
      <c r="A4193" s="1">
        <v>41528</v>
      </c>
      <c r="B4193">
        <v>0</v>
      </c>
      <c r="C4193" t="s">
        <v>14</v>
      </c>
      <c r="D4193">
        <v>7.1390000000000004E-3</v>
      </c>
      <c r="E4193">
        <f t="shared" si="130"/>
        <v>1.007139</v>
      </c>
      <c r="F4193" s="1">
        <f t="shared" si="131"/>
        <v>41526</v>
      </c>
      <c r="G4193" cm="1">
        <f t="array" ref="G4193">PRODUCT( _xlfn._xlws.FILTER($E:$E, ($C:$C=C4193)*($F:$F=F4193)) ) - 1</f>
        <v>1.8266569884230144E-2</v>
      </c>
    </row>
    <row r="4194" spans="1:7" x14ac:dyDescent="0.2">
      <c r="A4194" s="1">
        <v>41529</v>
      </c>
      <c r="B4194">
        <v>0</v>
      </c>
      <c r="C4194" t="s">
        <v>14</v>
      </c>
      <c r="D4194">
        <v>1.4995E-2</v>
      </c>
      <c r="E4194">
        <f t="shared" si="130"/>
        <v>1.0149950000000001</v>
      </c>
      <c r="F4194" s="1">
        <f t="shared" si="131"/>
        <v>41526</v>
      </c>
      <c r="G4194" cm="1">
        <f t="array" ref="G4194">PRODUCT( _xlfn._xlws.FILTER($E:$E, ($C:$C=C4194)*($F:$F=F4194)) ) - 1</f>
        <v>1.8266569884230144E-2</v>
      </c>
    </row>
    <row r="4195" spans="1:7" x14ac:dyDescent="0.2">
      <c r="A4195" s="1">
        <v>41530</v>
      </c>
      <c r="B4195">
        <v>0</v>
      </c>
      <c r="C4195" t="s">
        <v>14</v>
      </c>
      <c r="D4195">
        <v>3.2230000000000002E-3</v>
      </c>
      <c r="E4195">
        <f t="shared" si="130"/>
        <v>1.003223</v>
      </c>
      <c r="F4195" s="1">
        <f t="shared" si="131"/>
        <v>41526</v>
      </c>
      <c r="G4195" cm="1">
        <f t="array" ref="G4195">PRODUCT( _xlfn._xlws.FILTER($E:$E, ($C:$C=C4195)*($F:$F=F4195)) ) - 1</f>
        <v>1.8266569884230144E-2</v>
      </c>
    </row>
    <row r="4196" spans="1:7" x14ac:dyDescent="0.2">
      <c r="A4196" s="1">
        <v>41533</v>
      </c>
      <c r="B4196">
        <v>0</v>
      </c>
      <c r="C4196" t="s">
        <v>14</v>
      </c>
      <c r="D4196">
        <v>-2.6770000000000001E-3</v>
      </c>
      <c r="E4196">
        <f t="shared" si="130"/>
        <v>0.99732299999999996</v>
      </c>
      <c r="F4196" s="1">
        <f t="shared" si="131"/>
        <v>41533</v>
      </c>
      <c r="G4196" cm="1">
        <f t="array" ref="G4196">PRODUCT( _xlfn._xlws.FILTER($E:$E, ($C:$C=C4196)*($F:$F=F4196)) ) - 1</f>
        <v>-1.2314410019761968E-2</v>
      </c>
    </row>
    <row r="4197" spans="1:7" x14ac:dyDescent="0.2">
      <c r="A4197" s="1">
        <v>41534</v>
      </c>
      <c r="B4197">
        <v>0</v>
      </c>
      <c r="C4197" t="s">
        <v>14</v>
      </c>
      <c r="D4197">
        <v>-7.2480000000000001E-3</v>
      </c>
      <c r="E4197">
        <f t="shared" si="130"/>
        <v>0.99275199999999997</v>
      </c>
      <c r="F4197" s="1">
        <f t="shared" si="131"/>
        <v>41533</v>
      </c>
      <c r="G4197" cm="1">
        <f t="array" ref="G4197">PRODUCT( _xlfn._xlws.FILTER($E:$E, ($C:$C=C4197)*($F:$F=F4197)) ) - 1</f>
        <v>-1.2314410019761968E-2</v>
      </c>
    </row>
    <row r="4198" spans="1:7" x14ac:dyDescent="0.2">
      <c r="A4198" s="1">
        <v>41535</v>
      </c>
      <c r="B4198">
        <v>0</v>
      </c>
      <c r="C4198" t="s">
        <v>14</v>
      </c>
      <c r="D4198">
        <v>1.1358E-2</v>
      </c>
      <c r="E4198">
        <f t="shared" si="130"/>
        <v>1.011358</v>
      </c>
      <c r="F4198" s="1">
        <f t="shared" si="131"/>
        <v>41533</v>
      </c>
      <c r="G4198" cm="1">
        <f t="array" ref="G4198">PRODUCT( _xlfn._xlws.FILTER($E:$E, ($C:$C=C4198)*($F:$F=F4198)) ) - 1</f>
        <v>-1.2314410019761968E-2</v>
      </c>
    </row>
    <row r="4199" spans="1:7" x14ac:dyDescent="0.2">
      <c r="A4199" s="1">
        <v>41536</v>
      </c>
      <c r="B4199">
        <v>0</v>
      </c>
      <c r="C4199" t="s">
        <v>14</v>
      </c>
      <c r="D4199">
        <v>-7.7539999999999996E-3</v>
      </c>
      <c r="E4199">
        <f t="shared" si="130"/>
        <v>0.99224599999999996</v>
      </c>
      <c r="F4199" s="1">
        <f t="shared" si="131"/>
        <v>41533</v>
      </c>
      <c r="G4199" cm="1">
        <f t="array" ref="G4199">PRODUCT( _xlfn._xlws.FILTER($E:$E, ($C:$C=C4199)*($F:$F=F4199)) ) - 1</f>
        <v>-1.2314410019761968E-2</v>
      </c>
    </row>
    <row r="4200" spans="1:7" x14ac:dyDescent="0.2">
      <c r="A4200" s="1">
        <v>41537</v>
      </c>
      <c r="B4200">
        <v>0</v>
      </c>
      <c r="C4200" t="s">
        <v>14</v>
      </c>
      <c r="D4200">
        <v>-5.9280000000000001E-3</v>
      </c>
      <c r="E4200">
        <f t="shared" si="130"/>
        <v>0.99407199999999996</v>
      </c>
      <c r="F4200" s="1">
        <f t="shared" si="131"/>
        <v>41533</v>
      </c>
      <c r="G4200" cm="1">
        <f t="array" ref="G4200">PRODUCT( _xlfn._xlws.FILTER($E:$E, ($C:$C=C4200)*($F:$F=F4200)) ) - 1</f>
        <v>-1.2314410019761968E-2</v>
      </c>
    </row>
    <row r="4201" spans="1:7" x14ac:dyDescent="0.2">
      <c r="A4201" s="1">
        <v>41540</v>
      </c>
      <c r="B4201">
        <v>0</v>
      </c>
      <c r="C4201" t="s">
        <v>14</v>
      </c>
      <c r="D4201">
        <v>7.5900000000000004E-3</v>
      </c>
      <c r="E4201">
        <f t="shared" si="130"/>
        <v>1.00759</v>
      </c>
      <c r="F4201" s="1">
        <f t="shared" si="131"/>
        <v>41540</v>
      </c>
      <c r="G4201" cm="1">
        <f t="array" ref="G4201">PRODUCT( _xlfn._xlws.FILTER($E:$E, ($C:$C=C4201)*($F:$F=F4201)) ) - 1</f>
        <v>1.1656104536598821E-2</v>
      </c>
    </row>
    <row r="4202" spans="1:7" x14ac:dyDescent="0.2">
      <c r="A4202" s="1">
        <v>41541</v>
      </c>
      <c r="B4202">
        <v>0</v>
      </c>
      <c r="C4202" t="s">
        <v>14</v>
      </c>
      <c r="D4202">
        <v>-1.4527999999999999E-2</v>
      </c>
      <c r="E4202">
        <f t="shared" si="130"/>
        <v>0.98547200000000001</v>
      </c>
      <c r="F4202" s="1">
        <f t="shared" si="131"/>
        <v>41540</v>
      </c>
      <c r="G4202" cm="1">
        <f t="array" ref="G4202">PRODUCT( _xlfn._xlws.FILTER($E:$E, ($C:$C=C4202)*($F:$F=F4202)) ) - 1</f>
        <v>1.1656104536598821E-2</v>
      </c>
    </row>
    <row r="4203" spans="1:7" x14ac:dyDescent="0.2">
      <c r="A4203" s="1">
        <v>41542</v>
      </c>
      <c r="B4203">
        <v>0</v>
      </c>
      <c r="C4203" t="s">
        <v>14</v>
      </c>
      <c r="D4203">
        <v>1.2558E-2</v>
      </c>
      <c r="E4203">
        <f t="shared" si="130"/>
        <v>1.0125580000000001</v>
      </c>
      <c r="F4203" s="1">
        <f t="shared" si="131"/>
        <v>41540</v>
      </c>
      <c r="G4203" cm="1">
        <f t="array" ref="G4203">PRODUCT( _xlfn._xlws.FILTER($E:$E, ($C:$C=C4203)*($F:$F=F4203)) ) - 1</f>
        <v>1.1656104536598821E-2</v>
      </c>
    </row>
    <row r="4204" spans="1:7" x14ac:dyDescent="0.2">
      <c r="A4204" s="1">
        <v>41543</v>
      </c>
      <c r="B4204">
        <v>0</v>
      </c>
      <c r="C4204" t="s">
        <v>14</v>
      </c>
      <c r="D4204">
        <v>6.4710000000000002E-3</v>
      </c>
      <c r="E4204">
        <f t="shared" si="130"/>
        <v>1.0064709999999999</v>
      </c>
      <c r="F4204" s="1">
        <f t="shared" si="131"/>
        <v>41540</v>
      </c>
      <c r="G4204" cm="1">
        <f t="array" ref="G4204">PRODUCT( _xlfn._xlws.FILTER($E:$E, ($C:$C=C4204)*($F:$F=F4204)) ) - 1</f>
        <v>1.1656104536598821E-2</v>
      </c>
    </row>
    <row r="4205" spans="1:7" x14ac:dyDescent="0.2">
      <c r="A4205" s="1">
        <v>41544</v>
      </c>
      <c r="B4205">
        <v>0</v>
      </c>
      <c r="C4205" t="s">
        <v>14</v>
      </c>
      <c r="D4205">
        <v>-2.6800000000000001E-4</v>
      </c>
      <c r="E4205">
        <f t="shared" si="130"/>
        <v>0.99973199999999995</v>
      </c>
      <c r="F4205" s="1">
        <f t="shared" si="131"/>
        <v>41540</v>
      </c>
      <c r="G4205" cm="1">
        <f t="array" ref="G4205">PRODUCT( _xlfn._xlws.FILTER($E:$E, ($C:$C=C4205)*($F:$F=F4205)) ) - 1</f>
        <v>1.1656104536598821E-2</v>
      </c>
    </row>
    <row r="4206" spans="1:7" x14ac:dyDescent="0.2">
      <c r="A4206" s="1">
        <v>41547</v>
      </c>
      <c r="B4206">
        <v>0</v>
      </c>
      <c r="C4206" t="s">
        <v>14</v>
      </c>
      <c r="D4206">
        <v>-1.3129999999999999E-2</v>
      </c>
      <c r="E4206">
        <f t="shared" si="130"/>
        <v>0.98687000000000002</v>
      </c>
      <c r="F4206" s="1">
        <f t="shared" si="131"/>
        <v>41547</v>
      </c>
      <c r="G4206" cm="1">
        <f t="array" ref="G4206">PRODUCT( _xlfn._xlws.FILTER($E:$E, ($C:$C=C4206)*($F:$F=F4206)) ) - 1</f>
        <v>-1.6880509322047987E-2</v>
      </c>
    </row>
    <row r="4207" spans="1:7" x14ac:dyDescent="0.2">
      <c r="A4207" s="1">
        <v>41548</v>
      </c>
      <c r="B4207">
        <v>0</v>
      </c>
      <c r="C4207" t="s">
        <v>14</v>
      </c>
      <c r="D4207">
        <v>8.6890000000000005E-3</v>
      </c>
      <c r="E4207">
        <f t="shared" si="130"/>
        <v>1.0086889999999999</v>
      </c>
      <c r="F4207" s="1">
        <f t="shared" si="131"/>
        <v>41547</v>
      </c>
      <c r="G4207" cm="1">
        <f t="array" ref="G4207">PRODUCT( _xlfn._xlws.FILTER($E:$E, ($C:$C=C4207)*($F:$F=F4207)) ) - 1</f>
        <v>-1.6880509322047987E-2</v>
      </c>
    </row>
    <row r="4208" spans="1:7" x14ac:dyDescent="0.2">
      <c r="A4208" s="1">
        <v>41549</v>
      </c>
      <c r="B4208">
        <v>0</v>
      </c>
      <c r="C4208" t="s">
        <v>14</v>
      </c>
      <c r="D4208">
        <v>-9.1520000000000004E-3</v>
      </c>
      <c r="E4208">
        <f t="shared" si="130"/>
        <v>0.99084799999999995</v>
      </c>
      <c r="F4208" s="1">
        <f t="shared" si="131"/>
        <v>41547</v>
      </c>
      <c r="G4208" cm="1">
        <f t="array" ref="G4208">PRODUCT( _xlfn._xlws.FILTER($E:$E, ($C:$C=C4208)*($F:$F=F4208)) ) - 1</f>
        <v>-1.6880509322047987E-2</v>
      </c>
    </row>
    <row r="4209" spans="1:7" x14ac:dyDescent="0.2">
      <c r="A4209" s="1">
        <v>41550</v>
      </c>
      <c r="B4209">
        <v>0</v>
      </c>
      <c r="C4209" t="s">
        <v>14</v>
      </c>
      <c r="D4209">
        <v>-1.5213000000000001E-2</v>
      </c>
      <c r="E4209">
        <f t="shared" si="130"/>
        <v>0.98478699999999997</v>
      </c>
      <c r="F4209" s="1">
        <f t="shared" si="131"/>
        <v>41547</v>
      </c>
      <c r="G4209" cm="1">
        <f t="array" ref="G4209">PRODUCT( _xlfn._xlws.FILTER($E:$E, ($C:$C=C4209)*($F:$F=F4209)) ) - 1</f>
        <v>-1.6880509322047987E-2</v>
      </c>
    </row>
    <row r="4210" spans="1:7" x14ac:dyDescent="0.2">
      <c r="A4210" s="1">
        <v>41551</v>
      </c>
      <c r="B4210">
        <v>0</v>
      </c>
      <c r="C4210" t="s">
        <v>14</v>
      </c>
      <c r="D4210">
        <v>1.2137999999999999E-2</v>
      </c>
      <c r="E4210">
        <f t="shared" si="130"/>
        <v>1.012138</v>
      </c>
      <c r="F4210" s="1">
        <f t="shared" si="131"/>
        <v>41547</v>
      </c>
      <c r="G4210" cm="1">
        <f t="array" ref="G4210">PRODUCT( _xlfn._xlws.FILTER($E:$E, ($C:$C=C4210)*($F:$F=F4210)) ) - 1</f>
        <v>-1.6880509322047987E-2</v>
      </c>
    </row>
    <row r="4211" spans="1:7" x14ac:dyDescent="0.2">
      <c r="A4211" s="1">
        <v>41554</v>
      </c>
      <c r="B4211">
        <v>0</v>
      </c>
      <c r="C4211" t="s">
        <v>14</v>
      </c>
      <c r="D4211">
        <v>-2.9979999999999998E-3</v>
      </c>
      <c r="E4211">
        <f t="shared" si="130"/>
        <v>0.99700200000000005</v>
      </c>
      <c r="F4211" s="1">
        <f t="shared" si="131"/>
        <v>41554</v>
      </c>
      <c r="G4211" cm="1">
        <f t="array" ref="G4211">PRODUCT( _xlfn._xlws.FILTER($E:$E, ($C:$C=C4211)*($F:$F=F4211)) ) - 1</f>
        <v>2.9985387943429753E-3</v>
      </c>
    </row>
    <row r="4212" spans="1:7" x14ac:dyDescent="0.2">
      <c r="A4212" s="1">
        <v>41555</v>
      </c>
      <c r="B4212">
        <v>0</v>
      </c>
      <c r="C4212" t="s">
        <v>14</v>
      </c>
      <c r="D4212">
        <v>-2.1049999999999999E-2</v>
      </c>
      <c r="E4212">
        <f t="shared" si="130"/>
        <v>0.97894999999999999</v>
      </c>
      <c r="F4212" s="1">
        <f t="shared" si="131"/>
        <v>41554</v>
      </c>
      <c r="G4212" cm="1">
        <f t="array" ref="G4212">PRODUCT( _xlfn._xlws.FILTER($E:$E, ($C:$C=C4212)*($F:$F=F4212)) ) - 1</f>
        <v>2.9985387943429753E-3</v>
      </c>
    </row>
    <row r="4213" spans="1:7" x14ac:dyDescent="0.2">
      <c r="A4213" s="1">
        <v>41556</v>
      </c>
      <c r="B4213">
        <v>0</v>
      </c>
      <c r="C4213" t="s">
        <v>14</v>
      </c>
      <c r="D4213">
        <v>1.0052999999999999E-2</v>
      </c>
      <c r="E4213">
        <f t="shared" si="130"/>
        <v>1.0100530000000001</v>
      </c>
      <c r="F4213" s="1">
        <f t="shared" si="131"/>
        <v>41554</v>
      </c>
      <c r="G4213" cm="1">
        <f t="array" ref="G4213">PRODUCT( _xlfn._xlws.FILTER($E:$E, ($C:$C=C4213)*($F:$F=F4213)) ) - 1</f>
        <v>2.9985387943429753E-3</v>
      </c>
    </row>
    <row r="4214" spans="1:7" x14ac:dyDescent="0.2">
      <c r="A4214" s="1">
        <v>41557</v>
      </c>
      <c r="B4214">
        <v>0</v>
      </c>
      <c r="C4214" t="s">
        <v>14</v>
      </c>
      <c r="D4214">
        <v>1.9630000000000002E-2</v>
      </c>
      <c r="E4214">
        <f t="shared" si="130"/>
        <v>1.01963</v>
      </c>
      <c r="F4214" s="1">
        <f t="shared" si="131"/>
        <v>41554</v>
      </c>
      <c r="G4214" cm="1">
        <f t="array" ref="G4214">PRODUCT( _xlfn._xlws.FILTER($E:$E, ($C:$C=C4214)*($F:$F=F4214)) ) - 1</f>
        <v>2.9985387943429753E-3</v>
      </c>
    </row>
    <row r="4215" spans="1:7" x14ac:dyDescent="0.2">
      <c r="A4215" s="1">
        <v>41558</v>
      </c>
      <c r="B4215">
        <v>0</v>
      </c>
      <c r="C4215" t="s">
        <v>14</v>
      </c>
      <c r="D4215">
        <v>-2.1689999999999999E-3</v>
      </c>
      <c r="E4215">
        <f t="shared" si="130"/>
        <v>0.99783100000000002</v>
      </c>
      <c r="F4215" s="1">
        <f t="shared" si="131"/>
        <v>41554</v>
      </c>
      <c r="G4215" cm="1">
        <f t="array" ref="G4215">PRODUCT( _xlfn._xlws.FILTER($E:$E, ($C:$C=C4215)*($F:$F=F4215)) ) - 1</f>
        <v>2.9985387943429753E-3</v>
      </c>
    </row>
    <row r="4216" spans="1:7" x14ac:dyDescent="0.2">
      <c r="A4216" s="1">
        <v>41562</v>
      </c>
      <c r="B4216">
        <v>0</v>
      </c>
      <c r="C4216" t="s">
        <v>14</v>
      </c>
      <c r="D4216">
        <v>8.6960000000000006E-3</v>
      </c>
      <c r="E4216">
        <f t="shared" si="130"/>
        <v>1.008696</v>
      </c>
      <c r="F4216" s="1">
        <f t="shared" si="131"/>
        <v>41561</v>
      </c>
      <c r="G4216" cm="1">
        <f t="array" ref="G4216">PRODUCT( _xlfn._xlws.FILTER($E:$E, ($C:$C=C4216)*($F:$F=F4216)) ) - 1</f>
        <v>2.5272255377589259E-2</v>
      </c>
    </row>
    <row r="4217" spans="1:7" x14ac:dyDescent="0.2">
      <c r="A4217" s="1">
        <v>41563</v>
      </c>
      <c r="B4217">
        <v>0</v>
      </c>
      <c r="C4217" t="s">
        <v>14</v>
      </c>
      <c r="D4217">
        <v>8.6210000000000002E-3</v>
      </c>
      <c r="E4217">
        <f t="shared" si="130"/>
        <v>1.008621</v>
      </c>
      <c r="F4217" s="1">
        <f t="shared" si="131"/>
        <v>41561</v>
      </c>
      <c r="G4217" cm="1">
        <f t="array" ref="G4217">PRODUCT( _xlfn._xlws.FILTER($E:$E, ($C:$C=C4217)*($F:$F=F4217)) ) - 1</f>
        <v>2.5272255377589259E-2</v>
      </c>
    </row>
    <row r="4218" spans="1:7" x14ac:dyDescent="0.2">
      <c r="A4218" s="1">
        <v>41564</v>
      </c>
      <c r="B4218">
        <v>0</v>
      </c>
      <c r="C4218" t="s">
        <v>14</v>
      </c>
      <c r="D4218">
        <v>-5.3399999999999997E-4</v>
      </c>
      <c r="E4218">
        <f t="shared" si="130"/>
        <v>0.99946599999999997</v>
      </c>
      <c r="F4218" s="1">
        <f t="shared" si="131"/>
        <v>41561</v>
      </c>
      <c r="G4218" cm="1">
        <f t="array" ref="G4218">PRODUCT( _xlfn._xlws.FILTER($E:$E, ($C:$C=C4218)*($F:$F=F4218)) ) - 1</f>
        <v>2.5272255377589259E-2</v>
      </c>
    </row>
    <row r="4219" spans="1:7" x14ac:dyDescent="0.2">
      <c r="A4219" s="1">
        <v>41565</v>
      </c>
      <c r="B4219">
        <v>0</v>
      </c>
      <c r="C4219" t="s">
        <v>14</v>
      </c>
      <c r="D4219">
        <v>8.2839999999999997E-3</v>
      </c>
      <c r="E4219">
        <f t="shared" si="130"/>
        <v>1.008284</v>
      </c>
      <c r="F4219" s="1">
        <f t="shared" si="131"/>
        <v>41561</v>
      </c>
      <c r="G4219" cm="1">
        <f t="array" ref="G4219">PRODUCT( _xlfn._xlws.FILTER($E:$E, ($C:$C=C4219)*($F:$F=F4219)) ) - 1</f>
        <v>2.5272255377589259E-2</v>
      </c>
    </row>
    <row r="4220" spans="1:7" x14ac:dyDescent="0.2">
      <c r="A4220" s="1">
        <v>41568</v>
      </c>
      <c r="B4220">
        <v>0</v>
      </c>
      <c r="C4220" t="s">
        <v>14</v>
      </c>
      <c r="D4220">
        <v>2.65E-3</v>
      </c>
      <c r="E4220">
        <f t="shared" si="130"/>
        <v>1.00265</v>
      </c>
      <c r="F4220" s="1">
        <f t="shared" si="131"/>
        <v>41568</v>
      </c>
      <c r="G4220" cm="1">
        <f t="array" ref="G4220">PRODUCT( _xlfn._xlws.FILTER($E:$E, ($C:$C=C4220)*($F:$F=F4220)) ) - 1</f>
        <v>-1.8560652226534691E-3</v>
      </c>
    </row>
    <row r="4221" spans="1:7" x14ac:dyDescent="0.2">
      <c r="A4221" s="1">
        <v>41569</v>
      </c>
      <c r="B4221">
        <v>0</v>
      </c>
      <c r="C4221" t="s">
        <v>14</v>
      </c>
      <c r="D4221">
        <v>-8.9879999999999995E-3</v>
      </c>
      <c r="E4221">
        <f t="shared" si="130"/>
        <v>0.991012</v>
      </c>
      <c r="F4221" s="1">
        <f t="shared" si="131"/>
        <v>41568</v>
      </c>
      <c r="G4221" cm="1">
        <f t="array" ref="G4221">PRODUCT( _xlfn._xlws.FILTER($E:$E, ($C:$C=C4221)*($F:$F=F4221)) ) - 1</f>
        <v>-1.8560652226534691E-3</v>
      </c>
    </row>
    <row r="4222" spans="1:7" x14ac:dyDescent="0.2">
      <c r="A4222" s="1">
        <v>41570</v>
      </c>
      <c r="B4222">
        <v>0</v>
      </c>
      <c r="C4222" t="s">
        <v>14</v>
      </c>
      <c r="D4222">
        <v>-2.2672999999999999E-2</v>
      </c>
      <c r="E4222">
        <f t="shared" si="130"/>
        <v>0.97732700000000006</v>
      </c>
      <c r="F4222" s="1">
        <f t="shared" si="131"/>
        <v>41568</v>
      </c>
      <c r="G4222" cm="1">
        <f t="array" ref="G4222">PRODUCT( _xlfn._xlws.FILTER($E:$E, ($C:$C=C4222)*($F:$F=F4222)) ) - 1</f>
        <v>-1.8560652226534691E-3</v>
      </c>
    </row>
    <row r="4223" spans="1:7" x14ac:dyDescent="0.2">
      <c r="A4223" s="1">
        <v>41571</v>
      </c>
      <c r="B4223">
        <v>0</v>
      </c>
      <c r="C4223" t="s">
        <v>14</v>
      </c>
      <c r="D4223">
        <v>1.1736E-2</v>
      </c>
      <c r="E4223">
        <f t="shared" si="130"/>
        <v>1.011736</v>
      </c>
      <c r="F4223" s="1">
        <f t="shared" si="131"/>
        <v>41568</v>
      </c>
      <c r="G4223" cm="1">
        <f t="array" ref="G4223">PRODUCT( _xlfn._xlws.FILTER($E:$E, ($C:$C=C4223)*($F:$F=F4223)) ) - 1</f>
        <v>-1.8560652226534691E-3</v>
      </c>
    </row>
    <row r="4224" spans="1:7" x14ac:dyDescent="0.2">
      <c r="A4224" s="1">
        <v>41572</v>
      </c>
      <c r="B4224">
        <v>0</v>
      </c>
      <c r="C4224" t="s">
        <v>14</v>
      </c>
      <c r="D4224">
        <v>1.5916E-2</v>
      </c>
      <c r="E4224">
        <f t="shared" si="130"/>
        <v>1.015916</v>
      </c>
      <c r="F4224" s="1">
        <f t="shared" si="131"/>
        <v>41568</v>
      </c>
      <c r="G4224" cm="1">
        <f t="array" ref="G4224">PRODUCT( _xlfn._xlws.FILTER($E:$E, ($C:$C=C4224)*($F:$F=F4224)) ) - 1</f>
        <v>-1.8560652226534691E-3</v>
      </c>
    </row>
    <row r="4225" spans="1:7" x14ac:dyDescent="0.2">
      <c r="A4225" s="1">
        <v>41575</v>
      </c>
      <c r="B4225">
        <v>0</v>
      </c>
      <c r="C4225" t="s">
        <v>14</v>
      </c>
      <c r="D4225">
        <v>-5.3109999999999997E-3</v>
      </c>
      <c r="E4225">
        <f t="shared" si="130"/>
        <v>0.99468900000000005</v>
      </c>
      <c r="F4225" s="1">
        <f t="shared" si="131"/>
        <v>41575</v>
      </c>
      <c r="G4225" cm="1">
        <f t="array" ref="G4225">PRODUCT( _xlfn._xlws.FILTER($E:$E, ($C:$C=C4225)*($F:$F=F4225)) ) - 1</f>
        <v>-2.2835674284785057E-2</v>
      </c>
    </row>
    <row r="4226" spans="1:7" x14ac:dyDescent="0.2">
      <c r="A4226" s="1">
        <v>41576</v>
      </c>
      <c r="B4226">
        <v>0</v>
      </c>
      <c r="C4226" t="s">
        <v>14</v>
      </c>
      <c r="D4226">
        <v>1.4415000000000001E-2</v>
      </c>
      <c r="E4226">
        <f t="shared" si="130"/>
        <v>1.0144150000000001</v>
      </c>
      <c r="F4226" s="1">
        <f t="shared" si="131"/>
        <v>41575</v>
      </c>
      <c r="G4226" cm="1">
        <f t="array" ref="G4226">PRODUCT( _xlfn._xlws.FILTER($E:$E, ($C:$C=C4226)*($F:$F=F4226)) ) - 1</f>
        <v>-2.2835674284785057E-2</v>
      </c>
    </row>
    <row r="4227" spans="1:7" x14ac:dyDescent="0.2">
      <c r="A4227" s="1">
        <v>41577</v>
      </c>
      <c r="B4227">
        <v>0</v>
      </c>
      <c r="C4227" t="s">
        <v>14</v>
      </c>
      <c r="D4227">
        <v>-2.63E-4</v>
      </c>
      <c r="E4227">
        <f t="shared" si="130"/>
        <v>0.99973699999999999</v>
      </c>
      <c r="F4227" s="1">
        <f t="shared" si="131"/>
        <v>41575</v>
      </c>
      <c r="G4227" cm="1">
        <f t="array" ref="G4227">PRODUCT( _xlfn._xlws.FILTER($E:$E, ($C:$C=C4227)*($F:$F=F4227)) ) - 1</f>
        <v>-2.2835674284785057E-2</v>
      </c>
    </row>
    <row r="4228" spans="1:7" x14ac:dyDescent="0.2">
      <c r="A4228" s="1">
        <v>41578</v>
      </c>
      <c r="B4228">
        <v>0</v>
      </c>
      <c r="C4228" t="s">
        <v>14</v>
      </c>
      <c r="D4228">
        <v>-2.6319999999999998E-3</v>
      </c>
      <c r="E4228">
        <f t="shared" ref="E4228:E4291" si="132">D4228+1</f>
        <v>0.99736800000000003</v>
      </c>
      <c r="F4228" s="1">
        <f t="shared" ref="F4228:F4291" si="133">A4228 - (WEEKDAY(A4228, 2) - 1)</f>
        <v>41575</v>
      </c>
      <c r="G4228" cm="1">
        <f t="array" ref="G4228">PRODUCT( _xlfn._xlws.FILTER($E:$E, ($C:$C=C4228)*($F:$F=F4228)) ) - 1</f>
        <v>-2.2835674284785057E-2</v>
      </c>
    </row>
    <row r="4229" spans="1:7" x14ac:dyDescent="0.2">
      <c r="A4229" s="1">
        <v>41579</v>
      </c>
      <c r="B4229">
        <v>0</v>
      </c>
      <c r="C4229" t="s">
        <v>14</v>
      </c>
      <c r="D4229">
        <v>-2.8767000000000001E-2</v>
      </c>
      <c r="E4229">
        <f t="shared" si="132"/>
        <v>0.97123300000000001</v>
      </c>
      <c r="F4229" s="1">
        <f t="shared" si="133"/>
        <v>41575</v>
      </c>
      <c r="G4229" cm="1">
        <f t="array" ref="G4229">PRODUCT( _xlfn._xlws.FILTER($E:$E, ($C:$C=C4229)*($F:$F=F4229)) ) - 1</f>
        <v>-2.2835674284785057E-2</v>
      </c>
    </row>
    <row r="4230" spans="1:7" x14ac:dyDescent="0.2">
      <c r="A4230" s="1">
        <v>41582</v>
      </c>
      <c r="B4230">
        <v>0</v>
      </c>
      <c r="C4230" t="s">
        <v>14</v>
      </c>
      <c r="D4230">
        <v>-4.62E-3</v>
      </c>
      <c r="E4230">
        <f t="shared" si="132"/>
        <v>0.99538000000000004</v>
      </c>
      <c r="F4230" s="1">
        <f t="shared" si="133"/>
        <v>41582</v>
      </c>
      <c r="G4230" cm="1">
        <f t="array" ref="G4230">PRODUCT( _xlfn._xlws.FILTER($E:$E, ($C:$C=C4230)*($F:$F=F4230)) ) - 1</f>
        <v>1.9023265505873077E-3</v>
      </c>
    </row>
    <row r="4231" spans="1:7" x14ac:dyDescent="0.2">
      <c r="A4231" s="1">
        <v>41583</v>
      </c>
      <c r="B4231">
        <v>0</v>
      </c>
      <c r="C4231" t="s">
        <v>14</v>
      </c>
      <c r="D4231">
        <v>1.6379999999999999E-3</v>
      </c>
      <c r="E4231">
        <f t="shared" si="132"/>
        <v>1.001638</v>
      </c>
      <c r="F4231" s="1">
        <f t="shared" si="133"/>
        <v>41582</v>
      </c>
      <c r="G4231" cm="1">
        <f t="array" ref="G4231">PRODUCT( _xlfn._xlws.FILTER($E:$E, ($C:$C=C4231)*($F:$F=F4231)) ) - 1</f>
        <v>1.9023265505873077E-3</v>
      </c>
    </row>
    <row r="4232" spans="1:7" x14ac:dyDescent="0.2">
      <c r="A4232" s="1">
        <v>41584</v>
      </c>
      <c r="B4232">
        <v>0</v>
      </c>
      <c r="C4232" t="s">
        <v>14</v>
      </c>
      <c r="D4232">
        <v>0</v>
      </c>
      <c r="E4232">
        <f t="shared" si="132"/>
        <v>1</v>
      </c>
      <c r="F4232" s="1">
        <f t="shared" si="133"/>
        <v>41582</v>
      </c>
      <c r="G4232" cm="1">
        <f t="array" ref="G4232">PRODUCT( _xlfn._xlws.FILTER($E:$E, ($C:$C=C4232)*($F:$F=F4232)) ) - 1</f>
        <v>1.9023265505873077E-3</v>
      </c>
    </row>
    <row r="4233" spans="1:7" x14ac:dyDescent="0.2">
      <c r="A4233" s="1">
        <v>41585</v>
      </c>
      <c r="B4233">
        <v>0</v>
      </c>
      <c r="C4233" t="s">
        <v>14</v>
      </c>
      <c r="D4233">
        <v>-1.6352999999999999E-2</v>
      </c>
      <c r="E4233">
        <f t="shared" si="132"/>
        <v>0.98364700000000005</v>
      </c>
      <c r="F4233" s="1">
        <f t="shared" si="133"/>
        <v>41582</v>
      </c>
      <c r="G4233" cm="1">
        <f t="array" ref="G4233">PRODUCT( _xlfn._xlws.FILTER($E:$E, ($C:$C=C4233)*($F:$F=F4233)) ) - 1</f>
        <v>1.9023265505873077E-3</v>
      </c>
    </row>
    <row r="4234" spans="1:7" x14ac:dyDescent="0.2">
      <c r="A4234" s="1">
        <v>41586</v>
      </c>
      <c r="B4234">
        <v>0</v>
      </c>
      <c r="C4234" t="s">
        <v>14</v>
      </c>
      <c r="D4234">
        <v>2.1613E-2</v>
      </c>
      <c r="E4234">
        <f t="shared" si="132"/>
        <v>1.0216130000000001</v>
      </c>
      <c r="F4234" s="1">
        <f t="shared" si="133"/>
        <v>41582</v>
      </c>
      <c r="G4234" cm="1">
        <f t="array" ref="G4234">PRODUCT( _xlfn._xlws.FILTER($E:$E, ($C:$C=C4234)*($F:$F=F4234)) ) - 1</f>
        <v>1.9023265505873077E-3</v>
      </c>
    </row>
    <row r="4235" spans="1:7" x14ac:dyDescent="0.2">
      <c r="A4235" s="1">
        <v>41589</v>
      </c>
      <c r="B4235">
        <v>0</v>
      </c>
      <c r="C4235" t="s">
        <v>14</v>
      </c>
      <c r="D4235">
        <v>-2.983E-3</v>
      </c>
      <c r="E4235">
        <f t="shared" si="132"/>
        <v>0.99701700000000004</v>
      </c>
      <c r="F4235" s="1">
        <f t="shared" si="133"/>
        <v>41589</v>
      </c>
      <c r="G4235" cm="1">
        <f t="array" ref="G4235">PRODUCT( _xlfn._xlws.FILTER($E:$E, ($C:$C=C4235)*($F:$F=F4235)) ) - 1</f>
        <v>1.3290498021544028E-2</v>
      </c>
    </row>
    <row r="4236" spans="1:7" x14ac:dyDescent="0.2">
      <c r="A4236" s="1">
        <v>41590</v>
      </c>
      <c r="B4236">
        <v>0</v>
      </c>
      <c r="C4236" t="s">
        <v>14</v>
      </c>
      <c r="D4236">
        <v>-7.0730000000000003E-3</v>
      </c>
      <c r="E4236">
        <f t="shared" si="132"/>
        <v>0.992927</v>
      </c>
      <c r="F4236" s="1">
        <f t="shared" si="133"/>
        <v>41589</v>
      </c>
      <c r="G4236" cm="1">
        <f t="array" ref="G4236">PRODUCT( _xlfn._xlws.FILTER($E:$E, ($C:$C=C4236)*($F:$F=F4236)) ) - 1</f>
        <v>1.3290498021544028E-2</v>
      </c>
    </row>
    <row r="4237" spans="1:7" x14ac:dyDescent="0.2">
      <c r="A4237" s="1">
        <v>41591</v>
      </c>
      <c r="B4237">
        <v>0</v>
      </c>
      <c r="C4237" t="s">
        <v>14</v>
      </c>
      <c r="D4237">
        <v>0.02</v>
      </c>
      <c r="E4237">
        <f t="shared" si="132"/>
        <v>1.02</v>
      </c>
      <c r="F4237" s="1">
        <f t="shared" si="133"/>
        <v>41589</v>
      </c>
      <c r="G4237" cm="1">
        <f t="array" ref="G4237">PRODUCT( _xlfn._xlws.FILTER($E:$E, ($C:$C=C4237)*($F:$F=F4237)) ) - 1</f>
        <v>1.3290498021544028E-2</v>
      </c>
    </row>
    <row r="4238" spans="1:7" x14ac:dyDescent="0.2">
      <c r="A4238" s="1">
        <v>41592</v>
      </c>
      <c r="B4238">
        <v>0</v>
      </c>
      <c r="C4238" t="s">
        <v>14</v>
      </c>
      <c r="D4238">
        <v>0</v>
      </c>
      <c r="E4238">
        <f t="shared" si="132"/>
        <v>1</v>
      </c>
      <c r="F4238" s="1">
        <f t="shared" si="133"/>
        <v>41589</v>
      </c>
      <c r="G4238" cm="1">
        <f t="array" ref="G4238">PRODUCT( _xlfn._xlws.FILTER($E:$E, ($C:$C=C4238)*($F:$F=F4238)) ) - 1</f>
        <v>1.3290498021544028E-2</v>
      </c>
    </row>
    <row r="4239" spans="1:7" x14ac:dyDescent="0.2">
      <c r="A4239" s="1">
        <v>41593</v>
      </c>
      <c r="B4239">
        <v>0</v>
      </c>
      <c r="C4239" t="s">
        <v>14</v>
      </c>
      <c r="D4239">
        <v>3.4919999999999999E-3</v>
      </c>
      <c r="E4239">
        <f t="shared" si="132"/>
        <v>1.0034920000000001</v>
      </c>
      <c r="F4239" s="1">
        <f t="shared" si="133"/>
        <v>41589</v>
      </c>
      <c r="G4239" cm="1">
        <f t="array" ref="G4239">PRODUCT( _xlfn._xlws.FILTER($E:$E, ($C:$C=C4239)*($F:$F=F4239)) ) - 1</f>
        <v>1.3290498021544028E-2</v>
      </c>
    </row>
    <row r="4240" spans="1:7" x14ac:dyDescent="0.2">
      <c r="A4240" s="1">
        <v>41596</v>
      </c>
      <c r="B4240">
        <v>0</v>
      </c>
      <c r="C4240" t="s">
        <v>14</v>
      </c>
      <c r="D4240">
        <v>-6.156E-3</v>
      </c>
      <c r="E4240">
        <f t="shared" si="132"/>
        <v>0.99384399999999995</v>
      </c>
      <c r="F4240" s="1">
        <f t="shared" si="133"/>
        <v>41596</v>
      </c>
      <c r="G4240" cm="1">
        <f t="array" ref="G4240">PRODUCT( _xlfn._xlws.FILTER($E:$E, ($C:$C=C4240)*($F:$F=F4240)) ) - 1</f>
        <v>1.6060412461060158E-2</v>
      </c>
    </row>
    <row r="4241" spans="1:7" x14ac:dyDescent="0.2">
      <c r="A4241" s="1">
        <v>41597</v>
      </c>
      <c r="B4241">
        <v>0</v>
      </c>
      <c r="C4241" t="s">
        <v>14</v>
      </c>
      <c r="D4241">
        <v>5.117E-3</v>
      </c>
      <c r="E4241">
        <f t="shared" si="132"/>
        <v>1.005117</v>
      </c>
      <c r="F4241" s="1">
        <f t="shared" si="133"/>
        <v>41596</v>
      </c>
      <c r="G4241" cm="1">
        <f t="array" ref="G4241">PRODUCT( _xlfn._xlws.FILTER($E:$E, ($C:$C=C4241)*($F:$F=F4241)) ) - 1</f>
        <v>1.6060412461060158E-2</v>
      </c>
    </row>
    <row r="4242" spans="1:7" x14ac:dyDescent="0.2">
      <c r="A4242" s="1">
        <v>41598</v>
      </c>
      <c r="B4242">
        <v>0</v>
      </c>
      <c r="C4242" t="s">
        <v>14</v>
      </c>
      <c r="D4242">
        <v>1.4201999999999999E-2</v>
      </c>
      <c r="E4242">
        <f t="shared" si="132"/>
        <v>1.014202</v>
      </c>
      <c r="F4242" s="1">
        <f t="shared" si="133"/>
        <v>41596</v>
      </c>
      <c r="G4242" cm="1">
        <f t="array" ref="G4242">PRODUCT( _xlfn._xlws.FILTER($E:$E, ($C:$C=C4242)*($F:$F=F4242)) ) - 1</f>
        <v>1.6060412461060158E-2</v>
      </c>
    </row>
    <row r="4243" spans="1:7" x14ac:dyDescent="0.2">
      <c r="A4243" s="1">
        <v>41599</v>
      </c>
      <c r="B4243">
        <v>0</v>
      </c>
      <c r="C4243" t="s">
        <v>14</v>
      </c>
      <c r="D4243">
        <v>2.9060000000000002E-3</v>
      </c>
      <c r="E4243">
        <f t="shared" si="132"/>
        <v>1.0029060000000001</v>
      </c>
      <c r="F4243" s="1">
        <f t="shared" si="133"/>
        <v>41596</v>
      </c>
      <c r="G4243" cm="1">
        <f t="array" ref="G4243">PRODUCT( _xlfn._xlws.FILTER($E:$E, ($C:$C=C4243)*($F:$F=F4243)) ) - 1</f>
        <v>1.6060412461060158E-2</v>
      </c>
    </row>
    <row r="4244" spans="1:7" x14ac:dyDescent="0.2">
      <c r="A4244" s="1">
        <v>41600</v>
      </c>
      <c r="B4244">
        <v>0</v>
      </c>
      <c r="C4244" t="s">
        <v>14</v>
      </c>
      <c r="D4244">
        <v>0</v>
      </c>
      <c r="E4244">
        <f t="shared" si="132"/>
        <v>1</v>
      </c>
      <c r="F4244" s="1">
        <f t="shared" si="133"/>
        <v>41596</v>
      </c>
      <c r="G4244" cm="1">
        <f t="array" ref="G4244">PRODUCT( _xlfn._xlws.FILTER($E:$E, ($C:$C=C4244)*($F:$F=F4244)) ) - 1</f>
        <v>1.6060412461060158E-2</v>
      </c>
    </row>
    <row r="4245" spans="1:7" x14ac:dyDescent="0.2">
      <c r="A4245" s="1">
        <v>41603</v>
      </c>
      <c r="B4245">
        <v>0</v>
      </c>
      <c r="C4245" t="s">
        <v>14</v>
      </c>
      <c r="D4245">
        <v>-1.8967000000000001E-2</v>
      </c>
      <c r="E4245">
        <f t="shared" si="132"/>
        <v>0.98103300000000004</v>
      </c>
      <c r="F4245" s="1">
        <f t="shared" si="133"/>
        <v>41603</v>
      </c>
      <c r="G4245" cm="1">
        <f t="array" ref="G4245">PRODUCT( _xlfn._xlws.FILTER($E:$E, ($C:$C=C4245)*($F:$F=F4245)) ) - 1</f>
        <v>-3.5299872166390966E-2</v>
      </c>
    </row>
    <row r="4246" spans="1:7" x14ac:dyDescent="0.2">
      <c r="A4246" s="1">
        <v>41604</v>
      </c>
      <c r="B4246">
        <v>0</v>
      </c>
      <c r="C4246" t="s">
        <v>14</v>
      </c>
      <c r="D4246">
        <v>-1.7454000000000001E-2</v>
      </c>
      <c r="E4246">
        <f t="shared" si="132"/>
        <v>0.98254600000000003</v>
      </c>
      <c r="F4246" s="1">
        <f t="shared" si="133"/>
        <v>41603</v>
      </c>
      <c r="G4246" cm="1">
        <f t="array" ref="G4246">PRODUCT( _xlfn._xlws.FILTER($E:$E, ($C:$C=C4246)*($F:$F=F4246)) ) - 1</f>
        <v>-3.5299872166390966E-2</v>
      </c>
    </row>
    <row r="4247" spans="1:7" x14ac:dyDescent="0.2">
      <c r="A4247" s="1">
        <v>41605</v>
      </c>
      <c r="B4247">
        <v>0</v>
      </c>
      <c r="C4247" t="s">
        <v>14</v>
      </c>
      <c r="D4247">
        <v>-1.093E-3</v>
      </c>
      <c r="E4247">
        <f t="shared" si="132"/>
        <v>0.99890699999999999</v>
      </c>
      <c r="F4247" s="1">
        <f t="shared" si="133"/>
        <v>41603</v>
      </c>
      <c r="G4247" cm="1">
        <f t="array" ref="G4247">PRODUCT( _xlfn._xlws.FILTER($E:$E, ($C:$C=C4247)*($F:$F=F4247)) ) - 1</f>
        <v>-3.5299872166390966E-2</v>
      </c>
    </row>
    <row r="4248" spans="1:7" x14ac:dyDescent="0.2">
      <c r="A4248" s="1">
        <v>41606</v>
      </c>
      <c r="B4248">
        <v>0</v>
      </c>
      <c r="C4248" t="s">
        <v>14</v>
      </c>
      <c r="D4248">
        <v>-8.2100000000000001E-4</v>
      </c>
      <c r="E4248">
        <f t="shared" si="132"/>
        <v>0.99917900000000004</v>
      </c>
      <c r="F4248" s="1">
        <f t="shared" si="133"/>
        <v>41603</v>
      </c>
      <c r="G4248" cm="1">
        <f t="array" ref="G4248">PRODUCT( _xlfn._xlws.FILTER($E:$E, ($C:$C=C4248)*($F:$F=F4248)) ) - 1</f>
        <v>-3.5299872166390966E-2</v>
      </c>
    </row>
    <row r="4249" spans="1:7" x14ac:dyDescent="0.2">
      <c r="A4249" s="1">
        <v>41607</v>
      </c>
      <c r="B4249">
        <v>0</v>
      </c>
      <c r="C4249" t="s">
        <v>14</v>
      </c>
      <c r="D4249">
        <v>2.738E-3</v>
      </c>
      <c r="E4249">
        <f t="shared" si="132"/>
        <v>1.0027379999999999</v>
      </c>
      <c r="F4249" s="1">
        <f t="shared" si="133"/>
        <v>41603</v>
      </c>
      <c r="G4249" cm="1">
        <f t="array" ref="G4249">PRODUCT( _xlfn._xlws.FILTER($E:$E, ($C:$C=C4249)*($F:$F=F4249)) ) - 1</f>
        <v>-3.5299872166390966E-2</v>
      </c>
    </row>
    <row r="4250" spans="1:7" x14ac:dyDescent="0.2">
      <c r="A4250" s="1">
        <v>41610</v>
      </c>
      <c r="B4250">
        <v>0</v>
      </c>
      <c r="C4250" t="s">
        <v>14</v>
      </c>
      <c r="D4250">
        <v>1.4003E-2</v>
      </c>
      <c r="E4250">
        <f t="shared" si="132"/>
        <v>1.014003</v>
      </c>
      <c r="F4250" s="1">
        <f t="shared" si="133"/>
        <v>41610</v>
      </c>
      <c r="G4250" cm="1">
        <f t="array" ref="G4250">PRODUCT( _xlfn._xlws.FILTER($E:$E, ($C:$C=C4250)*($F:$F=F4250)) ) - 1</f>
        <v>-1.8945390269594298E-2</v>
      </c>
    </row>
    <row r="4251" spans="1:7" x14ac:dyDescent="0.2">
      <c r="A4251" s="1">
        <v>41611</v>
      </c>
      <c r="B4251">
        <v>0</v>
      </c>
      <c r="C4251" t="s">
        <v>14</v>
      </c>
      <c r="D4251">
        <v>1.7600999999999999E-2</v>
      </c>
      <c r="E4251">
        <f t="shared" si="132"/>
        <v>1.017601</v>
      </c>
      <c r="F4251" s="1">
        <f t="shared" si="133"/>
        <v>41610</v>
      </c>
      <c r="G4251" cm="1">
        <f t="array" ref="G4251">PRODUCT( _xlfn._xlws.FILTER($E:$E, ($C:$C=C4251)*($F:$F=F4251)) ) - 1</f>
        <v>-1.8945390269594298E-2</v>
      </c>
    </row>
    <row r="4252" spans="1:7" x14ac:dyDescent="0.2">
      <c r="A4252" s="1">
        <v>41612</v>
      </c>
      <c r="B4252">
        <v>0</v>
      </c>
      <c r="C4252" t="s">
        <v>14</v>
      </c>
      <c r="D4252">
        <v>-1.2507000000000001E-2</v>
      </c>
      <c r="E4252">
        <f t="shared" si="132"/>
        <v>0.98749299999999995</v>
      </c>
      <c r="F4252" s="1">
        <f t="shared" si="133"/>
        <v>41610</v>
      </c>
      <c r="G4252" cm="1">
        <f t="array" ref="G4252">PRODUCT( _xlfn._xlws.FILTER($E:$E, ($C:$C=C4252)*($F:$F=F4252)) ) - 1</f>
        <v>-1.8945390269594298E-2</v>
      </c>
    </row>
    <row r="4253" spans="1:7" x14ac:dyDescent="0.2">
      <c r="A4253" s="1">
        <v>41613</v>
      </c>
      <c r="B4253">
        <v>0</v>
      </c>
      <c r="C4253" t="s">
        <v>14</v>
      </c>
      <c r="D4253">
        <v>-2.2634999999999999E-2</v>
      </c>
      <c r="E4253">
        <f t="shared" si="132"/>
        <v>0.97736500000000004</v>
      </c>
      <c r="F4253" s="1">
        <f t="shared" si="133"/>
        <v>41610</v>
      </c>
      <c r="G4253" cm="1">
        <f t="array" ref="G4253">PRODUCT( _xlfn._xlws.FILTER($E:$E, ($C:$C=C4253)*($F:$F=F4253)) ) - 1</f>
        <v>-1.8945390269594298E-2</v>
      </c>
    </row>
    <row r="4254" spans="1:7" x14ac:dyDescent="0.2">
      <c r="A4254" s="1">
        <v>41614</v>
      </c>
      <c r="B4254">
        <v>0</v>
      </c>
      <c r="C4254" t="s">
        <v>14</v>
      </c>
      <c r="D4254">
        <v>-1.4888E-2</v>
      </c>
      <c r="E4254">
        <f t="shared" si="132"/>
        <v>0.98511199999999999</v>
      </c>
      <c r="F4254" s="1">
        <f t="shared" si="133"/>
        <v>41610</v>
      </c>
      <c r="G4254" cm="1">
        <f t="array" ref="G4254">PRODUCT( _xlfn._xlws.FILTER($E:$E, ($C:$C=C4254)*($F:$F=F4254)) ) - 1</f>
        <v>-1.8945390269594298E-2</v>
      </c>
    </row>
    <row r="4255" spans="1:7" x14ac:dyDescent="0.2">
      <c r="A4255" s="1">
        <v>41617</v>
      </c>
      <c r="B4255">
        <v>0</v>
      </c>
      <c r="C4255" t="s">
        <v>14</v>
      </c>
      <c r="D4255">
        <v>2.2390000000000001E-3</v>
      </c>
      <c r="E4255">
        <f t="shared" si="132"/>
        <v>1.0022390000000001</v>
      </c>
      <c r="F4255" s="1">
        <f t="shared" si="133"/>
        <v>41617</v>
      </c>
      <c r="G4255" cm="1">
        <f t="array" ref="G4255">PRODUCT( _xlfn._xlws.FILTER($E:$E, ($C:$C=C4255)*($F:$F=F4255)) ) - 1</f>
        <v>1.9589052184889599E-3</v>
      </c>
    </row>
    <row r="4256" spans="1:7" x14ac:dyDescent="0.2">
      <c r="A4256" s="1">
        <v>41618</v>
      </c>
      <c r="B4256">
        <v>0</v>
      </c>
      <c r="C4256" t="s">
        <v>14</v>
      </c>
      <c r="D4256">
        <v>6.7019999999999996E-3</v>
      </c>
      <c r="E4256">
        <f t="shared" si="132"/>
        <v>1.006702</v>
      </c>
      <c r="F4256" s="1">
        <f t="shared" si="133"/>
        <v>41617</v>
      </c>
      <c r="G4256" cm="1">
        <f t="array" ref="G4256">PRODUCT( _xlfn._xlws.FILTER($E:$E, ($C:$C=C4256)*($F:$F=F4256)) ) - 1</f>
        <v>1.9589052184889599E-3</v>
      </c>
    </row>
    <row r="4257" spans="1:7" x14ac:dyDescent="0.2">
      <c r="A4257" s="1">
        <v>41619</v>
      </c>
      <c r="B4257">
        <v>0</v>
      </c>
      <c r="C4257" t="s">
        <v>14</v>
      </c>
      <c r="D4257">
        <v>-1.4978999999999999E-2</v>
      </c>
      <c r="E4257">
        <f t="shared" si="132"/>
        <v>0.98502100000000004</v>
      </c>
      <c r="F4257" s="1">
        <f t="shared" si="133"/>
        <v>41617</v>
      </c>
      <c r="G4257" cm="1">
        <f t="array" ref="G4257">PRODUCT( _xlfn._xlws.FILTER($E:$E, ($C:$C=C4257)*($F:$F=F4257)) ) - 1</f>
        <v>1.9589052184889599E-3</v>
      </c>
    </row>
    <row r="4258" spans="1:7" x14ac:dyDescent="0.2">
      <c r="A4258" s="1">
        <v>41620</v>
      </c>
      <c r="B4258">
        <v>0</v>
      </c>
      <c r="C4258" t="s">
        <v>14</v>
      </c>
      <c r="D4258">
        <v>1.3799000000000001E-2</v>
      </c>
      <c r="E4258">
        <f t="shared" si="132"/>
        <v>1.0137989999999999</v>
      </c>
      <c r="F4258" s="1">
        <f t="shared" si="133"/>
        <v>41617</v>
      </c>
      <c r="G4258" cm="1">
        <f t="array" ref="G4258">PRODUCT( _xlfn._xlws.FILTER($E:$E, ($C:$C=C4258)*($F:$F=F4258)) ) - 1</f>
        <v>1.9589052184889599E-3</v>
      </c>
    </row>
    <row r="4259" spans="1:7" x14ac:dyDescent="0.2">
      <c r="A4259" s="1">
        <v>41621</v>
      </c>
      <c r="B4259">
        <v>0</v>
      </c>
      <c r="C4259" t="s">
        <v>14</v>
      </c>
      <c r="D4259">
        <v>-5.5560000000000002E-3</v>
      </c>
      <c r="E4259">
        <f t="shared" si="132"/>
        <v>0.99444399999999999</v>
      </c>
      <c r="F4259" s="1">
        <f t="shared" si="133"/>
        <v>41617</v>
      </c>
      <c r="G4259" cm="1">
        <f t="array" ref="G4259">PRODUCT( _xlfn._xlws.FILTER($E:$E, ($C:$C=C4259)*($F:$F=F4259)) ) - 1</f>
        <v>1.9589052184889599E-3</v>
      </c>
    </row>
    <row r="4260" spans="1:7" x14ac:dyDescent="0.2">
      <c r="A4260" s="1">
        <v>41624</v>
      </c>
      <c r="B4260">
        <v>0</v>
      </c>
      <c r="C4260" t="s">
        <v>14</v>
      </c>
      <c r="D4260">
        <v>5.8659999999999997E-3</v>
      </c>
      <c r="E4260">
        <f t="shared" si="132"/>
        <v>1.0058659999999999</v>
      </c>
      <c r="F4260" s="1">
        <f t="shared" si="133"/>
        <v>41624</v>
      </c>
      <c r="G4260" cm="1">
        <f t="array" ref="G4260">PRODUCT( _xlfn._xlws.FILTER($E:$E, ($C:$C=C4260)*($F:$F=F4260)) ) - 1</f>
        <v>1.3687443810654898E-2</v>
      </c>
    </row>
    <row r="4261" spans="1:7" x14ac:dyDescent="0.2">
      <c r="A4261" s="1">
        <v>41625</v>
      </c>
      <c r="B4261">
        <v>0</v>
      </c>
      <c r="C4261" t="s">
        <v>14</v>
      </c>
      <c r="D4261">
        <v>-1.3885E-2</v>
      </c>
      <c r="E4261">
        <f t="shared" si="132"/>
        <v>0.98611499999999996</v>
      </c>
      <c r="F4261" s="1">
        <f t="shared" si="133"/>
        <v>41624</v>
      </c>
      <c r="G4261" cm="1">
        <f t="array" ref="G4261">PRODUCT( _xlfn._xlws.FILTER($E:$E, ($C:$C=C4261)*($F:$F=F4261)) ) - 1</f>
        <v>1.3687443810654898E-2</v>
      </c>
    </row>
    <row r="4262" spans="1:7" x14ac:dyDescent="0.2">
      <c r="A4262" s="1">
        <v>41626</v>
      </c>
      <c r="B4262">
        <v>0</v>
      </c>
      <c r="C4262" t="s">
        <v>14</v>
      </c>
      <c r="D4262">
        <v>2.5062999999999998E-2</v>
      </c>
      <c r="E4262">
        <f t="shared" si="132"/>
        <v>1.0250630000000001</v>
      </c>
      <c r="F4262" s="1">
        <f t="shared" si="133"/>
        <v>41624</v>
      </c>
      <c r="G4262" cm="1">
        <f t="array" ref="G4262">PRODUCT( _xlfn._xlws.FILTER($E:$E, ($C:$C=C4262)*($F:$F=F4262)) ) - 1</f>
        <v>1.3687443810654898E-2</v>
      </c>
    </row>
    <row r="4263" spans="1:7" x14ac:dyDescent="0.2">
      <c r="A4263" s="1">
        <v>41627</v>
      </c>
      <c r="B4263">
        <v>0</v>
      </c>
      <c r="C4263" t="s">
        <v>14</v>
      </c>
      <c r="D4263">
        <v>2.1979999999999999E-3</v>
      </c>
      <c r="E4263">
        <f t="shared" si="132"/>
        <v>1.0021979999999999</v>
      </c>
      <c r="F4263" s="1">
        <f t="shared" si="133"/>
        <v>41624</v>
      </c>
      <c r="G4263" cm="1">
        <f t="array" ref="G4263">PRODUCT( _xlfn._xlws.FILTER($E:$E, ($C:$C=C4263)*($F:$F=F4263)) ) - 1</f>
        <v>1.3687443810654898E-2</v>
      </c>
    </row>
    <row r="4264" spans="1:7" x14ac:dyDescent="0.2">
      <c r="A4264" s="1">
        <v>41628</v>
      </c>
      <c r="B4264">
        <v>0</v>
      </c>
      <c r="C4264" t="s">
        <v>14</v>
      </c>
      <c r="D4264">
        <v>-5.208E-3</v>
      </c>
      <c r="E4264">
        <f t="shared" si="132"/>
        <v>0.99479200000000001</v>
      </c>
      <c r="F4264" s="1">
        <f t="shared" si="133"/>
        <v>41624</v>
      </c>
      <c r="G4264" cm="1">
        <f t="array" ref="G4264">PRODUCT( _xlfn._xlws.FILTER($E:$E, ($C:$C=C4264)*($F:$F=F4264)) ) - 1</f>
        <v>1.3687443810654898E-2</v>
      </c>
    </row>
    <row r="4265" spans="1:7" x14ac:dyDescent="0.2">
      <c r="A4265" s="1">
        <v>41631</v>
      </c>
      <c r="B4265">
        <v>0</v>
      </c>
      <c r="C4265" t="s">
        <v>14</v>
      </c>
      <c r="D4265">
        <v>1.24E-2</v>
      </c>
      <c r="E4265">
        <f t="shared" si="132"/>
        <v>1.0124</v>
      </c>
      <c r="F4265" s="1">
        <f t="shared" si="133"/>
        <v>41631</v>
      </c>
      <c r="G4265" cm="1">
        <f t="array" ref="G4265">PRODUCT( _xlfn._xlws.FILTER($E:$E, ($C:$C=C4265)*($F:$F=F4265)) ) - 1</f>
        <v>2.6178500273849492E-2</v>
      </c>
    </row>
    <row r="4266" spans="1:7" x14ac:dyDescent="0.2">
      <c r="A4266" s="1">
        <v>41632</v>
      </c>
      <c r="B4266">
        <v>0</v>
      </c>
      <c r="C4266" t="s">
        <v>14</v>
      </c>
      <c r="D4266">
        <v>4.0829999999999998E-3</v>
      </c>
      <c r="E4266">
        <f t="shared" si="132"/>
        <v>1.0040830000000001</v>
      </c>
      <c r="F4266" s="1">
        <f t="shared" si="133"/>
        <v>41631</v>
      </c>
      <c r="G4266" cm="1">
        <f t="array" ref="G4266">PRODUCT( _xlfn._xlws.FILTER($E:$E, ($C:$C=C4266)*($F:$F=F4266)) ) - 1</f>
        <v>2.6178500273849492E-2</v>
      </c>
    </row>
    <row r="4267" spans="1:7" x14ac:dyDescent="0.2">
      <c r="A4267" s="1">
        <v>41635</v>
      </c>
      <c r="B4267">
        <v>0</v>
      </c>
      <c r="C4267" t="s">
        <v>14</v>
      </c>
      <c r="D4267">
        <v>9.4879999999999999E-3</v>
      </c>
      <c r="E4267">
        <f t="shared" si="132"/>
        <v>1.0094879999999999</v>
      </c>
      <c r="F4267" s="1">
        <f t="shared" si="133"/>
        <v>41631</v>
      </c>
      <c r="G4267" cm="1">
        <f t="array" ref="G4267">PRODUCT( _xlfn._xlws.FILTER($E:$E, ($C:$C=C4267)*($F:$F=F4267)) ) - 1</f>
        <v>2.6178500273849492E-2</v>
      </c>
    </row>
    <row r="4268" spans="1:7" x14ac:dyDescent="0.2">
      <c r="A4268" s="1">
        <v>41638</v>
      </c>
      <c r="B4268">
        <v>0</v>
      </c>
      <c r="C4268" t="s">
        <v>14</v>
      </c>
      <c r="D4268">
        <v>-9.6670000000000002E-3</v>
      </c>
      <c r="E4268">
        <f t="shared" si="132"/>
        <v>0.99033300000000002</v>
      </c>
      <c r="F4268" s="1">
        <f t="shared" si="133"/>
        <v>41638</v>
      </c>
      <c r="G4268" cm="1">
        <f t="array" ref="G4268">PRODUCT( _xlfn._xlws.FILTER($E:$E, ($C:$C=C4268)*($F:$F=F4268)) ) - 1</f>
        <v>-1.7723377742030921E-2</v>
      </c>
    </row>
    <row r="4269" spans="1:7" x14ac:dyDescent="0.2">
      <c r="A4269" s="1">
        <v>41639</v>
      </c>
      <c r="B4269">
        <v>0</v>
      </c>
      <c r="C4269" t="s">
        <v>14</v>
      </c>
      <c r="D4269">
        <v>9.7610000000000006E-3</v>
      </c>
      <c r="E4269">
        <f t="shared" si="132"/>
        <v>1.0097609999999999</v>
      </c>
      <c r="F4269" s="1">
        <f t="shared" si="133"/>
        <v>41638</v>
      </c>
      <c r="G4269" cm="1">
        <f t="array" ref="G4269">PRODUCT( _xlfn._xlws.FILTER($E:$E, ($C:$C=C4269)*($F:$F=F4269)) ) - 1</f>
        <v>-1.7723377742030921E-2</v>
      </c>
    </row>
    <row r="4270" spans="1:7" x14ac:dyDescent="0.2">
      <c r="A4270" s="1">
        <v>41641</v>
      </c>
      <c r="B4270">
        <v>0</v>
      </c>
      <c r="C4270" t="s">
        <v>14</v>
      </c>
      <c r="D4270">
        <v>-1.2083999999999999E-2</v>
      </c>
      <c r="E4270">
        <f t="shared" si="132"/>
        <v>0.98791600000000002</v>
      </c>
      <c r="F4270" s="1">
        <f t="shared" si="133"/>
        <v>41638</v>
      </c>
      <c r="G4270" cm="1">
        <f t="array" ref="G4270">PRODUCT( _xlfn._xlws.FILTER($E:$E, ($C:$C=C4270)*($F:$F=F4270)) ) - 1</f>
        <v>-1.7723377742030921E-2</v>
      </c>
    </row>
    <row r="4271" spans="1:7" x14ac:dyDescent="0.2">
      <c r="A4271" s="1">
        <v>41642</v>
      </c>
      <c r="B4271">
        <v>0</v>
      </c>
      <c r="C4271" t="s">
        <v>14</v>
      </c>
      <c r="D4271">
        <v>-5.7080000000000004E-3</v>
      </c>
      <c r="E4271">
        <f t="shared" si="132"/>
        <v>0.99429199999999995</v>
      </c>
      <c r="F4271" s="1">
        <f t="shared" si="133"/>
        <v>41638</v>
      </c>
      <c r="G4271" cm="1">
        <f t="array" ref="G4271">PRODUCT( _xlfn._xlws.FILTER($E:$E, ($C:$C=C4271)*($F:$F=F4271)) ) - 1</f>
        <v>-1.7723377742030921E-2</v>
      </c>
    </row>
    <row r="4272" spans="1:7" x14ac:dyDescent="0.2">
      <c r="A4272" s="1">
        <v>41645</v>
      </c>
      <c r="B4272">
        <v>0</v>
      </c>
      <c r="C4272" t="s">
        <v>14</v>
      </c>
      <c r="D4272">
        <v>0</v>
      </c>
      <c r="E4272">
        <f t="shared" si="132"/>
        <v>1</v>
      </c>
      <c r="F4272" s="1">
        <f t="shared" si="133"/>
        <v>41645</v>
      </c>
      <c r="G4272" cm="1">
        <f t="array" ref="G4272">PRODUCT( _xlfn._xlws.FILTER($E:$E, ($C:$C=C4272)*($F:$F=F4272)) ) - 1</f>
        <v>3.7725021790976587E-2</v>
      </c>
    </row>
    <row r="4273" spans="1:7" x14ac:dyDescent="0.2">
      <c r="A4273" s="1">
        <v>41646</v>
      </c>
      <c r="B4273">
        <v>0</v>
      </c>
      <c r="C4273" t="s">
        <v>14</v>
      </c>
      <c r="D4273">
        <v>1.6129000000000001E-2</v>
      </c>
      <c r="E4273">
        <f t="shared" si="132"/>
        <v>1.0161290000000001</v>
      </c>
      <c r="F4273" s="1">
        <f t="shared" si="133"/>
        <v>41645</v>
      </c>
      <c r="G4273" cm="1">
        <f t="array" ref="G4273">PRODUCT( _xlfn._xlws.FILTER($E:$E, ($C:$C=C4273)*($F:$F=F4273)) ) - 1</f>
        <v>3.7725021790976587E-2</v>
      </c>
    </row>
    <row r="4274" spans="1:7" x14ac:dyDescent="0.2">
      <c r="A4274" s="1">
        <v>41647</v>
      </c>
      <c r="B4274">
        <v>0</v>
      </c>
      <c r="C4274" t="s">
        <v>14</v>
      </c>
      <c r="D4274">
        <v>8.071E-3</v>
      </c>
      <c r="E4274">
        <f t="shared" si="132"/>
        <v>1.0080709999999999</v>
      </c>
      <c r="F4274" s="1">
        <f t="shared" si="133"/>
        <v>41645</v>
      </c>
      <c r="G4274" cm="1">
        <f t="array" ref="G4274">PRODUCT( _xlfn._xlws.FILTER($E:$E, ($C:$C=C4274)*($F:$F=F4274)) ) - 1</f>
        <v>3.7725021790976587E-2</v>
      </c>
    </row>
    <row r="4275" spans="1:7" x14ac:dyDescent="0.2">
      <c r="A4275" s="1">
        <v>41648</v>
      </c>
      <c r="B4275">
        <v>0</v>
      </c>
      <c r="C4275" t="s">
        <v>14</v>
      </c>
      <c r="D4275">
        <v>-4.8040000000000001E-3</v>
      </c>
      <c r="E4275">
        <f t="shared" si="132"/>
        <v>0.99519599999999997</v>
      </c>
      <c r="F4275" s="1">
        <f t="shared" si="133"/>
        <v>41645</v>
      </c>
      <c r="G4275" cm="1">
        <f t="array" ref="G4275">PRODUCT( _xlfn._xlws.FILTER($E:$E, ($C:$C=C4275)*($F:$F=F4275)) ) - 1</f>
        <v>3.7725021790976587E-2</v>
      </c>
    </row>
    <row r="4276" spans="1:7" x14ac:dyDescent="0.2">
      <c r="A4276" s="1">
        <v>41649</v>
      </c>
      <c r="B4276">
        <v>0</v>
      </c>
      <c r="C4276" t="s">
        <v>14</v>
      </c>
      <c r="D4276">
        <v>1.7967E-2</v>
      </c>
      <c r="E4276">
        <f t="shared" si="132"/>
        <v>1.0179670000000001</v>
      </c>
      <c r="F4276" s="1">
        <f t="shared" si="133"/>
        <v>41645</v>
      </c>
      <c r="G4276" cm="1">
        <f t="array" ref="G4276">PRODUCT( _xlfn._xlws.FILTER($E:$E, ($C:$C=C4276)*($F:$F=F4276)) ) - 1</f>
        <v>3.7725021790976587E-2</v>
      </c>
    </row>
    <row r="4277" spans="1:7" x14ac:dyDescent="0.2">
      <c r="A4277" s="1">
        <v>41652</v>
      </c>
      <c r="B4277">
        <v>0</v>
      </c>
      <c r="C4277" t="s">
        <v>14</v>
      </c>
      <c r="D4277">
        <v>-1.8176999999999999E-2</v>
      </c>
      <c r="E4277">
        <f t="shared" si="132"/>
        <v>0.981823</v>
      </c>
      <c r="F4277" s="1">
        <f t="shared" si="133"/>
        <v>41652</v>
      </c>
      <c r="G4277" cm="1">
        <f t="array" ref="G4277">PRODUCT( _xlfn._xlws.FILTER($E:$E, ($C:$C=C4277)*($F:$F=F4277)) ) - 1</f>
        <v>-1.5278986767973457E-2</v>
      </c>
    </row>
    <row r="4278" spans="1:7" x14ac:dyDescent="0.2">
      <c r="A4278" s="1">
        <v>41653</v>
      </c>
      <c r="B4278">
        <v>0</v>
      </c>
      <c r="C4278" t="s">
        <v>14</v>
      </c>
      <c r="D4278">
        <v>-8.0500000000000005E-4</v>
      </c>
      <c r="E4278">
        <f t="shared" si="132"/>
        <v>0.99919500000000006</v>
      </c>
      <c r="F4278" s="1">
        <f t="shared" si="133"/>
        <v>41652</v>
      </c>
      <c r="G4278" cm="1">
        <f t="array" ref="G4278">PRODUCT( _xlfn._xlws.FILTER($E:$E, ($C:$C=C4278)*($F:$F=F4278)) ) - 1</f>
        <v>-1.5278986767973457E-2</v>
      </c>
    </row>
    <row r="4279" spans="1:7" x14ac:dyDescent="0.2">
      <c r="A4279" s="1">
        <v>41654</v>
      </c>
      <c r="B4279">
        <v>0</v>
      </c>
      <c r="C4279" t="s">
        <v>14</v>
      </c>
      <c r="D4279">
        <v>2.954E-3</v>
      </c>
      <c r="E4279">
        <f t="shared" si="132"/>
        <v>1.0029539999999999</v>
      </c>
      <c r="F4279" s="1">
        <f t="shared" si="133"/>
        <v>41652</v>
      </c>
      <c r="G4279" cm="1">
        <f t="array" ref="G4279">PRODUCT( _xlfn._xlws.FILTER($E:$E, ($C:$C=C4279)*($F:$F=F4279)) ) - 1</f>
        <v>-1.5278986767973457E-2</v>
      </c>
    </row>
    <row r="4280" spans="1:7" x14ac:dyDescent="0.2">
      <c r="A4280" s="1">
        <v>41655</v>
      </c>
      <c r="B4280">
        <v>0</v>
      </c>
      <c r="C4280" t="s">
        <v>14</v>
      </c>
      <c r="D4280">
        <v>5.0870000000000004E-3</v>
      </c>
      <c r="E4280">
        <f t="shared" si="132"/>
        <v>1.0050870000000001</v>
      </c>
      <c r="F4280" s="1">
        <f t="shared" si="133"/>
        <v>41652</v>
      </c>
      <c r="G4280" cm="1">
        <f t="array" ref="G4280">PRODUCT( _xlfn._xlws.FILTER($E:$E, ($C:$C=C4280)*($F:$F=F4280)) ) - 1</f>
        <v>-1.5278986767973457E-2</v>
      </c>
    </row>
    <row r="4281" spans="1:7" x14ac:dyDescent="0.2">
      <c r="A4281" s="1">
        <v>41656</v>
      </c>
      <c r="B4281">
        <v>0</v>
      </c>
      <c r="C4281" t="s">
        <v>14</v>
      </c>
      <c r="D4281">
        <v>-4.2620000000000002E-3</v>
      </c>
      <c r="E4281">
        <f t="shared" si="132"/>
        <v>0.99573800000000001</v>
      </c>
      <c r="F4281" s="1">
        <f t="shared" si="133"/>
        <v>41652</v>
      </c>
      <c r="G4281" cm="1">
        <f t="array" ref="G4281">PRODUCT( _xlfn._xlws.FILTER($E:$E, ($C:$C=C4281)*($F:$F=F4281)) ) - 1</f>
        <v>-1.5278986767973457E-2</v>
      </c>
    </row>
    <row r="4282" spans="1:7" x14ac:dyDescent="0.2">
      <c r="A4282" s="1">
        <v>41659</v>
      </c>
      <c r="B4282">
        <v>0</v>
      </c>
      <c r="C4282" t="s">
        <v>14</v>
      </c>
      <c r="D4282">
        <v>4.28E-3</v>
      </c>
      <c r="E4282">
        <f t="shared" si="132"/>
        <v>1.0042800000000001</v>
      </c>
      <c r="F4282" s="1">
        <f t="shared" si="133"/>
        <v>41659</v>
      </c>
      <c r="G4282" cm="1">
        <f t="array" ref="G4282">PRODUCT( _xlfn._xlws.FILTER($E:$E, ($C:$C=C4282)*($F:$F=F4282)) ) - 1</f>
        <v>-1.2573779089588233E-2</v>
      </c>
    </row>
    <row r="4283" spans="1:7" x14ac:dyDescent="0.2">
      <c r="A4283" s="1">
        <v>41660</v>
      </c>
      <c r="B4283">
        <v>0</v>
      </c>
      <c r="C4283" t="s">
        <v>14</v>
      </c>
      <c r="D4283">
        <v>-1.0660000000000001E-3</v>
      </c>
      <c r="E4283">
        <f t="shared" si="132"/>
        <v>0.99893399999999999</v>
      </c>
      <c r="F4283" s="1">
        <f t="shared" si="133"/>
        <v>41659</v>
      </c>
      <c r="G4283" cm="1">
        <f t="array" ref="G4283">PRODUCT( _xlfn._xlws.FILTER($E:$E, ($C:$C=C4283)*($F:$F=F4283)) ) - 1</f>
        <v>-1.2573779089588233E-2</v>
      </c>
    </row>
    <row r="4284" spans="1:7" x14ac:dyDescent="0.2">
      <c r="A4284" s="1">
        <v>41661</v>
      </c>
      <c r="B4284">
        <v>0</v>
      </c>
      <c r="C4284" t="s">
        <v>14</v>
      </c>
      <c r="D4284">
        <v>1.3067E-2</v>
      </c>
      <c r="E4284">
        <f t="shared" si="132"/>
        <v>1.0130669999999999</v>
      </c>
      <c r="F4284" s="1">
        <f t="shared" si="133"/>
        <v>41659</v>
      </c>
      <c r="G4284" cm="1">
        <f t="array" ref="G4284">PRODUCT( _xlfn._xlws.FILTER($E:$E, ($C:$C=C4284)*($F:$F=F4284)) ) - 1</f>
        <v>-1.2573779089588233E-2</v>
      </c>
    </row>
    <row r="4285" spans="1:7" x14ac:dyDescent="0.2">
      <c r="A4285" s="1">
        <v>41662</v>
      </c>
      <c r="B4285">
        <v>0</v>
      </c>
      <c r="C4285" t="s">
        <v>14</v>
      </c>
      <c r="D4285">
        <v>-5.0010000000000002E-3</v>
      </c>
      <c r="E4285">
        <f t="shared" si="132"/>
        <v>0.99499899999999997</v>
      </c>
      <c r="F4285" s="1">
        <f t="shared" si="133"/>
        <v>41659</v>
      </c>
      <c r="G4285" cm="1">
        <f t="array" ref="G4285">PRODUCT( _xlfn._xlws.FILTER($E:$E, ($C:$C=C4285)*($F:$F=F4285)) ) - 1</f>
        <v>-1.2573779089588233E-2</v>
      </c>
    </row>
    <row r="4286" spans="1:7" x14ac:dyDescent="0.2">
      <c r="A4286" s="1">
        <v>41663</v>
      </c>
      <c r="B4286">
        <v>0</v>
      </c>
      <c r="C4286" t="s">
        <v>14</v>
      </c>
      <c r="D4286">
        <v>-2.3545E-2</v>
      </c>
      <c r="E4286">
        <f t="shared" si="132"/>
        <v>0.97645499999999996</v>
      </c>
      <c r="F4286" s="1">
        <f t="shared" si="133"/>
        <v>41659</v>
      </c>
      <c r="G4286" cm="1">
        <f t="array" ref="G4286">PRODUCT( _xlfn._xlws.FILTER($E:$E, ($C:$C=C4286)*($F:$F=F4286)) ) - 1</f>
        <v>-1.2573779089588233E-2</v>
      </c>
    </row>
    <row r="4287" spans="1:7" x14ac:dyDescent="0.2">
      <c r="A4287" s="1">
        <v>41666</v>
      </c>
      <c r="B4287">
        <v>0</v>
      </c>
      <c r="C4287" t="s">
        <v>14</v>
      </c>
      <c r="D4287">
        <v>-1.5984999999999999E-2</v>
      </c>
      <c r="E4287">
        <f t="shared" si="132"/>
        <v>0.98401499999999997</v>
      </c>
      <c r="F4287" s="1">
        <f t="shared" si="133"/>
        <v>41666</v>
      </c>
      <c r="G4287" cm="1">
        <f t="array" ref="G4287">PRODUCT( _xlfn._xlws.FILTER($E:$E, ($C:$C=C4287)*($F:$F=F4287)) ) - 1</f>
        <v>-8.669153268990426E-3</v>
      </c>
    </row>
    <row r="4288" spans="1:7" x14ac:dyDescent="0.2">
      <c r="A4288" s="1">
        <v>41667</v>
      </c>
      <c r="B4288">
        <v>0</v>
      </c>
      <c r="C4288" t="s">
        <v>14</v>
      </c>
      <c r="D4288">
        <v>1.1013E-2</v>
      </c>
      <c r="E4288">
        <f t="shared" si="132"/>
        <v>1.0110129999999999</v>
      </c>
      <c r="F4288" s="1">
        <f t="shared" si="133"/>
        <v>41666</v>
      </c>
      <c r="G4288" cm="1">
        <f t="array" ref="G4288">PRODUCT( _xlfn._xlws.FILTER($E:$E, ($C:$C=C4288)*($F:$F=F4288)) ) - 1</f>
        <v>-8.669153268990426E-3</v>
      </c>
    </row>
    <row r="4289" spans="1:7" x14ac:dyDescent="0.2">
      <c r="A4289" s="1">
        <v>41668</v>
      </c>
      <c r="B4289">
        <v>0</v>
      </c>
      <c r="C4289" t="s">
        <v>14</v>
      </c>
      <c r="D4289">
        <v>-7.6249999999999998E-3</v>
      </c>
      <c r="E4289">
        <f t="shared" si="132"/>
        <v>0.99237500000000001</v>
      </c>
      <c r="F4289" s="1">
        <f t="shared" si="133"/>
        <v>41666</v>
      </c>
      <c r="G4289" cm="1">
        <f t="array" ref="G4289">PRODUCT( _xlfn._xlws.FILTER($E:$E, ($C:$C=C4289)*($F:$F=F4289)) ) - 1</f>
        <v>-8.669153268990426E-3</v>
      </c>
    </row>
    <row r="4290" spans="1:7" x14ac:dyDescent="0.2">
      <c r="A4290" s="1">
        <v>41669</v>
      </c>
      <c r="B4290">
        <v>0</v>
      </c>
      <c r="C4290" t="s">
        <v>14</v>
      </c>
      <c r="D4290">
        <v>1.647E-3</v>
      </c>
      <c r="E4290">
        <f t="shared" si="132"/>
        <v>1.001647</v>
      </c>
      <c r="F4290" s="1">
        <f t="shared" si="133"/>
        <v>41666</v>
      </c>
      <c r="G4290" cm="1">
        <f t="array" ref="G4290">PRODUCT( _xlfn._xlws.FILTER($E:$E, ($C:$C=C4290)*($F:$F=F4290)) ) - 1</f>
        <v>-8.669153268990426E-3</v>
      </c>
    </row>
    <row r="4291" spans="1:7" x14ac:dyDescent="0.2">
      <c r="A4291" s="1">
        <v>41670</v>
      </c>
      <c r="B4291">
        <v>0</v>
      </c>
      <c r="C4291" t="s">
        <v>14</v>
      </c>
      <c r="D4291">
        <v>2.4659999999999999E-3</v>
      </c>
      <c r="E4291">
        <f t="shared" si="132"/>
        <v>1.0024660000000001</v>
      </c>
      <c r="F4291" s="1">
        <f t="shared" si="133"/>
        <v>41666</v>
      </c>
      <c r="G4291" cm="1">
        <f t="array" ref="G4291">PRODUCT( _xlfn._xlws.FILTER($E:$E, ($C:$C=C4291)*($F:$F=F4291)) ) - 1</f>
        <v>-8.669153268990426E-3</v>
      </c>
    </row>
    <row r="4292" spans="1:7" x14ac:dyDescent="0.2">
      <c r="A4292" s="1">
        <v>41673</v>
      </c>
      <c r="B4292">
        <v>0</v>
      </c>
      <c r="C4292" t="s">
        <v>14</v>
      </c>
      <c r="D4292">
        <v>-2.5963E-2</v>
      </c>
      <c r="E4292">
        <f t="shared" ref="E4292:E4355" si="134">D4292+1</f>
        <v>0.97403700000000004</v>
      </c>
      <c r="F4292" s="1">
        <f t="shared" ref="F4292:F4355" si="135">A4292 - (WEEKDAY(A4292, 2) - 1)</f>
        <v>41673</v>
      </c>
      <c r="G4292" cm="1">
        <f t="array" ref="G4292">PRODUCT( _xlfn._xlws.FILTER($E:$E, ($C:$C=C4292)*($F:$F=F4292)) ) - 1</f>
        <v>-9.0181255842164409E-3</v>
      </c>
    </row>
    <row r="4293" spans="1:7" x14ac:dyDescent="0.2">
      <c r="A4293" s="1">
        <v>41674</v>
      </c>
      <c r="B4293">
        <v>0</v>
      </c>
      <c r="C4293" t="s">
        <v>14</v>
      </c>
      <c r="D4293">
        <v>-1.7676999999999998E-2</v>
      </c>
      <c r="E4293">
        <f t="shared" si="134"/>
        <v>0.98232300000000006</v>
      </c>
      <c r="F4293" s="1">
        <f t="shared" si="135"/>
        <v>41673</v>
      </c>
      <c r="G4293" cm="1">
        <f t="array" ref="G4293">PRODUCT( _xlfn._xlws.FILTER($E:$E, ($C:$C=C4293)*($F:$F=F4293)) ) - 1</f>
        <v>-9.0181255842164409E-3</v>
      </c>
    </row>
    <row r="4294" spans="1:7" x14ac:dyDescent="0.2">
      <c r="A4294" s="1">
        <v>41675</v>
      </c>
      <c r="B4294">
        <v>0</v>
      </c>
      <c r="C4294" t="s">
        <v>14</v>
      </c>
      <c r="D4294">
        <v>5.7130000000000002E-3</v>
      </c>
      <c r="E4294">
        <f t="shared" si="134"/>
        <v>1.0057130000000001</v>
      </c>
      <c r="F4294" s="1">
        <f t="shared" si="135"/>
        <v>41673</v>
      </c>
      <c r="G4294" cm="1">
        <f t="array" ref="G4294">PRODUCT( _xlfn._xlws.FILTER($E:$E, ($C:$C=C4294)*($F:$F=F4294)) ) - 1</f>
        <v>-9.0181255842164409E-3</v>
      </c>
    </row>
    <row r="4295" spans="1:7" x14ac:dyDescent="0.2">
      <c r="A4295" s="1">
        <v>41676</v>
      </c>
      <c r="B4295">
        <v>0</v>
      </c>
      <c r="C4295" t="s">
        <v>14</v>
      </c>
      <c r="D4295">
        <v>1.6473000000000002E-2</v>
      </c>
      <c r="E4295">
        <f t="shared" si="134"/>
        <v>1.016473</v>
      </c>
      <c r="F4295" s="1">
        <f t="shared" si="135"/>
        <v>41673</v>
      </c>
      <c r="G4295" cm="1">
        <f t="array" ref="G4295">PRODUCT( _xlfn._xlws.FILTER($E:$E, ($C:$C=C4295)*($F:$F=F4295)) ) - 1</f>
        <v>-9.0181255842164409E-3</v>
      </c>
    </row>
    <row r="4296" spans="1:7" x14ac:dyDescent="0.2">
      <c r="A4296" s="1">
        <v>41677</v>
      </c>
      <c r="B4296">
        <v>0</v>
      </c>
      <c r="C4296" t="s">
        <v>14</v>
      </c>
      <c r="D4296">
        <v>1.3132E-2</v>
      </c>
      <c r="E4296">
        <f t="shared" si="134"/>
        <v>1.0131319999999999</v>
      </c>
      <c r="F4296" s="1">
        <f t="shared" si="135"/>
        <v>41673</v>
      </c>
      <c r="G4296" cm="1">
        <f t="array" ref="G4296">PRODUCT( _xlfn._xlws.FILTER($E:$E, ($C:$C=C4296)*($F:$F=F4296)) ) - 1</f>
        <v>-9.0181255842164409E-3</v>
      </c>
    </row>
    <row r="4297" spans="1:7" x14ac:dyDescent="0.2">
      <c r="A4297" s="1">
        <v>41680</v>
      </c>
      <c r="B4297">
        <v>0</v>
      </c>
      <c r="C4297" t="s">
        <v>14</v>
      </c>
      <c r="D4297">
        <v>-3.3089999999999999E-3</v>
      </c>
      <c r="E4297">
        <f t="shared" si="134"/>
        <v>0.99669099999999999</v>
      </c>
      <c r="F4297" s="1">
        <f t="shared" si="135"/>
        <v>41680</v>
      </c>
      <c r="G4297" cm="1">
        <f t="array" ref="G4297">PRODUCT( _xlfn._xlws.FILTER($E:$E, ($C:$C=C4297)*($F:$F=F4297)) ) - 1</f>
        <v>1.2687091743120105E-2</v>
      </c>
    </row>
    <row r="4298" spans="1:7" x14ac:dyDescent="0.2">
      <c r="A4298" s="1">
        <v>41681</v>
      </c>
      <c r="B4298">
        <v>0</v>
      </c>
      <c r="C4298" t="s">
        <v>14</v>
      </c>
      <c r="D4298">
        <v>-3.32E-3</v>
      </c>
      <c r="E4298">
        <f t="shared" si="134"/>
        <v>0.99668000000000001</v>
      </c>
      <c r="F4298" s="1">
        <f t="shared" si="135"/>
        <v>41680</v>
      </c>
      <c r="G4298" cm="1">
        <f t="array" ref="G4298">PRODUCT( _xlfn._xlws.FILTER($E:$E, ($C:$C=C4298)*($F:$F=F4298)) ) - 1</f>
        <v>1.2687091743120105E-2</v>
      </c>
    </row>
    <row r="4299" spans="1:7" x14ac:dyDescent="0.2">
      <c r="A4299" s="1">
        <v>41682</v>
      </c>
      <c r="B4299">
        <v>0</v>
      </c>
      <c r="C4299" t="s">
        <v>14</v>
      </c>
      <c r="D4299">
        <v>3.8869999999999998E-3</v>
      </c>
      <c r="E4299">
        <f t="shared" si="134"/>
        <v>1.003887</v>
      </c>
      <c r="F4299" s="1">
        <f t="shared" si="135"/>
        <v>41680</v>
      </c>
      <c r="G4299" cm="1">
        <f t="array" ref="G4299">PRODUCT( _xlfn._xlws.FILTER($E:$E, ($C:$C=C4299)*($F:$F=F4299)) ) - 1</f>
        <v>1.2687091743120105E-2</v>
      </c>
    </row>
    <row r="4300" spans="1:7" x14ac:dyDescent="0.2">
      <c r="A4300" s="1">
        <v>41683</v>
      </c>
      <c r="B4300">
        <v>0</v>
      </c>
      <c r="C4300" t="s">
        <v>14</v>
      </c>
      <c r="D4300">
        <v>1.7698999999999999E-2</v>
      </c>
      <c r="E4300">
        <f t="shared" si="134"/>
        <v>1.0176989999999999</v>
      </c>
      <c r="F4300" s="1">
        <f t="shared" si="135"/>
        <v>41680</v>
      </c>
      <c r="G4300" cm="1">
        <f t="array" ref="G4300">PRODUCT( _xlfn._xlws.FILTER($E:$E, ($C:$C=C4300)*($F:$F=F4300)) ) - 1</f>
        <v>1.2687091743120105E-2</v>
      </c>
    </row>
    <row r="4301" spans="1:7" x14ac:dyDescent="0.2">
      <c r="A4301" s="1">
        <v>41684</v>
      </c>
      <c r="B4301">
        <v>0</v>
      </c>
      <c r="C4301" t="s">
        <v>14</v>
      </c>
      <c r="D4301">
        <v>-2.1740000000000002E-3</v>
      </c>
      <c r="E4301">
        <f t="shared" si="134"/>
        <v>0.99782599999999999</v>
      </c>
      <c r="F4301" s="1">
        <f t="shared" si="135"/>
        <v>41680</v>
      </c>
      <c r="G4301" cm="1">
        <f t="array" ref="G4301">PRODUCT( _xlfn._xlws.FILTER($E:$E, ($C:$C=C4301)*($F:$F=F4301)) ) - 1</f>
        <v>1.2687091743120105E-2</v>
      </c>
    </row>
    <row r="4302" spans="1:7" x14ac:dyDescent="0.2">
      <c r="A4302" s="1">
        <v>41688</v>
      </c>
      <c r="B4302">
        <v>0</v>
      </c>
      <c r="C4302" t="s">
        <v>14</v>
      </c>
      <c r="D4302">
        <v>-2.996E-3</v>
      </c>
      <c r="E4302">
        <f t="shared" si="134"/>
        <v>0.997004</v>
      </c>
      <c r="F4302" s="1">
        <f t="shared" si="135"/>
        <v>41687</v>
      </c>
      <c r="G4302" cm="1">
        <f t="array" ref="G4302">PRODUCT( _xlfn._xlws.FILTER($E:$E, ($C:$C=C4302)*($F:$F=F4302)) ) - 1</f>
        <v>-1.90672861829011E-3</v>
      </c>
    </row>
    <row r="4303" spans="1:7" x14ac:dyDescent="0.2">
      <c r="A4303" s="1">
        <v>41689</v>
      </c>
      <c r="B4303">
        <v>0</v>
      </c>
      <c r="C4303" t="s">
        <v>14</v>
      </c>
      <c r="D4303">
        <v>1.0106E-2</v>
      </c>
      <c r="E4303">
        <f t="shared" si="134"/>
        <v>1.0101059999999999</v>
      </c>
      <c r="F4303" s="1">
        <f t="shared" si="135"/>
        <v>41687</v>
      </c>
      <c r="G4303" cm="1">
        <f t="array" ref="G4303">PRODUCT( _xlfn._xlws.FILTER($E:$E, ($C:$C=C4303)*($F:$F=F4303)) ) - 1</f>
        <v>-1.90672861829011E-3</v>
      </c>
    </row>
    <row r="4304" spans="1:7" x14ac:dyDescent="0.2">
      <c r="A4304" s="1">
        <v>41690</v>
      </c>
      <c r="B4304">
        <v>0</v>
      </c>
      <c r="C4304" t="s">
        <v>14</v>
      </c>
      <c r="D4304">
        <v>-6.7600000000000004E-3</v>
      </c>
      <c r="E4304">
        <f t="shared" si="134"/>
        <v>0.99324000000000001</v>
      </c>
      <c r="F4304" s="1">
        <f t="shared" si="135"/>
        <v>41687</v>
      </c>
      <c r="G4304" cm="1">
        <f t="array" ref="G4304">PRODUCT( _xlfn._xlws.FILTER($E:$E, ($C:$C=C4304)*($F:$F=F4304)) ) - 1</f>
        <v>-1.90672861829011E-3</v>
      </c>
    </row>
    <row r="4305" spans="1:7" x14ac:dyDescent="0.2">
      <c r="A4305" s="1">
        <v>41691</v>
      </c>
      <c r="B4305">
        <v>0</v>
      </c>
      <c r="C4305" t="s">
        <v>14</v>
      </c>
      <c r="D4305">
        <v>-2.1779999999999998E-3</v>
      </c>
      <c r="E4305">
        <f t="shared" si="134"/>
        <v>0.99782199999999999</v>
      </c>
      <c r="F4305" s="1">
        <f t="shared" si="135"/>
        <v>41687</v>
      </c>
      <c r="G4305" cm="1">
        <f t="array" ref="G4305">PRODUCT( _xlfn._xlws.FILTER($E:$E, ($C:$C=C4305)*($F:$F=F4305)) ) - 1</f>
        <v>-1.90672861829011E-3</v>
      </c>
    </row>
    <row r="4306" spans="1:7" x14ac:dyDescent="0.2">
      <c r="A4306" s="1">
        <v>41694</v>
      </c>
      <c r="B4306">
        <v>0</v>
      </c>
      <c r="C4306" t="s">
        <v>14</v>
      </c>
      <c r="D4306">
        <v>8.7309999999999992E-3</v>
      </c>
      <c r="E4306">
        <f t="shared" si="134"/>
        <v>1.008731</v>
      </c>
      <c r="F4306" s="1">
        <f t="shared" si="135"/>
        <v>41694</v>
      </c>
      <c r="G4306" cm="1">
        <f t="array" ref="G4306">PRODUCT( _xlfn._xlws.FILTER($E:$E, ($C:$C=C4306)*($F:$F=F4306)) ) - 1</f>
        <v>3.0011687094539941E-3</v>
      </c>
    </row>
    <row r="4307" spans="1:7" x14ac:dyDescent="0.2">
      <c r="A4307" s="1">
        <v>41695</v>
      </c>
      <c r="B4307">
        <v>0</v>
      </c>
      <c r="C4307" t="s">
        <v>14</v>
      </c>
      <c r="D4307">
        <v>-1.8929999999999999E-3</v>
      </c>
      <c r="E4307">
        <f t="shared" si="134"/>
        <v>0.99810699999999997</v>
      </c>
      <c r="F4307" s="1">
        <f t="shared" si="135"/>
        <v>41694</v>
      </c>
      <c r="G4307" cm="1">
        <f t="array" ref="G4307">PRODUCT( _xlfn._xlws.FILTER($E:$E, ($C:$C=C4307)*($F:$F=F4307)) ) - 1</f>
        <v>3.0011687094539941E-3</v>
      </c>
    </row>
    <row r="4308" spans="1:7" x14ac:dyDescent="0.2">
      <c r="A4308" s="1">
        <v>41696</v>
      </c>
      <c r="B4308">
        <v>0</v>
      </c>
      <c r="C4308" t="s">
        <v>14</v>
      </c>
      <c r="D4308">
        <v>-2.9810000000000001E-3</v>
      </c>
      <c r="E4308">
        <f t="shared" si="134"/>
        <v>0.99701899999999999</v>
      </c>
      <c r="F4308" s="1">
        <f t="shared" si="135"/>
        <v>41694</v>
      </c>
      <c r="G4308" cm="1">
        <f t="array" ref="G4308">PRODUCT( _xlfn._xlws.FILTER($E:$E, ($C:$C=C4308)*($F:$F=F4308)) ) - 1</f>
        <v>3.0011687094539941E-3</v>
      </c>
    </row>
    <row r="4309" spans="1:7" x14ac:dyDescent="0.2">
      <c r="A4309" s="1">
        <v>41697</v>
      </c>
      <c r="B4309">
        <v>0</v>
      </c>
      <c r="C4309" t="s">
        <v>14</v>
      </c>
      <c r="D4309">
        <v>-2.72E-4</v>
      </c>
      <c r="E4309">
        <f t="shared" si="134"/>
        <v>0.99972799999999995</v>
      </c>
      <c r="F4309" s="1">
        <f t="shared" si="135"/>
        <v>41694</v>
      </c>
      <c r="G4309" cm="1">
        <f t="array" ref="G4309">PRODUCT( _xlfn._xlws.FILTER($E:$E, ($C:$C=C4309)*($F:$F=F4309)) ) - 1</f>
        <v>3.0011687094539941E-3</v>
      </c>
    </row>
    <row r="4310" spans="1:7" x14ac:dyDescent="0.2">
      <c r="A4310" s="1">
        <v>41698</v>
      </c>
      <c r="B4310">
        <v>0</v>
      </c>
      <c r="C4310" t="s">
        <v>14</v>
      </c>
      <c r="D4310">
        <v>-5.44E-4</v>
      </c>
      <c r="E4310">
        <f t="shared" si="134"/>
        <v>0.99945600000000001</v>
      </c>
      <c r="F4310" s="1">
        <f t="shared" si="135"/>
        <v>41694</v>
      </c>
      <c r="G4310" cm="1">
        <f t="array" ref="G4310">PRODUCT( _xlfn._xlws.FILTER($E:$E, ($C:$C=C4310)*($F:$F=F4310)) ) - 1</f>
        <v>3.0011687094539941E-3</v>
      </c>
    </row>
    <row r="4311" spans="1:7" x14ac:dyDescent="0.2">
      <c r="A4311" s="1">
        <v>41701</v>
      </c>
      <c r="B4311">
        <v>0</v>
      </c>
      <c r="C4311" t="s">
        <v>14</v>
      </c>
      <c r="D4311">
        <v>3.2850000000000002E-3</v>
      </c>
      <c r="E4311">
        <f t="shared" si="134"/>
        <v>1.003285</v>
      </c>
      <c r="F4311" s="1">
        <f t="shared" si="135"/>
        <v>41701</v>
      </c>
      <c r="G4311" cm="1">
        <f t="array" ref="G4311">PRODUCT( _xlfn._xlws.FILTER($E:$E, ($C:$C=C4311)*($F:$F=F4311)) ) - 1</f>
        <v>1.0402185365192107E-2</v>
      </c>
    </row>
    <row r="4312" spans="1:7" x14ac:dyDescent="0.2">
      <c r="A4312" s="1">
        <v>41702</v>
      </c>
      <c r="B4312">
        <v>0</v>
      </c>
      <c r="C4312" t="s">
        <v>14</v>
      </c>
      <c r="D4312">
        <v>1.91E-3</v>
      </c>
      <c r="E4312">
        <f t="shared" si="134"/>
        <v>1.0019100000000001</v>
      </c>
      <c r="F4312" s="1">
        <f t="shared" si="135"/>
        <v>41701</v>
      </c>
      <c r="G4312" cm="1">
        <f t="array" ref="G4312">PRODUCT( _xlfn._xlws.FILTER($E:$E, ($C:$C=C4312)*($F:$F=F4312)) ) - 1</f>
        <v>1.0402185365192107E-2</v>
      </c>
    </row>
    <row r="4313" spans="1:7" x14ac:dyDescent="0.2">
      <c r="A4313" s="1">
        <v>41703</v>
      </c>
      <c r="B4313">
        <v>0</v>
      </c>
      <c r="C4313" t="s">
        <v>14</v>
      </c>
      <c r="D4313">
        <v>-1.0621E-2</v>
      </c>
      <c r="E4313">
        <f t="shared" si="134"/>
        <v>0.98937900000000001</v>
      </c>
      <c r="F4313" s="1">
        <f t="shared" si="135"/>
        <v>41701</v>
      </c>
      <c r="G4313" cm="1">
        <f t="array" ref="G4313">PRODUCT( _xlfn._xlws.FILTER($E:$E, ($C:$C=C4313)*($F:$F=F4313)) ) - 1</f>
        <v>1.0402185365192107E-2</v>
      </c>
    </row>
    <row r="4314" spans="1:7" x14ac:dyDescent="0.2">
      <c r="A4314" s="1">
        <v>41704</v>
      </c>
      <c r="B4314">
        <v>0</v>
      </c>
      <c r="C4314" t="s">
        <v>14</v>
      </c>
      <c r="D4314">
        <v>4.679E-3</v>
      </c>
      <c r="E4314">
        <f t="shared" si="134"/>
        <v>1.0046790000000001</v>
      </c>
      <c r="F4314" s="1">
        <f t="shared" si="135"/>
        <v>41701</v>
      </c>
      <c r="G4314" cm="1">
        <f t="array" ref="G4314">PRODUCT( _xlfn._xlws.FILTER($E:$E, ($C:$C=C4314)*($F:$F=F4314)) ) - 1</f>
        <v>1.0402185365192107E-2</v>
      </c>
    </row>
    <row r="4315" spans="1:7" x14ac:dyDescent="0.2">
      <c r="A4315" s="1">
        <v>41705</v>
      </c>
      <c r="B4315">
        <v>0</v>
      </c>
      <c r="C4315" t="s">
        <v>14</v>
      </c>
      <c r="D4315">
        <v>1.1233E-2</v>
      </c>
      <c r="E4315">
        <f t="shared" si="134"/>
        <v>1.011233</v>
      </c>
      <c r="F4315" s="1">
        <f t="shared" si="135"/>
        <v>41701</v>
      </c>
      <c r="G4315" cm="1">
        <f t="array" ref="G4315">PRODUCT( _xlfn._xlws.FILTER($E:$E, ($C:$C=C4315)*($F:$F=F4315)) ) - 1</f>
        <v>1.0402185365192107E-2</v>
      </c>
    </row>
    <row r="4316" spans="1:7" x14ac:dyDescent="0.2">
      <c r="A4316" s="1">
        <v>41708</v>
      </c>
      <c r="B4316">
        <v>0</v>
      </c>
      <c r="C4316" t="s">
        <v>14</v>
      </c>
      <c r="D4316">
        <v>8.1300000000000003E-4</v>
      </c>
      <c r="E4316">
        <f t="shared" si="134"/>
        <v>1.000813</v>
      </c>
      <c r="F4316" s="1">
        <f t="shared" si="135"/>
        <v>41708</v>
      </c>
      <c r="G4316" cm="1">
        <f t="array" ref="G4316">PRODUCT( _xlfn._xlws.FILTER($E:$E, ($C:$C=C4316)*($F:$F=F4316)) ) - 1</f>
        <v>-1.815280613318182E-2</v>
      </c>
    </row>
    <row r="4317" spans="1:7" x14ac:dyDescent="0.2">
      <c r="A4317" s="1">
        <v>41709</v>
      </c>
      <c r="B4317">
        <v>0</v>
      </c>
      <c r="C4317" t="s">
        <v>14</v>
      </c>
      <c r="D4317">
        <v>-1.4076999999999999E-2</v>
      </c>
      <c r="E4317">
        <f t="shared" si="134"/>
        <v>0.98592299999999999</v>
      </c>
      <c r="F4317" s="1">
        <f t="shared" si="135"/>
        <v>41708</v>
      </c>
      <c r="G4317" cm="1">
        <f t="array" ref="G4317">PRODUCT( _xlfn._xlws.FILTER($E:$E, ($C:$C=C4317)*($F:$F=F4317)) ) - 1</f>
        <v>-1.815280613318182E-2</v>
      </c>
    </row>
    <row r="4318" spans="1:7" x14ac:dyDescent="0.2">
      <c r="A4318" s="1">
        <v>41710</v>
      </c>
      <c r="B4318">
        <v>0</v>
      </c>
      <c r="C4318" t="s">
        <v>14</v>
      </c>
      <c r="D4318">
        <v>7.6880000000000004E-3</v>
      </c>
      <c r="E4318">
        <f t="shared" si="134"/>
        <v>1.0076879999999999</v>
      </c>
      <c r="F4318" s="1">
        <f t="shared" si="135"/>
        <v>41708</v>
      </c>
      <c r="G4318" cm="1">
        <f t="array" ref="G4318">PRODUCT( _xlfn._xlws.FILTER($E:$E, ($C:$C=C4318)*($F:$F=F4318)) ) - 1</f>
        <v>-1.815280613318182E-2</v>
      </c>
    </row>
    <row r="4319" spans="1:7" x14ac:dyDescent="0.2">
      <c r="A4319" s="1">
        <v>41711</v>
      </c>
      <c r="B4319">
        <v>0</v>
      </c>
      <c r="C4319" t="s">
        <v>14</v>
      </c>
      <c r="D4319">
        <v>-1.2262E-2</v>
      </c>
      <c r="E4319">
        <f t="shared" si="134"/>
        <v>0.987738</v>
      </c>
      <c r="F4319" s="1">
        <f t="shared" si="135"/>
        <v>41708</v>
      </c>
      <c r="G4319" cm="1">
        <f t="array" ref="G4319">PRODUCT( _xlfn._xlws.FILTER($E:$E, ($C:$C=C4319)*($F:$F=F4319)) ) - 1</f>
        <v>-1.815280613318182E-2</v>
      </c>
    </row>
    <row r="4320" spans="1:7" x14ac:dyDescent="0.2">
      <c r="A4320" s="1">
        <v>41712</v>
      </c>
      <c r="B4320">
        <v>0</v>
      </c>
      <c r="C4320" t="s">
        <v>14</v>
      </c>
      <c r="D4320">
        <v>-2.7599999999999999E-4</v>
      </c>
      <c r="E4320">
        <f t="shared" si="134"/>
        <v>0.99972399999999995</v>
      </c>
      <c r="F4320" s="1">
        <f t="shared" si="135"/>
        <v>41708</v>
      </c>
      <c r="G4320" cm="1">
        <f t="array" ref="G4320">PRODUCT( _xlfn._xlws.FILTER($E:$E, ($C:$C=C4320)*($F:$F=F4320)) ) - 1</f>
        <v>-1.815280613318182E-2</v>
      </c>
    </row>
    <row r="4321" spans="1:7" x14ac:dyDescent="0.2">
      <c r="A4321" s="1">
        <v>41715</v>
      </c>
      <c r="B4321">
        <v>0</v>
      </c>
      <c r="C4321" t="s">
        <v>14</v>
      </c>
      <c r="D4321">
        <v>-3.0349999999999999E-3</v>
      </c>
      <c r="E4321">
        <f t="shared" si="134"/>
        <v>0.99696499999999999</v>
      </c>
      <c r="F4321" s="1">
        <f t="shared" si="135"/>
        <v>41715</v>
      </c>
      <c r="G4321" cm="1">
        <f t="array" ref="G4321">PRODUCT( _xlfn._xlws.FILTER($E:$E, ($C:$C=C4321)*($F:$F=F4321)) ) - 1</f>
        <v>2.7588997966228046E-3</v>
      </c>
    </row>
    <row r="4322" spans="1:7" x14ac:dyDescent="0.2">
      <c r="A4322" s="1">
        <v>41716</v>
      </c>
      <c r="B4322">
        <v>0</v>
      </c>
      <c r="C4322" t="s">
        <v>14</v>
      </c>
      <c r="D4322">
        <v>6.0889999999999998E-3</v>
      </c>
      <c r="E4322">
        <f t="shared" si="134"/>
        <v>1.006089</v>
      </c>
      <c r="F4322" s="1">
        <f t="shared" si="135"/>
        <v>41715</v>
      </c>
      <c r="G4322" cm="1">
        <f t="array" ref="G4322">PRODUCT( _xlfn._xlws.FILTER($E:$E, ($C:$C=C4322)*($F:$F=F4322)) ) - 1</f>
        <v>2.7588997966228046E-3</v>
      </c>
    </row>
    <row r="4323" spans="1:7" x14ac:dyDescent="0.2">
      <c r="A4323" s="1">
        <v>41717</v>
      </c>
      <c r="B4323">
        <v>0</v>
      </c>
      <c r="C4323" t="s">
        <v>14</v>
      </c>
      <c r="D4323">
        <v>5.2269999999999999E-3</v>
      </c>
      <c r="E4323">
        <f t="shared" si="134"/>
        <v>1.0052270000000001</v>
      </c>
      <c r="F4323" s="1">
        <f t="shared" si="135"/>
        <v>41715</v>
      </c>
      <c r="G4323" cm="1">
        <f t="array" ref="G4323">PRODUCT( _xlfn._xlws.FILTER($E:$E, ($C:$C=C4323)*($F:$F=F4323)) ) - 1</f>
        <v>2.7588997966228046E-3</v>
      </c>
    </row>
    <row r="4324" spans="1:7" x14ac:dyDescent="0.2">
      <c r="A4324" s="1">
        <v>41718</v>
      </c>
      <c r="B4324">
        <v>0</v>
      </c>
      <c r="C4324" t="s">
        <v>14</v>
      </c>
      <c r="D4324">
        <v>-1.916E-3</v>
      </c>
      <c r="E4324">
        <f t="shared" si="134"/>
        <v>0.99808399999999997</v>
      </c>
      <c r="F4324" s="1">
        <f t="shared" si="135"/>
        <v>41715</v>
      </c>
      <c r="G4324" cm="1">
        <f t="array" ref="G4324">PRODUCT( _xlfn._xlws.FILTER($E:$E, ($C:$C=C4324)*($F:$F=F4324)) ) - 1</f>
        <v>2.7588997966228046E-3</v>
      </c>
    </row>
    <row r="4325" spans="1:7" x14ac:dyDescent="0.2">
      <c r="A4325" s="1">
        <v>41719</v>
      </c>
      <c r="B4325">
        <v>0</v>
      </c>
      <c r="C4325" t="s">
        <v>14</v>
      </c>
      <c r="D4325">
        <v>-3.565E-3</v>
      </c>
      <c r="E4325">
        <f t="shared" si="134"/>
        <v>0.99643499999999996</v>
      </c>
      <c r="F4325" s="1">
        <f t="shared" si="135"/>
        <v>41715</v>
      </c>
      <c r="G4325" cm="1">
        <f t="array" ref="G4325">PRODUCT( _xlfn._xlws.FILTER($E:$E, ($C:$C=C4325)*($F:$F=F4325)) ) - 1</f>
        <v>2.7588997966228046E-3</v>
      </c>
    </row>
    <row r="4326" spans="1:7" x14ac:dyDescent="0.2">
      <c r="A4326" s="1">
        <v>41722</v>
      </c>
      <c r="B4326">
        <v>0</v>
      </c>
      <c r="C4326" t="s">
        <v>14</v>
      </c>
      <c r="D4326">
        <v>1.4309000000000001E-2</v>
      </c>
      <c r="E4326">
        <f t="shared" si="134"/>
        <v>1.0143089999999999</v>
      </c>
      <c r="F4326" s="1">
        <f t="shared" si="135"/>
        <v>41722</v>
      </c>
      <c r="G4326" cm="1">
        <f t="array" ref="G4326">PRODUCT( _xlfn._xlws.FILTER($E:$E, ($C:$C=C4326)*($F:$F=F4326)) ) - 1</f>
        <v>5.0907695189054136E-2</v>
      </c>
    </row>
    <row r="4327" spans="1:7" x14ac:dyDescent="0.2">
      <c r="A4327" s="1">
        <v>41723</v>
      </c>
      <c r="B4327">
        <v>0</v>
      </c>
      <c r="C4327" t="s">
        <v>14</v>
      </c>
      <c r="D4327">
        <v>1.085E-3</v>
      </c>
      <c r="E4327">
        <f t="shared" si="134"/>
        <v>1.001085</v>
      </c>
      <c r="F4327" s="1">
        <f t="shared" si="135"/>
        <v>41722</v>
      </c>
      <c r="G4327" cm="1">
        <f t="array" ref="G4327">PRODUCT( _xlfn._xlws.FILTER($E:$E, ($C:$C=C4327)*($F:$F=F4327)) ) - 1</f>
        <v>5.0907695189054136E-2</v>
      </c>
    </row>
    <row r="4328" spans="1:7" x14ac:dyDescent="0.2">
      <c r="A4328" s="1">
        <v>41724</v>
      </c>
      <c r="B4328">
        <v>0</v>
      </c>
      <c r="C4328" t="s">
        <v>14</v>
      </c>
      <c r="D4328">
        <v>-7.8589999999999997E-3</v>
      </c>
      <c r="E4328">
        <f t="shared" si="134"/>
        <v>0.99214100000000005</v>
      </c>
      <c r="F4328" s="1">
        <f t="shared" si="135"/>
        <v>41722</v>
      </c>
      <c r="G4328" cm="1">
        <f t="array" ref="G4328">PRODUCT( _xlfn._xlws.FILTER($E:$E, ($C:$C=C4328)*($F:$F=F4328)) ) - 1</f>
        <v>5.0907695189054136E-2</v>
      </c>
    </row>
    <row r="4329" spans="1:7" x14ac:dyDescent="0.2">
      <c r="A4329" s="1">
        <v>41725</v>
      </c>
      <c r="B4329">
        <v>0</v>
      </c>
      <c r="C4329" t="s">
        <v>14</v>
      </c>
      <c r="D4329">
        <v>1.6389000000000001E-2</v>
      </c>
      <c r="E4329">
        <f t="shared" si="134"/>
        <v>1.016389</v>
      </c>
      <c r="F4329" s="1">
        <f t="shared" si="135"/>
        <v>41722</v>
      </c>
      <c r="G4329" cm="1">
        <f t="array" ref="G4329">PRODUCT( _xlfn._xlws.FILTER($E:$E, ($C:$C=C4329)*($F:$F=F4329)) ) - 1</f>
        <v>5.0907695189054136E-2</v>
      </c>
    </row>
    <row r="4330" spans="1:7" x14ac:dyDescent="0.2">
      <c r="A4330" s="1">
        <v>41726</v>
      </c>
      <c r="B4330">
        <v>0</v>
      </c>
      <c r="C4330" t="s">
        <v>14</v>
      </c>
      <c r="D4330">
        <v>2.6336999999999999E-2</v>
      </c>
      <c r="E4330">
        <f t="shared" si="134"/>
        <v>1.0263370000000001</v>
      </c>
      <c r="F4330" s="1">
        <f t="shared" si="135"/>
        <v>41722</v>
      </c>
      <c r="G4330" cm="1">
        <f t="array" ref="G4330">PRODUCT( _xlfn._xlws.FILTER($E:$E, ($C:$C=C4330)*($F:$F=F4330)) ) - 1</f>
        <v>5.0907695189054136E-2</v>
      </c>
    </row>
    <row r="4331" spans="1:7" x14ac:dyDescent="0.2">
      <c r="A4331" s="1">
        <v>41729</v>
      </c>
      <c r="B4331">
        <v>0</v>
      </c>
      <c r="C4331" t="s">
        <v>14</v>
      </c>
      <c r="D4331">
        <v>1.0998000000000001E-2</v>
      </c>
      <c r="E4331">
        <f t="shared" si="134"/>
        <v>1.0109980000000001</v>
      </c>
      <c r="F4331" s="1">
        <f t="shared" si="135"/>
        <v>41729</v>
      </c>
      <c r="G4331" cm="1">
        <f t="array" ref="G4331">PRODUCT( _xlfn._xlws.FILTER($E:$E, ($C:$C=C4331)*($F:$F=F4331)) ) - 1</f>
        <v>3.561130854231731E-2</v>
      </c>
    </row>
    <row r="4332" spans="1:7" x14ac:dyDescent="0.2">
      <c r="A4332" s="1">
        <v>41730</v>
      </c>
      <c r="B4332">
        <v>0</v>
      </c>
      <c r="C4332" t="s">
        <v>14</v>
      </c>
      <c r="D4332">
        <v>0</v>
      </c>
      <c r="E4332">
        <f t="shared" si="134"/>
        <v>1</v>
      </c>
      <c r="F4332" s="1">
        <f t="shared" si="135"/>
        <v>41729</v>
      </c>
      <c r="G4332" cm="1">
        <f t="array" ref="G4332">PRODUCT( _xlfn._xlws.FILTER($E:$E, ($C:$C=C4332)*($F:$F=F4332)) ) - 1</f>
        <v>3.561130854231731E-2</v>
      </c>
    </row>
    <row r="4333" spans="1:7" x14ac:dyDescent="0.2">
      <c r="A4333" s="1">
        <v>41731</v>
      </c>
      <c r="B4333">
        <v>0</v>
      </c>
      <c r="C4333" t="s">
        <v>14</v>
      </c>
      <c r="D4333">
        <v>1.6057999999999999E-2</v>
      </c>
      <c r="E4333">
        <f t="shared" si="134"/>
        <v>1.0160579999999999</v>
      </c>
      <c r="F4333" s="1">
        <f t="shared" si="135"/>
        <v>41729</v>
      </c>
      <c r="G4333" cm="1">
        <f t="array" ref="G4333">PRODUCT( _xlfn._xlws.FILTER($E:$E, ($C:$C=C4333)*($F:$F=F4333)) ) - 1</f>
        <v>3.561130854231731E-2</v>
      </c>
    </row>
    <row r="4334" spans="1:7" x14ac:dyDescent="0.2">
      <c r="A4334" s="1">
        <v>41732</v>
      </c>
      <c r="B4334">
        <v>0</v>
      </c>
      <c r="C4334" t="s">
        <v>14</v>
      </c>
      <c r="D4334">
        <v>-5.1000000000000004E-4</v>
      </c>
      <c r="E4334">
        <f t="shared" si="134"/>
        <v>0.99948999999999999</v>
      </c>
      <c r="F4334" s="1">
        <f t="shared" si="135"/>
        <v>41729</v>
      </c>
      <c r="G4334" cm="1">
        <f t="array" ref="G4334">PRODUCT( _xlfn._xlws.FILTER($E:$E, ($C:$C=C4334)*($F:$F=F4334)) ) - 1</f>
        <v>3.561130854231731E-2</v>
      </c>
    </row>
    <row r="4335" spans="1:7" x14ac:dyDescent="0.2">
      <c r="A4335" s="1">
        <v>41733</v>
      </c>
      <c r="B4335">
        <v>0</v>
      </c>
      <c r="C4335" t="s">
        <v>14</v>
      </c>
      <c r="D4335">
        <v>8.6709999999999999E-3</v>
      </c>
      <c r="E4335">
        <f t="shared" si="134"/>
        <v>1.0086710000000001</v>
      </c>
      <c r="F4335" s="1">
        <f t="shared" si="135"/>
        <v>41729</v>
      </c>
      <c r="G4335" cm="1">
        <f t="array" ref="G4335">PRODUCT( _xlfn._xlws.FILTER($E:$E, ($C:$C=C4335)*($F:$F=F4335)) ) - 1</f>
        <v>3.561130854231731E-2</v>
      </c>
    </row>
    <row r="4336" spans="1:7" x14ac:dyDescent="0.2">
      <c r="A4336" s="1">
        <v>41736</v>
      </c>
      <c r="B4336">
        <v>0</v>
      </c>
      <c r="C4336" t="s">
        <v>14</v>
      </c>
      <c r="D4336">
        <v>-1.2389000000000001E-2</v>
      </c>
      <c r="E4336">
        <f t="shared" si="134"/>
        <v>0.98761100000000002</v>
      </c>
      <c r="F4336" s="1">
        <f t="shared" si="135"/>
        <v>41736</v>
      </c>
      <c r="G4336" cm="1">
        <f t="array" ref="G4336">PRODUCT( _xlfn._xlws.FILTER($E:$E, ($C:$C=C4336)*($F:$F=F4336)) ) - 1</f>
        <v>-2.0227460628632343E-3</v>
      </c>
    </row>
    <row r="4337" spans="1:7" x14ac:dyDescent="0.2">
      <c r="A4337" s="1">
        <v>41737</v>
      </c>
      <c r="B4337">
        <v>0</v>
      </c>
      <c r="C4337" t="s">
        <v>14</v>
      </c>
      <c r="D4337">
        <v>2.0225E-2</v>
      </c>
      <c r="E4337">
        <f t="shared" si="134"/>
        <v>1.0202249999999999</v>
      </c>
      <c r="F4337" s="1">
        <f t="shared" si="135"/>
        <v>41736</v>
      </c>
      <c r="G4337" cm="1">
        <f t="array" ref="G4337">PRODUCT( _xlfn._xlws.FILTER($E:$E, ($C:$C=C4337)*($F:$F=F4337)) ) - 1</f>
        <v>-2.0227460628632343E-3</v>
      </c>
    </row>
    <row r="4338" spans="1:7" x14ac:dyDescent="0.2">
      <c r="A4338" s="1">
        <v>41738</v>
      </c>
      <c r="B4338">
        <v>0</v>
      </c>
      <c r="C4338" t="s">
        <v>14</v>
      </c>
      <c r="D4338">
        <v>-5.7720000000000002E-3</v>
      </c>
      <c r="E4338">
        <f t="shared" si="134"/>
        <v>0.994228</v>
      </c>
      <c r="F4338" s="1">
        <f t="shared" si="135"/>
        <v>41736</v>
      </c>
      <c r="G4338" cm="1">
        <f t="array" ref="G4338">PRODUCT( _xlfn._xlws.FILTER($E:$E, ($C:$C=C4338)*($F:$F=F4338)) ) - 1</f>
        <v>-2.0227460628632343E-3</v>
      </c>
    </row>
    <row r="4339" spans="1:7" x14ac:dyDescent="0.2">
      <c r="A4339" s="1">
        <v>41739</v>
      </c>
      <c r="B4339">
        <v>0</v>
      </c>
      <c r="C4339" t="s">
        <v>14</v>
      </c>
      <c r="D4339">
        <v>2.019E-3</v>
      </c>
      <c r="E4339">
        <f t="shared" si="134"/>
        <v>1.002019</v>
      </c>
      <c r="F4339" s="1">
        <f t="shared" si="135"/>
        <v>41736</v>
      </c>
      <c r="G4339" cm="1">
        <f t="array" ref="G4339">PRODUCT( _xlfn._xlws.FILTER($E:$E, ($C:$C=C4339)*($F:$F=F4339)) ) - 1</f>
        <v>-2.0227460628632343E-3</v>
      </c>
    </row>
    <row r="4340" spans="1:7" x14ac:dyDescent="0.2">
      <c r="A4340" s="1">
        <v>41740</v>
      </c>
      <c r="B4340">
        <v>0</v>
      </c>
      <c r="C4340" t="s">
        <v>14</v>
      </c>
      <c r="D4340">
        <v>-5.7930000000000004E-3</v>
      </c>
      <c r="E4340">
        <f t="shared" si="134"/>
        <v>0.99420699999999995</v>
      </c>
      <c r="F4340" s="1">
        <f t="shared" si="135"/>
        <v>41736</v>
      </c>
      <c r="G4340" cm="1">
        <f t="array" ref="G4340">PRODUCT( _xlfn._xlws.FILTER($E:$E, ($C:$C=C4340)*($F:$F=F4340)) ) - 1</f>
        <v>-2.0227460628632343E-3</v>
      </c>
    </row>
    <row r="4341" spans="1:7" x14ac:dyDescent="0.2">
      <c r="A4341" s="1">
        <v>41743</v>
      </c>
      <c r="B4341">
        <v>0</v>
      </c>
      <c r="C4341" t="s">
        <v>14</v>
      </c>
      <c r="D4341">
        <v>7.6000000000000004E-4</v>
      </c>
      <c r="E4341">
        <f t="shared" si="134"/>
        <v>1.0007600000000001</v>
      </c>
      <c r="F4341" s="1">
        <f t="shared" si="135"/>
        <v>41743</v>
      </c>
      <c r="G4341" cm="1">
        <f t="array" ref="G4341">PRODUCT( _xlfn._xlws.FILTER($E:$E, ($C:$C=C4341)*($F:$F=F4341)) ) - 1</f>
        <v>2.5335499676953255E-2</v>
      </c>
    </row>
    <row r="4342" spans="1:7" x14ac:dyDescent="0.2">
      <c r="A4342" s="1">
        <v>41744</v>
      </c>
      <c r="B4342">
        <v>0</v>
      </c>
      <c r="C4342" t="s">
        <v>14</v>
      </c>
      <c r="D4342">
        <v>-3.2910000000000001E-3</v>
      </c>
      <c r="E4342">
        <f t="shared" si="134"/>
        <v>0.99670899999999996</v>
      </c>
      <c r="F4342" s="1">
        <f t="shared" si="135"/>
        <v>41743</v>
      </c>
      <c r="G4342" cm="1">
        <f t="array" ref="G4342">PRODUCT( _xlfn._xlws.FILTER($E:$E, ($C:$C=C4342)*($F:$F=F4342)) ) - 1</f>
        <v>2.5335499676953255E-2</v>
      </c>
    </row>
    <row r="4343" spans="1:7" x14ac:dyDescent="0.2">
      <c r="A4343" s="1">
        <v>41745</v>
      </c>
      <c r="B4343">
        <v>0</v>
      </c>
      <c r="C4343" t="s">
        <v>14</v>
      </c>
      <c r="D4343">
        <v>1.9557999999999999E-2</v>
      </c>
      <c r="E4343">
        <f t="shared" si="134"/>
        <v>1.019558</v>
      </c>
      <c r="F4343" s="1">
        <f t="shared" si="135"/>
        <v>41743</v>
      </c>
      <c r="G4343" cm="1">
        <f t="array" ref="G4343">PRODUCT( _xlfn._xlws.FILTER($E:$E, ($C:$C=C4343)*($F:$F=F4343)) ) - 1</f>
        <v>2.5335499676953255E-2</v>
      </c>
    </row>
    <row r="4344" spans="1:7" x14ac:dyDescent="0.2">
      <c r="A4344" s="1">
        <v>41746</v>
      </c>
      <c r="B4344">
        <v>0</v>
      </c>
      <c r="C4344" t="s">
        <v>14</v>
      </c>
      <c r="D4344">
        <v>8.2209999999999991E-3</v>
      </c>
      <c r="E4344">
        <f t="shared" si="134"/>
        <v>1.008221</v>
      </c>
      <c r="F4344" s="1">
        <f t="shared" si="135"/>
        <v>41743</v>
      </c>
      <c r="G4344" cm="1">
        <f t="array" ref="G4344">PRODUCT( _xlfn._xlws.FILTER($E:$E, ($C:$C=C4344)*($F:$F=F4344)) ) - 1</f>
        <v>2.5335499676953255E-2</v>
      </c>
    </row>
    <row r="4345" spans="1:7" x14ac:dyDescent="0.2">
      <c r="A4345" s="1">
        <v>41750</v>
      </c>
      <c r="B4345">
        <v>0</v>
      </c>
      <c r="C4345" t="s">
        <v>14</v>
      </c>
      <c r="D4345">
        <v>-1.4829999999999999E-3</v>
      </c>
      <c r="E4345">
        <f t="shared" si="134"/>
        <v>0.99851699999999999</v>
      </c>
      <c r="F4345" s="1">
        <f t="shared" si="135"/>
        <v>41750</v>
      </c>
      <c r="G4345" cm="1">
        <f t="array" ref="G4345">PRODUCT( _xlfn._xlws.FILTER($E:$E, ($C:$C=C4345)*($F:$F=F4345)) ) - 1</f>
        <v>1.2107364350874894E-2</v>
      </c>
    </row>
    <row r="4346" spans="1:7" x14ac:dyDescent="0.2">
      <c r="A4346" s="1">
        <v>41751</v>
      </c>
      <c r="B4346">
        <v>0</v>
      </c>
      <c r="C4346" t="s">
        <v>14</v>
      </c>
      <c r="D4346">
        <v>-2.2269999999999998E-3</v>
      </c>
      <c r="E4346">
        <f t="shared" si="134"/>
        <v>0.99777300000000002</v>
      </c>
      <c r="F4346" s="1">
        <f t="shared" si="135"/>
        <v>41750</v>
      </c>
      <c r="G4346" cm="1">
        <f t="array" ref="G4346">PRODUCT( _xlfn._xlws.FILTER($E:$E, ($C:$C=C4346)*($F:$F=F4346)) ) - 1</f>
        <v>1.2107364350874894E-2</v>
      </c>
    </row>
    <row r="4347" spans="1:7" x14ac:dyDescent="0.2">
      <c r="A4347" s="1">
        <v>41752</v>
      </c>
      <c r="B4347">
        <v>0</v>
      </c>
      <c r="C4347" t="s">
        <v>14</v>
      </c>
      <c r="D4347">
        <v>2.6041999999999999E-2</v>
      </c>
      <c r="E4347">
        <f t="shared" si="134"/>
        <v>1.0260419999999999</v>
      </c>
      <c r="F4347" s="1">
        <f t="shared" si="135"/>
        <v>41750</v>
      </c>
      <c r="G4347" cm="1">
        <f t="array" ref="G4347">PRODUCT( _xlfn._xlws.FILTER($E:$E, ($C:$C=C4347)*($F:$F=F4347)) ) - 1</f>
        <v>1.2107364350874894E-2</v>
      </c>
    </row>
    <row r="4348" spans="1:7" x14ac:dyDescent="0.2">
      <c r="A4348" s="1">
        <v>41753</v>
      </c>
      <c r="B4348">
        <v>0</v>
      </c>
      <c r="C4348" t="s">
        <v>14</v>
      </c>
      <c r="D4348">
        <v>-9.9109999999999997E-3</v>
      </c>
      <c r="E4348">
        <f t="shared" si="134"/>
        <v>0.990089</v>
      </c>
      <c r="F4348" s="1">
        <f t="shared" si="135"/>
        <v>41750</v>
      </c>
      <c r="G4348" cm="1">
        <f t="array" ref="G4348">PRODUCT( _xlfn._xlws.FILTER($E:$E, ($C:$C=C4348)*($F:$F=F4348)) ) - 1</f>
        <v>1.2107364350874894E-2</v>
      </c>
    </row>
    <row r="4349" spans="1:7" x14ac:dyDescent="0.2">
      <c r="A4349" s="1">
        <v>41754</v>
      </c>
      <c r="B4349">
        <v>0</v>
      </c>
      <c r="C4349" t="s">
        <v>14</v>
      </c>
      <c r="D4349">
        <v>0</v>
      </c>
      <c r="E4349">
        <f t="shared" si="134"/>
        <v>1</v>
      </c>
      <c r="F4349" s="1">
        <f t="shared" si="135"/>
        <v>41750</v>
      </c>
      <c r="G4349" cm="1">
        <f t="array" ref="G4349">PRODUCT( _xlfn._xlws.FILTER($E:$E, ($C:$C=C4349)*($F:$F=F4349)) ) - 1</f>
        <v>1.2107364350874894E-2</v>
      </c>
    </row>
    <row r="4350" spans="1:7" x14ac:dyDescent="0.2">
      <c r="A4350" s="1">
        <v>41757</v>
      </c>
      <c r="B4350">
        <v>0</v>
      </c>
      <c r="C4350" t="s">
        <v>14</v>
      </c>
      <c r="D4350">
        <v>9.2770000000000005E-3</v>
      </c>
      <c r="E4350">
        <f t="shared" si="134"/>
        <v>1.009277</v>
      </c>
      <c r="F4350" s="1">
        <f t="shared" si="135"/>
        <v>41757</v>
      </c>
      <c r="G4350" cm="1">
        <f t="array" ref="G4350">PRODUCT( _xlfn._xlws.FILTER($E:$E, ($C:$C=C4350)*($F:$F=F4350)) ) - 1</f>
        <v>5.5175393172841147E-2</v>
      </c>
    </row>
    <row r="4351" spans="1:7" x14ac:dyDescent="0.2">
      <c r="A4351" s="1">
        <v>41758</v>
      </c>
      <c r="B4351">
        <v>0</v>
      </c>
      <c r="C4351" t="s">
        <v>14</v>
      </c>
      <c r="D4351">
        <v>3.0478999999999999E-2</v>
      </c>
      <c r="E4351">
        <f t="shared" si="134"/>
        <v>1.0304789999999999</v>
      </c>
      <c r="F4351" s="1">
        <f t="shared" si="135"/>
        <v>41757</v>
      </c>
      <c r="G4351" cm="1">
        <f t="array" ref="G4351">PRODUCT( _xlfn._xlws.FILTER($E:$E, ($C:$C=C4351)*($F:$F=F4351)) ) - 1</f>
        <v>5.5175393172841147E-2</v>
      </c>
    </row>
    <row r="4352" spans="1:7" x14ac:dyDescent="0.2">
      <c r="A4352" s="1">
        <v>41759</v>
      </c>
      <c r="B4352">
        <v>0</v>
      </c>
      <c r="C4352" t="s">
        <v>14</v>
      </c>
      <c r="D4352">
        <v>-7.5119999999999996E-3</v>
      </c>
      <c r="E4352">
        <f t="shared" si="134"/>
        <v>0.99248800000000004</v>
      </c>
      <c r="F4352" s="1">
        <f t="shared" si="135"/>
        <v>41757</v>
      </c>
      <c r="G4352" cm="1">
        <f t="array" ref="G4352">PRODUCT( _xlfn._xlws.FILTER($E:$E, ($C:$C=C4352)*($F:$F=F4352)) ) - 1</f>
        <v>5.5175393172841147E-2</v>
      </c>
    </row>
    <row r="4353" spans="1:7" x14ac:dyDescent="0.2">
      <c r="A4353" s="1">
        <v>41760</v>
      </c>
      <c r="B4353">
        <v>0</v>
      </c>
      <c r="C4353" t="s">
        <v>14</v>
      </c>
      <c r="D4353">
        <v>5.9129999999999999E-3</v>
      </c>
      <c r="E4353">
        <f t="shared" si="134"/>
        <v>1.0059130000000001</v>
      </c>
      <c r="F4353" s="1">
        <f t="shared" si="135"/>
        <v>41757</v>
      </c>
      <c r="G4353" cm="1">
        <f t="array" ref="G4353">PRODUCT( _xlfn._xlws.FILTER($E:$E, ($C:$C=C4353)*($F:$F=F4353)) ) - 1</f>
        <v>5.5175393172841147E-2</v>
      </c>
    </row>
    <row r="4354" spans="1:7" x14ac:dyDescent="0.2">
      <c r="A4354" s="1">
        <v>41761</v>
      </c>
      <c r="B4354">
        <v>0</v>
      </c>
      <c r="C4354" t="s">
        <v>14</v>
      </c>
      <c r="D4354">
        <v>1.6223999999999999E-2</v>
      </c>
      <c r="E4354">
        <f t="shared" si="134"/>
        <v>1.016224</v>
      </c>
      <c r="F4354" s="1">
        <f t="shared" si="135"/>
        <v>41757</v>
      </c>
      <c r="G4354" cm="1">
        <f t="array" ref="G4354">PRODUCT( _xlfn._xlws.FILTER($E:$E, ($C:$C=C4354)*($F:$F=F4354)) ) - 1</f>
        <v>5.5175393172841147E-2</v>
      </c>
    </row>
    <row r="4355" spans="1:7" x14ac:dyDescent="0.2">
      <c r="A4355" s="1">
        <v>41764</v>
      </c>
      <c r="B4355">
        <v>0</v>
      </c>
      <c r="C4355" t="s">
        <v>14</v>
      </c>
      <c r="D4355">
        <v>-3.2390000000000001E-3</v>
      </c>
      <c r="E4355">
        <f t="shared" si="134"/>
        <v>0.99676100000000001</v>
      </c>
      <c r="F4355" s="1">
        <f t="shared" si="135"/>
        <v>41764</v>
      </c>
      <c r="G4355" cm="1">
        <f t="array" ref="G4355">PRODUCT( _xlfn._xlws.FILTER($E:$E, ($C:$C=C4355)*($F:$F=F4355)) ) - 1</f>
        <v>-2.4987788971471137E-2</v>
      </c>
    </row>
    <row r="4356" spans="1:7" x14ac:dyDescent="0.2">
      <c r="A4356" s="1">
        <v>41765</v>
      </c>
      <c r="B4356">
        <v>0</v>
      </c>
      <c r="C4356" t="s">
        <v>14</v>
      </c>
      <c r="D4356">
        <v>7.4279999999999997E-3</v>
      </c>
      <c r="E4356">
        <f t="shared" ref="E4356:E4419" si="136">D4356+1</f>
        <v>1.007428</v>
      </c>
      <c r="F4356" s="1">
        <f t="shared" ref="F4356:F4419" si="137">A4356 - (WEEKDAY(A4356, 2) - 1)</f>
        <v>41764</v>
      </c>
      <c r="G4356" cm="1">
        <f t="array" ref="G4356">PRODUCT( _xlfn._xlws.FILTER($E:$E, ($C:$C=C4356)*($F:$F=F4356)) ) - 1</f>
        <v>-2.4987788971471137E-2</v>
      </c>
    </row>
    <row r="4357" spans="1:7" x14ac:dyDescent="0.2">
      <c r="A4357" s="1">
        <v>41766</v>
      </c>
      <c r="B4357">
        <v>0</v>
      </c>
      <c r="C4357" t="s">
        <v>14</v>
      </c>
      <c r="D4357">
        <v>-5.7600000000000004E-3</v>
      </c>
      <c r="E4357">
        <f t="shared" si="136"/>
        <v>0.99424000000000001</v>
      </c>
      <c r="F4357" s="1">
        <f t="shared" si="137"/>
        <v>41764</v>
      </c>
      <c r="G4357" cm="1">
        <f t="array" ref="G4357">PRODUCT( _xlfn._xlws.FILTER($E:$E, ($C:$C=C4357)*($F:$F=F4357)) ) - 1</f>
        <v>-2.4987788971471137E-2</v>
      </c>
    </row>
    <row r="4358" spans="1:7" x14ac:dyDescent="0.2">
      <c r="A4358" s="1">
        <v>41767</v>
      </c>
      <c r="B4358">
        <v>0</v>
      </c>
      <c r="C4358" t="s">
        <v>14</v>
      </c>
      <c r="D4358">
        <v>-2.2248E-2</v>
      </c>
      <c r="E4358">
        <f t="shared" si="136"/>
        <v>0.97775199999999995</v>
      </c>
      <c r="F4358" s="1">
        <f t="shared" si="137"/>
        <v>41764</v>
      </c>
      <c r="G4358" cm="1">
        <f t="array" ref="G4358">PRODUCT( _xlfn._xlws.FILTER($E:$E, ($C:$C=C4358)*($F:$F=F4358)) ) - 1</f>
        <v>-2.4987788971471137E-2</v>
      </c>
    </row>
    <row r="4359" spans="1:7" x14ac:dyDescent="0.2">
      <c r="A4359" s="1">
        <v>41768</v>
      </c>
      <c r="B4359">
        <v>0</v>
      </c>
      <c r="C4359" t="s">
        <v>14</v>
      </c>
      <c r="D4359">
        <v>-1.1850000000000001E-3</v>
      </c>
      <c r="E4359">
        <f t="shared" si="136"/>
        <v>0.99881500000000001</v>
      </c>
      <c r="F4359" s="1">
        <f t="shared" si="137"/>
        <v>41764</v>
      </c>
      <c r="G4359" cm="1">
        <f t="array" ref="G4359">PRODUCT( _xlfn._xlws.FILTER($E:$E, ($C:$C=C4359)*($F:$F=F4359)) ) - 1</f>
        <v>-2.4987788971471137E-2</v>
      </c>
    </row>
    <row r="4360" spans="1:7" x14ac:dyDescent="0.2">
      <c r="A4360" s="1">
        <v>41771</v>
      </c>
      <c r="B4360">
        <v>0</v>
      </c>
      <c r="C4360" t="s">
        <v>14</v>
      </c>
      <c r="D4360">
        <v>1.5661999999999999E-2</v>
      </c>
      <c r="E4360">
        <f t="shared" si="136"/>
        <v>1.0156620000000001</v>
      </c>
      <c r="F4360" s="1">
        <f t="shared" si="137"/>
        <v>41771</v>
      </c>
      <c r="G4360" cm="1">
        <f t="array" ref="G4360">PRODUCT( _xlfn._xlws.FILTER($E:$E, ($C:$C=C4360)*($F:$F=F4360)) ) - 1</f>
        <v>1.9761131997420023E-7</v>
      </c>
    </row>
    <row r="4361" spans="1:7" x14ac:dyDescent="0.2">
      <c r="A4361" s="1">
        <v>41772</v>
      </c>
      <c r="B4361">
        <v>0</v>
      </c>
      <c r="C4361" t="s">
        <v>14</v>
      </c>
      <c r="D4361">
        <v>8.1779999999999995E-3</v>
      </c>
      <c r="E4361">
        <f t="shared" si="136"/>
        <v>1.008178</v>
      </c>
      <c r="F4361" s="1">
        <f t="shared" si="137"/>
        <v>41771</v>
      </c>
      <c r="G4361" cm="1">
        <f t="array" ref="G4361">PRODUCT( _xlfn._xlws.FILTER($E:$E, ($C:$C=C4361)*($F:$F=F4361)) ) - 1</f>
        <v>1.9761131997420023E-7</v>
      </c>
    </row>
    <row r="4362" spans="1:7" x14ac:dyDescent="0.2">
      <c r="A4362" s="1">
        <v>41773</v>
      </c>
      <c r="B4362">
        <v>0</v>
      </c>
      <c r="C4362" t="s">
        <v>14</v>
      </c>
      <c r="D4362">
        <v>-2.3180000000000002E-3</v>
      </c>
      <c r="E4362">
        <f t="shared" si="136"/>
        <v>0.99768199999999996</v>
      </c>
      <c r="F4362" s="1">
        <f t="shared" si="137"/>
        <v>41771</v>
      </c>
      <c r="G4362" cm="1">
        <f t="array" ref="G4362">PRODUCT( _xlfn._xlws.FILTER($E:$E, ($C:$C=C4362)*($F:$F=F4362)) ) - 1</f>
        <v>1.9761131997420023E-7</v>
      </c>
    </row>
    <row r="4363" spans="1:7" x14ac:dyDescent="0.2">
      <c r="A4363" s="1">
        <v>41774</v>
      </c>
      <c r="B4363">
        <v>0</v>
      </c>
      <c r="C4363" t="s">
        <v>14</v>
      </c>
      <c r="D4363">
        <v>-4.4130000000000003E-3</v>
      </c>
      <c r="E4363">
        <f t="shared" si="136"/>
        <v>0.995587</v>
      </c>
      <c r="F4363" s="1">
        <f t="shared" si="137"/>
        <v>41771</v>
      </c>
      <c r="G4363" cm="1">
        <f t="array" ref="G4363">PRODUCT( _xlfn._xlws.FILTER($E:$E, ($C:$C=C4363)*($F:$F=F4363)) ) - 1</f>
        <v>1.9761131997420023E-7</v>
      </c>
    </row>
    <row r="4364" spans="1:7" x14ac:dyDescent="0.2">
      <c r="A4364" s="1">
        <v>41775</v>
      </c>
      <c r="B4364">
        <v>0</v>
      </c>
      <c r="C4364" t="s">
        <v>14</v>
      </c>
      <c r="D4364">
        <v>-1.6799000000000001E-2</v>
      </c>
      <c r="E4364">
        <f t="shared" si="136"/>
        <v>0.98320099999999999</v>
      </c>
      <c r="F4364" s="1">
        <f t="shared" si="137"/>
        <v>41771</v>
      </c>
      <c r="G4364" cm="1">
        <f t="array" ref="G4364">PRODUCT( _xlfn._xlws.FILTER($E:$E, ($C:$C=C4364)*($F:$F=F4364)) ) - 1</f>
        <v>1.9761131997420023E-7</v>
      </c>
    </row>
    <row r="4365" spans="1:7" x14ac:dyDescent="0.2">
      <c r="A4365" s="1">
        <v>41779</v>
      </c>
      <c r="B4365">
        <v>0</v>
      </c>
      <c r="C4365" t="s">
        <v>14</v>
      </c>
      <c r="D4365">
        <v>0</v>
      </c>
      <c r="E4365">
        <f t="shared" si="136"/>
        <v>1</v>
      </c>
      <c r="F4365" s="1">
        <f t="shared" si="137"/>
        <v>41778</v>
      </c>
      <c r="G4365" cm="1">
        <f t="array" ref="G4365">PRODUCT( _xlfn._xlws.FILTER($E:$E, ($C:$C=C4365)*($F:$F=F4365)) ) - 1</f>
        <v>5.9321527503868321E-3</v>
      </c>
    </row>
    <row r="4366" spans="1:7" x14ac:dyDescent="0.2">
      <c r="A4366" s="1">
        <v>41780</v>
      </c>
      <c r="B4366">
        <v>0</v>
      </c>
      <c r="C4366" t="s">
        <v>14</v>
      </c>
      <c r="D4366">
        <v>8.7799999999999996E-3</v>
      </c>
      <c r="E4366">
        <f t="shared" si="136"/>
        <v>1.00878</v>
      </c>
      <c r="F4366" s="1">
        <f t="shared" si="137"/>
        <v>41778</v>
      </c>
      <c r="G4366" cm="1">
        <f t="array" ref="G4366">PRODUCT( _xlfn._xlws.FILTER($E:$E, ($C:$C=C4366)*($F:$F=F4366)) ) - 1</f>
        <v>5.9321527503868321E-3</v>
      </c>
    </row>
    <row r="4367" spans="1:7" x14ac:dyDescent="0.2">
      <c r="A4367" s="1">
        <v>41781</v>
      </c>
      <c r="B4367">
        <v>0</v>
      </c>
      <c r="C4367" t="s">
        <v>14</v>
      </c>
      <c r="D4367">
        <v>-1.176E-3</v>
      </c>
      <c r="E4367">
        <f t="shared" si="136"/>
        <v>0.99882400000000005</v>
      </c>
      <c r="F4367" s="1">
        <f t="shared" si="137"/>
        <v>41778</v>
      </c>
      <c r="G4367" cm="1">
        <f t="array" ref="G4367">PRODUCT( _xlfn._xlws.FILTER($E:$E, ($C:$C=C4367)*($F:$F=F4367)) ) - 1</f>
        <v>5.9321527503868321E-3</v>
      </c>
    </row>
    <row r="4368" spans="1:7" x14ac:dyDescent="0.2">
      <c r="A4368" s="1">
        <v>41782</v>
      </c>
      <c r="B4368">
        <v>0</v>
      </c>
      <c r="C4368" t="s">
        <v>14</v>
      </c>
      <c r="D4368">
        <v>-1.6490000000000001E-3</v>
      </c>
      <c r="E4368">
        <f t="shared" si="136"/>
        <v>0.99835099999999999</v>
      </c>
      <c r="F4368" s="1">
        <f t="shared" si="137"/>
        <v>41778</v>
      </c>
      <c r="G4368" cm="1">
        <f t="array" ref="G4368">PRODUCT( _xlfn._xlws.FILTER($E:$E, ($C:$C=C4368)*($F:$F=F4368)) ) - 1</f>
        <v>5.9321527503868321E-3</v>
      </c>
    </row>
    <row r="4369" spans="1:7" x14ac:dyDescent="0.2">
      <c r="A4369" s="1">
        <v>41785</v>
      </c>
      <c r="B4369">
        <v>0</v>
      </c>
      <c r="C4369" t="s">
        <v>14</v>
      </c>
      <c r="D4369">
        <v>-2.5950000000000001E-3</v>
      </c>
      <c r="E4369">
        <f t="shared" si="136"/>
        <v>0.99740499999999999</v>
      </c>
      <c r="F4369" s="1">
        <f t="shared" si="137"/>
        <v>41785</v>
      </c>
      <c r="G4369" cm="1">
        <f t="array" ref="G4369">PRODUCT( _xlfn._xlws.FILTER($E:$E, ($C:$C=C4369)*($F:$F=F4369)) ) - 1</f>
        <v>-1.5570580992384953E-2</v>
      </c>
    </row>
    <row r="4370" spans="1:7" x14ac:dyDescent="0.2">
      <c r="A4370" s="1">
        <v>41786</v>
      </c>
      <c r="B4370">
        <v>0</v>
      </c>
      <c r="C4370" t="s">
        <v>14</v>
      </c>
      <c r="D4370">
        <v>-9.4610000000000007E-3</v>
      </c>
      <c r="E4370">
        <f t="shared" si="136"/>
        <v>0.99053899999999995</v>
      </c>
      <c r="F4370" s="1">
        <f t="shared" si="137"/>
        <v>41785</v>
      </c>
      <c r="G4370" cm="1">
        <f t="array" ref="G4370">PRODUCT( _xlfn._xlws.FILTER($E:$E, ($C:$C=C4370)*($F:$F=F4370)) ) - 1</f>
        <v>-1.5570580992384953E-2</v>
      </c>
    </row>
    <row r="4371" spans="1:7" x14ac:dyDescent="0.2">
      <c r="A4371" s="1">
        <v>41787</v>
      </c>
      <c r="B4371">
        <v>0</v>
      </c>
      <c r="C4371" t="s">
        <v>14</v>
      </c>
      <c r="D4371">
        <v>-4.7800000000000002E-4</v>
      </c>
      <c r="E4371">
        <f t="shared" si="136"/>
        <v>0.99952200000000002</v>
      </c>
      <c r="F4371" s="1">
        <f t="shared" si="137"/>
        <v>41785</v>
      </c>
      <c r="G4371" cm="1">
        <f t="array" ref="G4371">PRODUCT( _xlfn._xlws.FILTER($E:$E, ($C:$C=C4371)*($F:$F=F4371)) ) - 1</f>
        <v>-1.5570580992384953E-2</v>
      </c>
    </row>
    <row r="4372" spans="1:7" x14ac:dyDescent="0.2">
      <c r="A4372" s="1">
        <v>41788</v>
      </c>
      <c r="B4372">
        <v>0</v>
      </c>
      <c r="C4372" t="s">
        <v>14</v>
      </c>
      <c r="D4372">
        <v>-3.5829999999999998E-3</v>
      </c>
      <c r="E4372">
        <f t="shared" si="136"/>
        <v>0.996417</v>
      </c>
      <c r="F4372" s="1">
        <f t="shared" si="137"/>
        <v>41785</v>
      </c>
      <c r="G4372" cm="1">
        <f t="array" ref="G4372">PRODUCT( _xlfn._xlws.FILTER($E:$E, ($C:$C=C4372)*($F:$F=F4372)) ) - 1</f>
        <v>-1.5570580992384953E-2</v>
      </c>
    </row>
    <row r="4373" spans="1:7" x14ac:dyDescent="0.2">
      <c r="A4373" s="1">
        <v>41789</v>
      </c>
      <c r="B4373">
        <v>0</v>
      </c>
      <c r="C4373" t="s">
        <v>14</v>
      </c>
      <c r="D4373">
        <v>4.7899999999999999E-4</v>
      </c>
      <c r="E4373">
        <f t="shared" si="136"/>
        <v>1.0004789999999999</v>
      </c>
      <c r="F4373" s="1">
        <f t="shared" si="137"/>
        <v>41785</v>
      </c>
      <c r="G4373" cm="1">
        <f t="array" ref="G4373">PRODUCT( _xlfn._xlws.FILTER($E:$E, ($C:$C=C4373)*($F:$F=F4373)) ) - 1</f>
        <v>-1.5570580992384953E-2</v>
      </c>
    </row>
    <row r="4374" spans="1:7" x14ac:dyDescent="0.2">
      <c r="A4374" s="1">
        <v>41792</v>
      </c>
      <c r="B4374">
        <v>0</v>
      </c>
      <c r="C4374" t="s">
        <v>14</v>
      </c>
      <c r="D4374">
        <v>1.294E-2</v>
      </c>
      <c r="E4374">
        <f t="shared" si="136"/>
        <v>1.01294</v>
      </c>
      <c r="F4374" s="1">
        <f t="shared" si="137"/>
        <v>41792</v>
      </c>
      <c r="G4374" cm="1">
        <f t="array" ref="G4374">PRODUCT( _xlfn._xlws.FILTER($E:$E, ($C:$C=C4374)*($F:$F=F4374)) ) - 1</f>
        <v>3.2457367364262968E-2</v>
      </c>
    </row>
    <row r="4375" spans="1:7" x14ac:dyDescent="0.2">
      <c r="A4375" s="1">
        <v>41793</v>
      </c>
      <c r="B4375">
        <v>0</v>
      </c>
      <c r="C4375" t="s">
        <v>14</v>
      </c>
      <c r="D4375">
        <v>4.2820000000000002E-3</v>
      </c>
      <c r="E4375">
        <f t="shared" si="136"/>
        <v>1.0042819999999999</v>
      </c>
      <c r="F4375" s="1">
        <f t="shared" si="137"/>
        <v>41792</v>
      </c>
      <c r="G4375" cm="1">
        <f t="array" ref="G4375">PRODUCT( _xlfn._xlws.FILTER($E:$E, ($C:$C=C4375)*($F:$F=F4375)) ) - 1</f>
        <v>3.2457367364262968E-2</v>
      </c>
    </row>
    <row r="4376" spans="1:7" x14ac:dyDescent="0.2">
      <c r="A4376" s="1">
        <v>41794</v>
      </c>
      <c r="B4376">
        <v>0</v>
      </c>
      <c r="C4376" t="s">
        <v>14</v>
      </c>
      <c r="D4376">
        <v>7.816E-3</v>
      </c>
      <c r="E4376">
        <f t="shared" si="136"/>
        <v>1.007816</v>
      </c>
      <c r="F4376" s="1">
        <f t="shared" si="137"/>
        <v>41792</v>
      </c>
      <c r="G4376" cm="1">
        <f t="array" ref="G4376">PRODUCT( _xlfn._xlws.FILTER($E:$E, ($C:$C=C4376)*($F:$F=F4376)) ) - 1</f>
        <v>3.2457367364262968E-2</v>
      </c>
    </row>
    <row r="4377" spans="1:7" x14ac:dyDescent="0.2">
      <c r="A4377" s="1">
        <v>41795</v>
      </c>
      <c r="B4377">
        <v>0</v>
      </c>
      <c r="C4377" t="s">
        <v>14</v>
      </c>
      <c r="D4377">
        <v>-3.055E-3</v>
      </c>
      <c r="E4377">
        <f t="shared" si="136"/>
        <v>0.99694499999999997</v>
      </c>
      <c r="F4377" s="1">
        <f t="shared" si="137"/>
        <v>41792</v>
      </c>
      <c r="G4377" cm="1">
        <f t="array" ref="G4377">PRODUCT( _xlfn._xlws.FILTER($E:$E, ($C:$C=C4377)*($F:$F=F4377)) ) - 1</f>
        <v>3.2457367364262968E-2</v>
      </c>
    </row>
    <row r="4378" spans="1:7" x14ac:dyDescent="0.2">
      <c r="A4378" s="1">
        <v>41796</v>
      </c>
      <c r="B4378">
        <v>0</v>
      </c>
      <c r="C4378" t="s">
        <v>14</v>
      </c>
      <c r="D4378">
        <v>1.0137E-2</v>
      </c>
      <c r="E4378">
        <f t="shared" si="136"/>
        <v>1.0101370000000001</v>
      </c>
      <c r="F4378" s="1">
        <f t="shared" si="137"/>
        <v>41792</v>
      </c>
      <c r="G4378" cm="1">
        <f t="array" ref="G4378">PRODUCT( _xlfn._xlws.FILTER($E:$E, ($C:$C=C4378)*($F:$F=F4378)) ) - 1</f>
        <v>3.2457367364262968E-2</v>
      </c>
    </row>
    <row r="4379" spans="1:7" x14ac:dyDescent="0.2">
      <c r="A4379" s="1">
        <v>41799</v>
      </c>
      <c r="B4379">
        <v>0</v>
      </c>
      <c r="C4379" t="s">
        <v>14</v>
      </c>
      <c r="D4379">
        <v>1.2602E-2</v>
      </c>
      <c r="E4379">
        <f t="shared" si="136"/>
        <v>1.012602</v>
      </c>
      <c r="F4379" s="1">
        <f t="shared" si="137"/>
        <v>41799</v>
      </c>
      <c r="G4379" cm="1">
        <f t="array" ref="G4379">PRODUCT( _xlfn._xlws.FILTER($E:$E, ($C:$C=C4379)*($F:$F=F4379)) ) - 1</f>
        <v>8.1679004329025862E-2</v>
      </c>
    </row>
    <row r="4380" spans="1:7" x14ac:dyDescent="0.2">
      <c r="A4380" s="1">
        <v>41800</v>
      </c>
      <c r="B4380">
        <v>0</v>
      </c>
      <c r="C4380" t="s">
        <v>14</v>
      </c>
      <c r="D4380">
        <v>5.9919999999999999E-3</v>
      </c>
      <c r="E4380">
        <f t="shared" si="136"/>
        <v>1.005992</v>
      </c>
      <c r="F4380" s="1">
        <f t="shared" si="137"/>
        <v>41799</v>
      </c>
      <c r="G4380" cm="1">
        <f t="array" ref="G4380">PRODUCT( _xlfn._xlws.FILTER($E:$E, ($C:$C=C4380)*($F:$F=F4380)) ) - 1</f>
        <v>8.1679004329025862E-2</v>
      </c>
    </row>
    <row r="4381" spans="1:7" x14ac:dyDescent="0.2">
      <c r="A4381" s="1">
        <v>41801</v>
      </c>
      <c r="B4381">
        <v>0</v>
      </c>
      <c r="C4381" t="s">
        <v>14</v>
      </c>
      <c r="D4381">
        <v>1.26E-2</v>
      </c>
      <c r="E4381">
        <f t="shared" si="136"/>
        <v>1.0125999999999999</v>
      </c>
      <c r="F4381" s="1">
        <f t="shared" si="137"/>
        <v>41799</v>
      </c>
      <c r="G4381" cm="1">
        <f t="array" ref="G4381">PRODUCT( _xlfn._xlws.FILTER($E:$E, ($C:$C=C4381)*($F:$F=F4381)) ) - 1</f>
        <v>8.1679004329025862E-2</v>
      </c>
    </row>
    <row r="4382" spans="1:7" x14ac:dyDescent="0.2">
      <c r="A4382" s="1">
        <v>41802</v>
      </c>
      <c r="B4382">
        <v>0</v>
      </c>
      <c r="C4382" t="s">
        <v>14</v>
      </c>
      <c r="D4382">
        <v>2.8053999999999999E-2</v>
      </c>
      <c r="E4382">
        <f t="shared" si="136"/>
        <v>1.028054</v>
      </c>
      <c r="F4382" s="1">
        <f t="shared" si="137"/>
        <v>41799</v>
      </c>
      <c r="G4382" cm="1">
        <f t="array" ref="G4382">PRODUCT( _xlfn._xlws.FILTER($E:$E, ($C:$C=C4382)*($F:$F=F4382)) ) - 1</f>
        <v>8.1679004329025862E-2</v>
      </c>
    </row>
    <row r="4383" spans="1:7" x14ac:dyDescent="0.2">
      <c r="A4383" s="1">
        <v>41803</v>
      </c>
      <c r="B4383">
        <v>0</v>
      </c>
      <c r="C4383" t="s">
        <v>14</v>
      </c>
      <c r="D4383">
        <v>2.0025999999999999E-2</v>
      </c>
      <c r="E4383">
        <f t="shared" si="136"/>
        <v>1.0200260000000001</v>
      </c>
      <c r="F4383" s="1">
        <f t="shared" si="137"/>
        <v>41799</v>
      </c>
      <c r="G4383" cm="1">
        <f t="array" ref="G4383">PRODUCT( _xlfn._xlws.FILTER($E:$E, ($C:$C=C4383)*($F:$F=F4383)) ) - 1</f>
        <v>8.1679004329025862E-2</v>
      </c>
    </row>
    <row r="4384" spans="1:7" x14ac:dyDescent="0.2">
      <c r="A4384" s="1">
        <v>41806</v>
      </c>
      <c r="B4384">
        <v>0</v>
      </c>
      <c r="C4384" t="s">
        <v>14</v>
      </c>
      <c r="D4384">
        <v>8.6300000000000005E-3</v>
      </c>
      <c r="E4384">
        <f t="shared" si="136"/>
        <v>1.0086299999999999</v>
      </c>
      <c r="F4384" s="1">
        <f t="shared" si="137"/>
        <v>41806</v>
      </c>
      <c r="G4384" cm="1">
        <f t="array" ref="G4384">PRODUCT( _xlfn._xlws.FILTER($E:$E, ($C:$C=C4384)*($F:$F=F4384)) ) - 1</f>
        <v>-6.0413767741369639E-3</v>
      </c>
    </row>
    <row r="4385" spans="1:7" x14ac:dyDescent="0.2">
      <c r="A4385" s="1">
        <v>41807</v>
      </c>
      <c r="B4385">
        <v>0</v>
      </c>
      <c r="C4385" t="s">
        <v>14</v>
      </c>
      <c r="D4385">
        <v>-9.1979999999999996E-3</v>
      </c>
      <c r="E4385">
        <f t="shared" si="136"/>
        <v>0.99080199999999996</v>
      </c>
      <c r="F4385" s="1">
        <f t="shared" si="137"/>
        <v>41806</v>
      </c>
      <c r="G4385" cm="1">
        <f t="array" ref="G4385">PRODUCT( _xlfn._xlws.FILTER($E:$E, ($C:$C=C4385)*($F:$F=F4385)) ) - 1</f>
        <v>-6.0413767741369639E-3</v>
      </c>
    </row>
    <row r="4386" spans="1:7" x14ac:dyDescent="0.2">
      <c r="A4386" s="1">
        <v>41808</v>
      </c>
      <c r="B4386">
        <v>0</v>
      </c>
      <c r="C4386" t="s">
        <v>14</v>
      </c>
      <c r="D4386">
        <v>-2.1599999999999999E-4</v>
      </c>
      <c r="E4386">
        <f t="shared" si="136"/>
        <v>0.99978400000000001</v>
      </c>
      <c r="F4386" s="1">
        <f t="shared" si="137"/>
        <v>41806</v>
      </c>
      <c r="G4386" cm="1">
        <f t="array" ref="G4386">PRODUCT( _xlfn._xlws.FILTER($E:$E, ($C:$C=C4386)*($F:$F=F4386)) ) - 1</f>
        <v>-6.0413767741369639E-3</v>
      </c>
    </row>
    <row r="4387" spans="1:7" x14ac:dyDescent="0.2">
      <c r="A4387" s="1">
        <v>41809</v>
      </c>
      <c r="B4387">
        <v>0</v>
      </c>
      <c r="C4387" t="s">
        <v>14</v>
      </c>
      <c r="D4387">
        <v>-7.9900000000000006E-3</v>
      </c>
      <c r="E4387">
        <f t="shared" si="136"/>
        <v>0.99200999999999995</v>
      </c>
      <c r="F4387" s="1">
        <f t="shared" si="137"/>
        <v>41806</v>
      </c>
      <c r="G4387" cm="1">
        <f t="array" ref="G4387">PRODUCT( _xlfn._xlws.FILTER($E:$E, ($C:$C=C4387)*($F:$F=F4387)) ) - 1</f>
        <v>-6.0413767741369639E-3</v>
      </c>
    </row>
    <row r="4388" spans="1:7" x14ac:dyDescent="0.2">
      <c r="A4388" s="1">
        <v>41810</v>
      </c>
      <c r="B4388">
        <v>0</v>
      </c>
      <c r="C4388" t="s">
        <v>14</v>
      </c>
      <c r="D4388">
        <v>2.8300000000000001E-3</v>
      </c>
      <c r="E4388">
        <f t="shared" si="136"/>
        <v>1.0028300000000001</v>
      </c>
      <c r="F4388" s="1">
        <f t="shared" si="137"/>
        <v>41806</v>
      </c>
      <c r="G4388" cm="1">
        <f t="array" ref="G4388">PRODUCT( _xlfn._xlws.FILTER($E:$E, ($C:$C=C4388)*($F:$F=F4388)) ) - 1</f>
        <v>-6.0413767741369639E-3</v>
      </c>
    </row>
    <row r="4389" spans="1:7" x14ac:dyDescent="0.2">
      <c r="A4389" s="1">
        <v>41813</v>
      </c>
      <c r="B4389">
        <v>0</v>
      </c>
      <c r="C4389" t="s">
        <v>14</v>
      </c>
      <c r="D4389">
        <v>3.9069999999999999E-3</v>
      </c>
      <c r="E4389">
        <f t="shared" si="136"/>
        <v>1.0039070000000001</v>
      </c>
      <c r="F4389" s="1">
        <f t="shared" si="137"/>
        <v>41813</v>
      </c>
      <c r="G4389" cm="1">
        <f t="array" ref="G4389">PRODUCT( _xlfn._xlws.FILTER($E:$E, ($C:$C=C4389)*($F:$F=F4389)) ) - 1</f>
        <v>-9.984430965538138E-3</v>
      </c>
    </row>
    <row r="4390" spans="1:7" x14ac:dyDescent="0.2">
      <c r="A4390" s="1">
        <v>41814</v>
      </c>
      <c r="B4390">
        <v>0</v>
      </c>
      <c r="C4390" t="s">
        <v>14</v>
      </c>
      <c r="D4390">
        <v>-3.6108000000000001E-2</v>
      </c>
      <c r="E4390">
        <f t="shared" si="136"/>
        <v>0.96389199999999997</v>
      </c>
      <c r="F4390" s="1">
        <f t="shared" si="137"/>
        <v>41813</v>
      </c>
      <c r="G4390" cm="1">
        <f t="array" ref="G4390">PRODUCT( _xlfn._xlws.FILTER($E:$E, ($C:$C=C4390)*($F:$F=F4390)) ) - 1</f>
        <v>-9.984430965538138E-3</v>
      </c>
    </row>
    <row r="4391" spans="1:7" x14ac:dyDescent="0.2">
      <c r="A4391" s="1">
        <v>41815</v>
      </c>
      <c r="B4391">
        <v>0</v>
      </c>
      <c r="C4391" t="s">
        <v>14</v>
      </c>
      <c r="D4391">
        <v>2.6919999999999999E-3</v>
      </c>
      <c r="E4391">
        <f t="shared" si="136"/>
        <v>1.0026919999999999</v>
      </c>
      <c r="F4391" s="1">
        <f t="shared" si="137"/>
        <v>41813</v>
      </c>
      <c r="G4391" cm="1">
        <f t="array" ref="G4391">PRODUCT( _xlfn._xlws.FILTER($E:$E, ($C:$C=C4391)*($F:$F=F4391)) ) - 1</f>
        <v>-9.984430965538138E-3</v>
      </c>
    </row>
    <row r="4392" spans="1:7" x14ac:dyDescent="0.2">
      <c r="A4392" s="1">
        <v>41816</v>
      </c>
      <c r="B4392">
        <v>0</v>
      </c>
      <c r="C4392" t="s">
        <v>14</v>
      </c>
      <c r="D4392">
        <v>1.5213000000000001E-2</v>
      </c>
      <c r="E4392">
        <f t="shared" si="136"/>
        <v>1.0152129999999999</v>
      </c>
      <c r="F4392" s="1">
        <f t="shared" si="137"/>
        <v>41813</v>
      </c>
      <c r="G4392" cm="1">
        <f t="array" ref="G4392">PRODUCT( _xlfn._xlws.FILTER($E:$E, ($C:$C=C4392)*($F:$F=F4392)) ) - 1</f>
        <v>-9.984430965538138E-3</v>
      </c>
    </row>
    <row r="4393" spans="1:7" x14ac:dyDescent="0.2">
      <c r="A4393" s="1">
        <v>41817</v>
      </c>
      <c r="B4393">
        <v>0</v>
      </c>
      <c r="C4393" t="s">
        <v>14</v>
      </c>
      <c r="D4393">
        <v>5.0679999999999996E-3</v>
      </c>
      <c r="E4393">
        <f t="shared" si="136"/>
        <v>1.0050680000000001</v>
      </c>
      <c r="F4393" s="1">
        <f t="shared" si="137"/>
        <v>41813</v>
      </c>
      <c r="G4393" cm="1">
        <f t="array" ref="G4393">PRODUCT( _xlfn._xlws.FILTER($E:$E, ($C:$C=C4393)*($F:$F=F4393)) ) - 1</f>
        <v>-9.984430965538138E-3</v>
      </c>
    </row>
    <row r="4394" spans="1:7" x14ac:dyDescent="0.2">
      <c r="A4394" s="1">
        <v>41820</v>
      </c>
      <c r="B4394">
        <v>0</v>
      </c>
      <c r="C4394" t="s">
        <v>14</v>
      </c>
      <c r="D4394">
        <v>-2.4120000000000001E-3</v>
      </c>
      <c r="E4394">
        <f t="shared" si="136"/>
        <v>0.99758800000000003</v>
      </c>
      <c r="F4394" s="1">
        <f t="shared" si="137"/>
        <v>41820</v>
      </c>
      <c r="G4394" cm="1">
        <f t="array" ref="G4394">PRODUCT( _xlfn._xlws.FILTER($E:$E, ($C:$C=C4394)*($F:$F=F4394)) ) - 1</f>
        <v>-6.5775145619828557E-3</v>
      </c>
    </row>
    <row r="4395" spans="1:7" x14ac:dyDescent="0.2">
      <c r="A4395" s="1">
        <v>41822</v>
      </c>
      <c r="B4395">
        <v>0</v>
      </c>
      <c r="C4395" t="s">
        <v>14</v>
      </c>
      <c r="D4395">
        <v>9.2309999999999996E-3</v>
      </c>
      <c r="E4395">
        <f t="shared" si="136"/>
        <v>1.009231</v>
      </c>
      <c r="F4395" s="1">
        <f t="shared" si="137"/>
        <v>41820</v>
      </c>
      <c r="G4395" cm="1">
        <f t="array" ref="G4395">PRODUCT( _xlfn._xlws.FILTER($E:$E, ($C:$C=C4395)*($F:$F=F4395)) ) - 1</f>
        <v>-6.5775145619828557E-3</v>
      </c>
    </row>
    <row r="4396" spans="1:7" x14ac:dyDescent="0.2">
      <c r="A4396" s="1">
        <v>41823</v>
      </c>
      <c r="B4396">
        <v>0</v>
      </c>
      <c r="C4396" t="s">
        <v>14</v>
      </c>
      <c r="D4396">
        <v>-8.4930000000000005E-3</v>
      </c>
      <c r="E4396">
        <f t="shared" si="136"/>
        <v>0.99150700000000003</v>
      </c>
      <c r="F4396" s="1">
        <f t="shared" si="137"/>
        <v>41820</v>
      </c>
      <c r="G4396" cm="1">
        <f t="array" ref="G4396">PRODUCT( _xlfn._xlws.FILTER($E:$E, ($C:$C=C4396)*($F:$F=F4396)) ) - 1</f>
        <v>-6.5775145619828557E-3</v>
      </c>
    </row>
    <row r="4397" spans="1:7" x14ac:dyDescent="0.2">
      <c r="A4397" s="1">
        <v>41824</v>
      </c>
      <c r="B4397">
        <v>0</v>
      </c>
      <c r="C4397" t="s">
        <v>14</v>
      </c>
      <c r="D4397">
        <v>-4.8320000000000004E-3</v>
      </c>
      <c r="E4397">
        <f t="shared" si="136"/>
        <v>0.99516800000000005</v>
      </c>
      <c r="F4397" s="1">
        <f t="shared" si="137"/>
        <v>41820</v>
      </c>
      <c r="G4397" cm="1">
        <f t="array" ref="G4397">PRODUCT( _xlfn._xlws.FILTER($E:$E, ($C:$C=C4397)*($F:$F=F4397)) ) - 1</f>
        <v>-6.5775145619828557E-3</v>
      </c>
    </row>
    <row r="4398" spans="1:7" x14ac:dyDescent="0.2">
      <c r="A4398" s="1">
        <v>41827</v>
      </c>
      <c r="B4398">
        <v>0</v>
      </c>
      <c r="C4398" t="s">
        <v>14</v>
      </c>
      <c r="D4398">
        <v>3.31E-3</v>
      </c>
      <c r="E4398">
        <f t="shared" si="136"/>
        <v>1.0033099999999999</v>
      </c>
      <c r="F4398" s="1">
        <f t="shared" si="137"/>
        <v>41827</v>
      </c>
      <c r="G4398" cm="1">
        <f t="array" ref="G4398">PRODUCT( _xlfn._xlws.FILTER($E:$E, ($C:$C=C4398)*($F:$F=F4398)) ) - 1</f>
        <v>-2.3616316022406547E-2</v>
      </c>
    </row>
    <row r="4399" spans="1:7" x14ac:dyDescent="0.2">
      <c r="A4399" s="1">
        <v>41828</v>
      </c>
      <c r="B4399">
        <v>0</v>
      </c>
      <c r="C4399" t="s">
        <v>14</v>
      </c>
      <c r="D4399">
        <v>-2.4199999999999998E-3</v>
      </c>
      <c r="E4399">
        <f t="shared" si="136"/>
        <v>0.99758000000000002</v>
      </c>
      <c r="F4399" s="1">
        <f t="shared" si="137"/>
        <v>41827</v>
      </c>
      <c r="G4399" cm="1">
        <f t="array" ref="G4399">PRODUCT( _xlfn._xlws.FILTER($E:$E, ($C:$C=C4399)*($F:$F=F4399)) ) - 1</f>
        <v>-2.3616316022406547E-2</v>
      </c>
    </row>
    <row r="4400" spans="1:7" x14ac:dyDescent="0.2">
      <c r="A4400" s="1">
        <v>41829</v>
      </c>
      <c r="B4400">
        <v>0</v>
      </c>
      <c r="C4400" t="s">
        <v>14</v>
      </c>
      <c r="D4400">
        <v>6.1739999999999998E-3</v>
      </c>
      <c r="E4400">
        <f t="shared" si="136"/>
        <v>1.0061739999999999</v>
      </c>
      <c r="F4400" s="1">
        <f t="shared" si="137"/>
        <v>41827</v>
      </c>
      <c r="G4400" cm="1">
        <f t="array" ref="G4400">PRODUCT( _xlfn._xlws.FILTER($E:$E, ($C:$C=C4400)*($F:$F=F4400)) ) - 1</f>
        <v>-2.3616316022406547E-2</v>
      </c>
    </row>
    <row r="4401" spans="1:7" x14ac:dyDescent="0.2">
      <c r="A4401" s="1">
        <v>41830</v>
      </c>
      <c r="B4401">
        <v>0</v>
      </c>
      <c r="C4401" t="s">
        <v>14</v>
      </c>
      <c r="D4401">
        <v>-1.4245000000000001E-2</v>
      </c>
      <c r="E4401">
        <f t="shared" si="136"/>
        <v>0.98575500000000005</v>
      </c>
      <c r="F4401" s="1">
        <f t="shared" si="137"/>
        <v>41827</v>
      </c>
      <c r="G4401" cm="1">
        <f t="array" ref="G4401">PRODUCT( _xlfn._xlws.FILTER($E:$E, ($C:$C=C4401)*($F:$F=F4401)) ) - 1</f>
        <v>-2.3616316022406547E-2</v>
      </c>
    </row>
    <row r="4402" spans="1:7" x14ac:dyDescent="0.2">
      <c r="A4402" s="1">
        <v>41831</v>
      </c>
      <c r="B4402">
        <v>0</v>
      </c>
      <c r="C4402" t="s">
        <v>14</v>
      </c>
      <c r="D4402">
        <v>-1.6452000000000001E-2</v>
      </c>
      <c r="E4402">
        <f t="shared" si="136"/>
        <v>0.98354799999999998</v>
      </c>
      <c r="F4402" s="1">
        <f t="shared" si="137"/>
        <v>41827</v>
      </c>
      <c r="G4402" cm="1">
        <f t="array" ref="G4402">PRODUCT( _xlfn._xlws.FILTER($E:$E, ($C:$C=C4402)*($F:$F=F4402)) ) - 1</f>
        <v>-2.3616316022406547E-2</v>
      </c>
    </row>
    <row r="4403" spans="1:7" x14ac:dyDescent="0.2">
      <c r="A4403" s="1">
        <v>41834</v>
      </c>
      <c r="B4403">
        <v>0</v>
      </c>
      <c r="C4403" t="s">
        <v>14</v>
      </c>
      <c r="D4403">
        <v>1.6952999999999999E-2</v>
      </c>
      <c r="E4403">
        <f t="shared" si="136"/>
        <v>1.016953</v>
      </c>
      <c r="F4403" s="1">
        <f t="shared" si="137"/>
        <v>41834</v>
      </c>
      <c r="G4403" cm="1">
        <f t="array" ref="G4403">PRODUCT( _xlfn._xlws.FILTER($E:$E, ($C:$C=C4403)*($F:$F=F4403)) ) - 1</f>
        <v>8.5891727330487111E-3</v>
      </c>
    </row>
    <row r="4404" spans="1:7" x14ac:dyDescent="0.2">
      <c r="A4404" s="1">
        <v>41835</v>
      </c>
      <c r="B4404">
        <v>0</v>
      </c>
      <c r="C4404" t="s">
        <v>14</v>
      </c>
      <c r="D4404">
        <v>-1.7781999999999999E-2</v>
      </c>
      <c r="E4404">
        <f t="shared" si="136"/>
        <v>0.98221800000000004</v>
      </c>
      <c r="F4404" s="1">
        <f t="shared" si="137"/>
        <v>41834</v>
      </c>
      <c r="G4404" cm="1">
        <f t="array" ref="G4404">PRODUCT( _xlfn._xlws.FILTER($E:$E, ($C:$C=C4404)*($F:$F=F4404)) ) - 1</f>
        <v>8.5891727330487111E-3</v>
      </c>
    </row>
    <row r="4405" spans="1:7" x14ac:dyDescent="0.2">
      <c r="A4405" s="1">
        <v>41836</v>
      </c>
      <c r="B4405">
        <v>0</v>
      </c>
      <c r="C4405" t="s">
        <v>14</v>
      </c>
      <c r="D4405">
        <v>1.1993999999999999E-2</v>
      </c>
      <c r="E4405">
        <f t="shared" si="136"/>
        <v>1.0119940000000001</v>
      </c>
      <c r="F4405" s="1">
        <f t="shared" si="137"/>
        <v>41834</v>
      </c>
      <c r="G4405" cm="1">
        <f t="array" ref="G4405">PRODUCT( _xlfn._xlws.FILTER($E:$E, ($C:$C=C4405)*($F:$F=F4405)) ) - 1</f>
        <v>8.5891727330487111E-3</v>
      </c>
    </row>
    <row r="4406" spans="1:7" x14ac:dyDescent="0.2">
      <c r="A4406" s="1">
        <v>41837</v>
      </c>
      <c r="B4406">
        <v>0</v>
      </c>
      <c r="C4406" t="s">
        <v>14</v>
      </c>
      <c r="D4406">
        <v>-9.8390000000000005E-3</v>
      </c>
      <c r="E4406">
        <f t="shared" si="136"/>
        <v>0.99016099999999996</v>
      </c>
      <c r="F4406" s="1">
        <f t="shared" si="137"/>
        <v>41834</v>
      </c>
      <c r="G4406" cm="1">
        <f t="array" ref="G4406">PRODUCT( _xlfn._xlws.FILTER($E:$E, ($C:$C=C4406)*($F:$F=F4406)) ) - 1</f>
        <v>8.5891727330487111E-3</v>
      </c>
    </row>
    <row r="4407" spans="1:7" x14ac:dyDescent="0.2">
      <c r="A4407" s="1">
        <v>41838</v>
      </c>
      <c r="B4407">
        <v>0</v>
      </c>
      <c r="C4407" t="s">
        <v>14</v>
      </c>
      <c r="D4407">
        <v>7.6779999999999999E-3</v>
      </c>
      <c r="E4407">
        <f t="shared" si="136"/>
        <v>1.0076780000000001</v>
      </c>
      <c r="F4407" s="1">
        <f t="shared" si="137"/>
        <v>41834</v>
      </c>
      <c r="G4407" cm="1">
        <f t="array" ref="G4407">PRODUCT( _xlfn._xlws.FILTER($E:$E, ($C:$C=C4407)*($F:$F=F4407)) ) - 1</f>
        <v>8.5891727330487111E-3</v>
      </c>
    </row>
    <row r="4408" spans="1:7" x14ac:dyDescent="0.2">
      <c r="A4408" s="1">
        <v>41841</v>
      </c>
      <c r="B4408">
        <v>0</v>
      </c>
      <c r="C4408" t="s">
        <v>14</v>
      </c>
      <c r="D4408">
        <v>-6.7199999999999996E-4</v>
      </c>
      <c r="E4408">
        <f t="shared" si="136"/>
        <v>0.99932799999999999</v>
      </c>
      <c r="F4408" s="1">
        <f t="shared" si="137"/>
        <v>41841</v>
      </c>
      <c r="G4408" cm="1">
        <f t="array" ref="G4408">PRODUCT( _xlfn._xlws.FILTER($E:$E, ($C:$C=C4408)*($F:$F=F4408)) ) - 1</f>
        <v>2.12907741679218E-2</v>
      </c>
    </row>
    <row r="4409" spans="1:7" x14ac:dyDescent="0.2">
      <c r="A4409" s="1">
        <v>41842</v>
      </c>
      <c r="B4409">
        <v>0</v>
      </c>
      <c r="C4409" t="s">
        <v>14</v>
      </c>
      <c r="D4409">
        <v>7.8490000000000001E-3</v>
      </c>
      <c r="E4409">
        <f t="shared" si="136"/>
        <v>1.007849</v>
      </c>
      <c r="F4409" s="1">
        <f t="shared" si="137"/>
        <v>41841</v>
      </c>
      <c r="G4409" cm="1">
        <f t="array" ref="G4409">PRODUCT( _xlfn._xlws.FILTER($E:$E, ($C:$C=C4409)*($F:$F=F4409)) ) - 1</f>
        <v>2.12907741679218E-2</v>
      </c>
    </row>
    <row r="4410" spans="1:7" x14ac:dyDescent="0.2">
      <c r="A4410" s="1">
        <v>41843</v>
      </c>
      <c r="B4410">
        <v>0</v>
      </c>
      <c r="C4410" t="s">
        <v>14</v>
      </c>
      <c r="D4410">
        <v>1.3351E-2</v>
      </c>
      <c r="E4410">
        <f t="shared" si="136"/>
        <v>1.0133509999999999</v>
      </c>
      <c r="F4410" s="1">
        <f t="shared" si="137"/>
        <v>41841</v>
      </c>
      <c r="G4410" cm="1">
        <f t="array" ref="G4410">PRODUCT( _xlfn._xlws.FILTER($E:$E, ($C:$C=C4410)*($F:$F=F4410)) ) - 1</f>
        <v>2.12907741679218E-2</v>
      </c>
    </row>
    <row r="4411" spans="1:7" x14ac:dyDescent="0.2">
      <c r="A4411" s="1">
        <v>41844</v>
      </c>
      <c r="B4411">
        <v>0</v>
      </c>
      <c r="C4411" t="s">
        <v>14</v>
      </c>
      <c r="D4411">
        <v>-2.196E-3</v>
      </c>
      <c r="E4411">
        <f t="shared" si="136"/>
        <v>0.99780400000000002</v>
      </c>
      <c r="F4411" s="1">
        <f t="shared" si="137"/>
        <v>41841</v>
      </c>
      <c r="G4411" cm="1">
        <f t="array" ref="G4411">PRODUCT( _xlfn._xlws.FILTER($E:$E, ($C:$C=C4411)*($F:$F=F4411)) ) - 1</f>
        <v>2.12907741679218E-2</v>
      </c>
    </row>
    <row r="4412" spans="1:7" x14ac:dyDescent="0.2">
      <c r="A4412" s="1">
        <v>41845</v>
      </c>
      <c r="B4412">
        <v>0</v>
      </c>
      <c r="C4412" t="s">
        <v>14</v>
      </c>
      <c r="D4412">
        <v>2.8609999999999998E-3</v>
      </c>
      <c r="E4412">
        <f t="shared" si="136"/>
        <v>1.002861</v>
      </c>
      <c r="F4412" s="1">
        <f t="shared" si="137"/>
        <v>41841</v>
      </c>
      <c r="G4412" cm="1">
        <f t="array" ref="G4412">PRODUCT( _xlfn._xlws.FILTER($E:$E, ($C:$C=C4412)*($F:$F=F4412)) ) - 1</f>
        <v>2.12907741679218E-2</v>
      </c>
    </row>
    <row r="4413" spans="1:7" x14ac:dyDescent="0.2">
      <c r="A4413" s="1">
        <v>41848</v>
      </c>
      <c r="B4413">
        <v>0</v>
      </c>
      <c r="C4413" t="s">
        <v>14</v>
      </c>
      <c r="D4413">
        <v>-5.0470000000000003E-3</v>
      </c>
      <c r="E4413">
        <f t="shared" si="136"/>
        <v>0.99495299999999998</v>
      </c>
      <c r="F4413" s="1">
        <f t="shared" si="137"/>
        <v>41848</v>
      </c>
      <c r="G4413" cm="1">
        <f t="array" ref="G4413">PRODUCT( _xlfn._xlws.FILTER($E:$E, ($C:$C=C4413)*($F:$F=F4413)) ) - 1</f>
        <v>-4.6961224846386318E-2</v>
      </c>
    </row>
    <row r="4414" spans="1:7" x14ac:dyDescent="0.2">
      <c r="A4414" s="1">
        <v>41849</v>
      </c>
      <c r="B4414">
        <v>0</v>
      </c>
      <c r="C4414" t="s">
        <v>14</v>
      </c>
      <c r="D4414">
        <v>-4.8520000000000004E-3</v>
      </c>
      <c r="E4414">
        <f t="shared" si="136"/>
        <v>0.99514800000000003</v>
      </c>
      <c r="F4414" s="1">
        <f t="shared" si="137"/>
        <v>41848</v>
      </c>
      <c r="G4414" cm="1">
        <f t="array" ref="G4414">PRODUCT( _xlfn._xlws.FILTER($E:$E, ($C:$C=C4414)*($F:$F=F4414)) ) - 1</f>
        <v>-4.6961224846386318E-2</v>
      </c>
    </row>
    <row r="4415" spans="1:7" x14ac:dyDescent="0.2">
      <c r="A4415" s="1">
        <v>41850</v>
      </c>
      <c r="B4415">
        <v>0</v>
      </c>
      <c r="C4415" t="s">
        <v>14</v>
      </c>
      <c r="D4415">
        <v>1.4848999999999999E-2</v>
      </c>
      <c r="E4415">
        <f t="shared" si="136"/>
        <v>1.0148489999999999</v>
      </c>
      <c r="F4415" s="1">
        <f t="shared" si="137"/>
        <v>41848</v>
      </c>
      <c r="G4415" cm="1">
        <f t="array" ref="G4415">PRODUCT( _xlfn._xlws.FILTER($E:$E, ($C:$C=C4415)*($F:$F=F4415)) ) - 1</f>
        <v>-4.6961224846386318E-2</v>
      </c>
    </row>
    <row r="4416" spans="1:7" x14ac:dyDescent="0.2">
      <c r="A4416" s="1">
        <v>41851</v>
      </c>
      <c r="B4416">
        <v>0</v>
      </c>
      <c r="C4416" t="s">
        <v>14</v>
      </c>
      <c r="D4416">
        <v>-2.2276000000000001E-2</v>
      </c>
      <c r="E4416">
        <f t="shared" si="136"/>
        <v>0.97772400000000004</v>
      </c>
      <c r="F4416" s="1">
        <f t="shared" si="137"/>
        <v>41848</v>
      </c>
      <c r="G4416" cm="1">
        <f t="array" ref="G4416">PRODUCT( _xlfn._xlws.FILTER($E:$E, ($C:$C=C4416)*($F:$F=F4416)) ) - 1</f>
        <v>-4.6961224846386318E-2</v>
      </c>
    </row>
    <row r="4417" spans="1:7" x14ac:dyDescent="0.2">
      <c r="A4417" s="1">
        <v>41852</v>
      </c>
      <c r="B4417">
        <v>0</v>
      </c>
      <c r="C4417" t="s">
        <v>14</v>
      </c>
      <c r="D4417">
        <v>-2.9930999999999999E-2</v>
      </c>
      <c r="E4417">
        <f t="shared" si="136"/>
        <v>0.97006899999999996</v>
      </c>
      <c r="F4417" s="1">
        <f t="shared" si="137"/>
        <v>41848</v>
      </c>
      <c r="G4417" cm="1">
        <f t="array" ref="G4417">PRODUCT( _xlfn._xlws.FILTER($E:$E, ($C:$C=C4417)*($F:$F=F4417)) ) - 1</f>
        <v>-4.6961224846386318E-2</v>
      </c>
    </row>
    <row r="4418" spans="1:7" x14ac:dyDescent="0.2">
      <c r="A4418" s="1">
        <v>41856</v>
      </c>
      <c r="B4418">
        <v>0</v>
      </c>
      <c r="C4418" t="s">
        <v>14</v>
      </c>
      <c r="D4418">
        <v>-5.5259999999999997E-3</v>
      </c>
      <c r="E4418">
        <f t="shared" si="136"/>
        <v>0.99447399999999997</v>
      </c>
      <c r="F4418" s="1">
        <f t="shared" si="137"/>
        <v>41855</v>
      </c>
      <c r="G4418" cm="1">
        <f t="array" ref="G4418">PRODUCT( _xlfn._xlws.FILTER($E:$E, ($C:$C=C4418)*($F:$F=F4418)) ) - 1</f>
        <v>-9.9009098983823263E-3</v>
      </c>
    </row>
    <row r="4419" spans="1:7" x14ac:dyDescent="0.2">
      <c r="A4419" s="1">
        <v>41857</v>
      </c>
      <c r="B4419">
        <v>0</v>
      </c>
      <c r="C4419" t="s">
        <v>14</v>
      </c>
      <c r="D4419">
        <v>-7.4089999999999998E-3</v>
      </c>
      <c r="E4419">
        <f t="shared" si="136"/>
        <v>0.992591</v>
      </c>
      <c r="F4419" s="1">
        <f t="shared" si="137"/>
        <v>41855</v>
      </c>
      <c r="G4419" cm="1">
        <f t="array" ref="G4419">PRODUCT( _xlfn._xlws.FILTER($E:$E, ($C:$C=C4419)*($F:$F=F4419)) ) - 1</f>
        <v>-9.9009098983823263E-3</v>
      </c>
    </row>
    <row r="4420" spans="1:7" x14ac:dyDescent="0.2">
      <c r="A4420" s="1">
        <v>41858</v>
      </c>
      <c r="B4420">
        <v>0</v>
      </c>
      <c r="C4420" t="s">
        <v>14</v>
      </c>
      <c r="D4420">
        <v>-7.2309999999999996E-3</v>
      </c>
      <c r="E4420">
        <f t="shared" ref="E4420:E4483" si="138">D4420+1</f>
        <v>0.99276900000000001</v>
      </c>
      <c r="F4420" s="1">
        <f t="shared" ref="F4420:F4483" si="139">A4420 - (WEEKDAY(A4420, 2) - 1)</f>
        <v>41855</v>
      </c>
      <c r="G4420" cm="1">
        <f t="array" ref="G4420">PRODUCT( _xlfn._xlws.FILTER($E:$E, ($C:$C=C4420)*($F:$F=F4420)) ) - 1</f>
        <v>-9.9009098983823263E-3</v>
      </c>
    </row>
    <row r="4421" spans="1:7" x14ac:dyDescent="0.2">
      <c r="A4421" s="1">
        <v>41859</v>
      </c>
      <c r="B4421">
        <v>0</v>
      </c>
      <c r="C4421" t="s">
        <v>14</v>
      </c>
      <c r="D4421">
        <v>1.0338E-2</v>
      </c>
      <c r="E4421">
        <f t="shared" si="138"/>
        <v>1.010338</v>
      </c>
      <c r="F4421" s="1">
        <f t="shared" si="139"/>
        <v>41855</v>
      </c>
      <c r="G4421" cm="1">
        <f t="array" ref="G4421">PRODUCT( _xlfn._xlws.FILTER($E:$E, ($C:$C=C4421)*($F:$F=F4421)) ) - 1</f>
        <v>-9.9009098983823263E-3</v>
      </c>
    </row>
    <row r="4422" spans="1:7" x14ac:dyDescent="0.2">
      <c r="A4422" s="1">
        <v>41862</v>
      </c>
      <c r="B4422">
        <v>0</v>
      </c>
      <c r="C4422" t="s">
        <v>14</v>
      </c>
      <c r="D4422">
        <v>3.7209999999999999E-3</v>
      </c>
      <c r="E4422">
        <f t="shared" si="138"/>
        <v>1.0037210000000001</v>
      </c>
      <c r="F4422" s="1">
        <f t="shared" si="139"/>
        <v>41862</v>
      </c>
      <c r="G4422" cm="1">
        <f t="array" ref="G4422">PRODUCT( _xlfn._xlws.FILTER($E:$E, ($C:$C=C4422)*($F:$F=F4422)) ) - 1</f>
        <v>-1.3946403854977474E-3</v>
      </c>
    </row>
    <row r="4423" spans="1:7" x14ac:dyDescent="0.2">
      <c r="A4423" s="1">
        <v>41863</v>
      </c>
      <c r="B4423">
        <v>0</v>
      </c>
      <c r="C4423" t="s">
        <v>14</v>
      </c>
      <c r="D4423">
        <v>-1.4597000000000001E-2</v>
      </c>
      <c r="E4423">
        <f t="shared" si="138"/>
        <v>0.98540300000000003</v>
      </c>
      <c r="F4423" s="1">
        <f t="shared" si="139"/>
        <v>41862</v>
      </c>
      <c r="G4423" cm="1">
        <f t="array" ref="G4423">PRODUCT( _xlfn._xlws.FILTER($E:$E, ($C:$C=C4423)*($F:$F=F4423)) ) - 1</f>
        <v>-1.3946403854977474E-3</v>
      </c>
    </row>
    <row r="4424" spans="1:7" x14ac:dyDescent="0.2">
      <c r="A4424" s="1">
        <v>41864</v>
      </c>
      <c r="B4424">
        <v>0</v>
      </c>
      <c r="C4424" t="s">
        <v>14</v>
      </c>
      <c r="D4424">
        <v>-8.2290000000000002E-3</v>
      </c>
      <c r="E4424">
        <f t="shared" si="138"/>
        <v>0.99177099999999996</v>
      </c>
      <c r="F4424" s="1">
        <f t="shared" si="139"/>
        <v>41862</v>
      </c>
      <c r="G4424" cm="1">
        <f t="array" ref="G4424">PRODUCT( _xlfn._xlws.FILTER($E:$E, ($C:$C=C4424)*($F:$F=F4424)) ) - 1</f>
        <v>-1.3946403854977474E-3</v>
      </c>
    </row>
    <row r="4425" spans="1:7" x14ac:dyDescent="0.2">
      <c r="A4425" s="1">
        <v>41865</v>
      </c>
      <c r="B4425">
        <v>0</v>
      </c>
      <c r="C4425" t="s">
        <v>14</v>
      </c>
      <c r="D4425">
        <v>-5.6899999999999997E-3</v>
      </c>
      <c r="E4425">
        <f t="shared" si="138"/>
        <v>0.99431000000000003</v>
      </c>
      <c r="F4425" s="1">
        <f t="shared" si="139"/>
        <v>41862</v>
      </c>
      <c r="G4425" cm="1">
        <f t="array" ref="G4425">PRODUCT( _xlfn._xlws.FILTER($E:$E, ($C:$C=C4425)*($F:$F=F4425)) ) - 1</f>
        <v>-1.3946403854977474E-3</v>
      </c>
    </row>
    <row r="4426" spans="1:7" x14ac:dyDescent="0.2">
      <c r="A4426" s="1">
        <v>41866</v>
      </c>
      <c r="B4426">
        <v>0</v>
      </c>
      <c r="C4426" t="s">
        <v>14</v>
      </c>
      <c r="D4426">
        <v>2.3844000000000001E-2</v>
      </c>
      <c r="E4426">
        <f t="shared" si="138"/>
        <v>1.023844</v>
      </c>
      <c r="F4426" s="1">
        <f t="shared" si="139"/>
        <v>41862</v>
      </c>
      <c r="G4426" cm="1">
        <f t="array" ref="G4426">PRODUCT( _xlfn._xlws.FILTER($E:$E, ($C:$C=C4426)*($F:$F=F4426)) ) - 1</f>
        <v>-1.3946403854977474E-3</v>
      </c>
    </row>
    <row r="4427" spans="1:7" x14ac:dyDescent="0.2">
      <c r="A4427" s="1">
        <v>41869</v>
      </c>
      <c r="B4427">
        <v>0</v>
      </c>
      <c r="C4427" t="s">
        <v>14</v>
      </c>
      <c r="D4427">
        <v>-5.8219999999999999E-3</v>
      </c>
      <c r="E4427">
        <f t="shared" si="138"/>
        <v>0.99417800000000001</v>
      </c>
      <c r="F4427" s="1">
        <f t="shared" si="139"/>
        <v>41869</v>
      </c>
      <c r="G4427" cm="1">
        <f t="array" ref="G4427">PRODUCT( _xlfn._xlws.FILTER($E:$E, ($C:$C=C4427)*($F:$F=F4427)) ) - 1</f>
        <v>2.3753956906755525E-2</v>
      </c>
    </row>
    <row r="4428" spans="1:7" x14ac:dyDescent="0.2">
      <c r="A4428" s="1">
        <v>41870</v>
      </c>
      <c r="B4428">
        <v>0</v>
      </c>
      <c r="C4428" t="s">
        <v>14</v>
      </c>
      <c r="D4428">
        <v>1.2884E-2</v>
      </c>
      <c r="E4428">
        <f t="shared" si="138"/>
        <v>1.0128839999999999</v>
      </c>
      <c r="F4428" s="1">
        <f t="shared" si="139"/>
        <v>41869</v>
      </c>
      <c r="G4428" cm="1">
        <f t="array" ref="G4428">PRODUCT( _xlfn._xlws.FILTER($E:$E, ($C:$C=C4428)*($F:$F=F4428)) ) - 1</f>
        <v>2.3753956906755525E-2</v>
      </c>
    </row>
    <row r="4429" spans="1:7" x14ac:dyDescent="0.2">
      <c r="A4429" s="1">
        <v>41871</v>
      </c>
      <c r="B4429">
        <v>0</v>
      </c>
      <c r="C4429" t="s">
        <v>14</v>
      </c>
      <c r="D4429">
        <v>9.7129999999999994E-3</v>
      </c>
      <c r="E4429">
        <f t="shared" si="138"/>
        <v>1.0097130000000001</v>
      </c>
      <c r="F4429" s="1">
        <f t="shared" si="139"/>
        <v>41869</v>
      </c>
      <c r="G4429" cm="1">
        <f t="array" ref="G4429">PRODUCT( _xlfn._xlws.FILTER($E:$E, ($C:$C=C4429)*($F:$F=F4429)) ) - 1</f>
        <v>2.3753956906755525E-2</v>
      </c>
    </row>
    <row r="4430" spans="1:7" x14ac:dyDescent="0.2">
      <c r="A4430" s="1">
        <v>41872</v>
      </c>
      <c r="B4430">
        <v>0</v>
      </c>
      <c r="C4430" t="s">
        <v>14</v>
      </c>
      <c r="D4430">
        <v>2.0609999999999999E-3</v>
      </c>
      <c r="E4430">
        <f t="shared" si="138"/>
        <v>1.0020610000000001</v>
      </c>
      <c r="F4430" s="1">
        <f t="shared" si="139"/>
        <v>41869</v>
      </c>
      <c r="G4430" cm="1">
        <f t="array" ref="G4430">PRODUCT( _xlfn._xlws.FILTER($E:$E, ($C:$C=C4430)*($F:$F=F4430)) ) - 1</f>
        <v>2.3753956906755525E-2</v>
      </c>
    </row>
    <row r="4431" spans="1:7" x14ac:dyDescent="0.2">
      <c r="A4431" s="1">
        <v>41873</v>
      </c>
      <c r="B4431">
        <v>0</v>
      </c>
      <c r="C4431" t="s">
        <v>14</v>
      </c>
      <c r="D4431">
        <v>4.7999999999999996E-3</v>
      </c>
      <c r="E4431">
        <f t="shared" si="138"/>
        <v>1.0047999999999999</v>
      </c>
      <c r="F4431" s="1">
        <f t="shared" si="139"/>
        <v>41869</v>
      </c>
      <c r="G4431" cm="1">
        <f t="array" ref="G4431">PRODUCT( _xlfn._xlws.FILTER($E:$E, ($C:$C=C4431)*($F:$F=F4431)) ) - 1</f>
        <v>2.3753956906755525E-2</v>
      </c>
    </row>
    <row r="4432" spans="1:7" x14ac:dyDescent="0.2">
      <c r="A4432" s="1">
        <v>41876</v>
      </c>
      <c r="B4432">
        <v>0</v>
      </c>
      <c r="C4432" t="s">
        <v>14</v>
      </c>
      <c r="D4432">
        <v>7.7340000000000004E-3</v>
      </c>
      <c r="E4432">
        <f t="shared" si="138"/>
        <v>1.0077339999999999</v>
      </c>
      <c r="F4432" s="1">
        <f t="shared" si="139"/>
        <v>41876</v>
      </c>
      <c r="G4432" cm="1">
        <f t="array" ref="G4432">PRODUCT( _xlfn._xlws.FILTER($E:$E, ($C:$C=C4432)*($F:$F=F4432)) ) - 1</f>
        <v>1.5923612989303226E-2</v>
      </c>
    </row>
    <row r="4433" spans="1:7" x14ac:dyDescent="0.2">
      <c r="A4433" s="1">
        <v>41877</v>
      </c>
      <c r="B4433">
        <v>0</v>
      </c>
      <c r="C4433" t="s">
        <v>14</v>
      </c>
      <c r="D4433">
        <v>-2.709E-3</v>
      </c>
      <c r="E4433">
        <f t="shared" si="138"/>
        <v>0.99729100000000004</v>
      </c>
      <c r="F4433" s="1">
        <f t="shared" si="139"/>
        <v>41876</v>
      </c>
      <c r="G4433" cm="1">
        <f t="array" ref="G4433">PRODUCT( _xlfn._xlws.FILTER($E:$E, ($C:$C=C4433)*($F:$F=F4433)) ) - 1</f>
        <v>1.5923612989303226E-2</v>
      </c>
    </row>
    <row r="4434" spans="1:7" x14ac:dyDescent="0.2">
      <c r="A4434" s="1">
        <v>41878</v>
      </c>
      <c r="B4434">
        <v>0</v>
      </c>
      <c r="C4434" t="s">
        <v>14</v>
      </c>
      <c r="D4434">
        <v>4.5300000000000001E-4</v>
      </c>
      <c r="E4434">
        <f t="shared" si="138"/>
        <v>1.000453</v>
      </c>
      <c r="F4434" s="1">
        <f t="shared" si="139"/>
        <v>41876</v>
      </c>
      <c r="G4434" cm="1">
        <f t="array" ref="G4434">PRODUCT( _xlfn._xlws.FILTER($E:$E, ($C:$C=C4434)*($F:$F=F4434)) ) - 1</f>
        <v>1.5923612989303226E-2</v>
      </c>
    </row>
    <row r="4435" spans="1:7" x14ac:dyDescent="0.2">
      <c r="A4435" s="1">
        <v>41879</v>
      </c>
      <c r="B4435">
        <v>0</v>
      </c>
      <c r="C4435" t="s">
        <v>14</v>
      </c>
      <c r="D4435">
        <v>1.1310000000000001E-3</v>
      </c>
      <c r="E4435">
        <f t="shared" si="138"/>
        <v>1.001131</v>
      </c>
      <c r="F4435" s="1">
        <f t="shared" si="139"/>
        <v>41876</v>
      </c>
      <c r="G4435" cm="1">
        <f t="array" ref="G4435">PRODUCT( _xlfn._xlws.FILTER($E:$E, ($C:$C=C4435)*($F:$F=F4435)) ) - 1</f>
        <v>1.5923612989303226E-2</v>
      </c>
    </row>
    <row r="4436" spans="1:7" x14ac:dyDescent="0.2">
      <c r="A4436" s="1">
        <v>41880</v>
      </c>
      <c r="B4436">
        <v>0</v>
      </c>
      <c r="C4436" t="s">
        <v>14</v>
      </c>
      <c r="D4436">
        <v>9.2659999999999999E-3</v>
      </c>
      <c r="E4436">
        <f t="shared" si="138"/>
        <v>1.009266</v>
      </c>
      <c r="F4436" s="1">
        <f t="shared" si="139"/>
        <v>41876</v>
      </c>
      <c r="G4436" cm="1">
        <f t="array" ref="G4436">PRODUCT( _xlfn._xlws.FILTER($E:$E, ($C:$C=C4436)*($F:$F=F4436)) ) - 1</f>
        <v>1.5923612989303226E-2</v>
      </c>
    </row>
    <row r="4437" spans="1:7" x14ac:dyDescent="0.2">
      <c r="A4437" s="1">
        <v>41884</v>
      </c>
      <c r="B4437">
        <v>0</v>
      </c>
      <c r="C4437" t="s">
        <v>14</v>
      </c>
      <c r="D4437">
        <v>-1.6345999999999999E-2</v>
      </c>
      <c r="E4437">
        <f t="shared" si="138"/>
        <v>0.98365400000000003</v>
      </c>
      <c r="F4437" s="1">
        <f t="shared" si="139"/>
        <v>41883</v>
      </c>
      <c r="G4437" cm="1">
        <f t="array" ref="G4437">PRODUCT( _xlfn._xlws.FILTER($E:$E, ($C:$C=C4437)*($F:$F=F4437)) ) - 1</f>
        <v>-5.7552247373101606E-3</v>
      </c>
    </row>
    <row r="4438" spans="1:7" x14ac:dyDescent="0.2">
      <c r="A4438" s="1">
        <v>41885</v>
      </c>
      <c r="B4438">
        <v>0</v>
      </c>
      <c r="C4438" t="s">
        <v>14</v>
      </c>
      <c r="D4438">
        <v>1.0538E-2</v>
      </c>
      <c r="E4438">
        <f t="shared" si="138"/>
        <v>1.0105379999999999</v>
      </c>
      <c r="F4438" s="1">
        <f t="shared" si="139"/>
        <v>41883</v>
      </c>
      <c r="G4438" cm="1">
        <f t="array" ref="G4438">PRODUCT( _xlfn._xlws.FILTER($E:$E, ($C:$C=C4438)*($F:$F=F4438)) ) - 1</f>
        <v>-5.7552247373101606E-3</v>
      </c>
    </row>
    <row r="4439" spans="1:7" x14ac:dyDescent="0.2">
      <c r="A4439" s="1">
        <v>41886</v>
      </c>
      <c r="B4439">
        <v>0</v>
      </c>
      <c r="C4439" t="s">
        <v>14</v>
      </c>
      <c r="D4439">
        <v>-6.8000000000000005E-4</v>
      </c>
      <c r="E4439">
        <f t="shared" si="138"/>
        <v>0.99931999999999999</v>
      </c>
      <c r="F4439" s="1">
        <f t="shared" si="139"/>
        <v>41883</v>
      </c>
      <c r="G4439" cm="1">
        <f t="array" ref="G4439">PRODUCT( _xlfn._xlws.FILTER($E:$E, ($C:$C=C4439)*($F:$F=F4439)) ) - 1</f>
        <v>-5.7552247373101606E-3</v>
      </c>
    </row>
    <row r="4440" spans="1:7" x14ac:dyDescent="0.2">
      <c r="A4440" s="1">
        <v>41887</v>
      </c>
      <c r="B4440">
        <v>0</v>
      </c>
      <c r="C4440" t="s">
        <v>14</v>
      </c>
      <c r="D4440">
        <v>9.0700000000000004E-4</v>
      </c>
      <c r="E4440">
        <f t="shared" si="138"/>
        <v>1.000907</v>
      </c>
      <c r="F4440" s="1">
        <f t="shared" si="139"/>
        <v>41883</v>
      </c>
      <c r="G4440" cm="1">
        <f t="array" ref="G4440">PRODUCT( _xlfn._xlws.FILTER($E:$E, ($C:$C=C4440)*($F:$F=F4440)) ) - 1</f>
        <v>-5.7552247373101606E-3</v>
      </c>
    </row>
    <row r="4441" spans="1:7" x14ac:dyDescent="0.2">
      <c r="A4441" s="1">
        <v>41890</v>
      </c>
      <c r="B4441">
        <v>0</v>
      </c>
      <c r="C4441" t="s">
        <v>14</v>
      </c>
      <c r="D4441">
        <v>-1.3146E-2</v>
      </c>
      <c r="E4441">
        <f t="shared" si="138"/>
        <v>0.98685400000000001</v>
      </c>
      <c r="F4441" s="1">
        <f t="shared" si="139"/>
        <v>41890</v>
      </c>
      <c r="G4441" cm="1">
        <f t="array" ref="G4441">PRODUCT( _xlfn._xlws.FILTER($E:$E, ($C:$C=C4441)*($F:$F=F4441)) ) - 1</f>
        <v>-2.7197324506337273E-2</v>
      </c>
    </row>
    <row r="4442" spans="1:7" x14ac:dyDescent="0.2">
      <c r="A4442" s="1">
        <v>41891</v>
      </c>
      <c r="B4442">
        <v>0</v>
      </c>
      <c r="C4442" t="s">
        <v>14</v>
      </c>
      <c r="D4442">
        <v>2.9859999999999999E-3</v>
      </c>
      <c r="E4442">
        <f t="shared" si="138"/>
        <v>1.0029859999999999</v>
      </c>
      <c r="F4442" s="1">
        <f t="shared" si="139"/>
        <v>41890</v>
      </c>
      <c r="G4442" cm="1">
        <f t="array" ref="G4442">PRODUCT( _xlfn._xlws.FILTER($E:$E, ($C:$C=C4442)*($F:$F=F4442)) ) - 1</f>
        <v>-2.7197324506337273E-2</v>
      </c>
    </row>
    <row r="4443" spans="1:7" x14ac:dyDescent="0.2">
      <c r="A4443" s="1">
        <v>41892</v>
      </c>
      <c r="B4443">
        <v>0</v>
      </c>
      <c r="C4443" t="s">
        <v>14</v>
      </c>
      <c r="D4443">
        <v>-1.1220000000000001E-2</v>
      </c>
      <c r="E4443">
        <f t="shared" si="138"/>
        <v>0.98877999999999999</v>
      </c>
      <c r="F4443" s="1">
        <f t="shared" si="139"/>
        <v>41890</v>
      </c>
      <c r="G4443" cm="1">
        <f t="array" ref="G4443">PRODUCT( _xlfn._xlws.FILTER($E:$E, ($C:$C=C4443)*($F:$F=F4443)) ) - 1</f>
        <v>-2.7197324506337273E-2</v>
      </c>
    </row>
    <row r="4444" spans="1:7" x14ac:dyDescent="0.2">
      <c r="A4444" s="1">
        <v>41893</v>
      </c>
      <c r="B4444">
        <v>0</v>
      </c>
      <c r="C4444" t="s">
        <v>14</v>
      </c>
      <c r="D4444">
        <v>2.5479999999999999E-3</v>
      </c>
      <c r="E4444">
        <f t="shared" si="138"/>
        <v>1.002548</v>
      </c>
      <c r="F4444" s="1">
        <f t="shared" si="139"/>
        <v>41890</v>
      </c>
      <c r="G4444" cm="1">
        <f t="array" ref="G4444">PRODUCT( _xlfn._xlws.FILTER($E:$E, ($C:$C=C4444)*($F:$F=F4444)) ) - 1</f>
        <v>-2.7197324506337273E-2</v>
      </c>
    </row>
    <row r="4445" spans="1:7" x14ac:dyDescent="0.2">
      <c r="A4445" s="1">
        <v>41894</v>
      </c>
      <c r="B4445">
        <v>0</v>
      </c>
      <c r="C4445" t="s">
        <v>14</v>
      </c>
      <c r="D4445">
        <v>-8.5470000000000008E-3</v>
      </c>
      <c r="E4445">
        <f t="shared" si="138"/>
        <v>0.99145300000000003</v>
      </c>
      <c r="F4445" s="1">
        <f t="shared" si="139"/>
        <v>41890</v>
      </c>
      <c r="G4445" cm="1">
        <f t="array" ref="G4445">PRODUCT( _xlfn._xlws.FILTER($E:$E, ($C:$C=C4445)*($F:$F=F4445)) ) - 1</f>
        <v>-2.7197324506337273E-2</v>
      </c>
    </row>
    <row r="4446" spans="1:7" x14ac:dyDescent="0.2">
      <c r="A4446" s="1">
        <v>41897</v>
      </c>
      <c r="B4446">
        <v>0</v>
      </c>
      <c r="C4446" t="s">
        <v>14</v>
      </c>
      <c r="D4446">
        <v>3.4949999999999998E-3</v>
      </c>
      <c r="E4446">
        <f t="shared" si="138"/>
        <v>1.003495</v>
      </c>
      <c r="F4446" s="1">
        <f t="shared" si="139"/>
        <v>41897</v>
      </c>
      <c r="G4446" cm="1">
        <f t="array" ref="G4446">PRODUCT( _xlfn._xlws.FILTER($E:$E, ($C:$C=C4446)*($F:$F=F4446)) ) - 1</f>
        <v>-2.1668217888756391E-2</v>
      </c>
    </row>
    <row r="4447" spans="1:7" x14ac:dyDescent="0.2">
      <c r="A4447" s="1">
        <v>41898</v>
      </c>
      <c r="B4447">
        <v>0</v>
      </c>
      <c r="C4447" t="s">
        <v>14</v>
      </c>
      <c r="D4447">
        <v>9.2870000000000001E-3</v>
      </c>
      <c r="E4447">
        <f t="shared" si="138"/>
        <v>1.009287</v>
      </c>
      <c r="F4447" s="1">
        <f t="shared" si="139"/>
        <v>41897</v>
      </c>
      <c r="G4447" cm="1">
        <f t="array" ref="G4447">PRODUCT( _xlfn._xlws.FILTER($E:$E, ($C:$C=C4447)*($F:$F=F4447)) ) - 1</f>
        <v>-2.1668217888756391E-2</v>
      </c>
    </row>
    <row r="4448" spans="1:7" x14ac:dyDescent="0.2">
      <c r="A4448" s="1">
        <v>41899</v>
      </c>
      <c r="B4448">
        <v>0</v>
      </c>
      <c r="C4448" t="s">
        <v>14</v>
      </c>
      <c r="D4448">
        <v>-9.8919999999999998E-3</v>
      </c>
      <c r="E4448">
        <f t="shared" si="138"/>
        <v>0.99010799999999999</v>
      </c>
      <c r="F4448" s="1">
        <f t="shared" si="139"/>
        <v>41897</v>
      </c>
      <c r="G4448" cm="1">
        <f t="array" ref="G4448">PRODUCT( _xlfn._xlws.FILTER($E:$E, ($C:$C=C4448)*($F:$F=F4448)) ) - 1</f>
        <v>-2.1668217888756391E-2</v>
      </c>
    </row>
    <row r="4449" spans="1:7" x14ac:dyDescent="0.2">
      <c r="A4449" s="1">
        <v>41900</v>
      </c>
      <c r="B4449">
        <v>0</v>
      </c>
      <c r="C4449" t="s">
        <v>14</v>
      </c>
      <c r="D4449">
        <v>2.32E-4</v>
      </c>
      <c r="E4449">
        <f t="shared" si="138"/>
        <v>1.000232</v>
      </c>
      <c r="F4449" s="1">
        <f t="shared" si="139"/>
        <v>41897</v>
      </c>
      <c r="G4449" cm="1">
        <f t="array" ref="G4449">PRODUCT( _xlfn._xlws.FILTER($E:$E, ($C:$C=C4449)*($F:$F=F4449)) ) - 1</f>
        <v>-2.1668217888756391E-2</v>
      </c>
    </row>
    <row r="4450" spans="1:7" x14ac:dyDescent="0.2">
      <c r="A4450" s="1">
        <v>41901</v>
      </c>
      <c r="B4450">
        <v>0</v>
      </c>
      <c r="C4450" t="s">
        <v>14</v>
      </c>
      <c r="D4450">
        <v>-2.4622000000000002E-2</v>
      </c>
      <c r="E4450">
        <f t="shared" si="138"/>
        <v>0.97537799999999997</v>
      </c>
      <c r="F4450" s="1">
        <f t="shared" si="139"/>
        <v>41897</v>
      </c>
      <c r="G4450" cm="1">
        <f t="array" ref="G4450">PRODUCT( _xlfn._xlws.FILTER($E:$E, ($C:$C=C4450)*($F:$F=F4450)) ) - 1</f>
        <v>-2.1668217888756391E-2</v>
      </c>
    </row>
    <row r="4451" spans="1:7" x14ac:dyDescent="0.2">
      <c r="A4451" s="1">
        <v>41904</v>
      </c>
      <c r="B4451">
        <v>0</v>
      </c>
      <c r="C4451" t="s">
        <v>14</v>
      </c>
      <c r="D4451">
        <v>-1.5717999999999999E-2</v>
      </c>
      <c r="E4451">
        <f t="shared" si="138"/>
        <v>0.98428199999999999</v>
      </c>
      <c r="F4451" s="1">
        <f t="shared" si="139"/>
        <v>41904</v>
      </c>
      <c r="G4451" cm="1">
        <f t="array" ref="G4451">PRODUCT( _xlfn._xlws.FILTER($E:$E, ($C:$C=C4451)*($F:$F=F4451)) ) - 1</f>
        <v>-3.0960601677401334E-2</v>
      </c>
    </row>
    <row r="4452" spans="1:7" x14ac:dyDescent="0.2">
      <c r="A4452" s="1">
        <v>41905</v>
      </c>
      <c r="B4452">
        <v>0</v>
      </c>
      <c r="C4452" t="s">
        <v>14</v>
      </c>
      <c r="D4452">
        <v>-2.1779999999999998E-3</v>
      </c>
      <c r="E4452">
        <f t="shared" si="138"/>
        <v>0.99782199999999999</v>
      </c>
      <c r="F4452" s="1">
        <f t="shared" si="139"/>
        <v>41904</v>
      </c>
      <c r="G4452" cm="1">
        <f t="array" ref="G4452">PRODUCT( _xlfn._xlws.FILTER($E:$E, ($C:$C=C4452)*($F:$F=F4452)) ) - 1</f>
        <v>-3.0960601677401334E-2</v>
      </c>
    </row>
    <row r="4453" spans="1:7" x14ac:dyDescent="0.2">
      <c r="A4453" s="1">
        <v>41906</v>
      </c>
      <c r="B4453">
        <v>0</v>
      </c>
      <c r="C4453" t="s">
        <v>14</v>
      </c>
      <c r="D4453">
        <v>-9.4570000000000001E-3</v>
      </c>
      <c r="E4453">
        <f t="shared" si="138"/>
        <v>0.99054299999999995</v>
      </c>
      <c r="F4453" s="1">
        <f t="shared" si="139"/>
        <v>41904</v>
      </c>
      <c r="G4453" cm="1">
        <f t="array" ref="G4453">PRODUCT( _xlfn._xlws.FILTER($E:$E, ($C:$C=C4453)*($F:$F=F4453)) ) - 1</f>
        <v>-3.0960601677401334E-2</v>
      </c>
    </row>
    <row r="4454" spans="1:7" x14ac:dyDescent="0.2">
      <c r="A4454" s="1">
        <v>41907</v>
      </c>
      <c r="B4454">
        <v>0</v>
      </c>
      <c r="C4454" t="s">
        <v>14</v>
      </c>
      <c r="D4454">
        <v>-1.3709000000000001E-2</v>
      </c>
      <c r="E4454">
        <f t="shared" si="138"/>
        <v>0.98629100000000003</v>
      </c>
      <c r="F4454" s="1">
        <f t="shared" si="139"/>
        <v>41904</v>
      </c>
      <c r="G4454" cm="1">
        <f t="array" ref="G4454">PRODUCT( _xlfn._xlws.FILTER($E:$E, ($C:$C=C4454)*($F:$F=F4454)) ) - 1</f>
        <v>-3.0960601677401334E-2</v>
      </c>
    </row>
    <row r="4455" spans="1:7" x14ac:dyDescent="0.2">
      <c r="A4455" s="1">
        <v>41908</v>
      </c>
      <c r="B4455">
        <v>0</v>
      </c>
      <c r="C4455" t="s">
        <v>14</v>
      </c>
      <c r="D4455">
        <v>9.9279999999999993E-3</v>
      </c>
      <c r="E4455">
        <f t="shared" si="138"/>
        <v>1.0099279999999999</v>
      </c>
      <c r="F4455" s="1">
        <f t="shared" si="139"/>
        <v>41904</v>
      </c>
      <c r="G4455" cm="1">
        <f t="array" ref="G4455">PRODUCT( _xlfn._xlws.FILTER($E:$E, ($C:$C=C4455)*($F:$F=F4455)) ) - 1</f>
        <v>-3.0960601677401334E-2</v>
      </c>
    </row>
    <row r="4456" spans="1:7" x14ac:dyDescent="0.2">
      <c r="A4456" s="1">
        <v>41911</v>
      </c>
      <c r="B4456">
        <v>0</v>
      </c>
      <c r="C4456" t="s">
        <v>14</v>
      </c>
      <c r="D4456">
        <v>-1.1305000000000001E-2</v>
      </c>
      <c r="E4456">
        <f t="shared" si="138"/>
        <v>0.98869499999999999</v>
      </c>
      <c r="F4456" s="1">
        <f t="shared" si="139"/>
        <v>41911</v>
      </c>
      <c r="G4456" cm="1">
        <f t="array" ref="G4456">PRODUCT( _xlfn._xlws.FILTER($E:$E, ($C:$C=C4456)*($F:$F=F4456)) ) - 1</f>
        <v>-2.064325726036198E-2</v>
      </c>
    </row>
    <row r="4457" spans="1:7" x14ac:dyDescent="0.2">
      <c r="A4457" s="1">
        <v>41912</v>
      </c>
      <c r="B4457">
        <v>0</v>
      </c>
      <c r="C4457" t="s">
        <v>14</v>
      </c>
      <c r="D4457">
        <v>7.4570000000000001E-3</v>
      </c>
      <c r="E4457">
        <f t="shared" si="138"/>
        <v>1.007457</v>
      </c>
      <c r="F4457" s="1">
        <f t="shared" si="139"/>
        <v>41911</v>
      </c>
      <c r="G4457" cm="1">
        <f t="array" ref="G4457">PRODUCT( _xlfn._xlws.FILTER($E:$E, ($C:$C=C4457)*($F:$F=F4457)) ) - 1</f>
        <v>-2.064325726036198E-2</v>
      </c>
    </row>
    <row r="4458" spans="1:7" x14ac:dyDescent="0.2">
      <c r="A4458" s="1">
        <v>41913</v>
      </c>
      <c r="B4458">
        <v>0</v>
      </c>
      <c r="C4458" t="s">
        <v>14</v>
      </c>
      <c r="D4458">
        <v>-1.2583E-2</v>
      </c>
      <c r="E4458">
        <f t="shared" si="138"/>
        <v>0.98741699999999999</v>
      </c>
      <c r="F4458" s="1">
        <f t="shared" si="139"/>
        <v>41911</v>
      </c>
      <c r="G4458" cm="1">
        <f t="array" ref="G4458">PRODUCT( _xlfn._xlws.FILTER($E:$E, ($C:$C=C4458)*($F:$F=F4458)) ) - 1</f>
        <v>-2.064325726036198E-2</v>
      </c>
    </row>
    <row r="4459" spans="1:7" x14ac:dyDescent="0.2">
      <c r="A4459" s="1">
        <v>41914</v>
      </c>
      <c r="B4459">
        <v>0</v>
      </c>
      <c r="C4459" t="s">
        <v>14</v>
      </c>
      <c r="D4459">
        <v>5.0000000000000001E-4</v>
      </c>
      <c r="E4459">
        <f t="shared" si="138"/>
        <v>1.0004999999999999</v>
      </c>
      <c r="F4459" s="1">
        <f t="shared" si="139"/>
        <v>41911</v>
      </c>
      <c r="G4459" cm="1">
        <f t="array" ref="G4459">PRODUCT( _xlfn._xlws.FILTER($E:$E, ($C:$C=C4459)*($F:$F=F4459)) ) - 1</f>
        <v>-2.064325726036198E-2</v>
      </c>
    </row>
    <row r="4460" spans="1:7" x14ac:dyDescent="0.2">
      <c r="A4460" s="1">
        <v>41915</v>
      </c>
      <c r="B4460">
        <v>0</v>
      </c>
      <c r="C4460" t="s">
        <v>14</v>
      </c>
      <c r="D4460">
        <v>-4.7450000000000001E-3</v>
      </c>
      <c r="E4460">
        <f t="shared" si="138"/>
        <v>0.995255</v>
      </c>
      <c r="F4460" s="1">
        <f t="shared" si="139"/>
        <v>41911</v>
      </c>
      <c r="G4460" cm="1">
        <f t="array" ref="G4460">PRODUCT( _xlfn._xlws.FILTER($E:$E, ($C:$C=C4460)*($F:$F=F4460)) ) - 1</f>
        <v>-2.064325726036198E-2</v>
      </c>
    </row>
    <row r="4461" spans="1:7" x14ac:dyDescent="0.2">
      <c r="A4461" s="1">
        <v>41918</v>
      </c>
      <c r="B4461">
        <v>0</v>
      </c>
      <c r="C4461" t="s">
        <v>14</v>
      </c>
      <c r="D4461">
        <v>-7.528E-3</v>
      </c>
      <c r="E4461">
        <f t="shared" si="138"/>
        <v>0.99247200000000002</v>
      </c>
      <c r="F4461" s="1">
        <f t="shared" si="139"/>
        <v>41918</v>
      </c>
      <c r="G4461" cm="1">
        <f t="array" ref="G4461">PRODUCT( _xlfn._xlws.FILTER($E:$E, ($C:$C=C4461)*($F:$F=F4461)) ) - 1</f>
        <v>-8.0050604526114566E-2</v>
      </c>
    </row>
    <row r="4462" spans="1:7" x14ac:dyDescent="0.2">
      <c r="A4462" s="1">
        <v>41919</v>
      </c>
      <c r="B4462">
        <v>0</v>
      </c>
      <c r="C4462" t="s">
        <v>14</v>
      </c>
      <c r="D4462">
        <v>-2.579E-2</v>
      </c>
      <c r="E4462">
        <f t="shared" si="138"/>
        <v>0.97421000000000002</v>
      </c>
      <c r="F4462" s="1">
        <f t="shared" si="139"/>
        <v>41918</v>
      </c>
      <c r="G4462" cm="1">
        <f t="array" ref="G4462">PRODUCT( _xlfn._xlws.FILTER($E:$E, ($C:$C=C4462)*($F:$F=F4462)) ) - 1</f>
        <v>-8.0050604526114566E-2</v>
      </c>
    </row>
    <row r="4463" spans="1:7" x14ac:dyDescent="0.2">
      <c r="A4463" s="1">
        <v>41920</v>
      </c>
      <c r="B4463">
        <v>0</v>
      </c>
      <c r="C4463" t="s">
        <v>14</v>
      </c>
      <c r="D4463">
        <v>-7.5269999999999998E-3</v>
      </c>
      <c r="E4463">
        <f t="shared" si="138"/>
        <v>0.99247300000000005</v>
      </c>
      <c r="F4463" s="1">
        <f t="shared" si="139"/>
        <v>41918</v>
      </c>
      <c r="G4463" cm="1">
        <f t="array" ref="G4463">PRODUCT( _xlfn._xlws.FILTER($E:$E, ($C:$C=C4463)*($F:$F=F4463)) ) - 1</f>
        <v>-8.0050604526114566E-2</v>
      </c>
    </row>
    <row r="4464" spans="1:7" x14ac:dyDescent="0.2">
      <c r="A4464" s="1">
        <v>41921</v>
      </c>
      <c r="B4464">
        <v>0</v>
      </c>
      <c r="C4464" t="s">
        <v>14</v>
      </c>
      <c r="D4464">
        <v>-1.9089999999999999E-2</v>
      </c>
      <c r="E4464">
        <f t="shared" si="138"/>
        <v>0.98090999999999995</v>
      </c>
      <c r="F4464" s="1">
        <f t="shared" si="139"/>
        <v>41918</v>
      </c>
      <c r="G4464" cm="1">
        <f t="array" ref="G4464">PRODUCT( _xlfn._xlws.FILTER($E:$E, ($C:$C=C4464)*($F:$F=F4464)) ) - 1</f>
        <v>-8.0050604526114566E-2</v>
      </c>
    </row>
    <row r="4465" spans="1:7" x14ac:dyDescent="0.2">
      <c r="A4465" s="1">
        <v>41922</v>
      </c>
      <c r="B4465">
        <v>0</v>
      </c>
      <c r="C4465" t="s">
        <v>14</v>
      </c>
      <c r="D4465">
        <v>-2.2661000000000001E-2</v>
      </c>
      <c r="E4465">
        <f t="shared" si="138"/>
        <v>0.97733899999999996</v>
      </c>
      <c r="F4465" s="1">
        <f t="shared" si="139"/>
        <v>41918</v>
      </c>
      <c r="G4465" cm="1">
        <f t="array" ref="G4465">PRODUCT( _xlfn._xlws.FILTER($E:$E, ($C:$C=C4465)*($F:$F=F4465)) ) - 1</f>
        <v>-8.0050604526114566E-2</v>
      </c>
    </row>
    <row r="4466" spans="1:7" x14ac:dyDescent="0.2">
      <c r="A4466" s="1">
        <v>41926</v>
      </c>
      <c r="B4466">
        <v>0</v>
      </c>
      <c r="C4466" t="s">
        <v>14</v>
      </c>
      <c r="D4466">
        <v>-1.5276E-2</v>
      </c>
      <c r="E4466">
        <f t="shared" si="138"/>
        <v>0.98472400000000004</v>
      </c>
      <c r="F4466" s="1">
        <f t="shared" si="139"/>
        <v>41925</v>
      </c>
      <c r="G4466" cm="1">
        <f t="array" ref="G4466">PRODUCT( _xlfn._xlws.FILTER($E:$E, ($C:$C=C4466)*($F:$F=F4466)) ) - 1</f>
        <v>2.9186878535567562E-2</v>
      </c>
    </row>
    <row r="4467" spans="1:7" x14ac:dyDescent="0.2">
      <c r="A4467" s="1">
        <v>41927</v>
      </c>
      <c r="B4467">
        <v>0</v>
      </c>
      <c r="C4467" t="s">
        <v>14</v>
      </c>
      <c r="D4467">
        <v>5.8170000000000001E-3</v>
      </c>
      <c r="E4467">
        <f t="shared" si="138"/>
        <v>1.005817</v>
      </c>
      <c r="F4467" s="1">
        <f t="shared" si="139"/>
        <v>41925</v>
      </c>
      <c r="G4467" cm="1">
        <f t="array" ref="G4467">PRODUCT( _xlfn._xlws.FILTER($E:$E, ($C:$C=C4467)*($F:$F=F4467)) ) - 1</f>
        <v>2.9186878535567562E-2</v>
      </c>
    </row>
    <row r="4468" spans="1:7" x14ac:dyDescent="0.2">
      <c r="A4468" s="1">
        <v>41928</v>
      </c>
      <c r="B4468">
        <v>0</v>
      </c>
      <c r="C4468" t="s">
        <v>14</v>
      </c>
      <c r="D4468">
        <v>2.2859000000000001E-2</v>
      </c>
      <c r="E4468">
        <f t="shared" si="138"/>
        <v>1.022859</v>
      </c>
      <c r="F4468" s="1">
        <f t="shared" si="139"/>
        <v>41925</v>
      </c>
      <c r="G4468" cm="1">
        <f t="array" ref="G4468">PRODUCT( _xlfn._xlws.FILTER($E:$E, ($C:$C=C4468)*($F:$F=F4468)) ) - 1</f>
        <v>2.9186878535567562E-2</v>
      </c>
    </row>
    <row r="4469" spans="1:7" x14ac:dyDescent="0.2">
      <c r="A4469" s="1">
        <v>41929</v>
      </c>
      <c r="B4469">
        <v>0</v>
      </c>
      <c r="C4469" t="s">
        <v>14</v>
      </c>
      <c r="D4469">
        <v>1.5886000000000001E-2</v>
      </c>
      <c r="E4469">
        <f t="shared" si="138"/>
        <v>1.0158860000000001</v>
      </c>
      <c r="F4469" s="1">
        <f t="shared" si="139"/>
        <v>41925</v>
      </c>
      <c r="G4469" cm="1">
        <f t="array" ref="G4469">PRODUCT( _xlfn._xlws.FILTER($E:$E, ($C:$C=C4469)*($F:$F=F4469)) ) - 1</f>
        <v>2.9186878535567562E-2</v>
      </c>
    </row>
    <row r="4470" spans="1:7" x14ac:dyDescent="0.2">
      <c r="A4470" s="1">
        <v>41932</v>
      </c>
      <c r="B4470">
        <v>0</v>
      </c>
      <c r="C4470" t="s">
        <v>14</v>
      </c>
      <c r="D4470">
        <v>9.8069999999999997E-3</v>
      </c>
      <c r="E4470">
        <f t="shared" si="138"/>
        <v>1.0098069999999999</v>
      </c>
      <c r="F4470" s="1">
        <f t="shared" si="139"/>
        <v>41932</v>
      </c>
      <c r="G4470" cm="1">
        <f t="array" ref="G4470">PRODUCT( _xlfn._xlws.FILTER($E:$E, ($C:$C=C4470)*($F:$F=F4470)) ) - 1</f>
        <v>3.0215657325303624E-2</v>
      </c>
    </row>
    <row r="4471" spans="1:7" x14ac:dyDescent="0.2">
      <c r="A4471" s="1">
        <v>41933</v>
      </c>
      <c r="B4471">
        <v>0</v>
      </c>
      <c r="C4471" t="s">
        <v>14</v>
      </c>
      <c r="D4471">
        <v>1.9948E-2</v>
      </c>
      <c r="E4471">
        <f t="shared" si="138"/>
        <v>1.0199480000000001</v>
      </c>
      <c r="F4471" s="1">
        <f t="shared" si="139"/>
        <v>41932</v>
      </c>
      <c r="G4471" cm="1">
        <f t="array" ref="G4471">PRODUCT( _xlfn._xlws.FILTER($E:$E, ($C:$C=C4471)*($F:$F=F4471)) ) - 1</f>
        <v>3.0215657325303624E-2</v>
      </c>
    </row>
    <row r="4472" spans="1:7" x14ac:dyDescent="0.2">
      <c r="A4472" s="1">
        <v>41934</v>
      </c>
      <c r="B4472">
        <v>0</v>
      </c>
      <c r="C4472" t="s">
        <v>14</v>
      </c>
      <c r="D4472">
        <v>-2.4704E-2</v>
      </c>
      <c r="E4472">
        <f t="shared" si="138"/>
        <v>0.97529600000000005</v>
      </c>
      <c r="F4472" s="1">
        <f t="shared" si="139"/>
        <v>41932</v>
      </c>
      <c r="G4472" cm="1">
        <f t="array" ref="G4472">PRODUCT( _xlfn._xlws.FILTER($E:$E, ($C:$C=C4472)*($F:$F=F4472)) ) - 1</f>
        <v>3.0215657325303624E-2</v>
      </c>
    </row>
    <row r="4473" spans="1:7" x14ac:dyDescent="0.2">
      <c r="A4473" s="1">
        <v>41935</v>
      </c>
      <c r="B4473">
        <v>0</v>
      </c>
      <c r="C4473" t="s">
        <v>14</v>
      </c>
      <c r="D4473">
        <v>2.8496E-2</v>
      </c>
      <c r="E4473">
        <f t="shared" si="138"/>
        <v>1.0284960000000001</v>
      </c>
      <c r="F4473" s="1">
        <f t="shared" si="139"/>
        <v>41932</v>
      </c>
      <c r="G4473" cm="1">
        <f t="array" ref="G4473">PRODUCT( _xlfn._xlws.FILTER($E:$E, ($C:$C=C4473)*($F:$F=F4473)) ) - 1</f>
        <v>3.0215657325303624E-2</v>
      </c>
    </row>
    <row r="4474" spans="1:7" x14ac:dyDescent="0.2">
      <c r="A4474" s="1">
        <v>41936</v>
      </c>
      <c r="B4474">
        <v>0</v>
      </c>
      <c r="C4474" t="s">
        <v>14</v>
      </c>
      <c r="D4474">
        <v>-2.8219999999999999E-3</v>
      </c>
      <c r="E4474">
        <f t="shared" si="138"/>
        <v>0.99717800000000001</v>
      </c>
      <c r="F4474" s="1">
        <f t="shared" si="139"/>
        <v>41932</v>
      </c>
      <c r="G4474" cm="1">
        <f t="array" ref="G4474">PRODUCT( _xlfn._xlws.FILTER($E:$E, ($C:$C=C4474)*($F:$F=F4474)) ) - 1</f>
        <v>3.0215657325303624E-2</v>
      </c>
    </row>
    <row r="4475" spans="1:7" x14ac:dyDescent="0.2">
      <c r="A4475" s="1">
        <v>41939</v>
      </c>
      <c r="B4475">
        <v>0</v>
      </c>
      <c r="C4475" t="s">
        <v>14</v>
      </c>
      <c r="D4475">
        <v>-1.8523000000000001E-2</v>
      </c>
      <c r="E4475">
        <f t="shared" si="138"/>
        <v>0.98147700000000004</v>
      </c>
      <c r="F4475" s="1">
        <f t="shared" si="139"/>
        <v>41939</v>
      </c>
      <c r="G4475" cm="1">
        <f t="array" ref="G4475">PRODUCT( _xlfn._xlws.FILTER($E:$E, ($C:$C=C4475)*($F:$F=F4475)) ) - 1</f>
        <v>2.9585929629364349E-2</v>
      </c>
    </row>
    <row r="4476" spans="1:7" x14ac:dyDescent="0.2">
      <c r="A4476" s="1">
        <v>41940</v>
      </c>
      <c r="B4476">
        <v>0</v>
      </c>
      <c r="C4476" t="s">
        <v>14</v>
      </c>
      <c r="D4476">
        <v>2.2280000000000001E-2</v>
      </c>
      <c r="E4476">
        <f t="shared" si="138"/>
        <v>1.0222800000000001</v>
      </c>
      <c r="F4476" s="1">
        <f t="shared" si="139"/>
        <v>41939</v>
      </c>
      <c r="G4476" cm="1">
        <f t="array" ref="G4476">PRODUCT( _xlfn._xlws.FILTER($E:$E, ($C:$C=C4476)*($F:$F=F4476)) ) - 1</f>
        <v>2.9585929629364349E-2</v>
      </c>
    </row>
    <row r="4477" spans="1:7" x14ac:dyDescent="0.2">
      <c r="A4477" s="1">
        <v>41941</v>
      </c>
      <c r="B4477">
        <v>0</v>
      </c>
      <c r="C4477" t="s">
        <v>14</v>
      </c>
      <c r="D4477">
        <v>-3.846E-3</v>
      </c>
      <c r="E4477">
        <f t="shared" si="138"/>
        <v>0.99615399999999998</v>
      </c>
      <c r="F4477" s="1">
        <f t="shared" si="139"/>
        <v>41939</v>
      </c>
      <c r="G4477" cm="1">
        <f t="array" ref="G4477">PRODUCT( _xlfn._xlws.FILTER($E:$E, ($C:$C=C4477)*($F:$F=F4477)) ) - 1</f>
        <v>2.9585929629364349E-2</v>
      </c>
    </row>
    <row r="4478" spans="1:7" x14ac:dyDescent="0.2">
      <c r="A4478" s="1">
        <v>41942</v>
      </c>
      <c r="B4478">
        <v>0</v>
      </c>
      <c r="C4478" t="s">
        <v>14</v>
      </c>
      <c r="D4478">
        <v>3.8609999999999998E-3</v>
      </c>
      <c r="E4478">
        <f t="shared" si="138"/>
        <v>1.0038609999999999</v>
      </c>
      <c r="F4478" s="1">
        <f t="shared" si="139"/>
        <v>41939</v>
      </c>
      <c r="G4478" cm="1">
        <f t="array" ref="G4478">PRODUCT( _xlfn._xlws.FILTER($E:$E, ($C:$C=C4478)*($F:$F=F4478)) ) - 1</f>
        <v>2.9585929629364349E-2</v>
      </c>
    </row>
    <row r="4479" spans="1:7" x14ac:dyDescent="0.2">
      <c r="A4479" s="1">
        <v>41943</v>
      </c>
      <c r="B4479">
        <v>0</v>
      </c>
      <c r="C4479" t="s">
        <v>14</v>
      </c>
      <c r="D4479">
        <v>2.6154E-2</v>
      </c>
      <c r="E4479">
        <f t="shared" si="138"/>
        <v>1.026154</v>
      </c>
      <c r="F4479" s="1">
        <f t="shared" si="139"/>
        <v>41939</v>
      </c>
      <c r="G4479" cm="1">
        <f t="array" ref="G4479">PRODUCT( _xlfn._xlws.FILTER($E:$E, ($C:$C=C4479)*($F:$F=F4479)) ) - 1</f>
        <v>2.9585929629364349E-2</v>
      </c>
    </row>
    <row r="4480" spans="1:7" x14ac:dyDescent="0.2">
      <c r="A4480" s="1">
        <v>41946</v>
      </c>
      <c r="B4480">
        <v>0</v>
      </c>
      <c r="C4480" t="s">
        <v>14</v>
      </c>
      <c r="D4480">
        <v>-3.6232E-2</v>
      </c>
      <c r="E4480">
        <f t="shared" si="138"/>
        <v>0.96376799999999996</v>
      </c>
      <c r="F4480" s="1">
        <f t="shared" si="139"/>
        <v>41946</v>
      </c>
      <c r="G4480" cm="1">
        <f t="array" ref="G4480">PRODUCT( _xlfn._xlws.FILTER($E:$E, ($C:$C=C4480)*($F:$F=F4480)) ) - 1</f>
        <v>-2.0739523627618328E-2</v>
      </c>
    </row>
    <row r="4481" spans="1:7" x14ac:dyDescent="0.2">
      <c r="A4481" s="1">
        <v>41947</v>
      </c>
      <c r="B4481">
        <v>0</v>
      </c>
      <c r="C4481" t="s">
        <v>14</v>
      </c>
      <c r="D4481">
        <v>-3.4483E-2</v>
      </c>
      <c r="E4481">
        <f t="shared" si="138"/>
        <v>0.96551699999999996</v>
      </c>
      <c r="F4481" s="1">
        <f t="shared" si="139"/>
        <v>41946</v>
      </c>
      <c r="G4481" cm="1">
        <f t="array" ref="G4481">PRODUCT( _xlfn._xlws.FILTER($E:$E, ($C:$C=C4481)*($F:$F=F4481)) ) - 1</f>
        <v>-2.0739523627618328E-2</v>
      </c>
    </row>
    <row r="4482" spans="1:7" x14ac:dyDescent="0.2">
      <c r="A4482" s="1">
        <v>41948</v>
      </c>
      <c r="B4482">
        <v>0</v>
      </c>
      <c r="C4482" t="s">
        <v>14</v>
      </c>
      <c r="D4482">
        <v>3.4372E-2</v>
      </c>
      <c r="E4482">
        <f t="shared" si="138"/>
        <v>1.0343720000000001</v>
      </c>
      <c r="F4482" s="1">
        <f t="shared" si="139"/>
        <v>41946</v>
      </c>
      <c r="G4482" cm="1">
        <f t="array" ref="G4482">PRODUCT( _xlfn._xlws.FILTER($E:$E, ($C:$C=C4482)*($F:$F=F4482)) ) - 1</f>
        <v>-2.0739523627618328E-2</v>
      </c>
    </row>
    <row r="4483" spans="1:7" x14ac:dyDescent="0.2">
      <c r="A4483" s="1">
        <v>41949</v>
      </c>
      <c r="B4483">
        <v>0</v>
      </c>
      <c r="C4483" t="s">
        <v>14</v>
      </c>
      <c r="D4483">
        <v>-5.1900000000000004E-4</v>
      </c>
      <c r="E4483">
        <f t="shared" si="138"/>
        <v>0.99948099999999995</v>
      </c>
      <c r="F4483" s="1">
        <f t="shared" si="139"/>
        <v>41946</v>
      </c>
      <c r="G4483" cm="1">
        <f t="array" ref="G4483">PRODUCT( _xlfn._xlws.FILTER($E:$E, ($C:$C=C4483)*($F:$F=F4483)) ) - 1</f>
        <v>-2.0739523627618328E-2</v>
      </c>
    </row>
    <row r="4484" spans="1:7" x14ac:dyDescent="0.2">
      <c r="A4484" s="1">
        <v>41950</v>
      </c>
      <c r="B4484">
        <v>0</v>
      </c>
      <c r="C4484" t="s">
        <v>14</v>
      </c>
      <c r="D4484">
        <v>1.7922E-2</v>
      </c>
      <c r="E4484">
        <f t="shared" ref="E4484:E4547" si="140">D4484+1</f>
        <v>1.017922</v>
      </c>
      <c r="F4484" s="1">
        <f t="shared" ref="F4484:F4547" si="141">A4484 - (WEEKDAY(A4484, 2) - 1)</f>
        <v>41946</v>
      </c>
      <c r="G4484" cm="1">
        <f t="array" ref="G4484">PRODUCT( _xlfn._xlws.FILTER($E:$E, ($C:$C=C4484)*($F:$F=F4484)) ) - 1</f>
        <v>-2.0739523627618328E-2</v>
      </c>
    </row>
    <row r="4485" spans="1:7" x14ac:dyDescent="0.2">
      <c r="A4485" s="1">
        <v>41953</v>
      </c>
      <c r="B4485">
        <v>0</v>
      </c>
      <c r="C4485" t="s">
        <v>14</v>
      </c>
      <c r="D4485">
        <v>-5.1000000000000004E-4</v>
      </c>
      <c r="E4485">
        <f t="shared" si="140"/>
        <v>0.99948999999999999</v>
      </c>
      <c r="F4485" s="1">
        <f t="shared" si="141"/>
        <v>41953</v>
      </c>
      <c r="G4485" cm="1">
        <f t="array" ref="G4485">PRODUCT( _xlfn._xlws.FILTER($E:$E, ($C:$C=C4485)*($F:$F=F4485)) ) - 1</f>
        <v>9.6968916346726886E-3</v>
      </c>
    </row>
    <row r="4486" spans="1:7" x14ac:dyDescent="0.2">
      <c r="A4486" s="1">
        <v>41954</v>
      </c>
      <c r="B4486">
        <v>0</v>
      </c>
      <c r="C4486" t="s">
        <v>14</v>
      </c>
      <c r="D4486">
        <v>3.0639999999999999E-3</v>
      </c>
      <c r="E4486">
        <f t="shared" si="140"/>
        <v>1.003064</v>
      </c>
      <c r="F4486" s="1">
        <f t="shared" si="141"/>
        <v>41953</v>
      </c>
      <c r="G4486" cm="1">
        <f t="array" ref="G4486">PRODUCT( _xlfn._xlws.FILTER($E:$E, ($C:$C=C4486)*($F:$F=F4486)) ) - 1</f>
        <v>9.6968916346726886E-3</v>
      </c>
    </row>
    <row r="4487" spans="1:7" x14ac:dyDescent="0.2">
      <c r="A4487" s="1">
        <v>41955</v>
      </c>
      <c r="B4487">
        <v>0</v>
      </c>
      <c r="C4487" t="s">
        <v>14</v>
      </c>
      <c r="D4487">
        <v>1.4253E-2</v>
      </c>
      <c r="E4487">
        <f t="shared" si="140"/>
        <v>1.0142530000000001</v>
      </c>
      <c r="F4487" s="1">
        <f t="shared" si="141"/>
        <v>41953</v>
      </c>
      <c r="G4487" cm="1">
        <f t="array" ref="G4487">PRODUCT( _xlfn._xlws.FILTER($E:$E, ($C:$C=C4487)*($F:$F=F4487)) ) - 1</f>
        <v>9.6968916346726886E-3</v>
      </c>
    </row>
    <row r="4488" spans="1:7" x14ac:dyDescent="0.2">
      <c r="A4488" s="1">
        <v>41956</v>
      </c>
      <c r="B4488">
        <v>0</v>
      </c>
      <c r="C4488" t="s">
        <v>14</v>
      </c>
      <c r="D4488">
        <v>-1.6562E-2</v>
      </c>
      <c r="E4488">
        <f t="shared" si="140"/>
        <v>0.98343800000000003</v>
      </c>
      <c r="F4488" s="1">
        <f t="shared" si="141"/>
        <v>41953</v>
      </c>
      <c r="G4488" cm="1">
        <f t="array" ref="G4488">PRODUCT( _xlfn._xlws.FILTER($E:$E, ($C:$C=C4488)*($F:$F=F4488)) ) - 1</f>
        <v>9.6968916346726886E-3</v>
      </c>
    </row>
    <row r="4489" spans="1:7" x14ac:dyDescent="0.2">
      <c r="A4489" s="1">
        <v>41957</v>
      </c>
      <c r="B4489">
        <v>0</v>
      </c>
      <c r="C4489" t="s">
        <v>14</v>
      </c>
      <c r="D4489">
        <v>9.6959999999999998E-3</v>
      </c>
      <c r="E4489">
        <f t="shared" si="140"/>
        <v>1.0096959999999999</v>
      </c>
      <c r="F4489" s="1">
        <f t="shared" si="141"/>
        <v>41953</v>
      </c>
      <c r="G4489" cm="1">
        <f t="array" ref="G4489">PRODUCT( _xlfn._xlws.FILTER($E:$E, ($C:$C=C4489)*($F:$F=F4489)) ) - 1</f>
        <v>9.6968916346726886E-3</v>
      </c>
    </row>
    <row r="4490" spans="1:7" x14ac:dyDescent="0.2">
      <c r="A4490" s="1">
        <v>41960</v>
      </c>
      <c r="B4490">
        <v>0</v>
      </c>
      <c r="C4490" t="s">
        <v>14</v>
      </c>
      <c r="D4490">
        <v>-9.6030000000000004E-3</v>
      </c>
      <c r="E4490">
        <f t="shared" si="140"/>
        <v>0.99039699999999997</v>
      </c>
      <c r="F4490" s="1">
        <f t="shared" si="141"/>
        <v>41960</v>
      </c>
      <c r="G4490" cm="1">
        <f t="array" ref="G4490">PRODUCT( _xlfn._xlws.FILTER($E:$E, ($C:$C=C4490)*($F:$F=F4490)) ) - 1</f>
        <v>2.4007818153502836E-2</v>
      </c>
    </row>
    <row r="4491" spans="1:7" x14ac:dyDescent="0.2">
      <c r="A4491" s="1">
        <v>41961</v>
      </c>
      <c r="B4491">
        <v>0</v>
      </c>
      <c r="C4491" t="s">
        <v>14</v>
      </c>
      <c r="D4491">
        <v>-5.1000000000000004E-4</v>
      </c>
      <c r="E4491">
        <f t="shared" si="140"/>
        <v>0.99948999999999999</v>
      </c>
      <c r="F4491" s="1">
        <f t="shared" si="141"/>
        <v>41960</v>
      </c>
      <c r="G4491" cm="1">
        <f t="array" ref="G4491">PRODUCT( _xlfn._xlws.FILTER($E:$E, ($C:$C=C4491)*($F:$F=F4491)) ) - 1</f>
        <v>2.4007818153502836E-2</v>
      </c>
    </row>
    <row r="4492" spans="1:7" x14ac:dyDescent="0.2">
      <c r="A4492" s="1">
        <v>41962</v>
      </c>
      <c r="B4492">
        <v>0</v>
      </c>
      <c r="C4492" t="s">
        <v>14</v>
      </c>
      <c r="D4492">
        <v>-1.1743999999999999E-2</v>
      </c>
      <c r="E4492">
        <f t="shared" si="140"/>
        <v>0.98825600000000002</v>
      </c>
      <c r="F4492" s="1">
        <f t="shared" si="141"/>
        <v>41960</v>
      </c>
      <c r="G4492" cm="1">
        <f t="array" ref="G4492">PRODUCT( _xlfn._xlws.FILTER($E:$E, ($C:$C=C4492)*($F:$F=F4492)) ) - 1</f>
        <v>2.4007818153502836E-2</v>
      </c>
    </row>
    <row r="4493" spans="1:7" x14ac:dyDescent="0.2">
      <c r="A4493" s="1">
        <v>41963</v>
      </c>
      <c r="B4493">
        <v>0</v>
      </c>
      <c r="C4493" t="s">
        <v>14</v>
      </c>
      <c r="D4493">
        <v>2.5316000000000002E-2</v>
      </c>
      <c r="E4493">
        <f t="shared" si="140"/>
        <v>1.0253159999999999</v>
      </c>
      <c r="F4493" s="1">
        <f t="shared" si="141"/>
        <v>41960</v>
      </c>
      <c r="G4493" cm="1">
        <f t="array" ref="G4493">PRODUCT( _xlfn._xlws.FILTER($E:$E, ($C:$C=C4493)*($F:$F=F4493)) ) - 1</f>
        <v>2.4007818153502836E-2</v>
      </c>
    </row>
    <row r="4494" spans="1:7" x14ac:dyDescent="0.2">
      <c r="A4494" s="1">
        <v>41964</v>
      </c>
      <c r="B4494">
        <v>0</v>
      </c>
      <c r="C4494" t="s">
        <v>14</v>
      </c>
      <c r="D4494">
        <v>2.0912E-2</v>
      </c>
      <c r="E4494">
        <f t="shared" si="140"/>
        <v>1.020912</v>
      </c>
      <c r="F4494" s="1">
        <f t="shared" si="141"/>
        <v>41960</v>
      </c>
      <c r="G4494" cm="1">
        <f t="array" ref="G4494">PRODUCT( _xlfn._xlws.FILTER($E:$E, ($C:$C=C4494)*($F:$F=F4494)) ) - 1</f>
        <v>2.4007818153502836E-2</v>
      </c>
    </row>
    <row r="4495" spans="1:7" x14ac:dyDescent="0.2">
      <c r="A4495" s="1">
        <v>41967</v>
      </c>
      <c r="B4495">
        <v>0</v>
      </c>
      <c r="C4495" t="s">
        <v>14</v>
      </c>
      <c r="D4495">
        <v>-4.9360000000000003E-3</v>
      </c>
      <c r="E4495">
        <f t="shared" si="140"/>
        <v>0.99506399999999995</v>
      </c>
      <c r="F4495" s="1">
        <f t="shared" si="141"/>
        <v>41967</v>
      </c>
      <c r="G4495" cm="1">
        <f t="array" ref="G4495">PRODUCT( _xlfn._xlws.FILTER($E:$E, ($C:$C=C4495)*($F:$F=F4495)) ) - 1</f>
        <v>-0.10883510011784669</v>
      </c>
    </row>
    <row r="4496" spans="1:7" x14ac:dyDescent="0.2">
      <c r="A4496" s="1">
        <v>41968</v>
      </c>
      <c r="B4496">
        <v>0</v>
      </c>
      <c r="C4496" t="s">
        <v>14</v>
      </c>
      <c r="D4496">
        <v>-1.7113E-2</v>
      </c>
      <c r="E4496">
        <f t="shared" si="140"/>
        <v>0.98288699999999996</v>
      </c>
      <c r="F4496" s="1">
        <f t="shared" si="141"/>
        <v>41967</v>
      </c>
      <c r="G4496" cm="1">
        <f t="array" ref="G4496">PRODUCT( _xlfn._xlws.FILTER($E:$E, ($C:$C=C4496)*($F:$F=F4496)) ) - 1</f>
        <v>-0.10883510011784669</v>
      </c>
    </row>
    <row r="4497" spans="1:7" x14ac:dyDescent="0.2">
      <c r="A4497" s="1">
        <v>41969</v>
      </c>
      <c r="B4497">
        <v>0</v>
      </c>
      <c r="C4497" t="s">
        <v>14</v>
      </c>
      <c r="D4497">
        <v>-1.4130999999999999E-2</v>
      </c>
      <c r="E4497">
        <f t="shared" si="140"/>
        <v>0.985869</v>
      </c>
      <c r="F4497" s="1">
        <f t="shared" si="141"/>
        <v>41967</v>
      </c>
      <c r="G4497" cm="1">
        <f t="array" ref="G4497">PRODUCT( _xlfn._xlws.FILTER($E:$E, ($C:$C=C4497)*($F:$F=F4497)) ) - 1</f>
        <v>-0.10883510011784669</v>
      </c>
    </row>
    <row r="4498" spans="1:7" x14ac:dyDescent="0.2">
      <c r="A4498" s="1">
        <v>41970</v>
      </c>
      <c r="B4498">
        <v>0</v>
      </c>
      <c r="C4498" t="s">
        <v>14</v>
      </c>
      <c r="D4498">
        <v>-5.6564999999999997E-2</v>
      </c>
      <c r="E4498">
        <f t="shared" si="140"/>
        <v>0.94343500000000002</v>
      </c>
      <c r="F4498" s="1">
        <f t="shared" si="141"/>
        <v>41967</v>
      </c>
      <c r="G4498" cm="1">
        <f t="array" ref="G4498">PRODUCT( _xlfn._xlws.FILTER($E:$E, ($C:$C=C4498)*($F:$F=F4498)) ) - 1</f>
        <v>-0.10883510011784669</v>
      </c>
    </row>
    <row r="4499" spans="1:7" x14ac:dyDescent="0.2">
      <c r="A4499" s="1">
        <v>41971</v>
      </c>
      <c r="B4499">
        <v>0</v>
      </c>
      <c r="C4499" t="s">
        <v>14</v>
      </c>
      <c r="D4499">
        <v>-2.0347000000000001E-2</v>
      </c>
      <c r="E4499">
        <f t="shared" si="140"/>
        <v>0.979653</v>
      </c>
      <c r="F4499" s="1">
        <f t="shared" si="141"/>
        <v>41967</v>
      </c>
      <c r="G4499" cm="1">
        <f t="array" ref="G4499">PRODUCT( _xlfn._xlws.FILTER($E:$E, ($C:$C=C4499)*($F:$F=F4499)) ) - 1</f>
        <v>-0.10883510011784669</v>
      </c>
    </row>
    <row r="4500" spans="1:7" x14ac:dyDescent="0.2">
      <c r="A4500" s="1">
        <v>41974</v>
      </c>
      <c r="B4500">
        <v>0</v>
      </c>
      <c r="C4500" t="s">
        <v>14</v>
      </c>
      <c r="D4500">
        <v>1.7999999999999999E-2</v>
      </c>
      <c r="E4500">
        <f t="shared" si="140"/>
        <v>1.018</v>
      </c>
      <c r="F4500" s="1">
        <f t="shared" si="141"/>
        <v>41974</v>
      </c>
      <c r="G4500" cm="1">
        <f t="array" ref="G4500">PRODUCT( _xlfn._xlws.FILTER($E:$E, ($C:$C=C4500)*($F:$F=F4500)) ) - 1</f>
        <v>-2.3719612292183445E-3</v>
      </c>
    </row>
    <row r="4501" spans="1:7" x14ac:dyDescent="0.2">
      <c r="A4501" s="1">
        <v>41975</v>
      </c>
      <c r="B4501">
        <v>0</v>
      </c>
      <c r="C4501" t="s">
        <v>14</v>
      </c>
      <c r="D4501">
        <v>3.2889999999999998E-3</v>
      </c>
      <c r="E4501">
        <f t="shared" si="140"/>
        <v>1.0032890000000001</v>
      </c>
      <c r="F4501" s="1">
        <f t="shared" si="141"/>
        <v>41974</v>
      </c>
      <c r="G4501" cm="1">
        <f t="array" ref="G4501">PRODUCT( _xlfn._xlws.FILTER($E:$E, ($C:$C=C4501)*($F:$F=F4501)) ) - 1</f>
        <v>-2.3719612292183445E-3</v>
      </c>
    </row>
    <row r="4502" spans="1:7" x14ac:dyDescent="0.2">
      <c r="A4502" s="1">
        <v>41976</v>
      </c>
      <c r="B4502">
        <v>0</v>
      </c>
      <c r="C4502" t="s">
        <v>14</v>
      </c>
      <c r="D4502">
        <v>2.0764999999999999E-2</v>
      </c>
      <c r="E4502">
        <f t="shared" si="140"/>
        <v>1.0207649999999999</v>
      </c>
      <c r="F4502" s="1">
        <f t="shared" si="141"/>
        <v>41974</v>
      </c>
      <c r="G4502" cm="1">
        <f t="array" ref="G4502">PRODUCT( _xlfn._xlws.FILTER($E:$E, ($C:$C=C4502)*($F:$F=F4502)) ) - 1</f>
        <v>-2.3719612292183445E-3</v>
      </c>
    </row>
    <row r="4503" spans="1:7" x14ac:dyDescent="0.2">
      <c r="A4503" s="1">
        <v>41977</v>
      </c>
      <c r="B4503">
        <v>0</v>
      </c>
      <c r="C4503" t="s">
        <v>14</v>
      </c>
      <c r="D4503">
        <v>-3.9347E-2</v>
      </c>
      <c r="E4503">
        <f t="shared" si="140"/>
        <v>0.96065299999999998</v>
      </c>
      <c r="F4503" s="1">
        <f t="shared" si="141"/>
        <v>41974</v>
      </c>
      <c r="G4503" cm="1">
        <f t="array" ref="G4503">PRODUCT( _xlfn._xlws.FILTER($E:$E, ($C:$C=C4503)*($F:$F=F4503)) ) - 1</f>
        <v>-2.3719612292183445E-3</v>
      </c>
    </row>
    <row r="4504" spans="1:7" x14ac:dyDescent="0.2">
      <c r="A4504" s="1">
        <v>41978</v>
      </c>
      <c r="B4504">
        <v>0</v>
      </c>
      <c r="C4504" t="s">
        <v>14</v>
      </c>
      <c r="D4504">
        <v>-3.901E-3</v>
      </c>
      <c r="E4504">
        <f t="shared" si="140"/>
        <v>0.99609899999999996</v>
      </c>
      <c r="F4504" s="1">
        <f t="shared" si="141"/>
        <v>41974</v>
      </c>
      <c r="G4504" cm="1">
        <f t="array" ref="G4504">PRODUCT( _xlfn._xlws.FILTER($E:$E, ($C:$C=C4504)*($F:$F=F4504)) ) - 1</f>
        <v>-2.3719612292183445E-3</v>
      </c>
    </row>
    <row r="4505" spans="1:7" x14ac:dyDescent="0.2">
      <c r="A4505" s="1">
        <v>41981</v>
      </c>
      <c r="B4505">
        <v>0</v>
      </c>
      <c r="C4505" t="s">
        <v>14</v>
      </c>
      <c r="D4505">
        <v>-5.7342999999999998E-2</v>
      </c>
      <c r="E4505">
        <f t="shared" si="140"/>
        <v>0.94265699999999997</v>
      </c>
      <c r="F4505" s="1">
        <f t="shared" si="141"/>
        <v>41981</v>
      </c>
      <c r="G4505" cm="1">
        <f t="array" ref="G4505">PRODUCT( _xlfn._xlws.FILTER($E:$E, ($C:$C=C4505)*($F:$F=F4505)) ) - 1</f>
        <v>-0.10125928603247858</v>
      </c>
    </row>
    <row r="4506" spans="1:7" x14ac:dyDescent="0.2">
      <c r="A4506" s="1">
        <v>41982</v>
      </c>
      <c r="B4506">
        <v>0</v>
      </c>
      <c r="C4506" t="s">
        <v>14</v>
      </c>
      <c r="D4506">
        <v>9.495E-3</v>
      </c>
      <c r="E4506">
        <f t="shared" si="140"/>
        <v>1.009495</v>
      </c>
      <c r="F4506" s="1">
        <f t="shared" si="141"/>
        <v>41981</v>
      </c>
      <c r="G4506" cm="1">
        <f t="array" ref="G4506">PRODUCT( _xlfn._xlws.FILTER($E:$E, ($C:$C=C4506)*($F:$F=F4506)) ) - 1</f>
        <v>-0.10125928603247858</v>
      </c>
    </row>
    <row r="4507" spans="1:7" x14ac:dyDescent="0.2">
      <c r="A4507" s="1">
        <v>41983</v>
      </c>
      <c r="B4507">
        <v>0</v>
      </c>
      <c r="C4507" t="s">
        <v>14</v>
      </c>
      <c r="D4507">
        <v>-4.7324999999999999E-2</v>
      </c>
      <c r="E4507">
        <f t="shared" si="140"/>
        <v>0.95267500000000005</v>
      </c>
      <c r="F4507" s="1">
        <f t="shared" si="141"/>
        <v>41981</v>
      </c>
      <c r="G4507" cm="1">
        <f t="array" ref="G4507">PRODUCT( _xlfn._xlws.FILTER($E:$E, ($C:$C=C4507)*($F:$F=F4507)) ) - 1</f>
        <v>-0.10125928603247858</v>
      </c>
    </row>
    <row r="4508" spans="1:7" x14ac:dyDescent="0.2">
      <c r="A4508" s="1">
        <v>41984</v>
      </c>
      <c r="B4508">
        <v>0</v>
      </c>
      <c r="C4508" t="s">
        <v>14</v>
      </c>
      <c r="D4508">
        <v>4.6280000000000002E-3</v>
      </c>
      <c r="E4508">
        <f t="shared" si="140"/>
        <v>1.0046280000000001</v>
      </c>
      <c r="F4508" s="1">
        <f t="shared" si="141"/>
        <v>41981</v>
      </c>
      <c r="G4508" cm="1">
        <f t="array" ref="G4508">PRODUCT( _xlfn._xlws.FILTER($E:$E, ($C:$C=C4508)*($F:$F=F4508)) ) - 1</f>
        <v>-0.10125928603247858</v>
      </c>
    </row>
    <row r="4509" spans="1:7" x14ac:dyDescent="0.2">
      <c r="A4509" s="1">
        <v>41985</v>
      </c>
      <c r="B4509">
        <v>0</v>
      </c>
      <c r="C4509" t="s">
        <v>14</v>
      </c>
      <c r="D4509">
        <v>-1.3206000000000001E-2</v>
      </c>
      <c r="E4509">
        <f t="shared" si="140"/>
        <v>0.98679399999999995</v>
      </c>
      <c r="F4509" s="1">
        <f t="shared" si="141"/>
        <v>41981</v>
      </c>
      <c r="G4509" cm="1">
        <f t="array" ref="G4509">PRODUCT( _xlfn._xlws.FILTER($E:$E, ($C:$C=C4509)*($F:$F=F4509)) ) - 1</f>
        <v>-0.10125928603247858</v>
      </c>
    </row>
    <row r="4510" spans="1:7" x14ac:dyDescent="0.2">
      <c r="A4510" s="1">
        <v>41988</v>
      </c>
      <c r="B4510">
        <v>0</v>
      </c>
      <c r="C4510" t="s">
        <v>14</v>
      </c>
      <c r="D4510">
        <v>-2.3654000000000001E-2</v>
      </c>
      <c r="E4510">
        <f t="shared" si="140"/>
        <v>0.97634600000000005</v>
      </c>
      <c r="F4510" s="1">
        <f t="shared" si="141"/>
        <v>41988</v>
      </c>
      <c r="G4510" cm="1">
        <f t="array" ref="G4510">PRODUCT( _xlfn._xlws.FILTER($E:$E, ($C:$C=C4510)*($F:$F=F4510)) ) - 1</f>
        <v>0.1235596712345286</v>
      </c>
    </row>
    <row r="4511" spans="1:7" x14ac:dyDescent="0.2">
      <c r="A4511" s="1">
        <v>41989</v>
      </c>
      <c r="B4511">
        <v>0</v>
      </c>
      <c r="C4511" t="s">
        <v>14</v>
      </c>
      <c r="D4511">
        <v>5.2278999999999999E-2</v>
      </c>
      <c r="E4511">
        <f t="shared" si="140"/>
        <v>1.052279</v>
      </c>
      <c r="F4511" s="1">
        <f t="shared" si="141"/>
        <v>41988</v>
      </c>
      <c r="G4511" cm="1">
        <f t="array" ref="G4511">PRODUCT( _xlfn._xlws.FILTER($E:$E, ($C:$C=C4511)*($F:$F=F4511)) ) - 1</f>
        <v>0.1235596712345286</v>
      </c>
    </row>
    <row r="4512" spans="1:7" x14ac:dyDescent="0.2">
      <c r="A4512" s="1">
        <v>41990</v>
      </c>
      <c r="B4512">
        <v>0</v>
      </c>
      <c r="C4512" t="s">
        <v>14</v>
      </c>
      <c r="D4512">
        <v>8.1793000000000005E-2</v>
      </c>
      <c r="E4512">
        <f t="shared" si="140"/>
        <v>1.081793</v>
      </c>
      <c r="F4512" s="1">
        <f t="shared" si="141"/>
        <v>41988</v>
      </c>
      <c r="G4512" cm="1">
        <f t="array" ref="G4512">PRODUCT( _xlfn._xlws.FILTER($E:$E, ($C:$C=C4512)*($F:$F=F4512)) ) - 1</f>
        <v>0.1235596712345286</v>
      </c>
    </row>
    <row r="4513" spans="1:7" x14ac:dyDescent="0.2">
      <c r="A4513" s="1">
        <v>41991</v>
      </c>
      <c r="B4513">
        <v>0</v>
      </c>
      <c r="C4513" t="s">
        <v>14</v>
      </c>
      <c r="D4513">
        <v>1.1761000000000001E-2</v>
      </c>
      <c r="E4513">
        <f t="shared" si="140"/>
        <v>1.0117609999999999</v>
      </c>
      <c r="F4513" s="1">
        <f t="shared" si="141"/>
        <v>41988</v>
      </c>
      <c r="G4513" cm="1">
        <f t="array" ref="G4513">PRODUCT( _xlfn._xlws.FILTER($E:$E, ($C:$C=C4513)*($F:$F=F4513)) ) - 1</f>
        <v>0.1235596712345286</v>
      </c>
    </row>
    <row r="4514" spans="1:7" x14ac:dyDescent="0.2">
      <c r="A4514" s="1">
        <v>41992</v>
      </c>
      <c r="B4514">
        <v>0</v>
      </c>
      <c r="C4514" t="s">
        <v>14</v>
      </c>
      <c r="D4514">
        <v>-8.3000000000000001E-4</v>
      </c>
      <c r="E4514">
        <f t="shared" si="140"/>
        <v>0.99917</v>
      </c>
      <c r="F4514" s="1">
        <f t="shared" si="141"/>
        <v>41988</v>
      </c>
      <c r="G4514" cm="1">
        <f t="array" ref="G4514">PRODUCT( _xlfn._xlws.FILTER($E:$E, ($C:$C=C4514)*($F:$F=F4514)) ) - 1</f>
        <v>0.1235596712345286</v>
      </c>
    </row>
    <row r="4515" spans="1:7" x14ac:dyDescent="0.2">
      <c r="A4515" s="1">
        <v>41995</v>
      </c>
      <c r="B4515">
        <v>0</v>
      </c>
      <c r="C4515" t="s">
        <v>14</v>
      </c>
      <c r="D4515">
        <v>2.1607000000000001E-2</v>
      </c>
      <c r="E4515">
        <f t="shared" si="140"/>
        <v>1.0216069999999999</v>
      </c>
      <c r="F4515" s="1">
        <f t="shared" si="141"/>
        <v>41995</v>
      </c>
      <c r="G4515" cm="1">
        <f t="array" ref="G4515">PRODUCT( _xlfn._xlws.FILTER($E:$E, ($C:$C=C4515)*($F:$F=F4515)) ) - 1</f>
        <v>3.3518554519418098E-2</v>
      </c>
    </row>
    <row r="4516" spans="1:7" x14ac:dyDescent="0.2">
      <c r="A4516" s="1">
        <v>41996</v>
      </c>
      <c r="B4516">
        <v>0</v>
      </c>
      <c r="C4516" t="s">
        <v>14</v>
      </c>
      <c r="D4516">
        <v>2.4945999999999999E-2</v>
      </c>
      <c r="E4516">
        <f t="shared" si="140"/>
        <v>1.0249459999999999</v>
      </c>
      <c r="F4516" s="1">
        <f t="shared" si="141"/>
        <v>41995</v>
      </c>
      <c r="G4516" cm="1">
        <f t="array" ref="G4516">PRODUCT( _xlfn._xlws.FILTER($E:$E, ($C:$C=C4516)*($F:$F=F4516)) ) - 1</f>
        <v>3.3518554519418098E-2</v>
      </c>
    </row>
    <row r="4517" spans="1:7" x14ac:dyDescent="0.2">
      <c r="A4517" s="1">
        <v>41997</v>
      </c>
      <c r="B4517">
        <v>0</v>
      </c>
      <c r="C4517" t="s">
        <v>14</v>
      </c>
      <c r="D4517">
        <v>-1.2963000000000001E-2</v>
      </c>
      <c r="E4517">
        <f t="shared" si="140"/>
        <v>0.98703700000000005</v>
      </c>
      <c r="F4517" s="1">
        <f t="shared" si="141"/>
        <v>41995</v>
      </c>
      <c r="G4517" cm="1">
        <f t="array" ref="G4517">PRODUCT( _xlfn._xlws.FILTER($E:$E, ($C:$C=C4517)*($F:$F=F4517)) ) - 1</f>
        <v>3.3518554519418098E-2</v>
      </c>
    </row>
    <row r="4518" spans="1:7" x14ac:dyDescent="0.2">
      <c r="A4518" s="1">
        <v>42002</v>
      </c>
      <c r="B4518">
        <v>0</v>
      </c>
      <c r="C4518" t="s">
        <v>14</v>
      </c>
      <c r="D4518">
        <v>2.4120000000000001E-3</v>
      </c>
      <c r="E4518">
        <f t="shared" si="140"/>
        <v>1.0024120000000001</v>
      </c>
      <c r="F4518" s="1">
        <f t="shared" si="141"/>
        <v>42002</v>
      </c>
      <c r="G4518" cm="1">
        <f t="array" ref="G4518">PRODUCT( _xlfn._xlws.FILTER($E:$E, ($C:$C=C4518)*($F:$F=F4518)) ) - 1</f>
        <v>1.071196826576637E-3</v>
      </c>
    </row>
    <row r="4519" spans="1:7" x14ac:dyDescent="0.2">
      <c r="A4519" s="1">
        <v>42003</v>
      </c>
      <c r="B4519">
        <v>0</v>
      </c>
      <c r="C4519" t="s">
        <v>14</v>
      </c>
      <c r="D4519">
        <v>-8.2889999999999995E-3</v>
      </c>
      <c r="E4519">
        <f t="shared" si="140"/>
        <v>0.99171100000000001</v>
      </c>
      <c r="F4519" s="1">
        <f t="shared" si="141"/>
        <v>42002</v>
      </c>
      <c r="G4519" cm="1">
        <f t="array" ref="G4519">PRODUCT( _xlfn._xlws.FILTER($E:$E, ($C:$C=C4519)*($F:$F=F4519)) ) - 1</f>
        <v>1.071196826576637E-3</v>
      </c>
    </row>
    <row r="4520" spans="1:7" x14ac:dyDescent="0.2">
      <c r="A4520" s="1">
        <v>42004</v>
      </c>
      <c r="B4520">
        <v>0</v>
      </c>
      <c r="C4520" t="s">
        <v>14</v>
      </c>
      <c r="D4520">
        <v>-5.1229999999999999E-3</v>
      </c>
      <c r="E4520">
        <f t="shared" si="140"/>
        <v>0.99487700000000001</v>
      </c>
      <c r="F4520" s="1">
        <f t="shared" si="141"/>
        <v>42002</v>
      </c>
      <c r="G4520" cm="1">
        <f t="array" ref="G4520">PRODUCT( _xlfn._xlws.FILTER($E:$E, ($C:$C=C4520)*($F:$F=F4520)) ) - 1</f>
        <v>1.071196826576637E-3</v>
      </c>
    </row>
    <row r="4521" spans="1:7" x14ac:dyDescent="0.2">
      <c r="A4521" s="1">
        <v>42006</v>
      </c>
      <c r="B4521">
        <v>0</v>
      </c>
      <c r="C4521" t="s">
        <v>14</v>
      </c>
      <c r="D4521">
        <v>1.2194999999999999E-2</v>
      </c>
      <c r="E4521">
        <f t="shared" si="140"/>
        <v>1.012195</v>
      </c>
      <c r="F4521" s="1">
        <f t="shared" si="141"/>
        <v>42002</v>
      </c>
      <c r="G4521" cm="1">
        <f t="array" ref="G4521">PRODUCT( _xlfn._xlws.FILTER($E:$E, ($C:$C=C4521)*($F:$F=F4521)) ) - 1</f>
        <v>1.071196826576637E-3</v>
      </c>
    </row>
    <row r="4522" spans="1:7" x14ac:dyDescent="0.2">
      <c r="A4522" s="1">
        <v>42009</v>
      </c>
      <c r="B4522">
        <v>0</v>
      </c>
      <c r="C4522" t="s">
        <v>14</v>
      </c>
      <c r="D4522">
        <v>-4.3640999999999999E-2</v>
      </c>
      <c r="E4522">
        <f t="shared" si="140"/>
        <v>0.95635899999999996</v>
      </c>
      <c r="F4522" s="1">
        <f t="shared" si="141"/>
        <v>42009</v>
      </c>
      <c r="G4522" cm="1">
        <f t="array" ref="G4522">PRODUCT( _xlfn._xlws.FILTER($E:$E, ($C:$C=C4522)*($F:$F=F4522)) ) - 1</f>
        <v>-4.6586315516532584E-2</v>
      </c>
    </row>
    <row r="4523" spans="1:7" x14ac:dyDescent="0.2">
      <c r="A4523" s="1">
        <v>42010</v>
      </c>
      <c r="B4523">
        <v>0</v>
      </c>
      <c r="C4523" t="s">
        <v>14</v>
      </c>
      <c r="D4523">
        <v>-1.3717999999999999E-2</v>
      </c>
      <c r="E4523">
        <f t="shared" si="140"/>
        <v>0.98628199999999999</v>
      </c>
      <c r="F4523" s="1">
        <f t="shared" si="141"/>
        <v>42009</v>
      </c>
      <c r="G4523" cm="1">
        <f t="array" ref="G4523">PRODUCT( _xlfn._xlws.FILTER($E:$E, ($C:$C=C4523)*($F:$F=F4523)) ) - 1</f>
        <v>-4.6586315516532584E-2</v>
      </c>
    </row>
    <row r="4524" spans="1:7" x14ac:dyDescent="0.2">
      <c r="A4524" s="1">
        <v>42011</v>
      </c>
      <c r="B4524">
        <v>0</v>
      </c>
      <c r="C4524" t="s">
        <v>14</v>
      </c>
      <c r="D4524">
        <v>1.4189999999999999E-3</v>
      </c>
      <c r="E4524">
        <f t="shared" si="140"/>
        <v>1.0014190000000001</v>
      </c>
      <c r="F4524" s="1">
        <f t="shared" si="141"/>
        <v>42009</v>
      </c>
      <c r="G4524" cm="1">
        <f t="array" ref="G4524">PRODUCT( _xlfn._xlws.FILTER($E:$E, ($C:$C=C4524)*($F:$F=F4524)) ) - 1</f>
        <v>-4.6586315516532584E-2</v>
      </c>
    </row>
    <row r="4525" spans="1:7" x14ac:dyDescent="0.2">
      <c r="A4525" s="1">
        <v>42012</v>
      </c>
      <c r="B4525">
        <v>0</v>
      </c>
      <c r="C4525" t="s">
        <v>14</v>
      </c>
      <c r="D4525">
        <v>1.9841000000000001E-2</v>
      </c>
      <c r="E4525">
        <f t="shared" si="140"/>
        <v>1.019841</v>
      </c>
      <c r="F4525" s="1">
        <f t="shared" si="141"/>
        <v>42009</v>
      </c>
      <c r="G4525" cm="1">
        <f t="array" ref="G4525">PRODUCT( _xlfn._xlws.FILTER($E:$E, ($C:$C=C4525)*($F:$F=F4525)) ) - 1</f>
        <v>-4.6586315516532584E-2</v>
      </c>
    </row>
    <row r="4526" spans="1:7" x14ac:dyDescent="0.2">
      <c r="A4526" s="1">
        <v>42013</v>
      </c>
      <c r="B4526">
        <v>0</v>
      </c>
      <c r="C4526" t="s">
        <v>14</v>
      </c>
      <c r="D4526">
        <v>-1.0283E-2</v>
      </c>
      <c r="E4526">
        <f t="shared" si="140"/>
        <v>0.98971699999999996</v>
      </c>
      <c r="F4526" s="1">
        <f t="shared" si="141"/>
        <v>42009</v>
      </c>
      <c r="G4526" cm="1">
        <f t="array" ref="G4526">PRODUCT( _xlfn._xlws.FILTER($E:$E, ($C:$C=C4526)*($F:$F=F4526)) ) - 1</f>
        <v>-4.6586315516532584E-2</v>
      </c>
    </row>
    <row r="4527" spans="1:7" x14ac:dyDescent="0.2">
      <c r="A4527" s="1">
        <v>42016</v>
      </c>
      <c r="B4527">
        <v>0</v>
      </c>
      <c r="C4527" t="s">
        <v>14</v>
      </c>
      <c r="D4527">
        <v>-3.6226000000000001E-2</v>
      </c>
      <c r="E4527">
        <f t="shared" si="140"/>
        <v>0.96377400000000002</v>
      </c>
      <c r="F4527" s="1">
        <f t="shared" si="141"/>
        <v>42016</v>
      </c>
      <c r="G4527" cm="1">
        <f t="array" ref="G4527">PRODUCT( _xlfn._xlws.FILTER($E:$E, ($C:$C=C4527)*($F:$F=F4527)) ) - 1</f>
        <v>1.0951025684694526E-2</v>
      </c>
    </row>
    <row r="4528" spans="1:7" x14ac:dyDescent="0.2">
      <c r="A4528" s="1">
        <v>42017</v>
      </c>
      <c r="B4528">
        <v>0</v>
      </c>
      <c r="C4528" t="s">
        <v>14</v>
      </c>
      <c r="D4528">
        <v>1.4277E-2</v>
      </c>
      <c r="E4528">
        <f t="shared" si="140"/>
        <v>1.0142770000000001</v>
      </c>
      <c r="F4528" s="1">
        <f t="shared" si="141"/>
        <v>42016</v>
      </c>
      <c r="G4528" cm="1">
        <f t="array" ref="G4528">PRODUCT( _xlfn._xlws.FILTER($E:$E, ($C:$C=C4528)*($F:$F=F4528)) ) - 1</f>
        <v>1.0951025684694526E-2</v>
      </c>
    </row>
    <row r="4529" spans="1:7" x14ac:dyDescent="0.2">
      <c r="A4529" s="1">
        <v>42018</v>
      </c>
      <c r="B4529">
        <v>0</v>
      </c>
      <c r="C4529" t="s">
        <v>14</v>
      </c>
      <c r="D4529">
        <v>1.7240000000000001E-3</v>
      </c>
      <c r="E4529">
        <f t="shared" si="140"/>
        <v>1.0017240000000001</v>
      </c>
      <c r="F4529" s="1">
        <f t="shared" si="141"/>
        <v>42016</v>
      </c>
      <c r="G4529" cm="1">
        <f t="array" ref="G4529">PRODUCT( _xlfn._xlws.FILTER($E:$E, ($C:$C=C4529)*($F:$F=F4529)) ) - 1</f>
        <v>1.0951025684694526E-2</v>
      </c>
    </row>
    <row r="4530" spans="1:7" x14ac:dyDescent="0.2">
      <c r="A4530" s="1">
        <v>42019</v>
      </c>
      <c r="B4530">
        <v>0</v>
      </c>
      <c r="C4530" t="s">
        <v>14</v>
      </c>
      <c r="D4530">
        <v>-1.8641000000000001E-2</v>
      </c>
      <c r="E4530">
        <f t="shared" si="140"/>
        <v>0.98135899999999998</v>
      </c>
      <c r="F4530" s="1">
        <f t="shared" si="141"/>
        <v>42016</v>
      </c>
      <c r="G4530" cm="1">
        <f t="array" ref="G4530">PRODUCT( _xlfn._xlws.FILTER($E:$E, ($C:$C=C4530)*($F:$F=F4530)) ) - 1</f>
        <v>1.0951025684694526E-2</v>
      </c>
    </row>
    <row r="4531" spans="1:7" x14ac:dyDescent="0.2">
      <c r="A4531" s="1">
        <v>42020</v>
      </c>
      <c r="B4531">
        <v>0</v>
      </c>
      <c r="C4531" t="s">
        <v>14</v>
      </c>
      <c r="D4531">
        <v>5.2016E-2</v>
      </c>
      <c r="E4531">
        <f t="shared" si="140"/>
        <v>1.0520160000000001</v>
      </c>
      <c r="F4531" s="1">
        <f t="shared" si="141"/>
        <v>42016</v>
      </c>
      <c r="G4531" cm="1">
        <f t="array" ref="G4531">PRODUCT( _xlfn._xlws.FILTER($E:$E, ($C:$C=C4531)*($F:$F=F4531)) ) - 1</f>
        <v>1.0951025684694526E-2</v>
      </c>
    </row>
    <row r="4532" spans="1:7" x14ac:dyDescent="0.2">
      <c r="A4532" s="1">
        <v>42023</v>
      </c>
      <c r="B4532">
        <v>0</v>
      </c>
      <c r="C4532" t="s">
        <v>14</v>
      </c>
      <c r="D4532">
        <v>-1.2500000000000001E-2</v>
      </c>
      <c r="E4532">
        <f t="shared" si="140"/>
        <v>0.98750000000000004</v>
      </c>
      <c r="F4532" s="1">
        <f t="shared" si="141"/>
        <v>42023</v>
      </c>
      <c r="G4532" cm="1">
        <f t="array" ref="G4532">PRODUCT( _xlfn._xlws.FILTER($E:$E, ($C:$C=C4532)*($F:$F=F4532)) ) - 1</f>
        <v>3.7221878594781321E-2</v>
      </c>
    </row>
    <row r="4533" spans="1:7" x14ac:dyDescent="0.2">
      <c r="A4533" s="1">
        <v>42024</v>
      </c>
      <c r="B4533">
        <v>0</v>
      </c>
      <c r="C4533" t="s">
        <v>14</v>
      </c>
      <c r="D4533">
        <v>-1.7440000000000001E-2</v>
      </c>
      <c r="E4533">
        <f t="shared" si="140"/>
        <v>0.98255999999999999</v>
      </c>
      <c r="F4533" s="1">
        <f t="shared" si="141"/>
        <v>42023</v>
      </c>
      <c r="G4533" cm="1">
        <f t="array" ref="G4533">PRODUCT( _xlfn._xlws.FILTER($E:$E, ($C:$C=C4533)*($F:$F=F4533)) ) - 1</f>
        <v>3.7221878594781321E-2</v>
      </c>
    </row>
    <row r="4534" spans="1:7" x14ac:dyDescent="0.2">
      <c r="A4534" s="1">
        <v>42025</v>
      </c>
      <c r="B4534">
        <v>0</v>
      </c>
      <c r="C4534" t="s">
        <v>14</v>
      </c>
      <c r="D4534">
        <v>4.2084000000000003E-2</v>
      </c>
      <c r="E4534">
        <f t="shared" si="140"/>
        <v>1.042084</v>
      </c>
      <c r="F4534" s="1">
        <f t="shared" si="141"/>
        <v>42023</v>
      </c>
      <c r="G4534" cm="1">
        <f t="array" ref="G4534">PRODUCT( _xlfn._xlws.FILTER($E:$E, ($C:$C=C4534)*($F:$F=F4534)) ) - 1</f>
        <v>3.7221878594781321E-2</v>
      </c>
    </row>
    <row r="4535" spans="1:7" x14ac:dyDescent="0.2">
      <c r="A4535" s="1">
        <v>42026</v>
      </c>
      <c r="B4535">
        <v>0</v>
      </c>
      <c r="C4535" t="s">
        <v>14</v>
      </c>
      <c r="D4535">
        <v>1.7857000000000001E-2</v>
      </c>
      <c r="E4535">
        <f t="shared" si="140"/>
        <v>1.017857</v>
      </c>
      <c r="F4535" s="1">
        <f t="shared" si="141"/>
        <v>42023</v>
      </c>
      <c r="G4535" cm="1">
        <f t="array" ref="G4535">PRODUCT( _xlfn._xlws.FILTER($E:$E, ($C:$C=C4535)*($F:$F=F4535)) ) - 1</f>
        <v>3.7221878594781321E-2</v>
      </c>
    </row>
    <row r="4536" spans="1:7" x14ac:dyDescent="0.2">
      <c r="A4536" s="1">
        <v>42027</v>
      </c>
      <c r="B4536">
        <v>0</v>
      </c>
      <c r="C4536" t="s">
        <v>14</v>
      </c>
      <c r="D4536">
        <v>7.8270000000000006E-3</v>
      </c>
      <c r="E4536">
        <f t="shared" si="140"/>
        <v>1.007827</v>
      </c>
      <c r="F4536" s="1">
        <f t="shared" si="141"/>
        <v>42023</v>
      </c>
      <c r="G4536" cm="1">
        <f t="array" ref="G4536">PRODUCT( _xlfn._xlws.FILTER($E:$E, ($C:$C=C4536)*($F:$F=F4536)) ) - 1</f>
        <v>3.7221878594781321E-2</v>
      </c>
    </row>
    <row r="4537" spans="1:7" x14ac:dyDescent="0.2">
      <c r="A4537" s="1">
        <v>42030</v>
      </c>
      <c r="B4537">
        <v>0</v>
      </c>
      <c r="C4537" t="s">
        <v>14</v>
      </c>
      <c r="D4537">
        <v>-3.4819999999999999E-3</v>
      </c>
      <c r="E4537">
        <f t="shared" si="140"/>
        <v>0.99651800000000001</v>
      </c>
      <c r="F4537" s="1">
        <f t="shared" si="141"/>
        <v>42030</v>
      </c>
      <c r="G4537" cm="1">
        <f t="array" ref="G4537">PRODUCT( _xlfn._xlws.FILTER($E:$E, ($C:$C=C4537)*($F:$F=F4537)) ) - 1</f>
        <v>1.4996510523829665E-2</v>
      </c>
    </row>
    <row r="4538" spans="1:7" x14ac:dyDescent="0.2">
      <c r="A4538" s="1">
        <v>42031</v>
      </c>
      <c r="B4538">
        <v>0</v>
      </c>
      <c r="C4538" t="s">
        <v>14</v>
      </c>
      <c r="D4538">
        <v>1.1287E-2</v>
      </c>
      <c r="E4538">
        <f t="shared" si="140"/>
        <v>1.011287</v>
      </c>
      <c r="F4538" s="1">
        <f t="shared" si="141"/>
        <v>42030</v>
      </c>
      <c r="G4538" cm="1">
        <f t="array" ref="G4538">PRODUCT( _xlfn._xlws.FILTER($E:$E, ($C:$C=C4538)*($F:$F=F4538)) ) - 1</f>
        <v>1.4996510523829665E-2</v>
      </c>
    </row>
    <row r="4539" spans="1:7" x14ac:dyDescent="0.2">
      <c r="A4539" s="1">
        <v>42032</v>
      </c>
      <c r="B4539">
        <v>0</v>
      </c>
      <c r="C4539" t="s">
        <v>14</v>
      </c>
      <c r="D4539">
        <v>-2.3650999999999998E-2</v>
      </c>
      <c r="E4539">
        <f t="shared" si="140"/>
        <v>0.97634900000000002</v>
      </c>
      <c r="F4539" s="1">
        <f t="shared" si="141"/>
        <v>42030</v>
      </c>
      <c r="G4539" cm="1">
        <f t="array" ref="G4539">PRODUCT( _xlfn._xlws.FILTER($E:$E, ($C:$C=C4539)*($F:$F=F4539)) ) - 1</f>
        <v>1.4996510523829665E-2</v>
      </c>
    </row>
    <row r="4540" spans="1:7" x14ac:dyDescent="0.2">
      <c r="A4540" s="1">
        <v>42033</v>
      </c>
      <c r="B4540">
        <v>0</v>
      </c>
      <c r="C4540" t="s">
        <v>14</v>
      </c>
      <c r="D4540">
        <v>-8.1659999999999996E-3</v>
      </c>
      <c r="E4540">
        <f t="shared" si="140"/>
        <v>0.99183399999999999</v>
      </c>
      <c r="F4540" s="1">
        <f t="shared" si="141"/>
        <v>42030</v>
      </c>
      <c r="G4540" cm="1">
        <f t="array" ref="G4540">PRODUCT( _xlfn._xlws.FILTER($E:$E, ($C:$C=C4540)*($F:$F=F4540)) ) - 1</f>
        <v>1.4996510523829665E-2</v>
      </c>
    </row>
    <row r="4541" spans="1:7" x14ac:dyDescent="0.2">
      <c r="A4541" s="1">
        <v>42034</v>
      </c>
      <c r="B4541">
        <v>0</v>
      </c>
      <c r="C4541" t="s">
        <v>14</v>
      </c>
      <c r="D4541">
        <v>4.0065999999999997E-2</v>
      </c>
      <c r="E4541">
        <f t="shared" si="140"/>
        <v>1.0400659999999999</v>
      </c>
      <c r="F4541" s="1">
        <f t="shared" si="141"/>
        <v>42030</v>
      </c>
      <c r="G4541" cm="1">
        <f t="array" ref="G4541">PRODUCT( _xlfn._xlws.FILTER($E:$E, ($C:$C=C4541)*($F:$F=F4541)) ) - 1</f>
        <v>1.4996510523829665E-2</v>
      </c>
    </row>
    <row r="4542" spans="1:7" x14ac:dyDescent="0.2">
      <c r="A4542" s="1">
        <v>42037</v>
      </c>
      <c r="B4542">
        <v>0</v>
      </c>
      <c r="C4542" t="s">
        <v>14</v>
      </c>
      <c r="D4542">
        <v>3.8259000000000001E-2</v>
      </c>
      <c r="E4542">
        <f t="shared" si="140"/>
        <v>1.038259</v>
      </c>
      <c r="F4542" s="1">
        <f t="shared" si="141"/>
        <v>42037</v>
      </c>
      <c r="G4542" cm="1">
        <f t="array" ref="G4542">PRODUCT( _xlfn._xlws.FILTER($E:$E, ($C:$C=C4542)*($F:$F=F4542)) ) - 1</f>
        <v>2.2164522433320455E-2</v>
      </c>
    </row>
    <row r="4543" spans="1:7" x14ac:dyDescent="0.2">
      <c r="A4543" s="1">
        <v>42038</v>
      </c>
      <c r="B4543">
        <v>0</v>
      </c>
      <c r="C4543" t="s">
        <v>14</v>
      </c>
      <c r="D4543">
        <v>5.0829999999999998E-3</v>
      </c>
      <c r="E4543">
        <f t="shared" si="140"/>
        <v>1.0050829999999999</v>
      </c>
      <c r="F4543" s="1">
        <f t="shared" si="141"/>
        <v>42037</v>
      </c>
      <c r="G4543" cm="1">
        <f t="array" ref="G4543">PRODUCT( _xlfn._xlws.FILTER($E:$E, ($C:$C=C4543)*($F:$F=F4543)) ) - 1</f>
        <v>2.2164522433320455E-2</v>
      </c>
    </row>
    <row r="4544" spans="1:7" x14ac:dyDescent="0.2">
      <c r="A4544" s="1">
        <v>42039</v>
      </c>
      <c r="B4544">
        <v>0</v>
      </c>
      <c r="C4544" t="s">
        <v>14</v>
      </c>
      <c r="D4544">
        <v>-5.2086E-2</v>
      </c>
      <c r="E4544">
        <f t="shared" si="140"/>
        <v>0.94791400000000003</v>
      </c>
      <c r="F4544" s="1">
        <f t="shared" si="141"/>
        <v>42037</v>
      </c>
      <c r="G4544" cm="1">
        <f t="array" ref="G4544">PRODUCT( _xlfn._xlws.FILTER($E:$E, ($C:$C=C4544)*($F:$F=F4544)) ) - 1</f>
        <v>2.2164522433320455E-2</v>
      </c>
    </row>
    <row r="4545" spans="1:7" x14ac:dyDescent="0.2">
      <c r="A4545" s="1">
        <v>42040</v>
      </c>
      <c r="B4545">
        <v>0</v>
      </c>
      <c r="C4545" t="s">
        <v>14</v>
      </c>
      <c r="D4545">
        <v>2.8274000000000001E-2</v>
      </c>
      <c r="E4545">
        <f t="shared" si="140"/>
        <v>1.0282739999999999</v>
      </c>
      <c r="F4545" s="1">
        <f t="shared" si="141"/>
        <v>42037</v>
      </c>
      <c r="G4545" cm="1">
        <f t="array" ref="G4545">PRODUCT( _xlfn._xlws.FILTER($E:$E, ($C:$C=C4545)*($F:$F=F4545)) ) - 1</f>
        <v>2.2164522433320455E-2</v>
      </c>
    </row>
    <row r="4546" spans="1:7" x14ac:dyDescent="0.2">
      <c r="A4546" s="1">
        <v>42041</v>
      </c>
      <c r="B4546">
        <v>0</v>
      </c>
      <c r="C4546" t="s">
        <v>14</v>
      </c>
      <c r="D4546">
        <v>4.9290000000000002E-3</v>
      </c>
      <c r="E4546">
        <f t="shared" si="140"/>
        <v>1.004929</v>
      </c>
      <c r="F4546" s="1">
        <f t="shared" si="141"/>
        <v>42037</v>
      </c>
      <c r="G4546" cm="1">
        <f t="array" ref="G4546">PRODUCT( _xlfn._xlws.FILTER($E:$E, ($C:$C=C4546)*($F:$F=F4546)) ) - 1</f>
        <v>2.2164522433320455E-2</v>
      </c>
    </row>
    <row r="4547" spans="1:7" x14ac:dyDescent="0.2">
      <c r="A4547" s="1">
        <v>42044</v>
      </c>
      <c r="B4547">
        <v>0</v>
      </c>
      <c r="C4547" t="s">
        <v>14</v>
      </c>
      <c r="D4547">
        <v>1.4455000000000001E-2</v>
      </c>
      <c r="E4547">
        <f t="shared" si="140"/>
        <v>1.0144550000000001</v>
      </c>
      <c r="F4547" s="1">
        <f t="shared" si="141"/>
        <v>42044</v>
      </c>
      <c r="G4547" cm="1">
        <f t="array" ref="G4547">PRODUCT( _xlfn._xlws.FILTER($E:$E, ($C:$C=C4547)*($F:$F=F4547)) ) - 1</f>
        <v>1.7036291487320776E-2</v>
      </c>
    </row>
    <row r="4548" spans="1:7" x14ac:dyDescent="0.2">
      <c r="A4548" s="1">
        <v>42045</v>
      </c>
      <c r="B4548">
        <v>0</v>
      </c>
      <c r="C4548" t="s">
        <v>14</v>
      </c>
      <c r="D4548">
        <v>-2.2391999999999999E-2</v>
      </c>
      <c r="E4548">
        <f t="shared" ref="E4548:E4611" si="142">D4548+1</f>
        <v>0.97760800000000003</v>
      </c>
      <c r="F4548" s="1">
        <f t="shared" ref="F4548:F4611" si="143">A4548 - (WEEKDAY(A4548, 2) - 1)</f>
        <v>42044</v>
      </c>
      <c r="G4548" cm="1">
        <f t="array" ref="G4548">PRODUCT( _xlfn._xlws.FILTER($E:$E, ($C:$C=C4548)*($F:$F=F4548)) ) - 1</f>
        <v>1.7036291487320776E-2</v>
      </c>
    </row>
    <row r="4549" spans="1:7" x14ac:dyDescent="0.2">
      <c r="A4549" s="1">
        <v>42046</v>
      </c>
      <c r="B4549">
        <v>0</v>
      </c>
      <c r="C4549" t="s">
        <v>14</v>
      </c>
      <c r="D4549">
        <v>1.8220000000000001E-3</v>
      </c>
      <c r="E4549">
        <f t="shared" si="142"/>
        <v>1.001822</v>
      </c>
      <c r="F4549" s="1">
        <f t="shared" si="143"/>
        <v>42044</v>
      </c>
      <c r="G4549" cm="1">
        <f t="array" ref="G4549">PRODUCT( _xlfn._xlws.FILTER($E:$E, ($C:$C=C4549)*($F:$F=F4549)) ) - 1</f>
        <v>1.7036291487320776E-2</v>
      </c>
    </row>
    <row r="4550" spans="1:7" x14ac:dyDescent="0.2">
      <c r="A4550" s="1">
        <v>42047</v>
      </c>
      <c r="B4550">
        <v>0</v>
      </c>
      <c r="C4550" t="s">
        <v>14</v>
      </c>
      <c r="D4550">
        <v>1.5848000000000001E-2</v>
      </c>
      <c r="E4550">
        <f t="shared" si="142"/>
        <v>1.0158480000000001</v>
      </c>
      <c r="F4550" s="1">
        <f t="shared" si="143"/>
        <v>42044</v>
      </c>
      <c r="G4550" cm="1">
        <f t="array" ref="G4550">PRODUCT( _xlfn._xlws.FILTER($E:$E, ($C:$C=C4550)*($F:$F=F4550)) ) - 1</f>
        <v>1.7036291487320776E-2</v>
      </c>
    </row>
    <row r="4551" spans="1:7" x14ac:dyDescent="0.2">
      <c r="A4551" s="1">
        <v>42048</v>
      </c>
      <c r="B4551">
        <v>0</v>
      </c>
      <c r="C4551" t="s">
        <v>14</v>
      </c>
      <c r="D4551">
        <v>7.6730000000000001E-3</v>
      </c>
      <c r="E4551">
        <f t="shared" si="142"/>
        <v>1.007673</v>
      </c>
      <c r="F4551" s="1">
        <f t="shared" si="143"/>
        <v>42044</v>
      </c>
      <c r="G4551" cm="1">
        <f t="array" ref="G4551">PRODUCT( _xlfn._xlws.FILTER($E:$E, ($C:$C=C4551)*($F:$F=F4551)) ) - 1</f>
        <v>1.7036291487320776E-2</v>
      </c>
    </row>
    <row r="4552" spans="1:7" x14ac:dyDescent="0.2">
      <c r="A4552" s="1">
        <v>42052</v>
      </c>
      <c r="B4552">
        <v>0</v>
      </c>
      <c r="C4552" t="s">
        <v>14</v>
      </c>
      <c r="D4552">
        <v>-6.3449999999999999E-3</v>
      </c>
      <c r="E4552">
        <f t="shared" si="142"/>
        <v>0.99365499999999995</v>
      </c>
      <c r="F4552" s="1">
        <f t="shared" si="143"/>
        <v>42051</v>
      </c>
      <c r="G4552" cm="1">
        <f t="array" ref="G4552">PRODUCT( _xlfn._xlws.FILTER($E:$E, ($C:$C=C4552)*($F:$F=F4552)) ) - 1</f>
        <v>-2.360402605128531E-2</v>
      </c>
    </row>
    <row r="4553" spans="1:7" x14ac:dyDescent="0.2">
      <c r="A4553" s="1">
        <v>42053</v>
      </c>
      <c r="B4553">
        <v>0</v>
      </c>
      <c r="C4553" t="s">
        <v>14</v>
      </c>
      <c r="D4553">
        <v>-1.6858000000000001E-2</v>
      </c>
      <c r="E4553">
        <f t="shared" si="142"/>
        <v>0.98314199999999996</v>
      </c>
      <c r="F4553" s="1">
        <f t="shared" si="143"/>
        <v>42051</v>
      </c>
      <c r="G4553" cm="1">
        <f t="array" ref="G4553">PRODUCT( _xlfn._xlws.FILTER($E:$E, ($C:$C=C4553)*($F:$F=F4553)) ) - 1</f>
        <v>-2.360402605128531E-2</v>
      </c>
    </row>
    <row r="4554" spans="1:7" x14ac:dyDescent="0.2">
      <c r="A4554" s="1">
        <v>42054</v>
      </c>
      <c r="B4554">
        <v>0</v>
      </c>
      <c r="C4554" t="s">
        <v>14</v>
      </c>
      <c r="D4554">
        <v>-5.1999999999999995E-4</v>
      </c>
      <c r="E4554">
        <f t="shared" si="142"/>
        <v>0.99948000000000004</v>
      </c>
      <c r="F4554" s="1">
        <f t="shared" si="143"/>
        <v>42051</v>
      </c>
      <c r="G4554" cm="1">
        <f t="array" ref="G4554">PRODUCT( _xlfn._xlws.FILTER($E:$E, ($C:$C=C4554)*($F:$F=F4554)) ) - 1</f>
        <v>-2.360402605128531E-2</v>
      </c>
    </row>
    <row r="4555" spans="1:7" x14ac:dyDescent="0.2">
      <c r="A4555" s="1">
        <v>42055</v>
      </c>
      <c r="B4555">
        <v>0</v>
      </c>
      <c r="C4555" t="s">
        <v>14</v>
      </c>
      <c r="D4555">
        <v>0</v>
      </c>
      <c r="E4555">
        <f t="shared" si="142"/>
        <v>1</v>
      </c>
      <c r="F4555" s="1">
        <f t="shared" si="143"/>
        <v>42051</v>
      </c>
      <c r="G4555" cm="1">
        <f t="array" ref="G4555">PRODUCT( _xlfn._xlws.FILTER($E:$E, ($C:$C=C4555)*($F:$F=F4555)) ) - 1</f>
        <v>-2.360402605128531E-2</v>
      </c>
    </row>
    <row r="4556" spans="1:7" x14ac:dyDescent="0.2">
      <c r="A4556" s="1">
        <v>42058</v>
      </c>
      <c r="B4556">
        <v>0</v>
      </c>
      <c r="C4556" t="s">
        <v>14</v>
      </c>
      <c r="D4556">
        <v>5.1989999999999996E-3</v>
      </c>
      <c r="E4556">
        <f t="shared" si="142"/>
        <v>1.005199</v>
      </c>
      <c r="F4556" s="1">
        <f t="shared" si="143"/>
        <v>42058</v>
      </c>
      <c r="G4556" cm="1">
        <f t="array" ref="G4556">PRODUCT( _xlfn._xlws.FILTER($E:$E, ($C:$C=C4556)*($F:$F=F4556)) ) - 1</f>
        <v>-2.4435021812303059E-2</v>
      </c>
    </row>
    <row r="4557" spans="1:7" x14ac:dyDescent="0.2">
      <c r="A4557" s="1">
        <v>42059</v>
      </c>
      <c r="B4557">
        <v>0</v>
      </c>
      <c r="C4557" t="s">
        <v>14</v>
      </c>
      <c r="D4557">
        <v>-8.5339999999999999E-3</v>
      </c>
      <c r="E4557">
        <f t="shared" si="142"/>
        <v>0.99146599999999996</v>
      </c>
      <c r="F4557" s="1">
        <f t="shared" si="143"/>
        <v>42058</v>
      </c>
      <c r="G4557" cm="1">
        <f t="array" ref="G4557">PRODUCT( _xlfn._xlws.FILTER($E:$E, ($C:$C=C4557)*($F:$F=F4557)) ) - 1</f>
        <v>-2.4435021812303059E-2</v>
      </c>
    </row>
    <row r="4558" spans="1:7" x14ac:dyDescent="0.2">
      <c r="A4558" s="1">
        <v>42060</v>
      </c>
      <c r="B4558">
        <v>0</v>
      </c>
      <c r="C4558" t="s">
        <v>14</v>
      </c>
      <c r="D4558">
        <v>7.8200000000000003E-4</v>
      </c>
      <c r="E4558">
        <f t="shared" si="142"/>
        <v>1.0007820000000001</v>
      </c>
      <c r="F4558" s="1">
        <f t="shared" si="143"/>
        <v>42058</v>
      </c>
      <c r="G4558" cm="1">
        <f t="array" ref="G4558">PRODUCT( _xlfn._xlws.FILTER($E:$E, ($C:$C=C4558)*($F:$F=F4558)) ) - 1</f>
        <v>-2.4435021812303059E-2</v>
      </c>
    </row>
    <row r="4559" spans="1:7" x14ac:dyDescent="0.2">
      <c r="A4559" s="1">
        <v>42061</v>
      </c>
      <c r="B4559">
        <v>0</v>
      </c>
      <c r="C4559" t="s">
        <v>14</v>
      </c>
      <c r="D4559">
        <v>-4.6909999999999999E-3</v>
      </c>
      <c r="E4559">
        <f t="shared" si="142"/>
        <v>0.995309</v>
      </c>
      <c r="F4559" s="1">
        <f t="shared" si="143"/>
        <v>42058</v>
      </c>
      <c r="G4559" cm="1">
        <f t="array" ref="G4559">PRODUCT( _xlfn._xlws.FILTER($E:$E, ($C:$C=C4559)*($F:$F=F4559)) ) - 1</f>
        <v>-2.4435021812303059E-2</v>
      </c>
    </row>
    <row r="4560" spans="1:7" x14ac:dyDescent="0.2">
      <c r="A4560" s="1">
        <v>42062</v>
      </c>
      <c r="B4560">
        <v>0</v>
      </c>
      <c r="C4560" t="s">
        <v>14</v>
      </c>
      <c r="D4560">
        <v>-1.7281999999999999E-2</v>
      </c>
      <c r="E4560">
        <f t="shared" si="142"/>
        <v>0.98271799999999998</v>
      </c>
      <c r="F4560" s="1">
        <f t="shared" si="143"/>
        <v>42058</v>
      </c>
      <c r="G4560" cm="1">
        <f t="array" ref="G4560">PRODUCT( _xlfn._xlws.FILTER($E:$E, ($C:$C=C4560)*($F:$F=F4560)) ) - 1</f>
        <v>-2.4435021812303059E-2</v>
      </c>
    </row>
    <row r="4561" spans="1:7" x14ac:dyDescent="0.2">
      <c r="A4561" s="1">
        <v>42065</v>
      </c>
      <c r="B4561">
        <v>0</v>
      </c>
      <c r="C4561" t="s">
        <v>14</v>
      </c>
      <c r="D4561">
        <v>-4.5300000000000002E-3</v>
      </c>
      <c r="E4561">
        <f t="shared" si="142"/>
        <v>0.99546999999999997</v>
      </c>
      <c r="F4561" s="1">
        <f t="shared" si="143"/>
        <v>42065</v>
      </c>
      <c r="G4561" cm="1">
        <f t="array" ref="G4561">PRODUCT( _xlfn._xlws.FILTER($E:$E, ($C:$C=C4561)*($F:$F=F4561)) ) - 1</f>
        <v>-9.0937907582367972E-3</v>
      </c>
    </row>
    <row r="4562" spans="1:7" x14ac:dyDescent="0.2">
      <c r="A4562" s="1">
        <v>42066</v>
      </c>
      <c r="B4562">
        <v>0</v>
      </c>
      <c r="C4562" t="s">
        <v>14</v>
      </c>
      <c r="D4562">
        <v>1.2945E-2</v>
      </c>
      <c r="E4562">
        <f t="shared" si="142"/>
        <v>1.012945</v>
      </c>
      <c r="F4562" s="1">
        <f t="shared" si="143"/>
        <v>42065</v>
      </c>
      <c r="G4562" cm="1">
        <f t="array" ref="G4562">PRODUCT( _xlfn._xlws.FILTER($E:$E, ($C:$C=C4562)*($F:$F=F4562)) ) - 1</f>
        <v>-9.0937907582367972E-3</v>
      </c>
    </row>
    <row r="4563" spans="1:7" x14ac:dyDescent="0.2">
      <c r="A4563" s="1">
        <v>42067</v>
      </c>
      <c r="B4563">
        <v>0</v>
      </c>
      <c r="C4563" t="s">
        <v>14</v>
      </c>
      <c r="D4563">
        <v>-4.5259999999999996E-3</v>
      </c>
      <c r="E4563">
        <f t="shared" si="142"/>
        <v>0.99547399999999997</v>
      </c>
      <c r="F4563" s="1">
        <f t="shared" si="143"/>
        <v>42065</v>
      </c>
      <c r="G4563" cm="1">
        <f t="array" ref="G4563">PRODUCT( _xlfn._xlws.FILTER($E:$E, ($C:$C=C4563)*($F:$F=F4563)) ) - 1</f>
        <v>-9.0937907582367972E-3</v>
      </c>
    </row>
    <row r="4564" spans="1:7" x14ac:dyDescent="0.2">
      <c r="A4564" s="1">
        <v>42068</v>
      </c>
      <c r="B4564">
        <v>0</v>
      </c>
      <c r="C4564" t="s">
        <v>14</v>
      </c>
      <c r="D4564">
        <v>-7.489E-3</v>
      </c>
      <c r="E4564">
        <f t="shared" si="142"/>
        <v>0.99251100000000003</v>
      </c>
      <c r="F4564" s="1">
        <f t="shared" si="143"/>
        <v>42065</v>
      </c>
      <c r="G4564" cm="1">
        <f t="array" ref="G4564">PRODUCT( _xlfn._xlws.FILTER($E:$E, ($C:$C=C4564)*($F:$F=F4564)) ) - 1</f>
        <v>-9.0937907582367972E-3</v>
      </c>
    </row>
    <row r="4565" spans="1:7" x14ac:dyDescent="0.2">
      <c r="A4565" s="1">
        <v>42069</v>
      </c>
      <c r="B4565">
        <v>0</v>
      </c>
      <c r="C4565" t="s">
        <v>14</v>
      </c>
      <c r="D4565">
        <v>-5.3889999999999997E-3</v>
      </c>
      <c r="E4565">
        <f t="shared" si="142"/>
        <v>0.99461100000000002</v>
      </c>
      <c r="F4565" s="1">
        <f t="shared" si="143"/>
        <v>42065</v>
      </c>
      <c r="G4565" cm="1">
        <f t="array" ref="G4565">PRODUCT( _xlfn._xlws.FILTER($E:$E, ($C:$C=C4565)*($F:$F=F4565)) ) - 1</f>
        <v>-9.0937907582367972E-3</v>
      </c>
    </row>
    <row r="4566" spans="1:7" x14ac:dyDescent="0.2">
      <c r="A4566" s="1">
        <v>42072</v>
      </c>
      <c r="B4566">
        <v>0</v>
      </c>
      <c r="C4566" t="s">
        <v>14</v>
      </c>
      <c r="D4566">
        <v>-2.6009000000000001E-2</v>
      </c>
      <c r="E4566">
        <f t="shared" si="142"/>
        <v>0.97399100000000005</v>
      </c>
      <c r="F4566" s="1">
        <f t="shared" si="143"/>
        <v>42072</v>
      </c>
      <c r="G4566" cm="1">
        <f t="array" ref="G4566">PRODUCT( _xlfn._xlws.FILTER($E:$E, ($C:$C=C4566)*($F:$F=F4566)) ) - 1</f>
        <v>-4.253635803362632E-2</v>
      </c>
    </row>
    <row r="4567" spans="1:7" x14ac:dyDescent="0.2">
      <c r="A4567" s="1">
        <v>42073</v>
      </c>
      <c r="B4567">
        <v>0</v>
      </c>
      <c r="C4567" t="s">
        <v>14</v>
      </c>
      <c r="D4567">
        <v>-1.1405E-2</v>
      </c>
      <c r="E4567">
        <f t="shared" si="142"/>
        <v>0.988595</v>
      </c>
      <c r="F4567" s="1">
        <f t="shared" si="143"/>
        <v>42072</v>
      </c>
      <c r="G4567" cm="1">
        <f t="array" ref="G4567">PRODUCT( _xlfn._xlws.FILTER($E:$E, ($C:$C=C4567)*($F:$F=F4567)) ) - 1</f>
        <v>-4.253635803362632E-2</v>
      </c>
    </row>
    <row r="4568" spans="1:7" x14ac:dyDescent="0.2">
      <c r="A4568" s="1">
        <v>42074</v>
      </c>
      <c r="B4568">
        <v>0</v>
      </c>
      <c r="C4568" t="s">
        <v>14</v>
      </c>
      <c r="D4568">
        <v>1.3506000000000001E-2</v>
      </c>
      <c r="E4568">
        <f t="shared" si="142"/>
        <v>1.013506</v>
      </c>
      <c r="F4568" s="1">
        <f t="shared" si="143"/>
        <v>42072</v>
      </c>
      <c r="G4568" cm="1">
        <f t="array" ref="G4568">PRODUCT( _xlfn._xlws.FILTER($E:$E, ($C:$C=C4568)*($F:$F=F4568)) ) - 1</f>
        <v>-4.253635803362632E-2</v>
      </c>
    </row>
    <row r="4569" spans="1:7" x14ac:dyDescent="0.2">
      <c r="A4569" s="1">
        <v>42075</v>
      </c>
      <c r="B4569">
        <v>0</v>
      </c>
      <c r="C4569" t="s">
        <v>14</v>
      </c>
      <c r="D4569">
        <v>-1.7767999999999999E-2</v>
      </c>
      <c r="E4569">
        <f t="shared" si="142"/>
        <v>0.98223199999999999</v>
      </c>
      <c r="F4569" s="1">
        <f t="shared" si="143"/>
        <v>42072</v>
      </c>
      <c r="G4569" cm="1">
        <f t="array" ref="G4569">PRODUCT( _xlfn._xlws.FILTER($E:$E, ($C:$C=C4569)*($F:$F=F4569)) ) - 1</f>
        <v>-4.253635803362632E-2</v>
      </c>
    </row>
    <row r="4570" spans="1:7" x14ac:dyDescent="0.2">
      <c r="A4570" s="1">
        <v>42076</v>
      </c>
      <c r="B4570">
        <v>0</v>
      </c>
      <c r="C4570" t="s">
        <v>14</v>
      </c>
      <c r="D4570">
        <v>-1.1310000000000001E-3</v>
      </c>
      <c r="E4570">
        <f t="shared" si="142"/>
        <v>0.99886900000000001</v>
      </c>
      <c r="F4570" s="1">
        <f t="shared" si="143"/>
        <v>42072</v>
      </c>
      <c r="G4570" cm="1">
        <f t="array" ref="G4570">PRODUCT( _xlfn._xlws.FILTER($E:$E, ($C:$C=C4570)*($F:$F=F4570)) ) - 1</f>
        <v>-4.253635803362632E-2</v>
      </c>
    </row>
    <row r="4571" spans="1:7" x14ac:dyDescent="0.2">
      <c r="A4571" s="1">
        <v>42079</v>
      </c>
      <c r="B4571">
        <v>0</v>
      </c>
      <c r="C4571" t="s">
        <v>14</v>
      </c>
      <c r="D4571">
        <v>-3.3960000000000001E-3</v>
      </c>
      <c r="E4571">
        <f t="shared" si="142"/>
        <v>0.99660400000000005</v>
      </c>
      <c r="F4571" s="1">
        <f t="shared" si="143"/>
        <v>42079</v>
      </c>
      <c r="G4571" cm="1">
        <f t="array" ref="G4571">PRODUCT( _xlfn._xlws.FILTER($E:$E, ($C:$C=C4571)*($F:$F=F4571)) ) - 1</f>
        <v>3.1122185609948616E-3</v>
      </c>
    </row>
    <row r="4572" spans="1:7" x14ac:dyDescent="0.2">
      <c r="A4572" s="1">
        <v>42080</v>
      </c>
      <c r="B4572">
        <v>0</v>
      </c>
      <c r="C4572" t="s">
        <v>14</v>
      </c>
      <c r="D4572">
        <v>-3.1229999999999999E-3</v>
      </c>
      <c r="E4572">
        <f t="shared" si="142"/>
        <v>0.99687700000000001</v>
      </c>
      <c r="F4572" s="1">
        <f t="shared" si="143"/>
        <v>42079</v>
      </c>
      <c r="G4572" cm="1">
        <f t="array" ref="G4572">PRODUCT( _xlfn._xlws.FILTER($E:$E, ($C:$C=C4572)*($F:$F=F4572)) ) - 1</f>
        <v>3.1122185609948616E-3</v>
      </c>
    </row>
    <row r="4573" spans="1:7" x14ac:dyDescent="0.2">
      <c r="A4573" s="1">
        <v>42081</v>
      </c>
      <c r="B4573">
        <v>0</v>
      </c>
      <c r="C4573" t="s">
        <v>14</v>
      </c>
      <c r="D4573">
        <v>2.3355000000000001E-2</v>
      </c>
      <c r="E4573">
        <f t="shared" si="142"/>
        <v>1.023355</v>
      </c>
      <c r="F4573" s="1">
        <f t="shared" si="143"/>
        <v>42079</v>
      </c>
      <c r="G4573" cm="1">
        <f t="array" ref="G4573">PRODUCT( _xlfn._xlws.FILTER($E:$E, ($C:$C=C4573)*($F:$F=F4573)) ) - 1</f>
        <v>3.1122185609948616E-3</v>
      </c>
    </row>
    <row r="4574" spans="1:7" x14ac:dyDescent="0.2">
      <c r="A4574" s="1">
        <v>42082</v>
      </c>
      <c r="B4574">
        <v>0</v>
      </c>
      <c r="C4574" t="s">
        <v>14</v>
      </c>
      <c r="D4574">
        <v>-1.4473E-2</v>
      </c>
      <c r="E4574">
        <f t="shared" si="142"/>
        <v>0.98552700000000004</v>
      </c>
      <c r="F4574" s="1">
        <f t="shared" si="143"/>
        <v>42079</v>
      </c>
      <c r="G4574" cm="1">
        <f t="array" ref="G4574">PRODUCT( _xlfn._xlws.FILTER($E:$E, ($C:$C=C4574)*($F:$F=F4574)) ) - 1</f>
        <v>3.1122185609948616E-3</v>
      </c>
    </row>
    <row r="4575" spans="1:7" x14ac:dyDescent="0.2">
      <c r="A4575" s="1">
        <v>42083</v>
      </c>
      <c r="B4575">
        <v>0</v>
      </c>
      <c r="C4575" t="s">
        <v>14</v>
      </c>
      <c r="D4575">
        <v>1.1299999999999999E-3</v>
      </c>
      <c r="E4575">
        <f t="shared" si="142"/>
        <v>1.0011300000000001</v>
      </c>
      <c r="F4575" s="1">
        <f t="shared" si="143"/>
        <v>42079</v>
      </c>
      <c r="G4575" cm="1">
        <f t="array" ref="G4575">PRODUCT( _xlfn._xlws.FILTER($E:$E, ($C:$C=C4575)*($F:$F=F4575)) ) - 1</f>
        <v>3.1122185609948616E-3</v>
      </c>
    </row>
    <row r="4576" spans="1:7" x14ac:dyDescent="0.2">
      <c r="A4576" s="1">
        <v>42086</v>
      </c>
      <c r="B4576">
        <v>0</v>
      </c>
      <c r="C4576" t="s">
        <v>14</v>
      </c>
      <c r="D4576">
        <v>8.1810000000000008E-3</v>
      </c>
      <c r="E4576">
        <f t="shared" si="142"/>
        <v>1.008181</v>
      </c>
      <c r="F4576" s="1">
        <f t="shared" si="143"/>
        <v>42086</v>
      </c>
      <c r="G4576" cm="1">
        <f t="array" ref="G4576">PRODUCT( _xlfn._xlws.FILTER($E:$E, ($C:$C=C4576)*($F:$F=F4576)) ) - 1</f>
        <v>3.3286050600241035E-2</v>
      </c>
    </row>
    <row r="4577" spans="1:7" x14ac:dyDescent="0.2">
      <c r="A4577" s="1">
        <v>42087</v>
      </c>
      <c r="B4577">
        <v>0</v>
      </c>
      <c r="C4577" t="s">
        <v>14</v>
      </c>
      <c r="D4577">
        <v>6.4349999999999997E-3</v>
      </c>
      <c r="E4577">
        <f t="shared" si="142"/>
        <v>1.006435</v>
      </c>
      <c r="F4577" s="1">
        <f t="shared" si="143"/>
        <v>42086</v>
      </c>
      <c r="G4577" cm="1">
        <f t="array" ref="G4577">PRODUCT( _xlfn._xlws.FILTER($E:$E, ($C:$C=C4577)*($F:$F=F4577)) ) - 1</f>
        <v>3.3286050600241035E-2</v>
      </c>
    </row>
    <row r="4578" spans="1:7" x14ac:dyDescent="0.2">
      <c r="A4578" s="1">
        <v>42088</v>
      </c>
      <c r="B4578">
        <v>0</v>
      </c>
      <c r="C4578" t="s">
        <v>14</v>
      </c>
      <c r="D4578">
        <v>5.2820000000000002E-3</v>
      </c>
      <c r="E4578">
        <f t="shared" si="142"/>
        <v>1.005282</v>
      </c>
      <c r="F4578" s="1">
        <f t="shared" si="143"/>
        <v>42086</v>
      </c>
      <c r="G4578" cm="1">
        <f t="array" ref="G4578">PRODUCT( _xlfn._xlws.FILTER($E:$E, ($C:$C=C4578)*($F:$F=F4578)) ) - 1</f>
        <v>3.3286050600241035E-2</v>
      </c>
    </row>
    <row r="4579" spans="1:7" x14ac:dyDescent="0.2">
      <c r="A4579" s="1">
        <v>42089</v>
      </c>
      <c r="B4579">
        <v>0</v>
      </c>
      <c r="C4579" t="s">
        <v>14</v>
      </c>
      <c r="D4579">
        <v>1.0784999999999999E-2</v>
      </c>
      <c r="E4579">
        <f t="shared" si="142"/>
        <v>1.010785</v>
      </c>
      <c r="F4579" s="1">
        <f t="shared" si="143"/>
        <v>42086</v>
      </c>
      <c r="G4579" cm="1">
        <f t="array" ref="G4579">PRODUCT( _xlfn._xlws.FILTER($E:$E, ($C:$C=C4579)*($F:$F=F4579)) ) - 1</f>
        <v>3.3286050600241035E-2</v>
      </c>
    </row>
    <row r="4580" spans="1:7" x14ac:dyDescent="0.2">
      <c r="A4580" s="1">
        <v>42090</v>
      </c>
      <c r="B4580">
        <v>0</v>
      </c>
      <c r="C4580" t="s">
        <v>14</v>
      </c>
      <c r="D4580">
        <v>2.189E-3</v>
      </c>
      <c r="E4580">
        <f t="shared" si="142"/>
        <v>1.002189</v>
      </c>
      <c r="F4580" s="1">
        <f t="shared" si="143"/>
        <v>42086</v>
      </c>
      <c r="G4580" cm="1">
        <f t="array" ref="G4580">PRODUCT( _xlfn._xlws.FILTER($E:$E, ($C:$C=C4580)*($F:$F=F4580)) ) - 1</f>
        <v>3.3286050600241035E-2</v>
      </c>
    </row>
    <row r="4581" spans="1:7" x14ac:dyDescent="0.2">
      <c r="A4581" s="1">
        <v>42093</v>
      </c>
      <c r="B4581">
        <v>0</v>
      </c>
      <c r="C4581" t="s">
        <v>14</v>
      </c>
      <c r="D4581">
        <v>6.5519999999999997E-3</v>
      </c>
      <c r="E4581">
        <f t="shared" si="142"/>
        <v>1.0065519999999999</v>
      </c>
      <c r="F4581" s="1">
        <f t="shared" si="143"/>
        <v>42093</v>
      </c>
      <c r="G4581" cm="1">
        <f t="array" ref="G4581">PRODUCT( _xlfn._xlws.FILTER($E:$E, ($C:$C=C4581)*($F:$F=F4581)) ) - 1</f>
        <v>5.5146305059623035E-2</v>
      </c>
    </row>
    <row r="4582" spans="1:7" x14ac:dyDescent="0.2">
      <c r="A4582" s="1">
        <v>42094</v>
      </c>
      <c r="B4582">
        <v>0</v>
      </c>
      <c r="C4582" t="s">
        <v>14</v>
      </c>
      <c r="D4582">
        <v>3.797E-3</v>
      </c>
      <c r="E4582">
        <f t="shared" si="142"/>
        <v>1.0037970000000001</v>
      </c>
      <c r="F4582" s="1">
        <f t="shared" si="143"/>
        <v>42093</v>
      </c>
      <c r="G4582" cm="1">
        <f t="array" ref="G4582">PRODUCT( _xlfn._xlws.FILTER($E:$E, ($C:$C=C4582)*($F:$F=F4582)) ) - 1</f>
        <v>5.5146305059623035E-2</v>
      </c>
    </row>
    <row r="4583" spans="1:7" x14ac:dyDescent="0.2">
      <c r="A4583" s="1">
        <v>42095</v>
      </c>
      <c r="B4583">
        <v>0</v>
      </c>
      <c r="C4583" t="s">
        <v>14</v>
      </c>
      <c r="D4583">
        <v>6.4850000000000003E-3</v>
      </c>
      <c r="E4583">
        <f t="shared" si="142"/>
        <v>1.0064850000000001</v>
      </c>
      <c r="F4583" s="1">
        <f t="shared" si="143"/>
        <v>42093</v>
      </c>
      <c r="G4583" cm="1">
        <f t="array" ref="G4583">PRODUCT( _xlfn._xlws.FILTER($E:$E, ($C:$C=C4583)*($F:$F=F4583)) ) - 1</f>
        <v>5.5146305059623035E-2</v>
      </c>
    </row>
    <row r="4584" spans="1:7" x14ac:dyDescent="0.2">
      <c r="A4584" s="1">
        <v>42096</v>
      </c>
      <c r="B4584">
        <v>0</v>
      </c>
      <c r="C4584" t="s">
        <v>14</v>
      </c>
      <c r="D4584">
        <v>3.7583999999999999E-2</v>
      </c>
      <c r="E4584">
        <f t="shared" si="142"/>
        <v>1.0375840000000001</v>
      </c>
      <c r="F4584" s="1">
        <f t="shared" si="143"/>
        <v>42093</v>
      </c>
      <c r="G4584" cm="1">
        <f t="array" ref="G4584">PRODUCT( _xlfn._xlws.FILTER($E:$E, ($C:$C=C4584)*($F:$F=F4584)) ) - 1</f>
        <v>5.5146305059623035E-2</v>
      </c>
    </row>
    <row r="4585" spans="1:7" x14ac:dyDescent="0.2">
      <c r="A4585" s="1">
        <v>42100</v>
      </c>
      <c r="B4585">
        <v>0</v>
      </c>
      <c r="C4585" t="s">
        <v>14</v>
      </c>
      <c r="D4585">
        <v>1.8109999999999999E-3</v>
      </c>
      <c r="E4585">
        <f t="shared" si="142"/>
        <v>1.001811</v>
      </c>
      <c r="F4585" s="1">
        <f t="shared" si="143"/>
        <v>42100</v>
      </c>
      <c r="G4585" cm="1">
        <f t="array" ref="G4585">PRODUCT( _xlfn._xlws.FILTER($E:$E, ($C:$C=C4585)*($F:$F=F4585)) ) - 1</f>
        <v>2.6649249941250064E-2</v>
      </c>
    </row>
    <row r="4586" spans="1:7" x14ac:dyDescent="0.2">
      <c r="A4586" s="1">
        <v>42101</v>
      </c>
      <c r="B4586">
        <v>0</v>
      </c>
      <c r="C4586" t="s">
        <v>14</v>
      </c>
      <c r="D4586">
        <v>6.7149999999999996E-3</v>
      </c>
      <c r="E4586">
        <f t="shared" si="142"/>
        <v>1.006715</v>
      </c>
      <c r="F4586" s="1">
        <f t="shared" si="143"/>
        <v>42100</v>
      </c>
      <c r="G4586" cm="1">
        <f t="array" ref="G4586">PRODUCT( _xlfn._xlws.FILTER($E:$E, ($C:$C=C4586)*($F:$F=F4586)) ) - 1</f>
        <v>2.6649249941250064E-2</v>
      </c>
    </row>
    <row r="4587" spans="1:7" x14ac:dyDescent="0.2">
      <c r="A4587" s="1">
        <v>42102</v>
      </c>
      <c r="B4587">
        <v>0</v>
      </c>
      <c r="C4587" t="s">
        <v>14</v>
      </c>
      <c r="D4587">
        <v>-3.5920000000000001E-3</v>
      </c>
      <c r="E4587">
        <f t="shared" si="142"/>
        <v>0.99640799999999996</v>
      </c>
      <c r="F4587" s="1">
        <f t="shared" si="143"/>
        <v>42100</v>
      </c>
      <c r="G4587" cm="1">
        <f t="array" ref="G4587">PRODUCT( _xlfn._xlws.FILTER($E:$E, ($C:$C=C4587)*($F:$F=F4587)) ) - 1</f>
        <v>2.6649249941250064E-2</v>
      </c>
    </row>
    <row r="4588" spans="1:7" x14ac:dyDescent="0.2">
      <c r="A4588" s="1">
        <v>42103</v>
      </c>
      <c r="B4588">
        <v>0</v>
      </c>
      <c r="C4588" t="s">
        <v>14</v>
      </c>
      <c r="D4588">
        <v>1.3646E-2</v>
      </c>
      <c r="E4588">
        <f t="shared" si="142"/>
        <v>1.013646</v>
      </c>
      <c r="F4588" s="1">
        <f t="shared" si="143"/>
        <v>42100</v>
      </c>
      <c r="G4588" cm="1">
        <f t="array" ref="G4588">PRODUCT( _xlfn._xlws.FILTER($E:$E, ($C:$C=C4588)*($F:$F=F4588)) ) - 1</f>
        <v>2.6649249941250064E-2</v>
      </c>
    </row>
    <row r="4589" spans="1:7" x14ac:dyDescent="0.2">
      <c r="A4589" s="1">
        <v>42104</v>
      </c>
      <c r="B4589">
        <v>0</v>
      </c>
      <c r="C4589" t="s">
        <v>14</v>
      </c>
      <c r="D4589">
        <v>7.8740000000000008E-3</v>
      </c>
      <c r="E4589">
        <f t="shared" si="142"/>
        <v>1.0078739999999999</v>
      </c>
      <c r="F4589" s="1">
        <f t="shared" si="143"/>
        <v>42100</v>
      </c>
      <c r="G4589" cm="1">
        <f t="array" ref="G4589">PRODUCT( _xlfn._xlws.FILTER($E:$E, ($C:$C=C4589)*($F:$F=F4589)) ) - 1</f>
        <v>2.6649249941250064E-2</v>
      </c>
    </row>
    <row r="4590" spans="1:7" x14ac:dyDescent="0.2">
      <c r="A4590" s="1">
        <v>42107</v>
      </c>
      <c r="B4590">
        <v>0</v>
      </c>
      <c r="C4590" t="s">
        <v>14</v>
      </c>
      <c r="D4590">
        <v>-3.7799999999999999E-3</v>
      </c>
      <c r="E4590">
        <f t="shared" si="142"/>
        <v>0.99621999999999999</v>
      </c>
      <c r="F4590" s="1">
        <f t="shared" si="143"/>
        <v>42107</v>
      </c>
      <c r="G4590" cm="1">
        <f t="array" ref="G4590">PRODUCT( _xlfn._xlws.FILTER($E:$E, ($C:$C=C4590)*($F:$F=F4590)) ) - 1</f>
        <v>1.1088803543194636E-2</v>
      </c>
    </row>
    <row r="4591" spans="1:7" x14ac:dyDescent="0.2">
      <c r="A4591" s="1">
        <v>42108</v>
      </c>
      <c r="B4591">
        <v>0</v>
      </c>
      <c r="C4591" t="s">
        <v>14</v>
      </c>
      <c r="D4591">
        <v>9.3600000000000003E-3</v>
      </c>
      <c r="E4591">
        <f t="shared" si="142"/>
        <v>1.00936</v>
      </c>
      <c r="F4591" s="1">
        <f t="shared" si="143"/>
        <v>42107</v>
      </c>
      <c r="G4591" cm="1">
        <f t="array" ref="G4591">PRODUCT( _xlfn._xlws.FILTER($E:$E, ($C:$C=C4591)*($F:$F=F4591)) ) - 1</f>
        <v>1.1088803543194636E-2</v>
      </c>
    </row>
    <row r="4592" spans="1:7" x14ac:dyDescent="0.2">
      <c r="A4592" s="1">
        <v>42109</v>
      </c>
      <c r="B4592">
        <v>0</v>
      </c>
      <c r="C4592" t="s">
        <v>14</v>
      </c>
      <c r="D4592">
        <v>1.9297999999999999E-2</v>
      </c>
      <c r="E4592">
        <f t="shared" si="142"/>
        <v>1.019298</v>
      </c>
      <c r="F4592" s="1">
        <f t="shared" si="143"/>
        <v>42107</v>
      </c>
      <c r="G4592" cm="1">
        <f t="array" ref="G4592">PRODUCT( _xlfn._xlws.FILTER($E:$E, ($C:$C=C4592)*($F:$F=F4592)) ) - 1</f>
        <v>1.1088803543194636E-2</v>
      </c>
    </row>
    <row r="4593" spans="1:7" x14ac:dyDescent="0.2">
      <c r="A4593" s="1">
        <v>42110</v>
      </c>
      <c r="B4593">
        <v>0</v>
      </c>
      <c r="C4593" t="s">
        <v>14</v>
      </c>
      <c r="D4593">
        <v>-1.4753E-2</v>
      </c>
      <c r="E4593">
        <f t="shared" si="142"/>
        <v>0.98524699999999998</v>
      </c>
      <c r="F4593" s="1">
        <f t="shared" si="143"/>
        <v>42107</v>
      </c>
      <c r="G4593" cm="1">
        <f t="array" ref="G4593">PRODUCT( _xlfn._xlws.FILTER($E:$E, ($C:$C=C4593)*($F:$F=F4593)) ) - 1</f>
        <v>1.1088803543194636E-2</v>
      </c>
    </row>
    <row r="4594" spans="1:7" x14ac:dyDescent="0.2">
      <c r="A4594" s="1">
        <v>42111</v>
      </c>
      <c r="B4594">
        <v>0</v>
      </c>
      <c r="C4594" t="s">
        <v>14</v>
      </c>
      <c r="D4594">
        <v>1.248E-3</v>
      </c>
      <c r="E4594">
        <f t="shared" si="142"/>
        <v>1.0012479999999999</v>
      </c>
      <c r="F4594" s="1">
        <f t="shared" si="143"/>
        <v>42107</v>
      </c>
      <c r="G4594" cm="1">
        <f t="array" ref="G4594">PRODUCT( _xlfn._xlws.FILTER($E:$E, ($C:$C=C4594)*($F:$F=F4594)) ) - 1</f>
        <v>1.1088803543194636E-2</v>
      </c>
    </row>
    <row r="4595" spans="1:7" x14ac:dyDescent="0.2">
      <c r="A4595" s="1">
        <v>42114</v>
      </c>
      <c r="B4595">
        <v>0</v>
      </c>
      <c r="C4595" t="s">
        <v>14</v>
      </c>
      <c r="D4595">
        <v>3.7390000000000001E-3</v>
      </c>
      <c r="E4595">
        <f t="shared" si="142"/>
        <v>1.0037389999999999</v>
      </c>
      <c r="F4595" s="1">
        <f t="shared" si="143"/>
        <v>42114</v>
      </c>
      <c r="G4595" cm="1">
        <f t="array" ref="G4595">PRODUCT( _xlfn._xlws.FILTER($E:$E, ($C:$C=C4595)*($F:$F=F4595)) ) - 1</f>
        <v>2.4929885734761292E-3</v>
      </c>
    </row>
    <row r="4596" spans="1:7" x14ac:dyDescent="0.2">
      <c r="A4596" s="1">
        <v>42115</v>
      </c>
      <c r="B4596">
        <v>0</v>
      </c>
      <c r="C4596" t="s">
        <v>14</v>
      </c>
      <c r="D4596">
        <v>-8.6910000000000008E-3</v>
      </c>
      <c r="E4596">
        <f t="shared" si="142"/>
        <v>0.991309</v>
      </c>
      <c r="F4596" s="1">
        <f t="shared" si="143"/>
        <v>42114</v>
      </c>
      <c r="G4596" cm="1">
        <f t="array" ref="G4596">PRODUCT( _xlfn._xlws.FILTER($E:$E, ($C:$C=C4596)*($F:$F=F4596)) ) - 1</f>
        <v>2.4929885734761292E-3</v>
      </c>
    </row>
    <row r="4597" spans="1:7" x14ac:dyDescent="0.2">
      <c r="A4597" s="1">
        <v>42116</v>
      </c>
      <c r="B4597">
        <v>0</v>
      </c>
      <c r="C4597" t="s">
        <v>14</v>
      </c>
      <c r="D4597">
        <v>5.5110000000000003E-3</v>
      </c>
      <c r="E4597">
        <f t="shared" si="142"/>
        <v>1.005511</v>
      </c>
      <c r="F4597" s="1">
        <f t="shared" si="143"/>
        <v>42114</v>
      </c>
      <c r="G4597" cm="1">
        <f t="array" ref="G4597">PRODUCT( _xlfn._xlws.FILTER($E:$E, ($C:$C=C4597)*($F:$F=F4597)) ) - 1</f>
        <v>2.4929885734761292E-3</v>
      </c>
    </row>
    <row r="4598" spans="1:7" x14ac:dyDescent="0.2">
      <c r="A4598" s="1">
        <v>42117</v>
      </c>
      <c r="B4598">
        <v>0</v>
      </c>
      <c r="C4598" t="s">
        <v>14</v>
      </c>
      <c r="D4598">
        <v>-1.2459999999999999E-3</v>
      </c>
      <c r="E4598">
        <f t="shared" si="142"/>
        <v>0.99875400000000003</v>
      </c>
      <c r="F4598" s="1">
        <f t="shared" si="143"/>
        <v>42114</v>
      </c>
      <c r="G4598" cm="1">
        <f t="array" ref="G4598">PRODUCT( _xlfn._xlws.FILTER($E:$E, ($C:$C=C4598)*($F:$F=F4598)) ) - 1</f>
        <v>2.4929885734761292E-3</v>
      </c>
    </row>
    <row r="4599" spans="1:7" x14ac:dyDescent="0.2">
      <c r="A4599" s="1">
        <v>42118</v>
      </c>
      <c r="B4599">
        <v>0</v>
      </c>
      <c r="C4599" t="s">
        <v>14</v>
      </c>
      <c r="D4599">
        <v>3.2429999999999998E-3</v>
      </c>
      <c r="E4599">
        <f t="shared" si="142"/>
        <v>1.0032430000000001</v>
      </c>
      <c r="F4599" s="1">
        <f t="shared" si="143"/>
        <v>42114</v>
      </c>
      <c r="G4599" cm="1">
        <f t="array" ref="G4599">PRODUCT( _xlfn._xlws.FILTER($E:$E, ($C:$C=C4599)*($F:$F=F4599)) ) - 1</f>
        <v>2.4929885734761292E-3</v>
      </c>
    </row>
    <row r="4600" spans="1:7" x14ac:dyDescent="0.2">
      <c r="A4600" s="1">
        <v>42121</v>
      </c>
      <c r="B4600">
        <v>0</v>
      </c>
      <c r="C4600" t="s">
        <v>14</v>
      </c>
      <c r="D4600">
        <v>-9.1999999999999998E-3</v>
      </c>
      <c r="E4600">
        <f t="shared" si="142"/>
        <v>0.99080000000000001</v>
      </c>
      <c r="F4600" s="1">
        <f t="shared" si="143"/>
        <v>42121</v>
      </c>
      <c r="G4600" cm="1">
        <f t="array" ref="G4600">PRODUCT( _xlfn._xlws.FILTER($E:$E, ($C:$C=C4600)*($F:$F=F4600)) ) - 1</f>
        <v>-2.71007419716357E-2</v>
      </c>
    </row>
    <row r="4601" spans="1:7" x14ac:dyDescent="0.2">
      <c r="A4601" s="1">
        <v>42122</v>
      </c>
      <c r="B4601">
        <v>0</v>
      </c>
      <c r="C4601" t="s">
        <v>14</v>
      </c>
      <c r="D4601">
        <v>-3.5130000000000001E-3</v>
      </c>
      <c r="E4601">
        <f t="shared" si="142"/>
        <v>0.99648700000000001</v>
      </c>
      <c r="F4601" s="1">
        <f t="shared" si="143"/>
        <v>42121</v>
      </c>
      <c r="G4601" cm="1">
        <f t="array" ref="G4601">PRODUCT( _xlfn._xlws.FILTER($E:$E, ($C:$C=C4601)*($F:$F=F4601)) ) - 1</f>
        <v>-2.71007419716357E-2</v>
      </c>
    </row>
    <row r="4602" spans="1:7" x14ac:dyDescent="0.2">
      <c r="A4602" s="1">
        <v>42123</v>
      </c>
      <c r="B4602">
        <v>0</v>
      </c>
      <c r="C4602" t="s">
        <v>14</v>
      </c>
      <c r="D4602">
        <v>4.2810000000000001E-3</v>
      </c>
      <c r="E4602">
        <f t="shared" si="142"/>
        <v>1.004281</v>
      </c>
      <c r="F4602" s="1">
        <f t="shared" si="143"/>
        <v>42121</v>
      </c>
      <c r="G4602" cm="1">
        <f t="array" ref="G4602">PRODUCT( _xlfn._xlws.FILTER($E:$E, ($C:$C=C4602)*($F:$F=F4602)) ) - 1</f>
        <v>-2.71007419716357E-2</v>
      </c>
    </row>
    <row r="4603" spans="1:7" x14ac:dyDescent="0.2">
      <c r="A4603" s="1">
        <v>42124</v>
      </c>
      <c r="B4603">
        <v>0</v>
      </c>
      <c r="C4603" t="s">
        <v>14</v>
      </c>
      <c r="D4603">
        <v>-1.4794E-2</v>
      </c>
      <c r="E4603">
        <f t="shared" si="142"/>
        <v>0.98520600000000003</v>
      </c>
      <c r="F4603" s="1">
        <f t="shared" si="143"/>
        <v>42121</v>
      </c>
      <c r="G4603" cm="1">
        <f t="array" ref="G4603">PRODUCT( _xlfn._xlws.FILTER($E:$E, ($C:$C=C4603)*($F:$F=F4603)) ) - 1</f>
        <v>-2.71007419716357E-2</v>
      </c>
    </row>
    <row r="4604" spans="1:7" x14ac:dyDescent="0.2">
      <c r="A4604" s="1">
        <v>42125</v>
      </c>
      <c r="B4604">
        <v>0</v>
      </c>
      <c r="C4604" t="s">
        <v>14</v>
      </c>
      <c r="D4604">
        <v>-4.0720000000000001E-3</v>
      </c>
      <c r="E4604">
        <f t="shared" si="142"/>
        <v>0.99592800000000004</v>
      </c>
      <c r="F4604" s="1">
        <f t="shared" si="143"/>
        <v>42121</v>
      </c>
      <c r="G4604" cm="1">
        <f t="array" ref="G4604">PRODUCT( _xlfn._xlws.FILTER($E:$E, ($C:$C=C4604)*($F:$F=F4604)) ) - 1</f>
        <v>-2.71007419716357E-2</v>
      </c>
    </row>
    <row r="4605" spans="1:7" x14ac:dyDescent="0.2">
      <c r="A4605" s="1">
        <v>42128</v>
      </c>
      <c r="B4605">
        <v>0</v>
      </c>
      <c r="C4605" t="s">
        <v>14</v>
      </c>
      <c r="D4605">
        <v>-1.0219999999999999E-3</v>
      </c>
      <c r="E4605">
        <f t="shared" si="142"/>
        <v>0.99897800000000003</v>
      </c>
      <c r="F4605" s="1">
        <f t="shared" si="143"/>
        <v>42128</v>
      </c>
      <c r="G4605" cm="1">
        <f t="array" ref="G4605">PRODUCT( _xlfn._xlws.FILTER($E:$E, ($C:$C=C4605)*($F:$F=F4605)) ) - 1</f>
        <v>-6.0311396833474196E-2</v>
      </c>
    </row>
    <row r="4606" spans="1:7" x14ac:dyDescent="0.2">
      <c r="A4606" s="1">
        <v>42129</v>
      </c>
      <c r="B4606">
        <v>0</v>
      </c>
      <c r="C4606" t="s">
        <v>14</v>
      </c>
      <c r="D4606">
        <v>-1.9442000000000001E-2</v>
      </c>
      <c r="E4606">
        <f t="shared" si="142"/>
        <v>0.98055800000000004</v>
      </c>
      <c r="F4606" s="1">
        <f t="shared" si="143"/>
        <v>42128</v>
      </c>
      <c r="G4606" cm="1">
        <f t="array" ref="G4606">PRODUCT( _xlfn._xlws.FILTER($E:$E, ($C:$C=C4606)*($F:$F=F4606)) ) - 1</f>
        <v>-6.0311396833474196E-2</v>
      </c>
    </row>
    <row r="4607" spans="1:7" x14ac:dyDescent="0.2">
      <c r="A4607" s="1">
        <v>42130</v>
      </c>
      <c r="B4607">
        <v>0</v>
      </c>
      <c r="C4607" t="s">
        <v>14</v>
      </c>
      <c r="D4607">
        <v>-3.3916000000000002E-2</v>
      </c>
      <c r="E4607">
        <f t="shared" si="142"/>
        <v>0.96608399999999994</v>
      </c>
      <c r="F4607" s="1">
        <f t="shared" si="143"/>
        <v>42128</v>
      </c>
      <c r="G4607" cm="1">
        <f t="array" ref="G4607">PRODUCT( _xlfn._xlws.FILTER($E:$E, ($C:$C=C4607)*($F:$F=F4607)) ) - 1</f>
        <v>-6.0311396833474196E-2</v>
      </c>
    </row>
    <row r="4608" spans="1:7" x14ac:dyDescent="0.2">
      <c r="A4608" s="1">
        <v>42131</v>
      </c>
      <c r="B4608">
        <v>0</v>
      </c>
      <c r="C4608" t="s">
        <v>14</v>
      </c>
      <c r="D4608">
        <v>-1.7283E-2</v>
      </c>
      <c r="E4608">
        <f t="shared" si="142"/>
        <v>0.98271699999999995</v>
      </c>
      <c r="F4608" s="1">
        <f t="shared" si="143"/>
        <v>42128</v>
      </c>
      <c r="G4608" cm="1">
        <f t="array" ref="G4608">PRODUCT( _xlfn._xlws.FILTER($E:$E, ($C:$C=C4608)*($F:$F=F4608)) ) - 1</f>
        <v>-6.0311396833474196E-2</v>
      </c>
    </row>
    <row r="4609" spans="1:7" x14ac:dyDescent="0.2">
      <c r="A4609" s="1">
        <v>42132</v>
      </c>
      <c r="B4609">
        <v>0</v>
      </c>
      <c r="C4609" t="s">
        <v>14</v>
      </c>
      <c r="D4609">
        <v>1.0442E-2</v>
      </c>
      <c r="E4609">
        <f t="shared" si="142"/>
        <v>1.0104420000000001</v>
      </c>
      <c r="F4609" s="1">
        <f t="shared" si="143"/>
        <v>42128</v>
      </c>
      <c r="G4609" cm="1">
        <f t="array" ref="G4609">PRODUCT( _xlfn._xlws.FILTER($E:$E, ($C:$C=C4609)*($F:$F=F4609)) ) - 1</f>
        <v>-6.0311396833474196E-2</v>
      </c>
    </row>
    <row r="4610" spans="1:7" x14ac:dyDescent="0.2">
      <c r="A4610" s="1">
        <v>42135</v>
      </c>
      <c r="B4610">
        <v>0</v>
      </c>
      <c r="C4610" t="s">
        <v>14</v>
      </c>
      <c r="D4610">
        <v>1.632E-3</v>
      </c>
      <c r="E4610">
        <f t="shared" si="142"/>
        <v>1.0016320000000001</v>
      </c>
      <c r="F4610" s="1">
        <f t="shared" si="143"/>
        <v>42135</v>
      </c>
      <c r="G4610" cm="1">
        <f t="array" ref="G4610">PRODUCT( _xlfn._xlws.FILTER($E:$E, ($C:$C=C4610)*($F:$F=F4610)) ) - 1</f>
        <v>-5.1654902208735365E-3</v>
      </c>
    </row>
    <row r="4611" spans="1:7" x14ac:dyDescent="0.2">
      <c r="A4611" s="1">
        <v>42136</v>
      </c>
      <c r="B4611">
        <v>0</v>
      </c>
      <c r="C4611" t="s">
        <v>14</v>
      </c>
      <c r="D4611">
        <v>-1.0588999999999999E-2</v>
      </c>
      <c r="E4611">
        <f t="shared" si="142"/>
        <v>0.98941100000000004</v>
      </c>
      <c r="F4611" s="1">
        <f t="shared" si="143"/>
        <v>42135</v>
      </c>
      <c r="G4611" cm="1">
        <f t="array" ref="G4611">PRODUCT( _xlfn._xlws.FILTER($E:$E, ($C:$C=C4611)*($F:$F=F4611)) ) - 1</f>
        <v>-5.1654902208735365E-3</v>
      </c>
    </row>
    <row r="4612" spans="1:7" x14ac:dyDescent="0.2">
      <c r="A4612" s="1">
        <v>42137</v>
      </c>
      <c r="B4612">
        <v>0</v>
      </c>
      <c r="C4612" t="s">
        <v>14</v>
      </c>
      <c r="D4612">
        <v>-5.4879999999999998E-3</v>
      </c>
      <c r="E4612">
        <f t="shared" ref="E4612:E4675" si="144">D4612+1</f>
        <v>0.99451199999999995</v>
      </c>
      <c r="F4612" s="1">
        <f t="shared" ref="F4612:F4675" si="145">A4612 - (WEEKDAY(A4612, 2) - 1)</f>
        <v>42135</v>
      </c>
      <c r="G4612" cm="1">
        <f t="array" ref="G4612">PRODUCT( _xlfn._xlws.FILTER($E:$E, ($C:$C=C4612)*($F:$F=F4612)) ) - 1</f>
        <v>-5.1654902208735365E-3</v>
      </c>
    </row>
    <row r="4613" spans="1:7" x14ac:dyDescent="0.2">
      <c r="A4613" s="1">
        <v>42138</v>
      </c>
      <c r="B4613">
        <v>0</v>
      </c>
      <c r="C4613" t="s">
        <v>14</v>
      </c>
      <c r="D4613">
        <v>1.6559999999999999E-3</v>
      </c>
      <c r="E4613">
        <f t="shared" si="144"/>
        <v>1.0016560000000001</v>
      </c>
      <c r="F4613" s="1">
        <f t="shared" si="145"/>
        <v>42135</v>
      </c>
      <c r="G4613" cm="1">
        <f t="array" ref="G4613">PRODUCT( _xlfn._xlws.FILTER($E:$E, ($C:$C=C4613)*($F:$F=F4613)) ) - 1</f>
        <v>-5.1654902208735365E-3</v>
      </c>
    </row>
    <row r="4614" spans="1:7" x14ac:dyDescent="0.2">
      <c r="A4614" s="1">
        <v>42139</v>
      </c>
      <c r="B4614">
        <v>0</v>
      </c>
      <c r="C4614" t="s">
        <v>14</v>
      </c>
      <c r="D4614">
        <v>7.7140000000000004E-3</v>
      </c>
      <c r="E4614">
        <f t="shared" si="144"/>
        <v>1.007714</v>
      </c>
      <c r="F4614" s="1">
        <f t="shared" si="145"/>
        <v>42135</v>
      </c>
      <c r="G4614" cm="1">
        <f t="array" ref="G4614">PRODUCT( _xlfn._xlws.FILTER($E:$E, ($C:$C=C4614)*($F:$F=F4614)) ) - 1</f>
        <v>-5.1654902208735365E-3</v>
      </c>
    </row>
    <row r="4615" spans="1:7" x14ac:dyDescent="0.2">
      <c r="A4615" s="1">
        <v>42143</v>
      </c>
      <c r="B4615">
        <v>0</v>
      </c>
      <c r="C4615" t="s">
        <v>14</v>
      </c>
      <c r="D4615">
        <v>-1.2302E-2</v>
      </c>
      <c r="E4615">
        <f t="shared" si="144"/>
        <v>0.98769799999999996</v>
      </c>
      <c r="F4615" s="1">
        <f t="shared" si="145"/>
        <v>42142</v>
      </c>
      <c r="G4615" cm="1">
        <f t="array" ref="G4615">PRODUCT( _xlfn._xlws.FILTER($E:$E, ($C:$C=C4615)*($F:$F=F4615)) ) - 1</f>
        <v>1.4489580228585375E-2</v>
      </c>
    </row>
    <row r="4616" spans="1:7" x14ac:dyDescent="0.2">
      <c r="A4616" s="1">
        <v>42144</v>
      </c>
      <c r="B4616">
        <v>0</v>
      </c>
      <c r="C4616" t="s">
        <v>14</v>
      </c>
      <c r="D4616">
        <v>7.7499999999999999E-3</v>
      </c>
      <c r="E4616">
        <f t="shared" si="144"/>
        <v>1.0077499999999999</v>
      </c>
      <c r="F4616" s="1">
        <f t="shared" si="145"/>
        <v>42142</v>
      </c>
      <c r="G4616" cm="1">
        <f t="array" ref="G4616">PRODUCT( _xlfn._xlws.FILTER($E:$E, ($C:$C=C4616)*($F:$F=F4616)) ) - 1</f>
        <v>1.4489580228585375E-2</v>
      </c>
    </row>
    <row r="4617" spans="1:7" x14ac:dyDescent="0.2">
      <c r="A4617" s="1">
        <v>42145</v>
      </c>
      <c r="B4617">
        <v>0</v>
      </c>
      <c r="C4617" t="s">
        <v>14</v>
      </c>
      <c r="D4617">
        <v>1.2085E-2</v>
      </c>
      <c r="E4617">
        <f t="shared" si="144"/>
        <v>1.0120849999999999</v>
      </c>
      <c r="F4617" s="1">
        <f t="shared" si="145"/>
        <v>42142</v>
      </c>
      <c r="G4617" cm="1">
        <f t="array" ref="G4617">PRODUCT( _xlfn._xlws.FILTER($E:$E, ($C:$C=C4617)*($F:$F=F4617)) ) - 1</f>
        <v>1.4489580228585375E-2</v>
      </c>
    </row>
    <row r="4618" spans="1:7" x14ac:dyDescent="0.2">
      <c r="A4618" s="1">
        <v>42146</v>
      </c>
      <c r="B4618">
        <v>0</v>
      </c>
      <c r="C4618" t="s">
        <v>14</v>
      </c>
      <c r="D4618">
        <v>7.0559999999999998E-3</v>
      </c>
      <c r="E4618">
        <f t="shared" si="144"/>
        <v>1.007056</v>
      </c>
      <c r="F4618" s="1">
        <f t="shared" si="145"/>
        <v>42142</v>
      </c>
      <c r="G4618" cm="1">
        <f t="array" ref="G4618">PRODUCT( _xlfn._xlws.FILTER($E:$E, ($C:$C=C4618)*($F:$F=F4618)) ) - 1</f>
        <v>1.4489580228585375E-2</v>
      </c>
    </row>
    <row r="4619" spans="1:7" x14ac:dyDescent="0.2">
      <c r="A4619" s="1">
        <v>42149</v>
      </c>
      <c r="B4619">
        <v>0</v>
      </c>
      <c r="C4619" t="s">
        <v>14</v>
      </c>
      <c r="D4619">
        <v>-4.3119999999999999E-3</v>
      </c>
      <c r="E4619">
        <f t="shared" si="144"/>
        <v>0.99568800000000002</v>
      </c>
      <c r="F4619" s="1">
        <f t="shared" si="145"/>
        <v>42149</v>
      </c>
      <c r="G4619" cm="1">
        <f t="array" ref="G4619">PRODUCT( _xlfn._xlws.FILTER($E:$E, ($C:$C=C4619)*($F:$F=F4619)) ) - 1</f>
        <v>-2.0480268563272896E-2</v>
      </c>
    </row>
    <row r="4620" spans="1:7" x14ac:dyDescent="0.2">
      <c r="A4620" s="1">
        <v>42150</v>
      </c>
      <c r="B4620">
        <v>0</v>
      </c>
      <c r="C4620" t="s">
        <v>14</v>
      </c>
      <c r="D4620">
        <v>-2.0027E-2</v>
      </c>
      <c r="E4620">
        <f t="shared" si="144"/>
        <v>0.97997299999999998</v>
      </c>
      <c r="F4620" s="1">
        <f t="shared" si="145"/>
        <v>42149</v>
      </c>
      <c r="G4620" cm="1">
        <f t="array" ref="G4620">PRODUCT( _xlfn._xlws.FILTER($E:$E, ($C:$C=C4620)*($F:$F=F4620)) ) - 1</f>
        <v>-2.0480268563272896E-2</v>
      </c>
    </row>
    <row r="4621" spans="1:7" x14ac:dyDescent="0.2">
      <c r="A4621" s="1">
        <v>42151</v>
      </c>
      <c r="B4621">
        <v>0</v>
      </c>
      <c r="C4621" t="s">
        <v>14</v>
      </c>
      <c r="D4621">
        <v>3.0379999999999999E-3</v>
      </c>
      <c r="E4621">
        <f t="shared" si="144"/>
        <v>1.0030380000000001</v>
      </c>
      <c r="F4621" s="1">
        <f t="shared" si="145"/>
        <v>42149</v>
      </c>
      <c r="G4621" cm="1">
        <f t="array" ref="G4621">PRODUCT( _xlfn._xlws.FILTER($E:$E, ($C:$C=C4621)*($F:$F=F4621)) ) - 1</f>
        <v>-2.0480268563272896E-2</v>
      </c>
    </row>
    <row r="4622" spans="1:7" x14ac:dyDescent="0.2">
      <c r="A4622" s="1">
        <v>42152</v>
      </c>
      <c r="B4622">
        <v>0</v>
      </c>
      <c r="C4622" t="s">
        <v>14</v>
      </c>
      <c r="D4622">
        <v>4.9560000000000003E-3</v>
      </c>
      <c r="E4622">
        <f t="shared" si="144"/>
        <v>1.004956</v>
      </c>
      <c r="F4622" s="1">
        <f t="shared" si="145"/>
        <v>42149</v>
      </c>
      <c r="G4622" cm="1">
        <f t="array" ref="G4622">PRODUCT( _xlfn._xlws.FILTER($E:$E, ($C:$C=C4622)*($F:$F=F4622)) ) - 1</f>
        <v>-2.0480268563272896E-2</v>
      </c>
    </row>
    <row r="4623" spans="1:7" x14ac:dyDescent="0.2">
      <c r="A4623" s="1">
        <v>42153</v>
      </c>
      <c r="B4623">
        <v>0</v>
      </c>
      <c r="C4623" t="s">
        <v>14</v>
      </c>
      <c r="D4623">
        <v>-4.1099999999999999E-3</v>
      </c>
      <c r="E4623">
        <f t="shared" si="144"/>
        <v>0.99589000000000005</v>
      </c>
      <c r="F4623" s="1">
        <f t="shared" si="145"/>
        <v>42149</v>
      </c>
      <c r="G4623" cm="1">
        <f t="array" ref="G4623">PRODUCT( _xlfn._xlws.FILTER($E:$E, ($C:$C=C4623)*($F:$F=F4623)) ) - 1</f>
        <v>-2.0480268563272896E-2</v>
      </c>
    </row>
    <row r="4624" spans="1:7" x14ac:dyDescent="0.2">
      <c r="A4624" s="1">
        <v>42156</v>
      </c>
      <c r="B4624">
        <v>0</v>
      </c>
      <c r="C4624" t="s">
        <v>14</v>
      </c>
      <c r="D4624">
        <v>-4.4019999999999997E-3</v>
      </c>
      <c r="E4624">
        <f t="shared" si="144"/>
        <v>0.99559799999999998</v>
      </c>
      <c r="F4624" s="1">
        <f t="shared" si="145"/>
        <v>42156</v>
      </c>
      <c r="G4624" cm="1">
        <f t="array" ref="G4624">PRODUCT( _xlfn._xlws.FILTER($E:$E, ($C:$C=C4624)*($F:$F=F4624)) ) - 1</f>
        <v>-1.6787112804679261E-3</v>
      </c>
    </row>
    <row r="4625" spans="1:7" x14ac:dyDescent="0.2">
      <c r="A4625" s="1">
        <v>42157</v>
      </c>
      <c r="B4625">
        <v>0</v>
      </c>
      <c r="C4625" t="s">
        <v>14</v>
      </c>
      <c r="D4625">
        <v>6.3550000000000004E-3</v>
      </c>
      <c r="E4625">
        <f t="shared" si="144"/>
        <v>1.0063550000000001</v>
      </c>
      <c r="F4625" s="1">
        <f t="shared" si="145"/>
        <v>42156</v>
      </c>
      <c r="G4625" cm="1">
        <f t="array" ref="G4625">PRODUCT( _xlfn._xlws.FILTER($E:$E, ($C:$C=C4625)*($F:$F=F4625)) ) - 1</f>
        <v>-1.6787112804679261E-3</v>
      </c>
    </row>
    <row r="4626" spans="1:7" x14ac:dyDescent="0.2">
      <c r="A4626" s="1">
        <v>42158</v>
      </c>
      <c r="B4626">
        <v>0</v>
      </c>
      <c r="C4626" t="s">
        <v>14</v>
      </c>
      <c r="D4626">
        <v>4.4270000000000004E-3</v>
      </c>
      <c r="E4626">
        <f t="shared" si="144"/>
        <v>1.004427</v>
      </c>
      <c r="F4626" s="1">
        <f t="shared" si="145"/>
        <v>42156</v>
      </c>
      <c r="G4626" cm="1">
        <f t="array" ref="G4626">PRODUCT( _xlfn._xlws.FILTER($E:$E, ($C:$C=C4626)*($F:$F=F4626)) ) - 1</f>
        <v>-1.6787112804679261E-3</v>
      </c>
    </row>
    <row r="4627" spans="1:7" x14ac:dyDescent="0.2">
      <c r="A4627" s="1">
        <v>42159</v>
      </c>
      <c r="B4627">
        <v>0</v>
      </c>
      <c r="C4627" t="s">
        <v>14</v>
      </c>
      <c r="D4627">
        <v>-4.6829999999999997E-3</v>
      </c>
      <c r="E4627">
        <f t="shared" si="144"/>
        <v>0.99531700000000001</v>
      </c>
      <c r="F4627" s="1">
        <f t="shared" si="145"/>
        <v>42156</v>
      </c>
      <c r="G4627" cm="1">
        <f t="array" ref="G4627">PRODUCT( _xlfn._xlws.FILTER($E:$E, ($C:$C=C4627)*($F:$F=F4627)) ) - 1</f>
        <v>-1.6787112804679261E-3</v>
      </c>
    </row>
    <row r="4628" spans="1:7" x14ac:dyDescent="0.2">
      <c r="A4628" s="1">
        <v>42160</v>
      </c>
      <c r="B4628">
        <v>0</v>
      </c>
      <c r="C4628" t="s">
        <v>14</v>
      </c>
      <c r="D4628">
        <v>-3.3210000000000002E-3</v>
      </c>
      <c r="E4628">
        <f t="shared" si="144"/>
        <v>0.99667899999999998</v>
      </c>
      <c r="F4628" s="1">
        <f t="shared" si="145"/>
        <v>42156</v>
      </c>
      <c r="G4628" cm="1">
        <f t="array" ref="G4628">PRODUCT( _xlfn._xlws.FILTER($E:$E, ($C:$C=C4628)*($F:$F=F4628)) ) - 1</f>
        <v>-1.6787112804679261E-3</v>
      </c>
    </row>
    <row r="4629" spans="1:7" x14ac:dyDescent="0.2">
      <c r="A4629" s="1">
        <v>42163</v>
      </c>
      <c r="B4629">
        <v>0</v>
      </c>
      <c r="C4629" t="s">
        <v>14</v>
      </c>
      <c r="D4629">
        <v>-2.6381000000000002E-2</v>
      </c>
      <c r="E4629">
        <f t="shared" si="144"/>
        <v>0.97361900000000001</v>
      </c>
      <c r="F4629" s="1">
        <f t="shared" si="145"/>
        <v>42163</v>
      </c>
      <c r="G4629" cm="1">
        <f t="array" ref="G4629">PRODUCT( _xlfn._xlws.FILTER($E:$E, ($C:$C=C4629)*($F:$F=F4629)) ) - 1</f>
        <v>-3.3600190689730969E-2</v>
      </c>
    </row>
    <row r="4630" spans="1:7" x14ac:dyDescent="0.2">
      <c r="A4630" s="1">
        <v>42164</v>
      </c>
      <c r="B4630">
        <v>0</v>
      </c>
      <c r="C4630" t="s">
        <v>14</v>
      </c>
      <c r="D4630">
        <v>2.3389E-2</v>
      </c>
      <c r="E4630">
        <f t="shared" si="144"/>
        <v>1.0233890000000001</v>
      </c>
      <c r="F4630" s="1">
        <f t="shared" si="145"/>
        <v>42163</v>
      </c>
      <c r="G4630" cm="1">
        <f t="array" ref="G4630">PRODUCT( _xlfn._xlws.FILTER($E:$E, ($C:$C=C4630)*($F:$F=F4630)) ) - 1</f>
        <v>-3.3600190689730969E-2</v>
      </c>
    </row>
    <row r="4631" spans="1:7" x14ac:dyDescent="0.2">
      <c r="A4631" s="1">
        <v>42165</v>
      </c>
      <c r="B4631">
        <v>0</v>
      </c>
      <c r="C4631" t="s">
        <v>14</v>
      </c>
      <c r="D4631">
        <v>9.7549999999999998E-3</v>
      </c>
      <c r="E4631">
        <f t="shared" si="144"/>
        <v>1.009755</v>
      </c>
      <c r="F4631" s="1">
        <f t="shared" si="145"/>
        <v>42163</v>
      </c>
      <c r="G4631" cm="1">
        <f t="array" ref="G4631">PRODUCT( _xlfn._xlws.FILTER($E:$E, ($C:$C=C4631)*($F:$F=F4631)) ) - 1</f>
        <v>-3.3600190689730969E-2</v>
      </c>
    </row>
    <row r="4632" spans="1:7" x14ac:dyDescent="0.2">
      <c r="A4632" s="1">
        <v>42166</v>
      </c>
      <c r="B4632">
        <v>0</v>
      </c>
      <c r="C4632" t="s">
        <v>14</v>
      </c>
      <c r="D4632">
        <v>-1.9597E-2</v>
      </c>
      <c r="E4632">
        <f t="shared" si="144"/>
        <v>0.98040300000000002</v>
      </c>
      <c r="F4632" s="1">
        <f t="shared" si="145"/>
        <v>42163</v>
      </c>
      <c r="G4632" cm="1">
        <f t="array" ref="G4632">PRODUCT( _xlfn._xlws.FILTER($E:$E, ($C:$C=C4632)*($F:$F=F4632)) ) - 1</f>
        <v>-3.3600190689730969E-2</v>
      </c>
    </row>
    <row r="4633" spans="1:7" x14ac:dyDescent="0.2">
      <c r="A4633" s="1">
        <v>42167</v>
      </c>
      <c r="B4633">
        <v>0</v>
      </c>
      <c r="C4633" t="s">
        <v>14</v>
      </c>
      <c r="D4633">
        <v>-2.027E-2</v>
      </c>
      <c r="E4633">
        <f t="shared" si="144"/>
        <v>0.97972999999999999</v>
      </c>
      <c r="F4633" s="1">
        <f t="shared" si="145"/>
        <v>42163</v>
      </c>
      <c r="G4633" cm="1">
        <f t="array" ref="G4633">PRODUCT( _xlfn._xlws.FILTER($E:$E, ($C:$C=C4633)*($F:$F=F4633)) ) - 1</f>
        <v>-3.3600190689730969E-2</v>
      </c>
    </row>
    <row r="4634" spans="1:7" x14ac:dyDescent="0.2">
      <c r="A4634" s="1">
        <v>42170</v>
      </c>
      <c r="B4634">
        <v>0</v>
      </c>
      <c r="C4634" t="s">
        <v>14</v>
      </c>
      <c r="D4634">
        <v>-1.6091999999999999E-2</v>
      </c>
      <c r="E4634">
        <f t="shared" si="144"/>
        <v>0.983908</v>
      </c>
      <c r="F4634" s="1">
        <f t="shared" si="145"/>
        <v>42170</v>
      </c>
      <c r="G4634" cm="1">
        <f t="array" ref="G4634">PRODUCT( _xlfn._xlws.FILTER($E:$E, ($C:$C=C4634)*($F:$F=F4634)) ) - 1</f>
        <v>-3.1610450083930486E-2</v>
      </c>
    </row>
    <row r="4635" spans="1:7" x14ac:dyDescent="0.2">
      <c r="A4635" s="1">
        <v>42171</v>
      </c>
      <c r="B4635">
        <v>0</v>
      </c>
      <c r="C4635" t="s">
        <v>14</v>
      </c>
      <c r="D4635">
        <v>7.3010000000000002E-3</v>
      </c>
      <c r="E4635">
        <f t="shared" si="144"/>
        <v>1.007301</v>
      </c>
      <c r="F4635" s="1">
        <f t="shared" si="145"/>
        <v>42170</v>
      </c>
      <c r="G4635" cm="1">
        <f t="array" ref="G4635">PRODUCT( _xlfn._xlws.FILTER($E:$E, ($C:$C=C4635)*($F:$F=F4635)) ) - 1</f>
        <v>-3.1610450083930486E-2</v>
      </c>
    </row>
    <row r="4636" spans="1:7" x14ac:dyDescent="0.2">
      <c r="A4636" s="1">
        <v>42172</v>
      </c>
      <c r="B4636">
        <v>0</v>
      </c>
      <c r="C4636" t="s">
        <v>14</v>
      </c>
      <c r="D4636">
        <v>-8.7000000000000001E-4</v>
      </c>
      <c r="E4636">
        <f t="shared" si="144"/>
        <v>0.99912999999999996</v>
      </c>
      <c r="F4636" s="1">
        <f t="shared" si="145"/>
        <v>42170</v>
      </c>
      <c r="G4636" cm="1">
        <f t="array" ref="G4636">PRODUCT( _xlfn._xlws.FILTER($E:$E, ($C:$C=C4636)*($F:$F=F4636)) ) - 1</f>
        <v>-3.1610450083930486E-2</v>
      </c>
    </row>
    <row r="4637" spans="1:7" x14ac:dyDescent="0.2">
      <c r="A4637" s="1">
        <v>42173</v>
      </c>
      <c r="B4637">
        <v>0</v>
      </c>
      <c r="C4637" t="s">
        <v>14</v>
      </c>
      <c r="D4637">
        <v>-1.3349E-2</v>
      </c>
      <c r="E4637">
        <f t="shared" si="144"/>
        <v>0.98665099999999994</v>
      </c>
      <c r="F4637" s="1">
        <f t="shared" si="145"/>
        <v>42170</v>
      </c>
      <c r="G4637" cm="1">
        <f t="array" ref="G4637">PRODUCT( _xlfn._xlws.FILTER($E:$E, ($C:$C=C4637)*($F:$F=F4637)) ) - 1</f>
        <v>-3.1610450083930486E-2</v>
      </c>
    </row>
    <row r="4638" spans="1:7" x14ac:dyDescent="0.2">
      <c r="A4638" s="1">
        <v>42174</v>
      </c>
      <c r="B4638">
        <v>0</v>
      </c>
      <c r="C4638" t="s">
        <v>14</v>
      </c>
      <c r="D4638">
        <v>-8.8240000000000002E-3</v>
      </c>
      <c r="E4638">
        <f t="shared" si="144"/>
        <v>0.99117599999999995</v>
      </c>
      <c r="F4638" s="1">
        <f t="shared" si="145"/>
        <v>42170</v>
      </c>
      <c r="G4638" cm="1">
        <f t="array" ref="G4638">PRODUCT( _xlfn._xlws.FILTER($E:$E, ($C:$C=C4638)*($F:$F=F4638)) ) - 1</f>
        <v>-3.1610450083930486E-2</v>
      </c>
    </row>
    <row r="4639" spans="1:7" x14ac:dyDescent="0.2">
      <c r="A4639" s="1">
        <v>42177</v>
      </c>
      <c r="B4639">
        <v>0</v>
      </c>
      <c r="C4639" t="s">
        <v>14</v>
      </c>
      <c r="D4639">
        <v>8.9020000000000002E-3</v>
      </c>
      <c r="E4639">
        <f t="shared" si="144"/>
        <v>1.008902</v>
      </c>
      <c r="F4639" s="1">
        <f t="shared" si="145"/>
        <v>42177</v>
      </c>
      <c r="G4639" cm="1">
        <f t="array" ref="G4639">PRODUCT( _xlfn._xlws.FILTER($E:$E, ($C:$C=C4639)*($F:$F=F4639)) ) - 1</f>
        <v>1.988050581934675E-2</v>
      </c>
    </row>
    <row r="4640" spans="1:7" x14ac:dyDescent="0.2">
      <c r="A4640" s="1">
        <v>42178</v>
      </c>
      <c r="B4640">
        <v>0</v>
      </c>
      <c r="C4640" t="s">
        <v>14</v>
      </c>
      <c r="D4640">
        <v>2.2941E-2</v>
      </c>
      <c r="E4640">
        <f t="shared" si="144"/>
        <v>1.0229410000000001</v>
      </c>
      <c r="F4640" s="1">
        <f t="shared" si="145"/>
        <v>42177</v>
      </c>
      <c r="G4640" cm="1">
        <f t="array" ref="G4640">PRODUCT( _xlfn._xlws.FILTER($E:$E, ($C:$C=C4640)*($F:$F=F4640)) ) - 1</f>
        <v>1.988050581934675E-2</v>
      </c>
    </row>
    <row r="4641" spans="1:7" x14ac:dyDescent="0.2">
      <c r="A4641" s="1">
        <v>42179</v>
      </c>
      <c r="B4641">
        <v>0</v>
      </c>
      <c r="C4641" t="s">
        <v>14</v>
      </c>
      <c r="D4641">
        <v>2.6452E-2</v>
      </c>
      <c r="E4641">
        <f t="shared" si="144"/>
        <v>1.0264519999999999</v>
      </c>
      <c r="F4641" s="1">
        <f t="shared" si="145"/>
        <v>42177</v>
      </c>
      <c r="G4641" cm="1">
        <f t="array" ref="G4641">PRODUCT( _xlfn._xlws.FILTER($E:$E, ($C:$C=C4641)*($F:$F=F4641)) ) - 1</f>
        <v>1.988050581934675E-2</v>
      </c>
    </row>
    <row r="4642" spans="1:7" x14ac:dyDescent="0.2">
      <c r="A4642" s="1">
        <v>42180</v>
      </c>
      <c r="B4642">
        <v>0</v>
      </c>
      <c r="C4642" t="s">
        <v>14</v>
      </c>
      <c r="D4642">
        <v>-3.1933000000000003E-2</v>
      </c>
      <c r="E4642">
        <f t="shared" si="144"/>
        <v>0.96806700000000001</v>
      </c>
      <c r="F4642" s="1">
        <f t="shared" si="145"/>
        <v>42177</v>
      </c>
      <c r="G4642" cm="1">
        <f t="array" ref="G4642">PRODUCT( _xlfn._xlws.FILTER($E:$E, ($C:$C=C4642)*($F:$F=F4642)) ) - 1</f>
        <v>1.988050581934675E-2</v>
      </c>
    </row>
    <row r="4643" spans="1:7" x14ac:dyDescent="0.2">
      <c r="A4643" s="1">
        <v>42181</v>
      </c>
      <c r="B4643">
        <v>0</v>
      </c>
      <c r="C4643" t="s">
        <v>14</v>
      </c>
      <c r="D4643">
        <v>-5.4980000000000003E-3</v>
      </c>
      <c r="E4643">
        <f t="shared" si="144"/>
        <v>0.994502</v>
      </c>
      <c r="F4643" s="1">
        <f t="shared" si="145"/>
        <v>42177</v>
      </c>
      <c r="G4643" cm="1">
        <f t="array" ref="G4643">PRODUCT( _xlfn._xlws.FILTER($E:$E, ($C:$C=C4643)*($F:$F=F4643)) ) - 1</f>
        <v>1.988050581934675E-2</v>
      </c>
    </row>
    <row r="4644" spans="1:7" x14ac:dyDescent="0.2">
      <c r="A4644" s="1">
        <v>42184</v>
      </c>
      <c r="B4644">
        <v>0</v>
      </c>
      <c r="C4644" t="s">
        <v>14</v>
      </c>
      <c r="D4644">
        <v>-1.6875000000000001E-2</v>
      </c>
      <c r="E4644">
        <f t="shared" si="144"/>
        <v>0.98312500000000003</v>
      </c>
      <c r="F4644" s="1">
        <f t="shared" si="145"/>
        <v>42184</v>
      </c>
      <c r="G4644" cm="1">
        <f t="array" ref="G4644">PRODUCT( _xlfn._xlws.FILTER($E:$E, ($C:$C=C4644)*($F:$F=F4644)) ) - 1</f>
        <v>6.6926434219420905E-3</v>
      </c>
    </row>
    <row r="4645" spans="1:7" x14ac:dyDescent="0.2">
      <c r="A4645" s="1">
        <v>42185</v>
      </c>
      <c r="B4645">
        <v>0</v>
      </c>
      <c r="C4645" t="s">
        <v>14</v>
      </c>
      <c r="D4645">
        <v>1.8053E-2</v>
      </c>
      <c r="E4645">
        <f t="shared" si="144"/>
        <v>1.0180530000000001</v>
      </c>
      <c r="F4645" s="1">
        <f t="shared" si="145"/>
        <v>42184</v>
      </c>
      <c r="G4645" cm="1">
        <f t="array" ref="G4645">PRODUCT( _xlfn._xlws.FILTER($E:$E, ($C:$C=C4645)*($F:$F=F4645)) ) - 1</f>
        <v>6.6926434219420905E-3</v>
      </c>
    </row>
    <row r="4646" spans="1:7" x14ac:dyDescent="0.2">
      <c r="A4646" s="1">
        <v>42187</v>
      </c>
      <c r="B4646">
        <v>0</v>
      </c>
      <c r="C4646" t="s">
        <v>14</v>
      </c>
      <c r="D4646">
        <v>6.6860000000000001E-3</v>
      </c>
      <c r="E4646">
        <f t="shared" si="144"/>
        <v>1.006686</v>
      </c>
      <c r="F4646" s="1">
        <f t="shared" si="145"/>
        <v>42184</v>
      </c>
      <c r="G4646" cm="1">
        <f t="array" ref="G4646">PRODUCT( _xlfn._xlws.FILTER($E:$E, ($C:$C=C4646)*($F:$F=F4646)) ) - 1</f>
        <v>6.6926434219420905E-3</v>
      </c>
    </row>
    <row r="4647" spans="1:7" x14ac:dyDescent="0.2">
      <c r="A4647" s="1">
        <v>42188</v>
      </c>
      <c r="B4647">
        <v>0</v>
      </c>
      <c r="C4647" t="s">
        <v>14</v>
      </c>
      <c r="D4647">
        <v>-8.6600000000000002E-4</v>
      </c>
      <c r="E4647">
        <f t="shared" si="144"/>
        <v>0.99913399999999997</v>
      </c>
      <c r="F4647" s="1">
        <f t="shared" si="145"/>
        <v>42184</v>
      </c>
      <c r="G4647" cm="1">
        <f t="array" ref="G4647">PRODUCT( _xlfn._xlws.FILTER($E:$E, ($C:$C=C4647)*($F:$F=F4647)) ) - 1</f>
        <v>6.6926434219420905E-3</v>
      </c>
    </row>
    <row r="4648" spans="1:7" x14ac:dyDescent="0.2">
      <c r="A4648" s="1">
        <v>42191</v>
      </c>
      <c r="B4648">
        <v>0</v>
      </c>
      <c r="C4648" t="s">
        <v>14</v>
      </c>
      <c r="D4648">
        <v>-1.2139E-2</v>
      </c>
      <c r="E4648">
        <f t="shared" si="144"/>
        <v>0.98786099999999999</v>
      </c>
      <c r="F4648" s="1">
        <f t="shared" si="145"/>
        <v>42191</v>
      </c>
      <c r="G4648" cm="1">
        <f t="array" ref="G4648">PRODUCT( _xlfn._xlws.FILTER($E:$E, ($C:$C=C4648)*($F:$F=F4648)) ) - 1</f>
        <v>-1.7340295035810804E-2</v>
      </c>
    </row>
    <row r="4649" spans="1:7" x14ac:dyDescent="0.2">
      <c r="A4649" s="1">
        <v>42192</v>
      </c>
      <c r="B4649">
        <v>0</v>
      </c>
      <c r="C4649" t="s">
        <v>14</v>
      </c>
      <c r="D4649">
        <v>2.2527999999999999E-2</v>
      </c>
      <c r="E4649">
        <f t="shared" si="144"/>
        <v>1.0225280000000001</v>
      </c>
      <c r="F4649" s="1">
        <f t="shared" si="145"/>
        <v>42191</v>
      </c>
      <c r="G4649" cm="1">
        <f t="array" ref="G4649">PRODUCT( _xlfn._xlws.FILTER($E:$E, ($C:$C=C4649)*($F:$F=F4649)) ) - 1</f>
        <v>-1.7340295035810804E-2</v>
      </c>
    </row>
    <row r="4650" spans="1:7" x14ac:dyDescent="0.2">
      <c r="A4650" s="1">
        <v>42193</v>
      </c>
      <c r="B4650">
        <v>0</v>
      </c>
      <c r="C4650" t="s">
        <v>14</v>
      </c>
      <c r="D4650">
        <v>-1.4592000000000001E-2</v>
      </c>
      <c r="E4650">
        <f t="shared" si="144"/>
        <v>0.98540799999999995</v>
      </c>
      <c r="F4650" s="1">
        <f t="shared" si="145"/>
        <v>42191</v>
      </c>
      <c r="G4650" cm="1">
        <f t="array" ref="G4650">PRODUCT( _xlfn._xlws.FILTER($E:$E, ($C:$C=C4650)*($F:$F=F4650)) ) - 1</f>
        <v>-1.7340295035810804E-2</v>
      </c>
    </row>
    <row r="4651" spans="1:7" x14ac:dyDescent="0.2">
      <c r="A4651" s="1">
        <v>42194</v>
      </c>
      <c r="B4651">
        <v>0</v>
      </c>
      <c r="C4651" t="s">
        <v>14</v>
      </c>
      <c r="D4651">
        <v>-1.8873000000000001E-2</v>
      </c>
      <c r="E4651">
        <f t="shared" si="144"/>
        <v>0.98112699999999997</v>
      </c>
      <c r="F4651" s="1">
        <f t="shared" si="145"/>
        <v>42191</v>
      </c>
      <c r="G4651" cm="1">
        <f t="array" ref="G4651">PRODUCT( _xlfn._xlws.FILTER($E:$E, ($C:$C=C4651)*($F:$F=F4651)) ) - 1</f>
        <v>-1.7340295035810804E-2</v>
      </c>
    </row>
    <row r="4652" spans="1:7" x14ac:dyDescent="0.2">
      <c r="A4652" s="1">
        <v>42195</v>
      </c>
      <c r="B4652">
        <v>0</v>
      </c>
      <c r="C4652" t="s">
        <v>14</v>
      </c>
      <c r="D4652">
        <v>6.215E-3</v>
      </c>
      <c r="E4652">
        <f t="shared" si="144"/>
        <v>1.0062150000000001</v>
      </c>
      <c r="F4652" s="1">
        <f t="shared" si="145"/>
        <v>42191</v>
      </c>
      <c r="G4652" cm="1">
        <f t="array" ref="G4652">PRODUCT( _xlfn._xlws.FILTER($E:$E, ($C:$C=C4652)*($F:$F=F4652)) ) - 1</f>
        <v>-1.7340295035810804E-2</v>
      </c>
    </row>
    <row r="4653" spans="1:7" x14ac:dyDescent="0.2">
      <c r="A4653" s="1">
        <v>42198</v>
      </c>
      <c r="B4653">
        <v>0</v>
      </c>
      <c r="C4653" t="s">
        <v>14</v>
      </c>
      <c r="D4653">
        <v>1.1176E-2</v>
      </c>
      <c r="E4653">
        <f t="shared" si="144"/>
        <v>1.0111760000000001</v>
      </c>
      <c r="F4653" s="1">
        <f t="shared" si="145"/>
        <v>42198</v>
      </c>
      <c r="G4653" cm="1">
        <f t="array" ref="G4653">PRODUCT( _xlfn._xlws.FILTER($E:$E, ($C:$C=C4653)*($F:$F=F4653)) ) - 1</f>
        <v>1.7057286570429264E-2</v>
      </c>
    </row>
    <row r="4654" spans="1:7" x14ac:dyDescent="0.2">
      <c r="A4654" s="1">
        <v>42199</v>
      </c>
      <c r="B4654">
        <v>0</v>
      </c>
      <c r="C4654" t="s">
        <v>14</v>
      </c>
      <c r="D4654">
        <v>1.9487999999999998E-2</v>
      </c>
      <c r="E4654">
        <f t="shared" si="144"/>
        <v>1.0194879999999999</v>
      </c>
      <c r="F4654" s="1">
        <f t="shared" si="145"/>
        <v>42198</v>
      </c>
      <c r="G4654" cm="1">
        <f t="array" ref="G4654">PRODUCT( _xlfn._xlws.FILTER($E:$E, ($C:$C=C4654)*($F:$F=F4654)) ) - 1</f>
        <v>1.7057286570429264E-2</v>
      </c>
    </row>
    <row r="4655" spans="1:7" x14ac:dyDescent="0.2">
      <c r="A4655" s="1">
        <v>42200</v>
      </c>
      <c r="B4655">
        <v>0</v>
      </c>
      <c r="C4655" t="s">
        <v>14</v>
      </c>
      <c r="D4655">
        <v>3.1380000000000002E-3</v>
      </c>
      <c r="E4655">
        <f t="shared" si="144"/>
        <v>1.0031380000000001</v>
      </c>
      <c r="F4655" s="1">
        <f t="shared" si="145"/>
        <v>42198</v>
      </c>
      <c r="G4655" cm="1">
        <f t="array" ref="G4655">PRODUCT( _xlfn._xlws.FILTER($E:$E, ($C:$C=C4655)*($F:$F=F4655)) ) - 1</f>
        <v>1.7057286570429264E-2</v>
      </c>
    </row>
    <row r="4656" spans="1:7" x14ac:dyDescent="0.2">
      <c r="A4656" s="1">
        <v>42201</v>
      </c>
      <c r="B4656">
        <v>0</v>
      </c>
      <c r="C4656" t="s">
        <v>14</v>
      </c>
      <c r="D4656">
        <v>2.2750000000000001E-3</v>
      </c>
      <c r="E4656">
        <f t="shared" si="144"/>
        <v>1.002275</v>
      </c>
      <c r="F4656" s="1">
        <f t="shared" si="145"/>
        <v>42198</v>
      </c>
      <c r="G4656" cm="1">
        <f t="array" ref="G4656">PRODUCT( _xlfn._xlws.FILTER($E:$E, ($C:$C=C4656)*($F:$F=F4656)) ) - 1</f>
        <v>1.7057286570429264E-2</v>
      </c>
    </row>
    <row r="4657" spans="1:7" x14ac:dyDescent="0.2">
      <c r="A4657" s="1">
        <v>42202</v>
      </c>
      <c r="B4657">
        <v>0</v>
      </c>
      <c r="C4657" t="s">
        <v>14</v>
      </c>
      <c r="D4657">
        <v>-1.8728999999999999E-2</v>
      </c>
      <c r="E4657">
        <f t="shared" si="144"/>
        <v>0.981271</v>
      </c>
      <c r="F4657" s="1">
        <f t="shared" si="145"/>
        <v>42198</v>
      </c>
      <c r="G4657" cm="1">
        <f t="array" ref="G4657">PRODUCT( _xlfn._xlws.FILTER($E:$E, ($C:$C=C4657)*($F:$F=F4657)) ) - 1</f>
        <v>1.7057286570429264E-2</v>
      </c>
    </row>
    <row r="4658" spans="1:7" x14ac:dyDescent="0.2">
      <c r="A4658" s="1">
        <v>42205</v>
      </c>
      <c r="B4658">
        <v>0</v>
      </c>
      <c r="C4658" t="s">
        <v>14</v>
      </c>
      <c r="D4658">
        <v>-2.0820999999999999E-2</v>
      </c>
      <c r="E4658">
        <f t="shared" si="144"/>
        <v>0.97917900000000002</v>
      </c>
      <c r="F4658" s="1">
        <f t="shared" si="145"/>
        <v>42205</v>
      </c>
      <c r="G4658" cm="1">
        <f t="array" ref="G4658">PRODUCT( _xlfn._xlws.FILTER($E:$E, ($C:$C=C4658)*($F:$F=F4658)) ) - 1</f>
        <v>-4.3376946026554841E-2</v>
      </c>
    </row>
    <row r="4659" spans="1:7" x14ac:dyDescent="0.2">
      <c r="A4659" s="1">
        <v>42206</v>
      </c>
      <c r="B4659">
        <v>0</v>
      </c>
      <c r="C4659" t="s">
        <v>14</v>
      </c>
      <c r="D4659">
        <v>-1.5062000000000001E-2</v>
      </c>
      <c r="E4659">
        <f t="shared" si="144"/>
        <v>0.98493799999999998</v>
      </c>
      <c r="F4659" s="1">
        <f t="shared" si="145"/>
        <v>42205</v>
      </c>
      <c r="G4659" cm="1">
        <f t="array" ref="G4659">PRODUCT( _xlfn._xlws.FILTER($E:$E, ($C:$C=C4659)*($F:$F=F4659)) ) - 1</f>
        <v>-4.3376946026554841E-2</v>
      </c>
    </row>
    <row r="4660" spans="1:7" x14ac:dyDescent="0.2">
      <c r="A4660" s="1">
        <v>42207</v>
      </c>
      <c r="B4660">
        <v>0</v>
      </c>
      <c r="C4660" t="s">
        <v>14</v>
      </c>
      <c r="D4660">
        <v>5.9969999999999997E-3</v>
      </c>
      <c r="E4660">
        <f t="shared" si="144"/>
        <v>1.005997</v>
      </c>
      <c r="F4660" s="1">
        <f t="shared" si="145"/>
        <v>42205</v>
      </c>
      <c r="G4660" cm="1">
        <f t="array" ref="G4660">PRODUCT( _xlfn._xlws.FILTER($E:$E, ($C:$C=C4660)*($F:$F=F4660)) ) - 1</f>
        <v>-4.3376946026554841E-2</v>
      </c>
    </row>
    <row r="4661" spans="1:7" x14ac:dyDescent="0.2">
      <c r="A4661" s="1">
        <v>42208</v>
      </c>
      <c r="B4661">
        <v>0</v>
      </c>
      <c r="C4661" t="s">
        <v>14</v>
      </c>
      <c r="D4661">
        <v>2.9810000000000001E-3</v>
      </c>
      <c r="E4661">
        <f t="shared" si="144"/>
        <v>1.0029809999999999</v>
      </c>
      <c r="F4661" s="1">
        <f t="shared" si="145"/>
        <v>42205</v>
      </c>
      <c r="G4661" cm="1">
        <f t="array" ref="G4661">PRODUCT( _xlfn._xlws.FILTER($E:$E, ($C:$C=C4661)*($F:$F=F4661)) ) - 1</f>
        <v>-4.3376946026554841E-2</v>
      </c>
    </row>
    <row r="4662" spans="1:7" x14ac:dyDescent="0.2">
      <c r="A4662" s="1">
        <v>42209</v>
      </c>
      <c r="B4662">
        <v>0</v>
      </c>
      <c r="C4662" t="s">
        <v>14</v>
      </c>
      <c r="D4662">
        <v>-1.6938999999999999E-2</v>
      </c>
      <c r="E4662">
        <f t="shared" si="144"/>
        <v>0.98306099999999996</v>
      </c>
      <c r="F4662" s="1">
        <f t="shared" si="145"/>
        <v>42205</v>
      </c>
      <c r="G4662" cm="1">
        <f t="array" ref="G4662">PRODUCT( _xlfn._xlws.FILTER($E:$E, ($C:$C=C4662)*($F:$F=F4662)) ) - 1</f>
        <v>-4.3376946026554841E-2</v>
      </c>
    </row>
    <row r="4663" spans="1:7" x14ac:dyDescent="0.2">
      <c r="A4663" s="1">
        <v>42212</v>
      </c>
      <c r="B4663">
        <v>0</v>
      </c>
      <c r="C4663" t="s">
        <v>14</v>
      </c>
      <c r="D4663">
        <v>-1.0883E-2</v>
      </c>
      <c r="E4663">
        <f t="shared" si="144"/>
        <v>0.98911700000000002</v>
      </c>
      <c r="F4663" s="1">
        <f t="shared" si="145"/>
        <v>42212</v>
      </c>
      <c r="G4663" cm="1">
        <f t="array" ref="G4663">PRODUCT( _xlfn._xlws.FILTER($E:$E, ($C:$C=C4663)*($F:$F=F4663)) ) - 1</f>
        <v>0.11366401617659672</v>
      </c>
    </row>
    <row r="4664" spans="1:7" x14ac:dyDescent="0.2">
      <c r="A4664" s="1">
        <v>42213</v>
      </c>
      <c r="B4664">
        <v>0</v>
      </c>
      <c r="C4664" t="s">
        <v>14</v>
      </c>
      <c r="D4664">
        <v>1.4059E-2</v>
      </c>
      <c r="E4664">
        <f t="shared" si="144"/>
        <v>1.014059</v>
      </c>
      <c r="F4664" s="1">
        <f t="shared" si="145"/>
        <v>42212</v>
      </c>
      <c r="G4664" cm="1">
        <f t="array" ref="G4664">PRODUCT( _xlfn._xlws.FILTER($E:$E, ($C:$C=C4664)*($F:$F=F4664)) ) - 1</f>
        <v>0.11366401617659672</v>
      </c>
    </row>
    <row r="4665" spans="1:7" x14ac:dyDescent="0.2">
      <c r="A4665" s="1">
        <v>42214</v>
      </c>
      <c r="B4665">
        <v>0</v>
      </c>
      <c r="C4665" t="s">
        <v>14</v>
      </c>
      <c r="D4665">
        <v>4.3400000000000001E-2</v>
      </c>
      <c r="E4665">
        <f t="shared" si="144"/>
        <v>1.0434000000000001</v>
      </c>
      <c r="F4665" s="1">
        <f t="shared" si="145"/>
        <v>42212</v>
      </c>
      <c r="G4665" cm="1">
        <f t="array" ref="G4665">PRODUCT( _xlfn._xlws.FILTER($E:$E, ($C:$C=C4665)*($F:$F=F4665)) ) - 1</f>
        <v>0.11366401617659672</v>
      </c>
    </row>
    <row r="4666" spans="1:7" x14ac:dyDescent="0.2">
      <c r="A4666" s="1">
        <v>42215</v>
      </c>
      <c r="B4666">
        <v>0</v>
      </c>
      <c r="C4666" t="s">
        <v>14</v>
      </c>
      <c r="D4666">
        <v>6.3257999999999995E-2</v>
      </c>
      <c r="E4666">
        <f t="shared" si="144"/>
        <v>1.063258</v>
      </c>
      <c r="F4666" s="1">
        <f t="shared" si="145"/>
        <v>42212</v>
      </c>
      <c r="G4666" cm="1">
        <f t="array" ref="G4666">PRODUCT( _xlfn._xlws.FILTER($E:$E, ($C:$C=C4666)*($F:$F=F4666)) ) - 1</f>
        <v>0.11366401617659672</v>
      </c>
    </row>
    <row r="4667" spans="1:7" x14ac:dyDescent="0.2">
      <c r="A4667" s="1">
        <v>42216</v>
      </c>
      <c r="B4667">
        <v>0</v>
      </c>
      <c r="C4667" t="s">
        <v>14</v>
      </c>
      <c r="D4667">
        <v>8.1499999999999997E-4</v>
      </c>
      <c r="E4667">
        <f t="shared" si="144"/>
        <v>1.000815</v>
      </c>
      <c r="F4667" s="1">
        <f t="shared" si="145"/>
        <v>42212</v>
      </c>
      <c r="G4667" cm="1">
        <f t="array" ref="G4667">PRODUCT( _xlfn._xlws.FILTER($E:$E, ($C:$C=C4667)*($F:$F=F4667)) ) - 1</f>
        <v>0.11366401617659672</v>
      </c>
    </row>
    <row r="4668" spans="1:7" x14ac:dyDescent="0.2">
      <c r="A4668" s="1">
        <v>42220</v>
      </c>
      <c r="B4668">
        <v>0</v>
      </c>
      <c r="C4668" t="s">
        <v>14</v>
      </c>
      <c r="D4668">
        <v>2.4429999999999999E-3</v>
      </c>
      <c r="E4668">
        <f t="shared" si="144"/>
        <v>1.002443</v>
      </c>
      <c r="F4668" s="1">
        <f t="shared" si="145"/>
        <v>42219</v>
      </c>
      <c r="G4668" cm="1">
        <f t="array" ref="G4668">PRODUCT( _xlfn._xlws.FILTER($E:$E, ($C:$C=C4668)*($F:$F=F4668)) ) - 1</f>
        <v>1.3843548918539561E-2</v>
      </c>
    </row>
    <row r="4669" spans="1:7" x14ac:dyDescent="0.2">
      <c r="A4669" s="1">
        <v>42221</v>
      </c>
      <c r="B4669">
        <v>0</v>
      </c>
      <c r="C4669" t="s">
        <v>14</v>
      </c>
      <c r="D4669">
        <v>1.0560999999999999E-2</v>
      </c>
      <c r="E4669">
        <f t="shared" si="144"/>
        <v>1.010561</v>
      </c>
      <c r="F4669" s="1">
        <f t="shared" si="145"/>
        <v>42219</v>
      </c>
      <c r="G4669" cm="1">
        <f t="array" ref="G4669">PRODUCT( _xlfn._xlws.FILTER($E:$E, ($C:$C=C4669)*($F:$F=F4669)) ) - 1</f>
        <v>1.3843548918539561E-2</v>
      </c>
    </row>
    <row r="4670" spans="1:7" x14ac:dyDescent="0.2">
      <c r="A4670" s="1">
        <v>42222</v>
      </c>
      <c r="B4670">
        <v>0</v>
      </c>
      <c r="C4670" t="s">
        <v>14</v>
      </c>
      <c r="D4670">
        <v>5.091E-3</v>
      </c>
      <c r="E4670">
        <f t="shared" si="144"/>
        <v>1.005091</v>
      </c>
      <c r="F4670" s="1">
        <f t="shared" si="145"/>
        <v>42219</v>
      </c>
      <c r="G4670" cm="1">
        <f t="array" ref="G4670">PRODUCT( _xlfn._xlws.FILTER($E:$E, ($C:$C=C4670)*($F:$F=F4670)) ) - 1</f>
        <v>1.3843548918539561E-2</v>
      </c>
    </row>
    <row r="4671" spans="1:7" x14ac:dyDescent="0.2">
      <c r="A4671" s="1">
        <v>42223</v>
      </c>
      <c r="B4671">
        <v>0</v>
      </c>
      <c r="C4671" t="s">
        <v>14</v>
      </c>
      <c r="D4671">
        <v>-4.2659999999999998E-3</v>
      </c>
      <c r="E4671">
        <f t="shared" si="144"/>
        <v>0.99573400000000001</v>
      </c>
      <c r="F4671" s="1">
        <f t="shared" si="145"/>
        <v>42219</v>
      </c>
      <c r="G4671" cm="1">
        <f t="array" ref="G4671">PRODUCT( _xlfn._xlws.FILTER($E:$E, ($C:$C=C4671)*($F:$F=F4671)) ) - 1</f>
        <v>1.3843548918539561E-2</v>
      </c>
    </row>
    <row r="4672" spans="1:7" x14ac:dyDescent="0.2">
      <c r="A4672" s="1">
        <v>42226</v>
      </c>
      <c r="B4672">
        <v>0</v>
      </c>
      <c r="C4672" t="s">
        <v>14</v>
      </c>
      <c r="D4672">
        <v>9.639E-3</v>
      </c>
      <c r="E4672">
        <f t="shared" si="144"/>
        <v>1.009639</v>
      </c>
      <c r="F4672" s="1">
        <f t="shared" si="145"/>
        <v>42226</v>
      </c>
      <c r="G4672" cm="1">
        <f t="array" ref="G4672">PRODUCT( _xlfn._xlws.FILTER($E:$E, ($C:$C=C4672)*($F:$F=F4672)) ) - 1</f>
        <v>-2.40846901677505E-3</v>
      </c>
    </row>
    <row r="4673" spans="1:7" x14ac:dyDescent="0.2">
      <c r="A4673" s="1">
        <v>42227</v>
      </c>
      <c r="B4673">
        <v>0</v>
      </c>
      <c r="C4673" t="s">
        <v>14</v>
      </c>
      <c r="D4673">
        <v>1.0610000000000001E-3</v>
      </c>
      <c r="E4673">
        <f t="shared" si="144"/>
        <v>1.001061</v>
      </c>
      <c r="F4673" s="1">
        <f t="shared" si="145"/>
        <v>42226</v>
      </c>
      <c r="G4673" cm="1">
        <f t="array" ref="G4673">PRODUCT( _xlfn._xlws.FILTER($E:$E, ($C:$C=C4673)*($F:$F=F4673)) ) - 1</f>
        <v>-2.40846901677505E-3</v>
      </c>
    </row>
    <row r="4674" spans="1:7" x14ac:dyDescent="0.2">
      <c r="A4674" s="1">
        <v>42228</v>
      </c>
      <c r="B4674">
        <v>0</v>
      </c>
      <c r="C4674" t="s">
        <v>14</v>
      </c>
      <c r="D4674">
        <v>-6.8869999999999999E-3</v>
      </c>
      <c r="E4674">
        <f t="shared" si="144"/>
        <v>0.99311300000000002</v>
      </c>
      <c r="F4674" s="1">
        <f t="shared" si="145"/>
        <v>42226</v>
      </c>
      <c r="G4674" cm="1">
        <f t="array" ref="G4674">PRODUCT( _xlfn._xlws.FILTER($E:$E, ($C:$C=C4674)*($F:$F=F4674)) ) - 1</f>
        <v>-2.40846901677505E-3</v>
      </c>
    </row>
    <row r="4675" spans="1:7" x14ac:dyDescent="0.2">
      <c r="A4675" s="1">
        <v>42229</v>
      </c>
      <c r="B4675">
        <v>0</v>
      </c>
      <c r="C4675" t="s">
        <v>14</v>
      </c>
      <c r="D4675">
        <v>-1.7070999999999999E-2</v>
      </c>
      <c r="E4675">
        <f t="shared" si="144"/>
        <v>0.98292900000000005</v>
      </c>
      <c r="F4675" s="1">
        <f t="shared" si="145"/>
        <v>42226</v>
      </c>
      <c r="G4675" cm="1">
        <f t="array" ref="G4675">PRODUCT( _xlfn._xlws.FILTER($E:$E, ($C:$C=C4675)*($F:$F=F4675)) ) - 1</f>
        <v>-2.40846901677505E-3</v>
      </c>
    </row>
    <row r="4676" spans="1:7" x14ac:dyDescent="0.2">
      <c r="A4676" s="1">
        <v>42230</v>
      </c>
      <c r="B4676">
        <v>0</v>
      </c>
      <c r="C4676" t="s">
        <v>14</v>
      </c>
      <c r="D4676">
        <v>1.1126E-2</v>
      </c>
      <c r="E4676">
        <f t="shared" ref="E4676:E4739" si="146">D4676+1</f>
        <v>1.011126</v>
      </c>
      <c r="F4676" s="1">
        <f t="shared" ref="F4676:F4739" si="147">A4676 - (WEEKDAY(A4676, 2) - 1)</f>
        <v>42226</v>
      </c>
      <c r="G4676" cm="1">
        <f t="array" ref="G4676">PRODUCT( _xlfn._xlws.FILTER($E:$E, ($C:$C=C4676)*($F:$F=F4676)) ) - 1</f>
        <v>-2.40846901677505E-3</v>
      </c>
    </row>
    <row r="4677" spans="1:7" x14ac:dyDescent="0.2">
      <c r="A4677" s="1">
        <v>42233</v>
      </c>
      <c r="B4677">
        <v>0</v>
      </c>
      <c r="C4677" t="s">
        <v>14</v>
      </c>
      <c r="D4677">
        <v>-1.7713E-2</v>
      </c>
      <c r="E4677">
        <f t="shared" si="146"/>
        <v>0.98228700000000002</v>
      </c>
      <c r="F4677" s="1">
        <f t="shared" si="147"/>
        <v>42233</v>
      </c>
      <c r="G4677" cm="1">
        <f t="array" ref="G4677">PRODUCT( _xlfn._xlws.FILTER($E:$E, ($C:$C=C4677)*($F:$F=F4677)) ) - 1</f>
        <v>-7.9978742565995686E-2</v>
      </c>
    </row>
    <row r="4678" spans="1:7" x14ac:dyDescent="0.2">
      <c r="A4678" s="1">
        <v>42234</v>
      </c>
      <c r="B4678">
        <v>0</v>
      </c>
      <c r="C4678" t="s">
        <v>14</v>
      </c>
      <c r="D4678">
        <v>-7.3769999999999999E-3</v>
      </c>
      <c r="E4678">
        <f t="shared" si="146"/>
        <v>0.99262300000000003</v>
      </c>
      <c r="F4678" s="1">
        <f t="shared" si="147"/>
        <v>42233</v>
      </c>
      <c r="G4678" cm="1">
        <f t="array" ref="G4678">PRODUCT( _xlfn._xlws.FILTER($E:$E, ($C:$C=C4678)*($F:$F=F4678)) ) - 1</f>
        <v>-7.9978742565995686E-2</v>
      </c>
    </row>
    <row r="4679" spans="1:7" x14ac:dyDescent="0.2">
      <c r="A4679" s="1">
        <v>42235</v>
      </c>
      <c r="B4679">
        <v>0</v>
      </c>
      <c r="C4679" t="s">
        <v>14</v>
      </c>
      <c r="D4679">
        <v>-3.2204999999999998E-2</v>
      </c>
      <c r="E4679">
        <f t="shared" si="146"/>
        <v>0.96779499999999996</v>
      </c>
      <c r="F4679" s="1">
        <f t="shared" si="147"/>
        <v>42233</v>
      </c>
      <c r="G4679" cm="1">
        <f t="array" ref="G4679">PRODUCT( _xlfn._xlws.FILTER($E:$E, ($C:$C=C4679)*($F:$F=F4679)) ) - 1</f>
        <v>-7.9978742565995686E-2</v>
      </c>
    </row>
    <row r="4680" spans="1:7" x14ac:dyDescent="0.2">
      <c r="A4680" s="1">
        <v>42236</v>
      </c>
      <c r="B4680">
        <v>0</v>
      </c>
      <c r="C4680" t="s">
        <v>14</v>
      </c>
      <c r="D4680">
        <v>-2.6734999999999998E-2</v>
      </c>
      <c r="E4680">
        <f t="shared" si="146"/>
        <v>0.97326500000000005</v>
      </c>
      <c r="F4680" s="1">
        <f t="shared" si="147"/>
        <v>42233</v>
      </c>
      <c r="G4680" cm="1">
        <f t="array" ref="G4680">PRODUCT( _xlfn._xlws.FILTER($E:$E, ($C:$C=C4680)*($F:$F=F4680)) ) - 1</f>
        <v>-7.9978742565995686E-2</v>
      </c>
    </row>
    <row r="4681" spans="1:7" x14ac:dyDescent="0.2">
      <c r="A4681" s="1">
        <v>42237</v>
      </c>
      <c r="B4681">
        <v>0</v>
      </c>
      <c r="C4681" t="s">
        <v>14</v>
      </c>
      <c r="D4681">
        <v>1.753E-3</v>
      </c>
      <c r="E4681">
        <f t="shared" si="146"/>
        <v>1.0017529999999999</v>
      </c>
      <c r="F4681" s="1">
        <f t="shared" si="147"/>
        <v>42233</v>
      </c>
      <c r="G4681" cm="1">
        <f t="array" ref="G4681">PRODUCT( _xlfn._xlws.FILTER($E:$E, ($C:$C=C4681)*($F:$F=F4681)) ) - 1</f>
        <v>-7.9978742565995686E-2</v>
      </c>
    </row>
    <row r="4682" spans="1:7" x14ac:dyDescent="0.2">
      <c r="A4682" s="1">
        <v>42240</v>
      </c>
      <c r="B4682">
        <v>0</v>
      </c>
      <c r="C4682" t="s">
        <v>14</v>
      </c>
      <c r="D4682">
        <v>-3.9382E-2</v>
      </c>
      <c r="E4682">
        <f t="shared" si="146"/>
        <v>0.96061799999999997</v>
      </c>
      <c r="F4682" s="1">
        <f t="shared" si="147"/>
        <v>42240</v>
      </c>
      <c r="G4682" cm="1">
        <f t="array" ref="G4682">PRODUCT( _xlfn._xlws.FILTER($E:$E, ($C:$C=C4682)*($F:$F=F4682)) ) - 1</f>
        <v>7.3803987010980787E-2</v>
      </c>
    </row>
    <row r="4683" spans="1:7" x14ac:dyDescent="0.2">
      <c r="A4683" s="1">
        <v>42241</v>
      </c>
      <c r="B4683">
        <v>0</v>
      </c>
      <c r="C4683" t="s">
        <v>14</v>
      </c>
      <c r="D4683">
        <v>2.0954E-2</v>
      </c>
      <c r="E4683">
        <f t="shared" si="146"/>
        <v>1.0209539999999999</v>
      </c>
      <c r="F4683" s="1">
        <f t="shared" si="147"/>
        <v>42240</v>
      </c>
      <c r="G4683" cm="1">
        <f t="array" ref="G4683">PRODUCT( _xlfn._xlws.FILTER($E:$E, ($C:$C=C4683)*($F:$F=F4683)) ) - 1</f>
        <v>7.3803987010980787E-2</v>
      </c>
    </row>
    <row r="4684" spans="1:7" x14ac:dyDescent="0.2">
      <c r="A4684" s="1">
        <v>42242</v>
      </c>
      <c r="B4684">
        <v>0</v>
      </c>
      <c r="C4684" t="s">
        <v>14</v>
      </c>
      <c r="D4684">
        <v>2.6769999999999999E-2</v>
      </c>
      <c r="E4684">
        <f t="shared" si="146"/>
        <v>1.02677</v>
      </c>
      <c r="F4684" s="1">
        <f t="shared" si="147"/>
        <v>42240</v>
      </c>
      <c r="G4684" cm="1">
        <f t="array" ref="G4684">PRODUCT( _xlfn._xlws.FILTER($E:$E, ($C:$C=C4684)*($F:$F=F4684)) ) - 1</f>
        <v>7.3803987010980787E-2</v>
      </c>
    </row>
    <row r="4685" spans="1:7" x14ac:dyDescent="0.2">
      <c r="A4685" s="1">
        <v>42243</v>
      </c>
      <c r="B4685">
        <v>0</v>
      </c>
      <c r="C4685" t="s">
        <v>14</v>
      </c>
      <c r="D4685">
        <v>5.5329999999999997E-2</v>
      </c>
      <c r="E4685">
        <f t="shared" si="146"/>
        <v>1.0553300000000001</v>
      </c>
      <c r="F4685" s="1">
        <f t="shared" si="147"/>
        <v>42240</v>
      </c>
      <c r="G4685" cm="1">
        <f t="array" ref="G4685">PRODUCT( _xlfn._xlws.FILTER($E:$E, ($C:$C=C4685)*($F:$F=F4685)) ) - 1</f>
        <v>7.3803987010980787E-2</v>
      </c>
    </row>
    <row r="4686" spans="1:7" x14ac:dyDescent="0.2">
      <c r="A4686" s="1">
        <v>42244</v>
      </c>
      <c r="B4686">
        <v>0</v>
      </c>
      <c r="C4686" t="s">
        <v>14</v>
      </c>
      <c r="D4686">
        <v>1.0430999999999999E-2</v>
      </c>
      <c r="E4686">
        <f t="shared" si="146"/>
        <v>1.0104310000000001</v>
      </c>
      <c r="F4686" s="1">
        <f t="shared" si="147"/>
        <v>42240</v>
      </c>
      <c r="G4686" cm="1">
        <f t="array" ref="G4686">PRODUCT( _xlfn._xlws.FILTER($E:$E, ($C:$C=C4686)*($F:$F=F4686)) ) - 1</f>
        <v>7.3803987010980787E-2</v>
      </c>
    </row>
    <row r="4687" spans="1:7" x14ac:dyDescent="0.2">
      <c r="A4687" s="1">
        <v>42247</v>
      </c>
      <c r="B4687">
        <v>0</v>
      </c>
      <c r="C4687" t="s">
        <v>14</v>
      </c>
      <c r="D4687">
        <v>1.2225E-2</v>
      </c>
      <c r="E4687">
        <f t="shared" si="146"/>
        <v>1.0122249999999999</v>
      </c>
      <c r="F4687" s="1">
        <f t="shared" si="147"/>
        <v>42247</v>
      </c>
      <c r="G4687" cm="1">
        <f t="array" ref="G4687">PRODUCT( _xlfn._xlws.FILTER($E:$E, ($C:$C=C4687)*($F:$F=F4687)) ) - 1</f>
        <v>-4.1292778835786303E-2</v>
      </c>
    </row>
    <row r="4688" spans="1:7" x14ac:dyDescent="0.2">
      <c r="A4688" s="1">
        <v>42248</v>
      </c>
      <c r="B4688">
        <v>0</v>
      </c>
      <c r="C4688" t="s">
        <v>14</v>
      </c>
      <c r="D4688">
        <v>-3.2474000000000003E-2</v>
      </c>
      <c r="E4688">
        <f t="shared" si="146"/>
        <v>0.967526</v>
      </c>
      <c r="F4688" s="1">
        <f t="shared" si="147"/>
        <v>42247</v>
      </c>
      <c r="G4688" cm="1">
        <f t="array" ref="G4688">PRODUCT( _xlfn._xlws.FILTER($E:$E, ($C:$C=C4688)*($F:$F=F4688)) ) - 1</f>
        <v>-4.1292778835786303E-2</v>
      </c>
    </row>
    <row r="4689" spans="1:7" x14ac:dyDescent="0.2">
      <c r="A4689" s="1">
        <v>42249</v>
      </c>
      <c r="B4689">
        <v>0</v>
      </c>
      <c r="C4689" t="s">
        <v>14</v>
      </c>
      <c r="D4689">
        <v>-2.1082E-2</v>
      </c>
      <c r="E4689">
        <f t="shared" si="146"/>
        <v>0.97891799999999995</v>
      </c>
      <c r="F4689" s="1">
        <f t="shared" si="147"/>
        <v>42247</v>
      </c>
      <c r="G4689" cm="1">
        <f t="array" ref="G4689">PRODUCT( _xlfn._xlws.FILTER($E:$E, ($C:$C=C4689)*($F:$F=F4689)) ) - 1</f>
        <v>-4.1292778835786303E-2</v>
      </c>
    </row>
    <row r="4690" spans="1:7" x14ac:dyDescent="0.2">
      <c r="A4690" s="1">
        <v>42250</v>
      </c>
      <c r="B4690">
        <v>0</v>
      </c>
      <c r="C4690" t="s">
        <v>14</v>
      </c>
      <c r="D4690">
        <v>-1.4289999999999999E-3</v>
      </c>
      <c r="E4690">
        <f t="shared" si="146"/>
        <v>0.99857099999999999</v>
      </c>
      <c r="F4690" s="1">
        <f t="shared" si="147"/>
        <v>42247</v>
      </c>
      <c r="G4690" cm="1">
        <f t="array" ref="G4690">PRODUCT( _xlfn._xlws.FILTER($E:$E, ($C:$C=C4690)*($F:$F=F4690)) ) - 1</f>
        <v>-4.1292778835786303E-2</v>
      </c>
    </row>
    <row r="4691" spans="1:7" x14ac:dyDescent="0.2">
      <c r="A4691" s="1">
        <v>42251</v>
      </c>
      <c r="B4691">
        <v>0</v>
      </c>
      <c r="C4691" t="s">
        <v>14</v>
      </c>
      <c r="D4691">
        <v>1.431E-3</v>
      </c>
      <c r="E4691">
        <f t="shared" si="146"/>
        <v>1.001431</v>
      </c>
      <c r="F4691" s="1">
        <f t="shared" si="147"/>
        <v>42247</v>
      </c>
      <c r="G4691" cm="1">
        <f t="array" ref="G4691">PRODUCT( _xlfn._xlws.FILTER($E:$E, ($C:$C=C4691)*($F:$F=F4691)) ) - 1</f>
        <v>-4.1292778835786303E-2</v>
      </c>
    </row>
    <row r="4692" spans="1:7" x14ac:dyDescent="0.2">
      <c r="A4692" s="1">
        <v>42255</v>
      </c>
      <c r="B4692">
        <v>0</v>
      </c>
      <c r="C4692" t="s">
        <v>14</v>
      </c>
      <c r="D4692">
        <v>4.0000000000000001E-3</v>
      </c>
      <c r="E4692">
        <f t="shared" si="146"/>
        <v>1.004</v>
      </c>
      <c r="F4692" s="1">
        <f t="shared" si="147"/>
        <v>42254</v>
      </c>
      <c r="G4692" cm="1">
        <f t="array" ref="G4692">PRODUCT( _xlfn._xlws.FILTER($E:$E, ($C:$C=C4692)*($F:$F=F4692)) ) - 1</f>
        <v>-2.6285516855124369E-2</v>
      </c>
    </row>
    <row r="4693" spans="1:7" x14ac:dyDescent="0.2">
      <c r="A4693" s="1">
        <v>42256</v>
      </c>
      <c r="B4693">
        <v>0</v>
      </c>
      <c r="C4693" t="s">
        <v>14</v>
      </c>
      <c r="D4693">
        <v>-1.0529E-2</v>
      </c>
      <c r="E4693">
        <f t="shared" si="146"/>
        <v>0.98947099999999999</v>
      </c>
      <c r="F4693" s="1">
        <f t="shared" si="147"/>
        <v>42254</v>
      </c>
      <c r="G4693" cm="1">
        <f t="array" ref="G4693">PRODUCT( _xlfn._xlws.FILTER($E:$E, ($C:$C=C4693)*($F:$F=F4693)) ) - 1</f>
        <v>-2.6285516855124369E-2</v>
      </c>
    </row>
    <row r="4694" spans="1:7" x14ac:dyDescent="0.2">
      <c r="A4694" s="1">
        <v>42257</v>
      </c>
      <c r="B4694">
        <v>0</v>
      </c>
      <c r="C4694" t="s">
        <v>14</v>
      </c>
      <c r="D4694">
        <v>7.4780000000000003E-3</v>
      </c>
      <c r="E4694">
        <f t="shared" si="146"/>
        <v>1.0074780000000001</v>
      </c>
      <c r="F4694" s="1">
        <f t="shared" si="147"/>
        <v>42254</v>
      </c>
      <c r="G4694" cm="1">
        <f t="array" ref="G4694">PRODUCT( _xlfn._xlws.FILTER($E:$E, ($C:$C=C4694)*($F:$F=F4694)) ) - 1</f>
        <v>-2.6285516855124369E-2</v>
      </c>
    </row>
    <row r="4695" spans="1:7" x14ac:dyDescent="0.2">
      <c r="A4695" s="1">
        <v>42258</v>
      </c>
      <c r="B4695">
        <v>0</v>
      </c>
      <c r="C4695" t="s">
        <v>14</v>
      </c>
      <c r="D4695">
        <v>-2.7119999999999998E-2</v>
      </c>
      <c r="E4695">
        <f t="shared" si="146"/>
        <v>0.97287999999999997</v>
      </c>
      <c r="F4695" s="1">
        <f t="shared" si="147"/>
        <v>42254</v>
      </c>
      <c r="G4695" cm="1">
        <f t="array" ref="G4695">PRODUCT( _xlfn._xlws.FILTER($E:$E, ($C:$C=C4695)*($F:$F=F4695)) ) - 1</f>
        <v>-2.6285516855124369E-2</v>
      </c>
    </row>
    <row r="4696" spans="1:7" x14ac:dyDescent="0.2">
      <c r="A4696" s="1">
        <v>42261</v>
      </c>
      <c r="B4696">
        <v>0</v>
      </c>
      <c r="C4696" t="s">
        <v>14</v>
      </c>
      <c r="D4696">
        <v>-1.4378E-2</v>
      </c>
      <c r="E4696">
        <f t="shared" si="146"/>
        <v>0.985622</v>
      </c>
      <c r="F4696" s="1">
        <f t="shared" si="147"/>
        <v>42261</v>
      </c>
      <c r="G4696" cm="1">
        <f t="array" ref="G4696">PRODUCT( _xlfn._xlws.FILTER($E:$E, ($C:$C=C4696)*($F:$F=F4696)) ) - 1</f>
        <v>-8.7999468982724594E-4</v>
      </c>
    </row>
    <row r="4697" spans="1:7" x14ac:dyDescent="0.2">
      <c r="A4697" s="1">
        <v>42262</v>
      </c>
      <c r="B4697">
        <v>0</v>
      </c>
      <c r="C4697" t="s">
        <v>14</v>
      </c>
      <c r="D4697">
        <v>-5.0610000000000004E-3</v>
      </c>
      <c r="E4697">
        <f t="shared" si="146"/>
        <v>0.99493900000000002</v>
      </c>
      <c r="F4697" s="1">
        <f t="shared" si="147"/>
        <v>42261</v>
      </c>
      <c r="G4697" cm="1">
        <f t="array" ref="G4697">PRODUCT( _xlfn._xlws.FILTER($E:$E, ($C:$C=C4697)*($F:$F=F4697)) ) - 1</f>
        <v>-8.7999468982724594E-4</v>
      </c>
    </row>
    <row r="4698" spans="1:7" x14ac:dyDescent="0.2">
      <c r="A4698" s="1">
        <v>42263</v>
      </c>
      <c r="B4698">
        <v>0</v>
      </c>
      <c r="C4698" t="s">
        <v>14</v>
      </c>
      <c r="D4698">
        <v>4.1591999999999997E-2</v>
      </c>
      <c r="E4698">
        <f t="shared" si="146"/>
        <v>1.0415920000000001</v>
      </c>
      <c r="F4698" s="1">
        <f t="shared" si="147"/>
        <v>42261</v>
      </c>
      <c r="G4698" cm="1">
        <f t="array" ref="G4698">PRODUCT( _xlfn._xlws.FILTER($E:$E, ($C:$C=C4698)*($F:$F=F4698)) ) - 1</f>
        <v>-8.7999468982724594E-4</v>
      </c>
    </row>
    <row r="4699" spans="1:7" x14ac:dyDescent="0.2">
      <c r="A4699" s="1">
        <v>42264</v>
      </c>
      <c r="B4699">
        <v>0</v>
      </c>
      <c r="C4699" t="s">
        <v>14</v>
      </c>
      <c r="D4699">
        <v>9.1929999999999998E-3</v>
      </c>
      <c r="E4699">
        <f t="shared" si="146"/>
        <v>1.009193</v>
      </c>
      <c r="F4699" s="1">
        <f t="shared" si="147"/>
        <v>42261</v>
      </c>
      <c r="G4699" cm="1">
        <f t="array" ref="G4699">PRODUCT( _xlfn._xlws.FILTER($E:$E, ($C:$C=C4699)*($F:$F=F4699)) ) - 1</f>
        <v>-8.7999468982724594E-4</v>
      </c>
    </row>
    <row r="4700" spans="1:7" x14ac:dyDescent="0.2">
      <c r="A4700" s="1">
        <v>42265</v>
      </c>
      <c r="B4700">
        <v>0</v>
      </c>
      <c r="C4700" t="s">
        <v>14</v>
      </c>
      <c r="D4700">
        <v>-3.0742999999999999E-2</v>
      </c>
      <c r="E4700">
        <f t="shared" si="146"/>
        <v>0.96925700000000004</v>
      </c>
      <c r="F4700" s="1">
        <f t="shared" si="147"/>
        <v>42261</v>
      </c>
      <c r="G4700" cm="1">
        <f t="array" ref="G4700">PRODUCT( _xlfn._xlws.FILTER($E:$E, ($C:$C=C4700)*($F:$F=F4700)) ) - 1</f>
        <v>-8.7999468982724594E-4</v>
      </c>
    </row>
    <row r="4701" spans="1:7" x14ac:dyDescent="0.2">
      <c r="A4701" s="1">
        <v>42268</v>
      </c>
      <c r="B4701">
        <v>0</v>
      </c>
      <c r="C4701" t="s">
        <v>14</v>
      </c>
      <c r="D4701">
        <v>2.2026E-2</v>
      </c>
      <c r="E4701">
        <f t="shared" si="146"/>
        <v>1.0220260000000001</v>
      </c>
      <c r="F4701" s="1">
        <f t="shared" si="147"/>
        <v>42268</v>
      </c>
      <c r="G4701" cm="1">
        <f t="array" ref="G4701">PRODUCT( _xlfn._xlws.FILTER($E:$E, ($C:$C=C4701)*($F:$F=F4701)) ) - 1</f>
        <v>2.9955446423436394E-2</v>
      </c>
    </row>
    <row r="4702" spans="1:7" x14ac:dyDescent="0.2">
      <c r="A4702" s="1">
        <v>42269</v>
      </c>
      <c r="B4702">
        <v>0</v>
      </c>
      <c r="C4702" t="s">
        <v>14</v>
      </c>
      <c r="D4702">
        <v>-7.1840000000000003E-3</v>
      </c>
      <c r="E4702">
        <f t="shared" si="146"/>
        <v>0.99281600000000003</v>
      </c>
      <c r="F4702" s="1">
        <f t="shared" si="147"/>
        <v>42268</v>
      </c>
      <c r="G4702" cm="1">
        <f t="array" ref="G4702">PRODUCT( _xlfn._xlws.FILTER($E:$E, ($C:$C=C4702)*($F:$F=F4702)) ) - 1</f>
        <v>2.9955446423436394E-2</v>
      </c>
    </row>
    <row r="4703" spans="1:7" x14ac:dyDescent="0.2">
      <c r="A4703" s="1">
        <v>42270</v>
      </c>
      <c r="B4703">
        <v>0</v>
      </c>
      <c r="C4703" t="s">
        <v>14</v>
      </c>
      <c r="D4703">
        <v>-1.3603000000000001E-2</v>
      </c>
      <c r="E4703">
        <f t="shared" si="146"/>
        <v>0.98639699999999997</v>
      </c>
      <c r="F4703" s="1">
        <f t="shared" si="147"/>
        <v>42268</v>
      </c>
      <c r="G4703" cm="1">
        <f t="array" ref="G4703">PRODUCT( _xlfn._xlws.FILTER($E:$E, ($C:$C=C4703)*($F:$F=F4703)) ) - 1</f>
        <v>2.9955446423436394E-2</v>
      </c>
    </row>
    <row r="4704" spans="1:7" x14ac:dyDescent="0.2">
      <c r="A4704" s="1">
        <v>42271</v>
      </c>
      <c r="B4704">
        <v>0</v>
      </c>
      <c r="C4704" t="s">
        <v>14</v>
      </c>
      <c r="D4704">
        <v>1.1736999999999999E-2</v>
      </c>
      <c r="E4704">
        <f t="shared" si="146"/>
        <v>1.0117370000000001</v>
      </c>
      <c r="F4704" s="1">
        <f t="shared" si="147"/>
        <v>42268</v>
      </c>
      <c r="G4704" cm="1">
        <f t="array" ref="G4704">PRODUCT( _xlfn._xlws.FILTER($E:$E, ($C:$C=C4704)*($F:$F=F4704)) ) - 1</f>
        <v>2.9955446423436394E-2</v>
      </c>
    </row>
    <row r="4705" spans="1:7" x14ac:dyDescent="0.2">
      <c r="A4705" s="1">
        <v>42272</v>
      </c>
      <c r="B4705">
        <v>0</v>
      </c>
      <c r="C4705" t="s">
        <v>14</v>
      </c>
      <c r="D4705">
        <v>1.7111000000000001E-2</v>
      </c>
      <c r="E4705">
        <f t="shared" si="146"/>
        <v>1.0171110000000001</v>
      </c>
      <c r="F4705" s="1">
        <f t="shared" si="147"/>
        <v>42268</v>
      </c>
      <c r="G4705" cm="1">
        <f t="array" ref="G4705">PRODUCT( _xlfn._xlws.FILTER($E:$E, ($C:$C=C4705)*($F:$F=F4705)) ) - 1</f>
        <v>2.9955446423436394E-2</v>
      </c>
    </row>
    <row r="4706" spans="1:7" x14ac:dyDescent="0.2">
      <c r="A4706" s="1">
        <v>42275</v>
      </c>
      <c r="B4706">
        <v>0</v>
      </c>
      <c r="C4706" t="s">
        <v>14</v>
      </c>
      <c r="D4706">
        <v>-1.3402000000000001E-2</v>
      </c>
      <c r="E4706">
        <f t="shared" si="146"/>
        <v>0.98659799999999997</v>
      </c>
      <c r="F4706" s="1">
        <f t="shared" si="147"/>
        <v>42275</v>
      </c>
      <c r="G4706" cm="1">
        <f t="array" ref="G4706">PRODUCT( _xlfn._xlws.FILTER($E:$E, ($C:$C=C4706)*($F:$F=F4706)) ) - 1</f>
        <v>8.5545362308212525E-3</v>
      </c>
    </row>
    <row r="4707" spans="1:7" x14ac:dyDescent="0.2">
      <c r="A4707" s="1">
        <v>42276</v>
      </c>
      <c r="B4707">
        <v>0</v>
      </c>
      <c r="C4707" t="s">
        <v>14</v>
      </c>
      <c r="D4707">
        <v>2.6012E-2</v>
      </c>
      <c r="E4707">
        <f t="shared" si="146"/>
        <v>1.0260119999999999</v>
      </c>
      <c r="F4707" s="1">
        <f t="shared" si="147"/>
        <v>42275</v>
      </c>
      <c r="G4707" cm="1">
        <f t="array" ref="G4707">PRODUCT( _xlfn._xlws.FILTER($E:$E, ($C:$C=C4707)*($F:$F=F4707)) ) - 1</f>
        <v>8.5545362308212525E-3</v>
      </c>
    </row>
    <row r="4708" spans="1:7" x14ac:dyDescent="0.2">
      <c r="A4708" s="1">
        <v>42277</v>
      </c>
      <c r="B4708">
        <v>0</v>
      </c>
      <c r="C4708" t="s">
        <v>14</v>
      </c>
      <c r="D4708">
        <v>5.352E-3</v>
      </c>
      <c r="E4708">
        <f t="shared" si="146"/>
        <v>1.005352</v>
      </c>
      <c r="F4708" s="1">
        <f t="shared" si="147"/>
        <v>42275</v>
      </c>
      <c r="G4708" cm="1">
        <f t="array" ref="G4708">PRODUCT( _xlfn._xlws.FILTER($E:$E, ($C:$C=C4708)*($F:$F=F4708)) ) - 1</f>
        <v>8.5545362308212525E-3</v>
      </c>
    </row>
    <row r="4709" spans="1:7" x14ac:dyDescent="0.2">
      <c r="A4709" s="1">
        <v>42278</v>
      </c>
      <c r="B4709">
        <v>0</v>
      </c>
      <c r="C4709" t="s">
        <v>14</v>
      </c>
      <c r="D4709">
        <v>-1.2328E-2</v>
      </c>
      <c r="E4709">
        <f t="shared" si="146"/>
        <v>0.98767199999999999</v>
      </c>
      <c r="F4709" s="1">
        <f t="shared" si="147"/>
        <v>42275</v>
      </c>
      <c r="G4709" cm="1">
        <f t="array" ref="G4709">PRODUCT( _xlfn._xlws.FILTER($E:$E, ($C:$C=C4709)*($F:$F=F4709)) ) - 1</f>
        <v>8.5545362308212525E-3</v>
      </c>
    </row>
    <row r="4710" spans="1:7" x14ac:dyDescent="0.2">
      <c r="A4710" s="1">
        <v>42279</v>
      </c>
      <c r="B4710">
        <v>0</v>
      </c>
      <c r="C4710" t="s">
        <v>14</v>
      </c>
      <c r="D4710">
        <v>3.4039999999999999E-3</v>
      </c>
      <c r="E4710">
        <f t="shared" si="146"/>
        <v>1.003404</v>
      </c>
      <c r="F4710" s="1">
        <f t="shared" si="147"/>
        <v>42275</v>
      </c>
      <c r="G4710" cm="1">
        <f t="array" ref="G4710">PRODUCT( _xlfn._xlws.FILTER($E:$E, ($C:$C=C4710)*($F:$F=F4710)) ) - 1</f>
        <v>8.5545362308212525E-3</v>
      </c>
    </row>
    <row r="4711" spans="1:7" x14ac:dyDescent="0.2">
      <c r="A4711" s="1">
        <v>42282</v>
      </c>
      <c r="B4711">
        <v>0</v>
      </c>
      <c r="C4711" t="s">
        <v>14</v>
      </c>
      <c r="D4711">
        <v>-2.1770000000000001E-2</v>
      </c>
      <c r="E4711">
        <f t="shared" si="146"/>
        <v>0.97823000000000004</v>
      </c>
      <c r="F4711" s="1">
        <f t="shared" si="147"/>
        <v>42282</v>
      </c>
      <c r="G4711" cm="1">
        <f t="array" ref="G4711">PRODUCT( _xlfn._xlws.FILTER($E:$E, ($C:$C=C4711)*($F:$F=F4711)) ) - 1</f>
        <v>3.6753748882101256E-2</v>
      </c>
    </row>
    <row r="4712" spans="1:7" x14ac:dyDescent="0.2">
      <c r="A4712" s="1">
        <v>42283</v>
      </c>
      <c r="B4712">
        <v>0</v>
      </c>
      <c r="C4712" t="s">
        <v>14</v>
      </c>
      <c r="D4712">
        <v>7.803E-3</v>
      </c>
      <c r="E4712">
        <f t="shared" si="146"/>
        <v>1.007803</v>
      </c>
      <c r="F4712" s="1">
        <f t="shared" si="147"/>
        <v>42282</v>
      </c>
      <c r="G4712" cm="1">
        <f t="array" ref="G4712">PRODUCT( _xlfn._xlws.FILTER($E:$E, ($C:$C=C4712)*($F:$F=F4712)) ) - 1</f>
        <v>3.6753748882101256E-2</v>
      </c>
    </row>
    <row r="4713" spans="1:7" x14ac:dyDescent="0.2">
      <c r="A4713" s="1">
        <v>42284</v>
      </c>
      <c r="B4713">
        <v>0</v>
      </c>
      <c r="C4713" t="s">
        <v>14</v>
      </c>
      <c r="D4713">
        <v>1.6632999999999998E-2</v>
      </c>
      <c r="E4713">
        <f t="shared" si="146"/>
        <v>1.0166329999999999</v>
      </c>
      <c r="F4713" s="1">
        <f t="shared" si="147"/>
        <v>42282</v>
      </c>
      <c r="G4713" cm="1">
        <f t="array" ref="G4713">PRODUCT( _xlfn._xlws.FILTER($E:$E, ($C:$C=C4713)*($F:$F=F4713)) ) - 1</f>
        <v>3.6753748882101256E-2</v>
      </c>
    </row>
    <row r="4714" spans="1:7" x14ac:dyDescent="0.2">
      <c r="A4714" s="1">
        <v>42285</v>
      </c>
      <c r="B4714">
        <v>0</v>
      </c>
      <c r="C4714" t="s">
        <v>14</v>
      </c>
      <c r="D4714">
        <v>4.8237000000000002E-2</v>
      </c>
      <c r="E4714">
        <f t="shared" si="146"/>
        <v>1.0482370000000001</v>
      </c>
      <c r="F4714" s="1">
        <f t="shared" si="147"/>
        <v>42282</v>
      </c>
      <c r="G4714" cm="1">
        <f t="array" ref="G4714">PRODUCT( _xlfn._xlws.FILTER($E:$E, ($C:$C=C4714)*($F:$F=F4714)) ) - 1</f>
        <v>3.6753748882101256E-2</v>
      </c>
    </row>
    <row r="4715" spans="1:7" x14ac:dyDescent="0.2">
      <c r="A4715" s="1">
        <v>42286</v>
      </c>
      <c r="B4715">
        <v>0</v>
      </c>
      <c r="C4715" t="s">
        <v>14</v>
      </c>
      <c r="D4715">
        <v>-1.3186E-2</v>
      </c>
      <c r="E4715">
        <f t="shared" si="146"/>
        <v>0.98681399999999997</v>
      </c>
      <c r="F4715" s="1">
        <f t="shared" si="147"/>
        <v>42282</v>
      </c>
      <c r="G4715" cm="1">
        <f t="array" ref="G4715">PRODUCT( _xlfn._xlws.FILTER($E:$E, ($C:$C=C4715)*($F:$F=F4715)) ) - 1</f>
        <v>3.6753748882101256E-2</v>
      </c>
    </row>
    <row r="4716" spans="1:7" x14ac:dyDescent="0.2">
      <c r="A4716" s="1">
        <v>42290</v>
      </c>
      <c r="B4716">
        <v>0</v>
      </c>
      <c r="C4716" t="s">
        <v>14</v>
      </c>
      <c r="D4716">
        <v>-4.6360000000000004E-3</v>
      </c>
      <c r="E4716">
        <f t="shared" si="146"/>
        <v>0.99536400000000003</v>
      </c>
      <c r="F4716" s="1">
        <f t="shared" si="147"/>
        <v>42289</v>
      </c>
      <c r="G4716" cm="1">
        <f t="array" ref="G4716">PRODUCT( _xlfn._xlws.FILTER($E:$E, ($C:$C=C4716)*($F:$F=F4716)) ) - 1</f>
        <v>5.1816147951346814E-3</v>
      </c>
    </row>
    <row r="4717" spans="1:7" x14ac:dyDescent="0.2">
      <c r="A4717" s="1">
        <v>42291</v>
      </c>
      <c r="B4717">
        <v>0</v>
      </c>
      <c r="C4717" t="s">
        <v>14</v>
      </c>
      <c r="D4717">
        <v>1.3972999999999999E-2</v>
      </c>
      <c r="E4717">
        <f t="shared" si="146"/>
        <v>1.013973</v>
      </c>
      <c r="F4717" s="1">
        <f t="shared" si="147"/>
        <v>42289</v>
      </c>
      <c r="G4717" cm="1">
        <f t="array" ref="G4717">PRODUCT( _xlfn._xlws.FILTER($E:$E, ($C:$C=C4717)*($F:$F=F4717)) ) - 1</f>
        <v>5.1816147951346814E-3</v>
      </c>
    </row>
    <row r="4718" spans="1:7" x14ac:dyDescent="0.2">
      <c r="A4718" s="1">
        <v>42292</v>
      </c>
      <c r="B4718">
        <v>0</v>
      </c>
      <c r="C4718" t="s">
        <v>14</v>
      </c>
      <c r="D4718">
        <v>-7.025E-3</v>
      </c>
      <c r="E4718">
        <f t="shared" si="146"/>
        <v>0.99297500000000005</v>
      </c>
      <c r="F4718" s="1">
        <f t="shared" si="147"/>
        <v>42289</v>
      </c>
      <c r="G4718" cm="1">
        <f t="array" ref="G4718">PRODUCT( _xlfn._xlws.FILTER($E:$E, ($C:$C=C4718)*($F:$F=F4718)) ) - 1</f>
        <v>5.1816147951346814E-3</v>
      </c>
    </row>
    <row r="4719" spans="1:7" x14ac:dyDescent="0.2">
      <c r="A4719" s="1">
        <v>42293</v>
      </c>
      <c r="B4719">
        <v>0</v>
      </c>
      <c r="C4719" t="s">
        <v>14</v>
      </c>
      <c r="D4719">
        <v>2.993E-3</v>
      </c>
      <c r="E4719">
        <f t="shared" si="146"/>
        <v>1.002993</v>
      </c>
      <c r="F4719" s="1">
        <f t="shared" si="147"/>
        <v>42289</v>
      </c>
      <c r="G4719" cm="1">
        <f t="array" ref="G4719">PRODUCT( _xlfn._xlws.FILTER($E:$E, ($C:$C=C4719)*($F:$F=F4719)) ) - 1</f>
        <v>5.1816147951346814E-3</v>
      </c>
    </row>
    <row r="4720" spans="1:7" x14ac:dyDescent="0.2">
      <c r="A4720" s="1">
        <v>42296</v>
      </c>
      <c r="B4720">
        <v>0</v>
      </c>
      <c r="C4720" t="s">
        <v>14</v>
      </c>
      <c r="D4720">
        <v>-1.3565000000000001E-2</v>
      </c>
      <c r="E4720">
        <f t="shared" si="146"/>
        <v>0.98643499999999995</v>
      </c>
      <c r="F4720" s="1">
        <f t="shared" si="147"/>
        <v>42296</v>
      </c>
      <c r="G4720" cm="1">
        <f t="array" ref="G4720">PRODUCT( _xlfn._xlws.FILTER($E:$E, ($C:$C=C4720)*($F:$F=F4720)) ) - 1</f>
        <v>1.7363273450935246E-2</v>
      </c>
    </row>
    <row r="4721" spans="1:7" x14ac:dyDescent="0.2">
      <c r="A4721" s="1">
        <v>42297</v>
      </c>
      <c r="B4721">
        <v>0</v>
      </c>
      <c r="C4721" t="s">
        <v>14</v>
      </c>
      <c r="D4721">
        <v>1.3200999999999999E-2</v>
      </c>
      <c r="E4721">
        <f t="shared" si="146"/>
        <v>1.013201</v>
      </c>
      <c r="F4721" s="1">
        <f t="shared" si="147"/>
        <v>42296</v>
      </c>
      <c r="G4721" cm="1">
        <f t="array" ref="G4721">PRODUCT( _xlfn._xlws.FILTER($E:$E, ($C:$C=C4721)*($F:$F=F4721)) ) - 1</f>
        <v>1.7363273450935246E-2</v>
      </c>
    </row>
    <row r="4722" spans="1:7" x14ac:dyDescent="0.2">
      <c r="A4722" s="1">
        <v>42298</v>
      </c>
      <c r="B4722">
        <v>0</v>
      </c>
      <c r="C4722" t="s">
        <v>14</v>
      </c>
      <c r="D4722">
        <v>4.8859999999999997E-3</v>
      </c>
      <c r="E4722">
        <f t="shared" si="146"/>
        <v>1.0048859999999999</v>
      </c>
      <c r="F4722" s="1">
        <f t="shared" si="147"/>
        <v>42296</v>
      </c>
      <c r="G4722" cm="1">
        <f t="array" ref="G4722">PRODUCT( _xlfn._xlws.FILTER($E:$E, ($C:$C=C4722)*($F:$F=F4722)) ) - 1</f>
        <v>1.7363273450935246E-2</v>
      </c>
    </row>
    <row r="4723" spans="1:7" x14ac:dyDescent="0.2">
      <c r="A4723" s="1">
        <v>42299</v>
      </c>
      <c r="B4723">
        <v>0</v>
      </c>
      <c r="C4723" t="s">
        <v>14</v>
      </c>
      <c r="D4723">
        <v>2.9444000000000001E-2</v>
      </c>
      <c r="E4723">
        <f t="shared" si="146"/>
        <v>1.029444</v>
      </c>
      <c r="F4723" s="1">
        <f t="shared" si="147"/>
        <v>42296</v>
      </c>
      <c r="G4723" cm="1">
        <f t="array" ref="G4723">PRODUCT( _xlfn._xlws.FILTER($E:$E, ($C:$C=C4723)*($F:$F=F4723)) ) - 1</f>
        <v>1.7363273450935246E-2</v>
      </c>
    </row>
    <row r="4724" spans="1:7" x14ac:dyDescent="0.2">
      <c r="A4724" s="1">
        <v>42300</v>
      </c>
      <c r="B4724">
        <v>0</v>
      </c>
      <c r="C4724" t="s">
        <v>14</v>
      </c>
      <c r="D4724">
        <v>-1.6005999999999999E-2</v>
      </c>
      <c r="E4724">
        <f t="shared" si="146"/>
        <v>0.98399400000000004</v>
      </c>
      <c r="F4724" s="1">
        <f t="shared" si="147"/>
        <v>42296</v>
      </c>
      <c r="G4724" cm="1">
        <f t="array" ref="G4724">PRODUCT( _xlfn._xlws.FILTER($E:$E, ($C:$C=C4724)*($F:$F=F4724)) ) - 1</f>
        <v>1.7363273450935246E-2</v>
      </c>
    </row>
    <row r="4725" spans="1:7" x14ac:dyDescent="0.2">
      <c r="A4725" s="1">
        <v>42303</v>
      </c>
      <c r="B4725">
        <v>0</v>
      </c>
      <c r="C4725" t="s">
        <v>14</v>
      </c>
      <c r="D4725">
        <v>-1.2E-2</v>
      </c>
      <c r="E4725">
        <f t="shared" si="146"/>
        <v>0.98799999999999999</v>
      </c>
      <c r="F4725" s="1">
        <f t="shared" si="147"/>
        <v>42303</v>
      </c>
      <c r="G4725" cm="1">
        <f t="array" ref="G4725">PRODUCT( _xlfn._xlws.FILTER($E:$E, ($C:$C=C4725)*($F:$F=F4725)) ) - 1</f>
        <v>3.7599844636144741E-2</v>
      </c>
    </row>
    <row r="4726" spans="1:7" x14ac:dyDescent="0.2">
      <c r="A4726" s="1">
        <v>42304</v>
      </c>
      <c r="B4726">
        <v>0</v>
      </c>
      <c r="C4726" t="s">
        <v>14</v>
      </c>
      <c r="D4726">
        <v>-9.1769999999999994E-3</v>
      </c>
      <c r="E4726">
        <f t="shared" si="146"/>
        <v>0.99082300000000001</v>
      </c>
      <c r="F4726" s="1">
        <f t="shared" si="147"/>
        <v>42303</v>
      </c>
      <c r="G4726" cm="1">
        <f t="array" ref="G4726">PRODUCT( _xlfn._xlws.FILTER($E:$E, ($C:$C=C4726)*($F:$F=F4726)) ) - 1</f>
        <v>3.7599844636144741E-2</v>
      </c>
    </row>
    <row r="4727" spans="1:7" x14ac:dyDescent="0.2">
      <c r="A4727" s="1">
        <v>42305</v>
      </c>
      <c r="B4727">
        <v>0</v>
      </c>
      <c r="C4727" t="s">
        <v>14</v>
      </c>
      <c r="D4727">
        <v>2.2336999999999999E-2</v>
      </c>
      <c r="E4727">
        <f t="shared" si="146"/>
        <v>1.0223370000000001</v>
      </c>
      <c r="F4727" s="1">
        <f t="shared" si="147"/>
        <v>42303</v>
      </c>
      <c r="G4727" cm="1">
        <f t="array" ref="G4727">PRODUCT( _xlfn._xlws.FILTER($E:$E, ($C:$C=C4727)*($F:$F=F4727)) ) - 1</f>
        <v>3.7599844636144741E-2</v>
      </c>
    </row>
    <row r="4728" spans="1:7" x14ac:dyDescent="0.2">
      <c r="A4728" s="1">
        <v>42306</v>
      </c>
      <c r="B4728">
        <v>0</v>
      </c>
      <c r="C4728" t="s">
        <v>14</v>
      </c>
      <c r="D4728">
        <v>3.4105999999999997E-2</v>
      </c>
      <c r="E4728">
        <f t="shared" si="146"/>
        <v>1.034106</v>
      </c>
      <c r="F4728" s="1">
        <f t="shared" si="147"/>
        <v>42303</v>
      </c>
      <c r="G4728" cm="1">
        <f t="array" ref="G4728">PRODUCT( _xlfn._xlws.FILTER($E:$E, ($C:$C=C4728)*($F:$F=F4728)) ) - 1</f>
        <v>3.7599844636144741E-2</v>
      </c>
    </row>
    <row r="4729" spans="1:7" x14ac:dyDescent="0.2">
      <c r="A4729" s="1">
        <v>42307</v>
      </c>
      <c r="B4729">
        <v>0</v>
      </c>
      <c r="C4729" t="s">
        <v>14</v>
      </c>
      <c r="D4729">
        <v>2.5769999999999999E-3</v>
      </c>
      <c r="E4729">
        <f t="shared" si="146"/>
        <v>1.0025770000000001</v>
      </c>
      <c r="F4729" s="1">
        <f t="shared" si="147"/>
        <v>42303</v>
      </c>
      <c r="G4729" cm="1">
        <f t="array" ref="G4729">PRODUCT( _xlfn._xlws.FILTER($E:$E, ($C:$C=C4729)*($F:$F=F4729)) ) - 1</f>
        <v>3.7599844636144741E-2</v>
      </c>
    </row>
    <row r="4730" spans="1:7" x14ac:dyDescent="0.2">
      <c r="A4730" s="1">
        <v>42310</v>
      </c>
      <c r="B4730">
        <v>0</v>
      </c>
      <c r="C4730" t="s">
        <v>14</v>
      </c>
      <c r="D4730">
        <v>6.6819999999999996E-3</v>
      </c>
      <c r="E4730">
        <f t="shared" si="146"/>
        <v>1.0066820000000001</v>
      </c>
      <c r="F4730" s="1">
        <f t="shared" si="147"/>
        <v>42310</v>
      </c>
      <c r="G4730" cm="1">
        <f t="array" ref="G4730">PRODUCT( _xlfn._xlws.FILTER($E:$E, ($C:$C=C4730)*($F:$F=F4730)) ) - 1</f>
        <v>1.4392800490185209E-2</v>
      </c>
    </row>
    <row r="4731" spans="1:7" x14ac:dyDescent="0.2">
      <c r="A4731" s="1">
        <v>42311</v>
      </c>
      <c r="B4731">
        <v>0</v>
      </c>
      <c r="C4731" t="s">
        <v>14</v>
      </c>
      <c r="D4731">
        <v>8.1700000000000002E-3</v>
      </c>
      <c r="E4731">
        <f t="shared" si="146"/>
        <v>1.00817</v>
      </c>
      <c r="F4731" s="1">
        <f t="shared" si="147"/>
        <v>42310</v>
      </c>
      <c r="G4731" cm="1">
        <f t="array" ref="G4731">PRODUCT( _xlfn._xlws.FILTER($E:$E, ($C:$C=C4731)*($F:$F=F4731)) ) - 1</f>
        <v>1.4392800490185209E-2</v>
      </c>
    </row>
    <row r="4732" spans="1:7" x14ac:dyDescent="0.2">
      <c r="A4732" s="1">
        <v>42312</v>
      </c>
      <c r="B4732">
        <v>0</v>
      </c>
      <c r="C4732" t="s">
        <v>14</v>
      </c>
      <c r="D4732">
        <v>8.3560000000000006E-3</v>
      </c>
      <c r="E4732">
        <f t="shared" si="146"/>
        <v>1.008356</v>
      </c>
      <c r="F4732" s="1">
        <f t="shared" si="147"/>
        <v>42310</v>
      </c>
      <c r="G4732" cm="1">
        <f t="array" ref="G4732">PRODUCT( _xlfn._xlws.FILTER($E:$E, ($C:$C=C4732)*($F:$F=F4732)) ) - 1</f>
        <v>1.4392800490185209E-2</v>
      </c>
    </row>
    <row r="4733" spans="1:7" x14ac:dyDescent="0.2">
      <c r="A4733" s="1">
        <v>42313</v>
      </c>
      <c r="B4733">
        <v>0</v>
      </c>
      <c r="C4733" t="s">
        <v>14</v>
      </c>
      <c r="D4733">
        <v>-1.2305E-2</v>
      </c>
      <c r="E4733">
        <f t="shared" si="146"/>
        <v>0.98769499999999999</v>
      </c>
      <c r="F4733" s="1">
        <f t="shared" si="147"/>
        <v>42310</v>
      </c>
      <c r="G4733" cm="1">
        <f t="array" ref="G4733">PRODUCT( _xlfn._xlws.FILTER($E:$E, ($C:$C=C4733)*($F:$F=F4733)) ) - 1</f>
        <v>1.4392800490185209E-2</v>
      </c>
    </row>
    <row r="4734" spans="1:7" x14ac:dyDescent="0.2">
      <c r="A4734" s="1">
        <v>42314</v>
      </c>
      <c r="B4734">
        <v>0</v>
      </c>
      <c r="C4734" t="s">
        <v>14</v>
      </c>
      <c r="D4734">
        <v>3.5599999999999998E-3</v>
      </c>
      <c r="E4734">
        <f t="shared" si="146"/>
        <v>1.00356</v>
      </c>
      <c r="F4734" s="1">
        <f t="shared" si="147"/>
        <v>42310</v>
      </c>
      <c r="G4734" cm="1">
        <f t="array" ref="G4734">PRODUCT( _xlfn._xlws.FILTER($E:$E, ($C:$C=C4734)*($F:$F=F4734)) ) - 1</f>
        <v>1.4392800490185209E-2</v>
      </c>
    </row>
    <row r="4735" spans="1:7" x14ac:dyDescent="0.2">
      <c r="A4735" s="1">
        <v>42317</v>
      </c>
      <c r="B4735">
        <v>0</v>
      </c>
      <c r="C4735" t="s">
        <v>14</v>
      </c>
      <c r="D4735">
        <v>-1.2668E-2</v>
      </c>
      <c r="E4735">
        <f t="shared" si="146"/>
        <v>0.98733199999999999</v>
      </c>
      <c r="F4735" s="1">
        <f t="shared" si="147"/>
        <v>42317</v>
      </c>
      <c r="G4735" cm="1">
        <f t="array" ref="G4735">PRODUCT( _xlfn._xlws.FILTER($E:$E, ($C:$C=C4735)*($F:$F=F4735)) ) - 1</f>
        <v>-6.4352487625743193E-2</v>
      </c>
    </row>
    <row r="4736" spans="1:7" x14ac:dyDescent="0.2">
      <c r="A4736" s="1">
        <v>42318</v>
      </c>
      <c r="B4736">
        <v>0</v>
      </c>
      <c r="C4736" t="s">
        <v>14</v>
      </c>
      <c r="D4736">
        <v>3.5920000000000001E-3</v>
      </c>
      <c r="E4736">
        <f t="shared" si="146"/>
        <v>1.003592</v>
      </c>
      <c r="F4736" s="1">
        <f t="shared" si="147"/>
        <v>42317</v>
      </c>
      <c r="G4736" cm="1">
        <f t="array" ref="G4736">PRODUCT( _xlfn._xlws.FILTER($E:$E, ($C:$C=C4736)*($F:$F=F4736)) ) - 1</f>
        <v>-6.4352487625743193E-2</v>
      </c>
    </row>
    <row r="4737" spans="1:7" x14ac:dyDescent="0.2">
      <c r="A4737" s="1">
        <v>42319</v>
      </c>
      <c r="B4737">
        <v>0</v>
      </c>
      <c r="C4737" t="s">
        <v>14</v>
      </c>
      <c r="D4737">
        <v>-2.3522999999999999E-2</v>
      </c>
      <c r="E4737">
        <f t="shared" si="146"/>
        <v>0.97647700000000004</v>
      </c>
      <c r="F4737" s="1">
        <f t="shared" si="147"/>
        <v>42317</v>
      </c>
      <c r="G4737" cm="1">
        <f t="array" ref="G4737">PRODUCT( _xlfn._xlws.FILTER($E:$E, ($C:$C=C4737)*($F:$F=F4737)) ) - 1</f>
        <v>-6.4352487625743193E-2</v>
      </c>
    </row>
    <row r="4738" spans="1:7" x14ac:dyDescent="0.2">
      <c r="A4738" s="1">
        <v>42320</v>
      </c>
      <c r="B4738">
        <v>0</v>
      </c>
      <c r="C4738" t="s">
        <v>14</v>
      </c>
      <c r="D4738">
        <v>-2.3566E-2</v>
      </c>
      <c r="E4738">
        <f t="shared" si="146"/>
        <v>0.97643400000000002</v>
      </c>
      <c r="F4738" s="1">
        <f t="shared" si="147"/>
        <v>42317</v>
      </c>
      <c r="G4738" cm="1">
        <f t="array" ref="G4738">PRODUCT( _xlfn._xlws.FILTER($E:$E, ($C:$C=C4738)*($F:$F=F4738)) ) - 1</f>
        <v>-6.4352487625743193E-2</v>
      </c>
    </row>
    <row r="4739" spans="1:7" x14ac:dyDescent="0.2">
      <c r="A4739" s="1">
        <v>42321</v>
      </c>
      <c r="B4739">
        <v>0</v>
      </c>
      <c r="C4739" t="s">
        <v>14</v>
      </c>
      <c r="D4739">
        <v>-9.6539999999999994E-3</v>
      </c>
      <c r="E4739">
        <f t="shared" si="146"/>
        <v>0.99034599999999995</v>
      </c>
      <c r="F4739" s="1">
        <f t="shared" si="147"/>
        <v>42317</v>
      </c>
      <c r="G4739" cm="1">
        <f t="array" ref="G4739">PRODUCT( _xlfn._xlws.FILTER($E:$E, ($C:$C=C4739)*($F:$F=F4739)) ) - 1</f>
        <v>-6.4352487625743193E-2</v>
      </c>
    </row>
    <row r="4740" spans="1:7" x14ac:dyDescent="0.2">
      <c r="A4740" s="1">
        <v>42324</v>
      </c>
      <c r="B4740">
        <v>0</v>
      </c>
      <c r="C4740" t="s">
        <v>14</v>
      </c>
      <c r="D4740">
        <v>3.7638999999999999E-2</v>
      </c>
      <c r="E4740">
        <f t="shared" ref="E4740:E4803" si="148">D4740+1</f>
        <v>1.037639</v>
      </c>
      <c r="F4740" s="1">
        <f t="shared" ref="F4740:F4803" si="149">A4740 - (WEEKDAY(A4740, 2) - 1)</f>
        <v>42324</v>
      </c>
      <c r="G4740" cm="1">
        <f t="array" ref="G4740">PRODUCT( _xlfn._xlws.FILTER($E:$E, ($C:$C=C4740)*($F:$F=F4740)) ) - 1</f>
        <v>-8.9354491396932412E-3</v>
      </c>
    </row>
    <row r="4741" spans="1:7" x14ac:dyDescent="0.2">
      <c r="A4741" s="1">
        <v>42325</v>
      </c>
      <c r="B4741">
        <v>0</v>
      </c>
      <c r="C4741" t="s">
        <v>14</v>
      </c>
      <c r="D4741">
        <v>6.5240000000000003E-3</v>
      </c>
      <c r="E4741">
        <f t="shared" si="148"/>
        <v>1.006524</v>
      </c>
      <c r="F4741" s="1">
        <f t="shared" si="149"/>
        <v>42324</v>
      </c>
      <c r="G4741" cm="1">
        <f t="array" ref="G4741">PRODUCT( _xlfn._xlws.FILTER($E:$E, ($C:$C=C4741)*($F:$F=F4741)) ) - 1</f>
        <v>-8.9354491396932412E-3</v>
      </c>
    </row>
    <row r="4742" spans="1:7" x14ac:dyDescent="0.2">
      <c r="A4742" s="1">
        <v>42326</v>
      </c>
      <c r="B4742">
        <v>0</v>
      </c>
      <c r="C4742" t="s">
        <v>14</v>
      </c>
      <c r="D4742">
        <v>-2.826E-2</v>
      </c>
      <c r="E4742">
        <f t="shared" si="148"/>
        <v>0.97174000000000005</v>
      </c>
      <c r="F4742" s="1">
        <f t="shared" si="149"/>
        <v>42324</v>
      </c>
      <c r="G4742" cm="1">
        <f t="array" ref="G4742">PRODUCT( _xlfn._xlws.FILTER($E:$E, ($C:$C=C4742)*($F:$F=F4742)) ) - 1</f>
        <v>-8.9354491396932412E-3</v>
      </c>
    </row>
    <row r="4743" spans="1:7" x14ac:dyDescent="0.2">
      <c r="A4743" s="1">
        <v>42327</v>
      </c>
      <c r="B4743">
        <v>0</v>
      </c>
      <c r="C4743" t="s">
        <v>14</v>
      </c>
      <c r="D4743">
        <v>-9.8720000000000006E-3</v>
      </c>
      <c r="E4743">
        <f t="shared" si="148"/>
        <v>0.99012800000000001</v>
      </c>
      <c r="F4743" s="1">
        <f t="shared" si="149"/>
        <v>42324</v>
      </c>
      <c r="G4743" cm="1">
        <f t="array" ref="G4743">PRODUCT( _xlfn._xlws.FILTER($E:$E, ($C:$C=C4743)*($F:$F=F4743)) ) - 1</f>
        <v>-8.9354491396932412E-3</v>
      </c>
    </row>
    <row r="4744" spans="1:7" x14ac:dyDescent="0.2">
      <c r="A4744" s="1">
        <v>42328</v>
      </c>
      <c r="B4744">
        <v>0</v>
      </c>
      <c r="C4744" t="s">
        <v>14</v>
      </c>
      <c r="D4744">
        <v>-1.3743E-2</v>
      </c>
      <c r="E4744">
        <f t="shared" si="148"/>
        <v>0.98625700000000005</v>
      </c>
      <c r="F4744" s="1">
        <f t="shared" si="149"/>
        <v>42324</v>
      </c>
      <c r="G4744" cm="1">
        <f t="array" ref="G4744">PRODUCT( _xlfn._xlws.FILTER($E:$E, ($C:$C=C4744)*($F:$F=F4744)) ) - 1</f>
        <v>-8.9354491396932412E-3</v>
      </c>
    </row>
    <row r="4745" spans="1:7" x14ac:dyDescent="0.2">
      <c r="A4745" s="1">
        <v>42331</v>
      </c>
      <c r="B4745">
        <v>0</v>
      </c>
      <c r="C4745" t="s">
        <v>14</v>
      </c>
      <c r="D4745">
        <v>1.913E-3</v>
      </c>
      <c r="E4745">
        <f t="shared" si="148"/>
        <v>1.0019130000000001</v>
      </c>
      <c r="F4745" s="1">
        <f t="shared" si="149"/>
        <v>42331</v>
      </c>
      <c r="G4745" cm="1">
        <f t="array" ref="G4745">PRODUCT( _xlfn._xlws.FILTER($E:$E, ($C:$C=C4745)*($F:$F=F4745)) ) - 1</f>
        <v>-8.7430363841444203E-3</v>
      </c>
    </row>
    <row r="4746" spans="1:7" x14ac:dyDescent="0.2">
      <c r="A4746" s="1">
        <v>42332</v>
      </c>
      <c r="B4746">
        <v>0</v>
      </c>
      <c r="C4746" t="s">
        <v>14</v>
      </c>
      <c r="D4746">
        <v>8.9990000000000001E-3</v>
      </c>
      <c r="E4746">
        <f t="shared" si="148"/>
        <v>1.008999</v>
      </c>
      <c r="F4746" s="1">
        <f t="shared" si="149"/>
        <v>42331</v>
      </c>
      <c r="G4746" cm="1">
        <f t="array" ref="G4746">PRODUCT( _xlfn._xlws.FILTER($E:$E, ($C:$C=C4746)*($F:$F=F4746)) ) - 1</f>
        <v>-8.7430363841444203E-3</v>
      </c>
    </row>
    <row r="4747" spans="1:7" x14ac:dyDescent="0.2">
      <c r="A4747" s="1">
        <v>42333</v>
      </c>
      <c r="B4747">
        <v>0</v>
      </c>
      <c r="C4747" t="s">
        <v>14</v>
      </c>
      <c r="D4747">
        <v>-1.0810999999999999E-2</v>
      </c>
      <c r="E4747">
        <f t="shared" si="148"/>
        <v>0.98918899999999998</v>
      </c>
      <c r="F4747" s="1">
        <f t="shared" si="149"/>
        <v>42331</v>
      </c>
      <c r="G4747" cm="1">
        <f t="array" ref="G4747">PRODUCT( _xlfn._xlws.FILTER($E:$E, ($C:$C=C4747)*($F:$F=F4747)) ) - 1</f>
        <v>-8.7430363841444203E-3</v>
      </c>
    </row>
    <row r="4748" spans="1:7" x14ac:dyDescent="0.2">
      <c r="A4748" s="1">
        <v>42334</v>
      </c>
      <c r="B4748">
        <v>0</v>
      </c>
      <c r="C4748" t="s">
        <v>14</v>
      </c>
      <c r="D4748">
        <v>-4.9179999999999996E-3</v>
      </c>
      <c r="E4748">
        <f t="shared" si="148"/>
        <v>0.99508200000000002</v>
      </c>
      <c r="F4748" s="1">
        <f t="shared" si="149"/>
        <v>42331</v>
      </c>
      <c r="G4748" cm="1">
        <f t="array" ref="G4748">PRODUCT( _xlfn._xlws.FILTER($E:$E, ($C:$C=C4748)*($F:$F=F4748)) ) - 1</f>
        <v>-8.7430363841444203E-3</v>
      </c>
    </row>
    <row r="4749" spans="1:7" x14ac:dyDescent="0.2">
      <c r="A4749" s="1">
        <v>42335</v>
      </c>
      <c r="B4749">
        <v>0</v>
      </c>
      <c r="C4749" t="s">
        <v>14</v>
      </c>
      <c r="D4749">
        <v>-3.8440000000000002E-3</v>
      </c>
      <c r="E4749">
        <f t="shared" si="148"/>
        <v>0.99615600000000004</v>
      </c>
      <c r="F4749" s="1">
        <f t="shared" si="149"/>
        <v>42331</v>
      </c>
      <c r="G4749" cm="1">
        <f t="array" ref="G4749">PRODUCT( _xlfn._xlws.FILTER($E:$E, ($C:$C=C4749)*($F:$F=F4749)) ) - 1</f>
        <v>-8.7430363841444203E-3</v>
      </c>
    </row>
    <row r="4750" spans="1:7" x14ac:dyDescent="0.2">
      <c r="A4750" s="1">
        <v>42338</v>
      </c>
      <c r="B4750">
        <v>0</v>
      </c>
      <c r="C4750" t="s">
        <v>14</v>
      </c>
      <c r="D4750">
        <v>2.5083000000000001E-2</v>
      </c>
      <c r="E4750">
        <f t="shared" si="148"/>
        <v>1.025083</v>
      </c>
      <c r="F4750" s="1">
        <f t="shared" si="149"/>
        <v>42338</v>
      </c>
      <c r="G4750" cm="1">
        <f t="array" ref="G4750">PRODUCT( _xlfn._xlws.FILTER($E:$E, ($C:$C=C4750)*($F:$F=F4750)) ) - 1</f>
        <v>9.1417077996580609E-4</v>
      </c>
    </row>
    <row r="4751" spans="1:7" x14ac:dyDescent="0.2">
      <c r="A4751" s="1">
        <v>42339</v>
      </c>
      <c r="B4751">
        <v>0</v>
      </c>
      <c r="C4751" t="s">
        <v>14</v>
      </c>
      <c r="D4751">
        <v>2.4119000000000002E-2</v>
      </c>
      <c r="E4751">
        <f t="shared" si="148"/>
        <v>1.024119</v>
      </c>
      <c r="F4751" s="1">
        <f t="shared" si="149"/>
        <v>42338</v>
      </c>
      <c r="G4751" cm="1">
        <f t="array" ref="G4751">PRODUCT( _xlfn._xlws.FILTER($E:$E, ($C:$C=C4751)*($F:$F=F4751)) ) - 1</f>
        <v>9.1417077996580609E-4</v>
      </c>
    </row>
    <row r="4752" spans="1:7" x14ac:dyDescent="0.2">
      <c r="A4752" s="1">
        <v>42340</v>
      </c>
      <c r="B4752">
        <v>0</v>
      </c>
      <c r="C4752" t="s">
        <v>14</v>
      </c>
      <c r="D4752">
        <v>-2.6991000000000001E-2</v>
      </c>
      <c r="E4752">
        <f t="shared" si="148"/>
        <v>0.97300900000000001</v>
      </c>
      <c r="F4752" s="1">
        <f t="shared" si="149"/>
        <v>42338</v>
      </c>
      <c r="G4752" cm="1">
        <f t="array" ref="G4752">PRODUCT( _xlfn._xlws.FILTER($E:$E, ($C:$C=C4752)*($F:$F=F4752)) ) - 1</f>
        <v>9.1417077996580609E-4</v>
      </c>
    </row>
    <row r="4753" spans="1:7" x14ac:dyDescent="0.2">
      <c r="A4753" s="1">
        <v>42341</v>
      </c>
      <c r="B4753">
        <v>0</v>
      </c>
      <c r="C4753" t="s">
        <v>14</v>
      </c>
      <c r="D4753">
        <v>-5.44E-4</v>
      </c>
      <c r="E4753">
        <f t="shared" si="148"/>
        <v>0.99945600000000001</v>
      </c>
      <c r="F4753" s="1">
        <f t="shared" si="149"/>
        <v>42338</v>
      </c>
      <c r="G4753" cm="1">
        <f t="array" ref="G4753">PRODUCT( _xlfn._xlws.FILTER($E:$E, ($C:$C=C4753)*($F:$F=F4753)) ) - 1</f>
        <v>9.1417077996580609E-4</v>
      </c>
    </row>
    <row r="4754" spans="1:7" x14ac:dyDescent="0.2">
      <c r="A4754" s="1">
        <v>42342</v>
      </c>
      <c r="B4754">
        <v>0</v>
      </c>
      <c r="C4754" t="s">
        <v>14</v>
      </c>
      <c r="D4754">
        <v>-1.9591999999999998E-2</v>
      </c>
      <c r="E4754">
        <f t="shared" si="148"/>
        <v>0.98040799999999995</v>
      </c>
      <c r="F4754" s="1">
        <f t="shared" si="149"/>
        <v>42338</v>
      </c>
      <c r="G4754" cm="1">
        <f t="array" ref="G4754">PRODUCT( _xlfn._xlws.FILTER($E:$E, ($C:$C=C4754)*($F:$F=F4754)) ) - 1</f>
        <v>9.1417077996580609E-4</v>
      </c>
    </row>
    <row r="4755" spans="1:7" x14ac:dyDescent="0.2">
      <c r="A4755" s="1">
        <v>42345</v>
      </c>
      <c r="B4755">
        <v>0</v>
      </c>
      <c r="C4755" t="s">
        <v>14</v>
      </c>
      <c r="D4755">
        <v>-3.4971000000000002E-2</v>
      </c>
      <c r="E4755">
        <f t="shared" si="148"/>
        <v>0.96502900000000003</v>
      </c>
      <c r="F4755" s="1">
        <f t="shared" si="149"/>
        <v>42345</v>
      </c>
      <c r="G4755" cm="1">
        <f t="array" ref="G4755">PRODUCT( _xlfn._xlws.FILTER($E:$E, ($C:$C=C4755)*($F:$F=F4755)) ) - 1</f>
        <v>-2.2481653115275835E-2</v>
      </c>
    </row>
    <row r="4756" spans="1:7" x14ac:dyDescent="0.2">
      <c r="A4756" s="1">
        <v>42346</v>
      </c>
      <c r="B4756">
        <v>0</v>
      </c>
      <c r="C4756" t="s">
        <v>14</v>
      </c>
      <c r="D4756">
        <v>5.1770000000000002E-3</v>
      </c>
      <c r="E4756">
        <f t="shared" si="148"/>
        <v>1.005177</v>
      </c>
      <c r="F4756" s="1">
        <f t="shared" si="149"/>
        <v>42345</v>
      </c>
      <c r="G4756" cm="1">
        <f t="array" ref="G4756">PRODUCT( _xlfn._xlws.FILTER($E:$E, ($C:$C=C4756)*($F:$F=F4756)) ) - 1</f>
        <v>-2.2481653115275835E-2</v>
      </c>
    </row>
    <row r="4757" spans="1:7" x14ac:dyDescent="0.2">
      <c r="A4757" s="1">
        <v>42347</v>
      </c>
      <c r="B4757">
        <v>0</v>
      </c>
      <c r="C4757" t="s">
        <v>14</v>
      </c>
      <c r="D4757">
        <v>1.2303E-2</v>
      </c>
      <c r="E4757">
        <f t="shared" si="148"/>
        <v>1.012303</v>
      </c>
      <c r="F4757" s="1">
        <f t="shared" si="149"/>
        <v>42345</v>
      </c>
      <c r="G4757" cm="1">
        <f t="array" ref="G4757">PRODUCT( _xlfn._xlws.FILTER($E:$E, ($C:$C=C4757)*($F:$F=F4757)) ) - 1</f>
        <v>-2.2481653115275835E-2</v>
      </c>
    </row>
    <row r="4758" spans="1:7" x14ac:dyDescent="0.2">
      <c r="A4758" s="1">
        <v>42348</v>
      </c>
      <c r="B4758">
        <v>0</v>
      </c>
      <c r="C4758" t="s">
        <v>14</v>
      </c>
      <c r="D4758">
        <v>8.1969999999999994E-3</v>
      </c>
      <c r="E4758">
        <f t="shared" si="148"/>
        <v>1.008197</v>
      </c>
      <c r="F4758" s="1">
        <f t="shared" si="149"/>
        <v>42345</v>
      </c>
      <c r="G4758" cm="1">
        <f t="array" ref="G4758">PRODUCT( _xlfn._xlws.FILTER($E:$E, ($C:$C=C4758)*($F:$F=F4758)) ) - 1</f>
        <v>-2.2481653115275835E-2</v>
      </c>
    </row>
    <row r="4759" spans="1:7" x14ac:dyDescent="0.2">
      <c r="A4759" s="1">
        <v>42349</v>
      </c>
      <c r="B4759">
        <v>0</v>
      </c>
      <c r="C4759" t="s">
        <v>14</v>
      </c>
      <c r="D4759">
        <v>-1.2616E-2</v>
      </c>
      <c r="E4759">
        <f t="shared" si="148"/>
        <v>0.98738400000000004</v>
      </c>
      <c r="F4759" s="1">
        <f t="shared" si="149"/>
        <v>42345</v>
      </c>
      <c r="G4759" cm="1">
        <f t="array" ref="G4759">PRODUCT( _xlfn._xlws.FILTER($E:$E, ($C:$C=C4759)*($F:$F=F4759)) ) - 1</f>
        <v>-2.2481653115275835E-2</v>
      </c>
    </row>
    <row r="4760" spans="1:7" x14ac:dyDescent="0.2">
      <c r="A4760" s="1">
        <v>42352</v>
      </c>
      <c r="B4760">
        <v>0</v>
      </c>
      <c r="C4760" t="s">
        <v>14</v>
      </c>
      <c r="D4760">
        <v>-1.9023000000000002E-2</v>
      </c>
      <c r="E4760">
        <f t="shared" si="148"/>
        <v>0.98097699999999999</v>
      </c>
      <c r="F4760" s="1">
        <f t="shared" si="149"/>
        <v>42352</v>
      </c>
      <c r="G4760" cm="1">
        <f t="array" ref="G4760">PRODUCT( _xlfn._xlws.FILTER($E:$E, ($C:$C=C4760)*($F:$F=F4760)) ) - 1</f>
        <v>2.1861811440130774E-2</v>
      </c>
    </row>
    <row r="4761" spans="1:7" x14ac:dyDescent="0.2">
      <c r="A4761" s="1">
        <v>42353</v>
      </c>
      <c r="B4761">
        <v>0</v>
      </c>
      <c r="C4761" t="s">
        <v>14</v>
      </c>
      <c r="D4761">
        <v>1.6787E-2</v>
      </c>
      <c r="E4761">
        <f t="shared" si="148"/>
        <v>1.0167870000000001</v>
      </c>
      <c r="F4761" s="1">
        <f t="shared" si="149"/>
        <v>42352</v>
      </c>
      <c r="G4761" cm="1">
        <f t="array" ref="G4761">PRODUCT( _xlfn._xlws.FILTER($E:$E, ($C:$C=C4761)*($F:$F=F4761)) ) - 1</f>
        <v>2.1861811440130774E-2</v>
      </c>
    </row>
    <row r="4762" spans="1:7" x14ac:dyDescent="0.2">
      <c r="A4762" s="1">
        <v>42354</v>
      </c>
      <c r="B4762">
        <v>0</v>
      </c>
      <c r="C4762" t="s">
        <v>14</v>
      </c>
      <c r="D4762">
        <v>3.1310000000000001E-3</v>
      </c>
      <c r="E4762">
        <f t="shared" si="148"/>
        <v>1.003131</v>
      </c>
      <c r="F4762" s="1">
        <f t="shared" si="149"/>
        <v>42352</v>
      </c>
      <c r="G4762" cm="1">
        <f t="array" ref="G4762">PRODUCT( _xlfn._xlws.FILTER($E:$E, ($C:$C=C4762)*($F:$F=F4762)) ) - 1</f>
        <v>2.1861811440130774E-2</v>
      </c>
    </row>
    <row r="4763" spans="1:7" x14ac:dyDescent="0.2">
      <c r="A4763" s="1">
        <v>42355</v>
      </c>
      <c r="B4763">
        <v>0</v>
      </c>
      <c r="C4763" t="s">
        <v>14</v>
      </c>
      <c r="D4763">
        <v>5.6750000000000004E-3</v>
      </c>
      <c r="E4763">
        <f t="shared" si="148"/>
        <v>1.0056750000000001</v>
      </c>
      <c r="F4763" s="1">
        <f t="shared" si="149"/>
        <v>42352</v>
      </c>
      <c r="G4763" cm="1">
        <f t="array" ref="G4763">PRODUCT( _xlfn._xlws.FILTER($E:$E, ($C:$C=C4763)*($F:$F=F4763)) ) - 1</f>
        <v>2.1861811440130774E-2</v>
      </c>
    </row>
    <row r="4764" spans="1:7" x14ac:dyDescent="0.2">
      <c r="A4764" s="1">
        <v>42356</v>
      </c>
      <c r="B4764">
        <v>0</v>
      </c>
      <c r="C4764" t="s">
        <v>14</v>
      </c>
      <c r="D4764">
        <v>1.5519E-2</v>
      </c>
      <c r="E4764">
        <f t="shared" si="148"/>
        <v>1.0155190000000001</v>
      </c>
      <c r="F4764" s="1">
        <f t="shared" si="149"/>
        <v>42352</v>
      </c>
      <c r="G4764" cm="1">
        <f t="array" ref="G4764">PRODUCT( _xlfn._xlws.FILTER($E:$E, ($C:$C=C4764)*($F:$F=F4764)) ) - 1</f>
        <v>2.1861811440130774E-2</v>
      </c>
    </row>
    <row r="4765" spans="1:7" x14ac:dyDescent="0.2">
      <c r="A4765" s="1">
        <v>42359</v>
      </c>
      <c r="B4765">
        <v>0</v>
      </c>
      <c r="C4765" t="s">
        <v>14</v>
      </c>
      <c r="D4765">
        <v>-4.1679999999999998E-3</v>
      </c>
      <c r="E4765">
        <f t="shared" si="148"/>
        <v>0.99583200000000005</v>
      </c>
      <c r="F4765" s="1">
        <f t="shared" si="149"/>
        <v>42359</v>
      </c>
      <c r="G4765" cm="1">
        <f t="array" ref="G4765">PRODUCT( _xlfn._xlws.FILTER($E:$E, ($C:$C=C4765)*($F:$F=F4765)) ) - 1</f>
        <v>2.5006546013722097E-2</v>
      </c>
    </row>
    <row r="4766" spans="1:7" x14ac:dyDescent="0.2">
      <c r="A4766" s="1">
        <v>42360</v>
      </c>
      <c r="B4766">
        <v>0</v>
      </c>
      <c r="C4766" t="s">
        <v>14</v>
      </c>
      <c r="D4766">
        <v>3.3479999999999998E-3</v>
      </c>
      <c r="E4766">
        <f t="shared" si="148"/>
        <v>1.0033479999999999</v>
      </c>
      <c r="F4766" s="1">
        <f t="shared" si="149"/>
        <v>42359</v>
      </c>
      <c r="G4766" cm="1">
        <f t="array" ref="G4766">PRODUCT( _xlfn._xlws.FILTER($E:$E, ($C:$C=C4766)*($F:$F=F4766)) ) - 1</f>
        <v>2.5006546013722097E-2</v>
      </c>
    </row>
    <row r="4767" spans="1:7" x14ac:dyDescent="0.2">
      <c r="A4767" s="1">
        <v>42361</v>
      </c>
      <c r="B4767">
        <v>0</v>
      </c>
      <c r="C4767" t="s">
        <v>14</v>
      </c>
      <c r="D4767">
        <v>3.4204999999999999E-2</v>
      </c>
      <c r="E4767">
        <f t="shared" si="148"/>
        <v>1.034205</v>
      </c>
      <c r="F4767" s="1">
        <f t="shared" si="149"/>
        <v>42359</v>
      </c>
      <c r="G4767" cm="1">
        <f t="array" ref="G4767">PRODUCT( _xlfn._xlws.FILTER($E:$E, ($C:$C=C4767)*($F:$F=F4767)) ) - 1</f>
        <v>2.5006546013722097E-2</v>
      </c>
    </row>
    <row r="4768" spans="1:7" x14ac:dyDescent="0.2">
      <c r="A4768" s="1">
        <v>42362</v>
      </c>
      <c r="B4768">
        <v>0</v>
      </c>
      <c r="C4768" t="s">
        <v>14</v>
      </c>
      <c r="D4768">
        <v>-8.0669999999999995E-3</v>
      </c>
      <c r="E4768">
        <f t="shared" si="148"/>
        <v>0.99193299999999995</v>
      </c>
      <c r="F4768" s="1">
        <f t="shared" si="149"/>
        <v>42359</v>
      </c>
      <c r="G4768" cm="1">
        <f t="array" ref="G4768">PRODUCT( _xlfn._xlws.FILTER($E:$E, ($C:$C=C4768)*($F:$F=F4768)) ) - 1</f>
        <v>2.5006546013722097E-2</v>
      </c>
    </row>
    <row r="4769" spans="1:7" x14ac:dyDescent="0.2">
      <c r="A4769" s="1">
        <v>42367</v>
      </c>
      <c r="B4769">
        <v>0</v>
      </c>
      <c r="C4769" t="s">
        <v>14</v>
      </c>
      <c r="D4769">
        <v>-1.1656E-2</v>
      </c>
      <c r="E4769">
        <f t="shared" si="148"/>
        <v>0.988344</v>
      </c>
      <c r="F4769" s="1">
        <f t="shared" si="149"/>
        <v>42366</v>
      </c>
      <c r="G4769" cm="1">
        <f t="array" ref="G4769">PRODUCT( _xlfn._xlws.FILTER($E:$E, ($C:$C=C4769)*($F:$F=F4769)) ) - 1</f>
        <v>-3.1716143678185871E-2</v>
      </c>
    </row>
    <row r="4770" spans="1:7" x14ac:dyDescent="0.2">
      <c r="A4770" s="1">
        <v>42368</v>
      </c>
      <c r="B4770">
        <v>0</v>
      </c>
      <c r="C4770" t="s">
        <v>14</v>
      </c>
      <c r="D4770">
        <v>-1.8651000000000001E-2</v>
      </c>
      <c r="E4770">
        <f t="shared" si="148"/>
        <v>0.98134900000000003</v>
      </c>
      <c r="F4770" s="1">
        <f t="shared" si="149"/>
        <v>42366</v>
      </c>
      <c r="G4770" cm="1">
        <f t="array" ref="G4770">PRODUCT( _xlfn._xlws.FILTER($E:$E, ($C:$C=C4770)*($F:$F=F4770)) ) - 1</f>
        <v>-3.1716143678185871E-2</v>
      </c>
    </row>
    <row r="4771" spans="1:7" x14ac:dyDescent="0.2">
      <c r="A4771" s="1">
        <v>42369</v>
      </c>
      <c r="B4771">
        <v>0</v>
      </c>
      <c r="C4771" t="s">
        <v>14</v>
      </c>
      <c r="D4771">
        <v>-1.6770000000000001E-3</v>
      </c>
      <c r="E4771">
        <f t="shared" si="148"/>
        <v>0.99832299999999996</v>
      </c>
      <c r="F4771" s="1">
        <f t="shared" si="149"/>
        <v>42366</v>
      </c>
      <c r="G4771" cm="1">
        <f t="array" ref="G4771">PRODUCT( _xlfn._xlws.FILTER($E:$E, ($C:$C=C4771)*($F:$F=F4771)) ) - 1</f>
        <v>-3.1716143678185871E-2</v>
      </c>
    </row>
    <row r="4772" spans="1:7" x14ac:dyDescent="0.2">
      <c r="A4772" s="1">
        <v>42373</v>
      </c>
      <c r="B4772">
        <v>0</v>
      </c>
      <c r="C4772" t="s">
        <v>14</v>
      </c>
      <c r="D4772">
        <v>-1.2318000000000001E-2</v>
      </c>
      <c r="E4772">
        <f t="shared" si="148"/>
        <v>0.98768199999999995</v>
      </c>
      <c r="F4772" s="1">
        <f t="shared" si="149"/>
        <v>42373</v>
      </c>
      <c r="G4772" cm="1">
        <f t="array" ref="G4772">PRODUCT( _xlfn._xlws.FILTER($E:$E, ($C:$C=C4772)*($F:$F=F4772)) ) - 1</f>
        <v>-6.9149158255976451E-2</v>
      </c>
    </row>
    <row r="4773" spans="1:7" x14ac:dyDescent="0.2">
      <c r="A4773" s="1">
        <v>42374</v>
      </c>
      <c r="B4773">
        <v>0</v>
      </c>
      <c r="C4773" t="s">
        <v>14</v>
      </c>
      <c r="D4773">
        <v>3.4009999999999999E-3</v>
      </c>
      <c r="E4773">
        <f t="shared" si="148"/>
        <v>1.003401</v>
      </c>
      <c r="F4773" s="1">
        <f t="shared" si="149"/>
        <v>42373</v>
      </c>
      <c r="G4773" cm="1">
        <f t="array" ref="G4773">PRODUCT( _xlfn._xlws.FILTER($E:$E, ($C:$C=C4773)*($F:$F=F4773)) ) - 1</f>
        <v>-6.9149158255976451E-2</v>
      </c>
    </row>
    <row r="4774" spans="1:7" x14ac:dyDescent="0.2">
      <c r="A4774" s="1">
        <v>42375</v>
      </c>
      <c r="B4774">
        <v>0</v>
      </c>
      <c r="C4774" t="s">
        <v>14</v>
      </c>
      <c r="D4774">
        <v>-3.6722999999999999E-2</v>
      </c>
      <c r="E4774">
        <f t="shared" si="148"/>
        <v>0.96327700000000005</v>
      </c>
      <c r="F4774" s="1">
        <f t="shared" si="149"/>
        <v>42373</v>
      </c>
      <c r="G4774" cm="1">
        <f t="array" ref="G4774">PRODUCT( _xlfn._xlws.FILTER($E:$E, ($C:$C=C4774)*($F:$F=F4774)) ) - 1</f>
        <v>-6.9149158255976451E-2</v>
      </c>
    </row>
    <row r="4775" spans="1:7" x14ac:dyDescent="0.2">
      <c r="A4775" s="1">
        <v>42376</v>
      </c>
      <c r="B4775">
        <v>0</v>
      </c>
      <c r="C4775" t="s">
        <v>14</v>
      </c>
      <c r="D4775">
        <v>-2.3460000000000002E-2</v>
      </c>
      <c r="E4775">
        <f t="shared" si="148"/>
        <v>0.97653999999999996</v>
      </c>
      <c r="F4775" s="1">
        <f t="shared" si="149"/>
        <v>42373</v>
      </c>
      <c r="G4775" cm="1">
        <f t="array" ref="G4775">PRODUCT( _xlfn._xlws.FILTER($E:$E, ($C:$C=C4775)*($F:$F=F4775)) ) - 1</f>
        <v>-6.9149158255976451E-2</v>
      </c>
    </row>
    <row r="4776" spans="1:7" x14ac:dyDescent="0.2">
      <c r="A4776" s="1">
        <v>42377</v>
      </c>
      <c r="B4776">
        <v>0</v>
      </c>
      <c r="C4776" t="s">
        <v>14</v>
      </c>
      <c r="D4776">
        <v>-1.5020000000000001E-3</v>
      </c>
      <c r="E4776">
        <f t="shared" si="148"/>
        <v>0.998498</v>
      </c>
      <c r="F4776" s="1">
        <f t="shared" si="149"/>
        <v>42373</v>
      </c>
      <c r="G4776" cm="1">
        <f t="array" ref="G4776">PRODUCT( _xlfn._xlws.FILTER($E:$E, ($C:$C=C4776)*($F:$F=F4776)) ) - 1</f>
        <v>-6.9149158255976451E-2</v>
      </c>
    </row>
    <row r="4777" spans="1:7" x14ac:dyDescent="0.2">
      <c r="A4777" s="1">
        <v>42380</v>
      </c>
      <c r="B4777">
        <v>0</v>
      </c>
      <c r="C4777" t="s">
        <v>14</v>
      </c>
      <c r="D4777">
        <v>-0.04</v>
      </c>
      <c r="E4777">
        <f t="shared" si="148"/>
        <v>0.96</v>
      </c>
      <c r="F4777" s="1">
        <f t="shared" si="149"/>
        <v>42380</v>
      </c>
      <c r="G4777" cm="1">
        <f t="array" ref="G4777">PRODUCT( _xlfn._xlws.FILTER($E:$E, ($C:$C=C4777)*($F:$F=F4777)) ) - 1</f>
        <v>-6.1052662504070931E-2</v>
      </c>
    </row>
    <row r="4778" spans="1:7" x14ac:dyDescent="0.2">
      <c r="A4778" s="1">
        <v>42381</v>
      </c>
      <c r="B4778">
        <v>0</v>
      </c>
      <c r="C4778" t="s">
        <v>14</v>
      </c>
      <c r="D4778">
        <v>1.5664000000000001E-2</v>
      </c>
      <c r="E4778">
        <f t="shared" si="148"/>
        <v>1.0156639999999999</v>
      </c>
      <c r="F4778" s="1">
        <f t="shared" si="149"/>
        <v>42380</v>
      </c>
      <c r="G4778" cm="1">
        <f t="array" ref="G4778">PRODUCT( _xlfn._xlws.FILTER($E:$E, ($C:$C=C4778)*($F:$F=F4778)) ) - 1</f>
        <v>-6.1052662504070931E-2</v>
      </c>
    </row>
    <row r="4779" spans="1:7" x14ac:dyDescent="0.2">
      <c r="A4779" s="1">
        <v>42382</v>
      </c>
      <c r="B4779">
        <v>0</v>
      </c>
      <c r="C4779" t="s">
        <v>14</v>
      </c>
      <c r="D4779">
        <v>-3.3620999999999998E-2</v>
      </c>
      <c r="E4779">
        <f t="shared" si="148"/>
        <v>0.96637899999999999</v>
      </c>
      <c r="F4779" s="1">
        <f t="shared" si="149"/>
        <v>42380</v>
      </c>
      <c r="G4779" cm="1">
        <f t="array" ref="G4779">PRODUCT( _xlfn._xlws.FILTER($E:$E, ($C:$C=C4779)*($F:$F=F4779)) ) - 1</f>
        <v>-6.1052662504070931E-2</v>
      </c>
    </row>
    <row r="4780" spans="1:7" x14ac:dyDescent="0.2">
      <c r="A4780" s="1">
        <v>42383</v>
      </c>
      <c r="B4780">
        <v>0</v>
      </c>
      <c r="C4780" t="s">
        <v>14</v>
      </c>
      <c r="D4780">
        <v>3.3833000000000002E-2</v>
      </c>
      <c r="E4780">
        <f t="shared" si="148"/>
        <v>1.033833</v>
      </c>
      <c r="F4780" s="1">
        <f t="shared" si="149"/>
        <v>42380</v>
      </c>
      <c r="G4780" cm="1">
        <f t="array" ref="G4780">PRODUCT( _xlfn._xlws.FILTER($E:$E, ($C:$C=C4780)*($F:$F=F4780)) ) - 1</f>
        <v>-6.1052662504070931E-2</v>
      </c>
    </row>
    <row r="4781" spans="1:7" x14ac:dyDescent="0.2">
      <c r="A4781" s="1">
        <v>42384</v>
      </c>
      <c r="B4781">
        <v>0</v>
      </c>
      <c r="C4781" t="s">
        <v>14</v>
      </c>
      <c r="D4781">
        <v>-3.6122000000000001E-2</v>
      </c>
      <c r="E4781">
        <f t="shared" si="148"/>
        <v>0.96387800000000001</v>
      </c>
      <c r="F4781" s="1">
        <f t="shared" si="149"/>
        <v>42380</v>
      </c>
      <c r="G4781" cm="1">
        <f t="array" ref="G4781">PRODUCT( _xlfn._xlws.FILTER($E:$E, ($C:$C=C4781)*($F:$F=F4781)) ) - 1</f>
        <v>-6.1052662504070931E-2</v>
      </c>
    </row>
    <row r="4782" spans="1:7" x14ac:dyDescent="0.2">
      <c r="A4782" s="1">
        <v>42387</v>
      </c>
      <c r="B4782">
        <v>0</v>
      </c>
      <c r="C4782" t="s">
        <v>14</v>
      </c>
      <c r="D4782">
        <v>-4.6445E-2</v>
      </c>
      <c r="E4782">
        <f t="shared" si="148"/>
        <v>0.95355500000000004</v>
      </c>
      <c r="F4782" s="1">
        <f t="shared" si="149"/>
        <v>42387</v>
      </c>
      <c r="G4782" cm="1">
        <f t="array" ref="G4782">PRODUCT( _xlfn._xlws.FILTER($E:$E, ($C:$C=C4782)*($F:$F=F4782)) ) - 1</f>
        <v>3.5229981674023136E-3</v>
      </c>
    </row>
    <row r="4783" spans="1:7" x14ac:dyDescent="0.2">
      <c r="A4783" s="1">
        <v>42388</v>
      </c>
      <c r="B4783">
        <v>0</v>
      </c>
      <c r="C4783" t="s">
        <v>14</v>
      </c>
      <c r="D4783">
        <v>-2.2842000000000001E-2</v>
      </c>
      <c r="E4783">
        <f t="shared" si="148"/>
        <v>0.97715799999999997</v>
      </c>
      <c r="F4783" s="1">
        <f t="shared" si="149"/>
        <v>42387</v>
      </c>
      <c r="G4783" cm="1">
        <f t="array" ref="G4783">PRODUCT( _xlfn._xlws.FILTER($E:$E, ($C:$C=C4783)*($F:$F=F4783)) ) - 1</f>
        <v>3.5229981674023136E-3</v>
      </c>
    </row>
    <row r="4784" spans="1:7" x14ac:dyDescent="0.2">
      <c r="A4784" s="1">
        <v>42389</v>
      </c>
      <c r="B4784">
        <v>0</v>
      </c>
      <c r="C4784" t="s">
        <v>14</v>
      </c>
      <c r="D4784">
        <v>-2.2688E-2</v>
      </c>
      <c r="E4784">
        <f t="shared" si="148"/>
        <v>0.97731199999999996</v>
      </c>
      <c r="F4784" s="1">
        <f t="shared" si="149"/>
        <v>42387</v>
      </c>
      <c r="G4784" cm="1">
        <f t="array" ref="G4784">PRODUCT( _xlfn._xlws.FILTER($E:$E, ($C:$C=C4784)*($F:$F=F4784)) ) - 1</f>
        <v>3.5229981674023136E-3</v>
      </c>
    </row>
    <row r="4785" spans="1:7" x14ac:dyDescent="0.2">
      <c r="A4785" s="1">
        <v>42390</v>
      </c>
      <c r="B4785">
        <v>0</v>
      </c>
      <c r="C4785" t="s">
        <v>14</v>
      </c>
      <c r="D4785">
        <v>4.6781999999999997E-2</v>
      </c>
      <c r="E4785">
        <f t="shared" si="148"/>
        <v>1.0467820000000001</v>
      </c>
      <c r="F4785" s="1">
        <f t="shared" si="149"/>
        <v>42387</v>
      </c>
      <c r="G4785" cm="1">
        <f t="array" ref="G4785">PRODUCT( _xlfn._xlws.FILTER($E:$E, ($C:$C=C4785)*($F:$F=F4785)) ) - 1</f>
        <v>3.5229981674023136E-3</v>
      </c>
    </row>
    <row r="4786" spans="1:7" x14ac:dyDescent="0.2">
      <c r="A4786" s="1">
        <v>42391</v>
      </c>
      <c r="B4786">
        <v>0</v>
      </c>
      <c r="C4786" t="s">
        <v>14</v>
      </c>
      <c r="D4786">
        <v>5.2755000000000003E-2</v>
      </c>
      <c r="E4786">
        <f t="shared" si="148"/>
        <v>1.0527550000000001</v>
      </c>
      <c r="F4786" s="1">
        <f t="shared" si="149"/>
        <v>42387</v>
      </c>
      <c r="G4786" cm="1">
        <f t="array" ref="G4786">PRODUCT( _xlfn._xlws.FILTER($E:$E, ($C:$C=C4786)*($F:$F=F4786)) ) - 1</f>
        <v>3.5229981674023136E-3</v>
      </c>
    </row>
    <row r="4787" spans="1:7" x14ac:dyDescent="0.2">
      <c r="A4787" s="1">
        <v>42394</v>
      </c>
      <c r="B4787">
        <v>0</v>
      </c>
      <c r="C4787" t="s">
        <v>14</v>
      </c>
      <c r="D4787">
        <v>-4.4366000000000003E-2</v>
      </c>
      <c r="E4787">
        <f t="shared" si="148"/>
        <v>0.95563399999999998</v>
      </c>
      <c r="F4787" s="1">
        <f t="shared" si="149"/>
        <v>42394</v>
      </c>
      <c r="G4787" cm="1">
        <f t="array" ref="G4787">PRODUCT( _xlfn._xlws.FILTER($E:$E, ($C:$C=C4787)*($F:$F=F4787)) ) - 1</f>
        <v>5.9049854043411454E-2</v>
      </c>
    </row>
    <row r="4788" spans="1:7" x14ac:dyDescent="0.2">
      <c r="A4788" s="1">
        <v>42395</v>
      </c>
      <c r="B4788">
        <v>0</v>
      </c>
      <c r="C4788" t="s">
        <v>14</v>
      </c>
      <c r="D4788">
        <v>3.5403999999999998E-2</v>
      </c>
      <c r="E4788">
        <f t="shared" si="148"/>
        <v>1.035404</v>
      </c>
      <c r="F4788" s="1">
        <f t="shared" si="149"/>
        <v>42394</v>
      </c>
      <c r="G4788" cm="1">
        <f t="array" ref="G4788">PRODUCT( _xlfn._xlws.FILTER($E:$E, ($C:$C=C4788)*($F:$F=F4788)) ) - 1</f>
        <v>5.9049854043411454E-2</v>
      </c>
    </row>
    <row r="4789" spans="1:7" x14ac:dyDescent="0.2">
      <c r="A4789" s="1">
        <v>42396</v>
      </c>
      <c r="B4789">
        <v>0</v>
      </c>
      <c r="C4789" t="s">
        <v>14</v>
      </c>
      <c r="D4789">
        <v>1.3226E-2</v>
      </c>
      <c r="E4789">
        <f t="shared" si="148"/>
        <v>1.013226</v>
      </c>
      <c r="F4789" s="1">
        <f t="shared" si="149"/>
        <v>42394</v>
      </c>
      <c r="G4789" cm="1">
        <f t="array" ref="G4789">PRODUCT( _xlfn._xlws.FILTER($E:$E, ($C:$C=C4789)*($F:$F=F4789)) ) - 1</f>
        <v>5.9049854043411454E-2</v>
      </c>
    </row>
    <row r="4790" spans="1:7" x14ac:dyDescent="0.2">
      <c r="A4790" s="1">
        <v>42397</v>
      </c>
      <c r="B4790">
        <v>0</v>
      </c>
      <c r="C4790" t="s">
        <v>14</v>
      </c>
      <c r="D4790">
        <v>4.5208999999999999E-2</v>
      </c>
      <c r="E4790">
        <f t="shared" si="148"/>
        <v>1.0452090000000001</v>
      </c>
      <c r="F4790" s="1">
        <f t="shared" si="149"/>
        <v>42394</v>
      </c>
      <c r="G4790" cm="1">
        <f t="array" ref="G4790">PRODUCT( _xlfn._xlws.FILTER($E:$E, ($C:$C=C4790)*($F:$F=F4790)) ) - 1</f>
        <v>5.9049854043411454E-2</v>
      </c>
    </row>
    <row r="4791" spans="1:7" x14ac:dyDescent="0.2">
      <c r="A4791" s="1">
        <v>42398</v>
      </c>
      <c r="B4791">
        <v>0</v>
      </c>
      <c r="C4791" t="s">
        <v>14</v>
      </c>
      <c r="D4791">
        <v>1.0661E-2</v>
      </c>
      <c r="E4791">
        <f t="shared" si="148"/>
        <v>1.010661</v>
      </c>
      <c r="F4791" s="1">
        <f t="shared" si="149"/>
        <v>42394</v>
      </c>
      <c r="G4791" cm="1">
        <f t="array" ref="G4791">PRODUCT( _xlfn._xlws.FILTER($E:$E, ($C:$C=C4791)*($F:$F=F4791)) ) - 1</f>
        <v>5.9049854043411454E-2</v>
      </c>
    </row>
    <row r="4792" spans="1:7" x14ac:dyDescent="0.2">
      <c r="A4792" s="1">
        <v>42401</v>
      </c>
      <c r="B4792">
        <v>0</v>
      </c>
      <c r="C4792" t="s">
        <v>14</v>
      </c>
      <c r="D4792">
        <v>-4.0687000000000001E-2</v>
      </c>
      <c r="E4792">
        <f t="shared" si="148"/>
        <v>0.95931299999999997</v>
      </c>
      <c r="F4792" s="1">
        <f t="shared" si="149"/>
        <v>42401</v>
      </c>
      <c r="G4792" cm="1">
        <f t="array" ref="G4792">PRODUCT( _xlfn._xlws.FILTER($E:$E, ($C:$C=C4792)*($F:$F=F4792)) ) - 1</f>
        <v>-3.9179158089506672E-2</v>
      </c>
    </row>
    <row r="4793" spans="1:7" x14ac:dyDescent="0.2">
      <c r="A4793" s="1">
        <v>42402</v>
      </c>
      <c r="B4793">
        <v>0</v>
      </c>
      <c r="C4793" t="s">
        <v>14</v>
      </c>
      <c r="D4793">
        <v>-2.0421000000000002E-2</v>
      </c>
      <c r="E4793">
        <f t="shared" si="148"/>
        <v>0.97957899999999998</v>
      </c>
      <c r="F4793" s="1">
        <f t="shared" si="149"/>
        <v>42401</v>
      </c>
      <c r="G4793" cm="1">
        <f t="array" ref="G4793">PRODUCT( _xlfn._xlws.FILTER($E:$E, ($C:$C=C4793)*($F:$F=F4793)) ) - 1</f>
        <v>-3.9179158089506672E-2</v>
      </c>
    </row>
    <row r="4794" spans="1:7" x14ac:dyDescent="0.2">
      <c r="A4794" s="1">
        <v>42403</v>
      </c>
      <c r="B4794">
        <v>0</v>
      </c>
      <c r="C4794" t="s">
        <v>14</v>
      </c>
      <c r="D4794">
        <v>1.1867000000000001E-2</v>
      </c>
      <c r="E4794">
        <f t="shared" si="148"/>
        <v>1.0118670000000001</v>
      </c>
      <c r="F4794" s="1">
        <f t="shared" si="149"/>
        <v>42401</v>
      </c>
      <c r="G4794" cm="1">
        <f t="array" ref="G4794">PRODUCT( _xlfn._xlws.FILTER($E:$E, ($C:$C=C4794)*($F:$F=F4794)) ) - 1</f>
        <v>-3.9179158089506672E-2</v>
      </c>
    </row>
    <row r="4795" spans="1:7" x14ac:dyDescent="0.2">
      <c r="A4795" s="1">
        <v>42404</v>
      </c>
      <c r="B4795">
        <v>0</v>
      </c>
      <c r="C4795" t="s">
        <v>14</v>
      </c>
      <c r="D4795">
        <v>8.5579999999999996E-3</v>
      </c>
      <c r="E4795">
        <f t="shared" si="148"/>
        <v>1.0085580000000001</v>
      </c>
      <c r="F4795" s="1">
        <f t="shared" si="149"/>
        <v>42401</v>
      </c>
      <c r="G4795" cm="1">
        <f t="array" ref="G4795">PRODUCT( _xlfn._xlws.FILTER($E:$E, ($C:$C=C4795)*($F:$F=F4795)) ) - 1</f>
        <v>-3.9179158089506672E-2</v>
      </c>
    </row>
    <row r="4796" spans="1:7" x14ac:dyDescent="0.2">
      <c r="A4796" s="1">
        <v>42405</v>
      </c>
      <c r="B4796">
        <v>0</v>
      </c>
      <c r="C4796" t="s">
        <v>14</v>
      </c>
      <c r="D4796">
        <v>1.8860000000000001E-3</v>
      </c>
      <c r="E4796">
        <f t="shared" si="148"/>
        <v>1.0018860000000001</v>
      </c>
      <c r="F4796" s="1">
        <f t="shared" si="149"/>
        <v>42401</v>
      </c>
      <c r="G4796" cm="1">
        <f t="array" ref="G4796">PRODUCT( _xlfn._xlws.FILTER($E:$E, ($C:$C=C4796)*($F:$F=F4796)) ) - 1</f>
        <v>-3.9179158089506672E-2</v>
      </c>
    </row>
    <row r="4797" spans="1:7" x14ac:dyDescent="0.2">
      <c r="A4797" s="1">
        <v>42408</v>
      </c>
      <c r="B4797">
        <v>0</v>
      </c>
      <c r="C4797" t="s">
        <v>14</v>
      </c>
      <c r="D4797">
        <v>-1.5997000000000001E-2</v>
      </c>
      <c r="E4797">
        <f t="shared" si="148"/>
        <v>0.98400299999999996</v>
      </c>
      <c r="F4797" s="1">
        <f t="shared" si="149"/>
        <v>42408</v>
      </c>
      <c r="G4797" cm="1">
        <f t="array" ref="G4797">PRODUCT( _xlfn._xlws.FILTER($E:$E, ($C:$C=C4797)*($F:$F=F4797)) ) - 1</f>
        <v>-4.1090679394449103E-2</v>
      </c>
    </row>
    <row r="4798" spans="1:7" x14ac:dyDescent="0.2">
      <c r="A4798" s="1">
        <v>42409</v>
      </c>
      <c r="B4798">
        <v>0</v>
      </c>
      <c r="C4798" t="s">
        <v>14</v>
      </c>
      <c r="D4798">
        <v>-4.5266000000000001E-2</v>
      </c>
      <c r="E4798">
        <f t="shared" si="148"/>
        <v>0.95473399999999997</v>
      </c>
      <c r="F4798" s="1">
        <f t="shared" si="149"/>
        <v>42408</v>
      </c>
      <c r="G4798" cm="1">
        <f t="array" ref="G4798">PRODUCT( _xlfn._xlws.FILTER($E:$E, ($C:$C=C4798)*($F:$F=F4798)) ) - 1</f>
        <v>-4.1090679394449103E-2</v>
      </c>
    </row>
    <row r="4799" spans="1:7" x14ac:dyDescent="0.2">
      <c r="A4799" s="1">
        <v>42410</v>
      </c>
      <c r="B4799">
        <v>0</v>
      </c>
      <c r="C4799" t="s">
        <v>14</v>
      </c>
      <c r="D4799">
        <v>-1.3689E-2</v>
      </c>
      <c r="E4799">
        <f t="shared" si="148"/>
        <v>0.98631100000000005</v>
      </c>
      <c r="F4799" s="1">
        <f t="shared" si="149"/>
        <v>42408</v>
      </c>
      <c r="G4799" cm="1">
        <f t="array" ref="G4799">PRODUCT( _xlfn._xlws.FILTER($E:$E, ($C:$C=C4799)*($F:$F=F4799)) ) - 1</f>
        <v>-4.1090679394449103E-2</v>
      </c>
    </row>
    <row r="4800" spans="1:7" x14ac:dyDescent="0.2">
      <c r="A4800" s="1">
        <v>42411</v>
      </c>
      <c r="B4800">
        <v>0</v>
      </c>
      <c r="C4800" t="s">
        <v>14</v>
      </c>
      <c r="D4800">
        <v>-3.7239999999999999E-3</v>
      </c>
      <c r="E4800">
        <f t="shared" si="148"/>
        <v>0.99627600000000005</v>
      </c>
      <c r="F4800" s="1">
        <f t="shared" si="149"/>
        <v>42408</v>
      </c>
      <c r="G4800" cm="1">
        <f t="array" ref="G4800">PRODUCT( _xlfn._xlws.FILTER($E:$E, ($C:$C=C4800)*($F:$F=F4800)) ) - 1</f>
        <v>-4.1090679394449103E-2</v>
      </c>
    </row>
    <row r="4801" spans="1:7" x14ac:dyDescent="0.2">
      <c r="A4801" s="1">
        <v>42412</v>
      </c>
      <c r="B4801">
        <v>0</v>
      </c>
      <c r="C4801" t="s">
        <v>14</v>
      </c>
      <c r="D4801">
        <v>3.8736E-2</v>
      </c>
      <c r="E4801">
        <f t="shared" si="148"/>
        <v>1.0387360000000001</v>
      </c>
      <c r="F4801" s="1">
        <f t="shared" si="149"/>
        <v>42408</v>
      </c>
      <c r="G4801" cm="1">
        <f t="array" ref="G4801">PRODUCT( _xlfn._xlws.FILTER($E:$E, ($C:$C=C4801)*($F:$F=F4801)) ) - 1</f>
        <v>-4.1090679394449103E-2</v>
      </c>
    </row>
    <row r="4802" spans="1:7" x14ac:dyDescent="0.2">
      <c r="A4802" s="1">
        <v>42416</v>
      </c>
      <c r="B4802">
        <v>0</v>
      </c>
      <c r="C4802" t="s">
        <v>14</v>
      </c>
      <c r="D4802">
        <v>1.4393E-2</v>
      </c>
      <c r="E4802">
        <f t="shared" si="148"/>
        <v>1.0143930000000001</v>
      </c>
      <c r="F4802" s="1">
        <f t="shared" si="149"/>
        <v>42415</v>
      </c>
      <c r="G4802" cm="1">
        <f t="array" ref="G4802">PRODUCT( _xlfn._xlws.FILTER($E:$E, ($C:$C=C4802)*($F:$F=F4802)) ) - 1</f>
        <v>7.4911248908796191E-2</v>
      </c>
    </row>
    <row r="4803" spans="1:7" x14ac:dyDescent="0.2">
      <c r="A4803" s="1">
        <v>42417</v>
      </c>
      <c r="B4803">
        <v>0</v>
      </c>
      <c r="C4803" t="s">
        <v>14</v>
      </c>
      <c r="D4803">
        <v>6.0625999999999999E-2</v>
      </c>
      <c r="E4803">
        <f t="shared" si="148"/>
        <v>1.0606260000000001</v>
      </c>
      <c r="F4803" s="1">
        <f t="shared" si="149"/>
        <v>42415</v>
      </c>
      <c r="G4803" cm="1">
        <f t="array" ref="G4803">PRODUCT( _xlfn._xlws.FILTER($E:$E, ($C:$C=C4803)*($F:$F=F4803)) ) - 1</f>
        <v>7.4911248908796191E-2</v>
      </c>
    </row>
    <row r="4804" spans="1:7" x14ac:dyDescent="0.2">
      <c r="A4804" s="1">
        <v>42418</v>
      </c>
      <c r="B4804">
        <v>0</v>
      </c>
      <c r="C4804" t="s">
        <v>14</v>
      </c>
      <c r="D4804">
        <v>3.3449999999999999E-3</v>
      </c>
      <c r="E4804">
        <f t="shared" ref="E4804:E4867" si="150">D4804+1</f>
        <v>1.0033449999999999</v>
      </c>
      <c r="F4804" s="1">
        <f t="shared" ref="F4804:F4867" si="151">A4804 - (WEEKDAY(A4804, 2) - 1)</f>
        <v>42415</v>
      </c>
      <c r="G4804" cm="1">
        <f t="array" ref="G4804">PRODUCT( _xlfn._xlws.FILTER($E:$E, ($C:$C=C4804)*($F:$F=F4804)) ) - 1</f>
        <v>7.4911248908796191E-2</v>
      </c>
    </row>
    <row r="4805" spans="1:7" x14ac:dyDescent="0.2">
      <c r="A4805" s="1">
        <v>42419</v>
      </c>
      <c r="B4805">
        <v>0</v>
      </c>
      <c r="C4805" t="s">
        <v>14</v>
      </c>
      <c r="D4805">
        <v>-4.2420000000000001E-3</v>
      </c>
      <c r="E4805">
        <f t="shared" si="150"/>
        <v>0.99575800000000003</v>
      </c>
      <c r="F4805" s="1">
        <f t="shared" si="151"/>
        <v>42415</v>
      </c>
      <c r="G4805" cm="1">
        <f t="array" ref="G4805">PRODUCT( _xlfn._xlws.FILTER($E:$E, ($C:$C=C4805)*($F:$F=F4805)) ) - 1</f>
        <v>7.4911248908796191E-2</v>
      </c>
    </row>
    <row r="4806" spans="1:7" x14ac:dyDescent="0.2">
      <c r="A4806" s="1">
        <v>42422</v>
      </c>
      <c r="B4806">
        <v>0</v>
      </c>
      <c r="C4806" t="s">
        <v>14</v>
      </c>
      <c r="D4806">
        <v>3.1344999999999998E-2</v>
      </c>
      <c r="E4806">
        <f t="shared" si="150"/>
        <v>1.031345</v>
      </c>
      <c r="F4806" s="1">
        <f t="shared" si="151"/>
        <v>42422</v>
      </c>
      <c r="G4806" cm="1">
        <f t="array" ref="G4806">PRODUCT( _xlfn._xlws.FILTER($E:$E, ($C:$C=C4806)*($F:$F=F4806)) ) - 1</f>
        <v>9.1343690604217542E-4</v>
      </c>
    </row>
    <row r="4807" spans="1:7" x14ac:dyDescent="0.2">
      <c r="A4807" s="1">
        <v>42423</v>
      </c>
      <c r="B4807">
        <v>0</v>
      </c>
      <c r="C4807" t="s">
        <v>14</v>
      </c>
      <c r="D4807">
        <v>-3.4228000000000001E-2</v>
      </c>
      <c r="E4807">
        <f t="shared" si="150"/>
        <v>0.96577199999999996</v>
      </c>
      <c r="F4807" s="1">
        <f t="shared" si="151"/>
        <v>42422</v>
      </c>
      <c r="G4807" cm="1">
        <f t="array" ref="G4807">PRODUCT( _xlfn._xlws.FILTER($E:$E, ($C:$C=C4807)*($F:$F=F4807)) ) - 1</f>
        <v>9.1343690604217542E-4</v>
      </c>
    </row>
    <row r="4808" spans="1:7" x14ac:dyDescent="0.2">
      <c r="A4808" s="1">
        <v>42424</v>
      </c>
      <c r="B4808">
        <v>0</v>
      </c>
      <c r="C4808" t="s">
        <v>14</v>
      </c>
      <c r="D4808">
        <v>8.8599999999999998E-3</v>
      </c>
      <c r="E4808">
        <f t="shared" si="150"/>
        <v>1.0088600000000001</v>
      </c>
      <c r="F4808" s="1">
        <f t="shared" si="151"/>
        <v>42422</v>
      </c>
      <c r="G4808" cm="1">
        <f t="array" ref="G4808">PRODUCT( _xlfn._xlws.FILTER($E:$E, ($C:$C=C4808)*($F:$F=F4808)) ) - 1</f>
        <v>9.1343690604217542E-4</v>
      </c>
    </row>
    <row r="4809" spans="1:7" x14ac:dyDescent="0.2">
      <c r="A4809" s="1">
        <v>42425</v>
      </c>
      <c r="B4809">
        <v>0</v>
      </c>
      <c r="C4809" t="s">
        <v>14</v>
      </c>
      <c r="D4809">
        <v>1.06E-2</v>
      </c>
      <c r="E4809">
        <f t="shared" si="150"/>
        <v>1.0105999999999999</v>
      </c>
      <c r="F4809" s="1">
        <f t="shared" si="151"/>
        <v>42422</v>
      </c>
      <c r="G4809" cm="1">
        <f t="array" ref="G4809">PRODUCT( _xlfn._xlws.FILTER($E:$E, ($C:$C=C4809)*($F:$F=F4809)) ) - 1</f>
        <v>9.1343690604217542E-4</v>
      </c>
    </row>
    <row r="4810" spans="1:7" x14ac:dyDescent="0.2">
      <c r="A4810" s="1">
        <v>42426</v>
      </c>
      <c r="B4810">
        <v>0</v>
      </c>
      <c r="C4810" t="s">
        <v>14</v>
      </c>
      <c r="D4810">
        <v>-1.4383999999999999E-2</v>
      </c>
      <c r="E4810">
        <f t="shared" si="150"/>
        <v>0.98561600000000005</v>
      </c>
      <c r="F4810" s="1">
        <f t="shared" si="151"/>
        <v>42422</v>
      </c>
      <c r="G4810" cm="1">
        <f t="array" ref="G4810">PRODUCT( _xlfn._xlws.FILTER($E:$E, ($C:$C=C4810)*($F:$F=F4810)) ) - 1</f>
        <v>9.1343690604217542E-4</v>
      </c>
    </row>
    <row r="4811" spans="1:7" x14ac:dyDescent="0.2">
      <c r="A4811" s="1">
        <v>42429</v>
      </c>
      <c r="B4811">
        <v>0</v>
      </c>
      <c r="C4811" t="s">
        <v>14</v>
      </c>
      <c r="D4811">
        <v>5.777E-3</v>
      </c>
      <c r="E4811">
        <f t="shared" si="150"/>
        <v>1.0057769999999999</v>
      </c>
      <c r="F4811" s="1">
        <f t="shared" si="151"/>
        <v>42429</v>
      </c>
      <c r="G4811" cm="1">
        <f t="array" ref="G4811">PRODUCT( _xlfn._xlws.FILTER($E:$E, ($C:$C=C4811)*($F:$F=F4811)) ) - 1</f>
        <v>3.5061003497596666E-2</v>
      </c>
    </row>
    <row r="4812" spans="1:7" x14ac:dyDescent="0.2">
      <c r="A4812" s="1">
        <v>42430</v>
      </c>
      <c r="B4812">
        <v>0</v>
      </c>
      <c r="C4812" t="s">
        <v>14</v>
      </c>
      <c r="D4812">
        <v>1.6324000000000002E-2</v>
      </c>
      <c r="E4812">
        <f t="shared" si="150"/>
        <v>1.016324</v>
      </c>
      <c r="F4812" s="1">
        <f t="shared" si="151"/>
        <v>42429</v>
      </c>
      <c r="G4812" cm="1">
        <f t="array" ref="G4812">PRODUCT( _xlfn._xlws.FILTER($E:$E, ($C:$C=C4812)*($F:$F=F4812)) ) - 1</f>
        <v>3.5061003497596666E-2</v>
      </c>
    </row>
    <row r="4813" spans="1:7" x14ac:dyDescent="0.2">
      <c r="A4813" s="1">
        <v>42431</v>
      </c>
      <c r="B4813">
        <v>0</v>
      </c>
      <c r="C4813" t="s">
        <v>14</v>
      </c>
      <c r="D4813">
        <v>1.7849999999999999E-3</v>
      </c>
      <c r="E4813">
        <f t="shared" si="150"/>
        <v>1.0017849999999999</v>
      </c>
      <c r="F4813" s="1">
        <f t="shared" si="151"/>
        <v>42429</v>
      </c>
      <c r="G4813" cm="1">
        <f t="array" ref="G4813">PRODUCT( _xlfn._xlws.FILTER($E:$E, ($C:$C=C4813)*($F:$F=F4813)) ) - 1</f>
        <v>3.5061003497596666E-2</v>
      </c>
    </row>
    <row r="4814" spans="1:7" x14ac:dyDescent="0.2">
      <c r="A4814" s="1">
        <v>42432</v>
      </c>
      <c r="B4814">
        <v>0</v>
      </c>
      <c r="C4814" t="s">
        <v>14</v>
      </c>
      <c r="D4814">
        <v>5.9900000000000003E-4</v>
      </c>
      <c r="E4814">
        <f t="shared" si="150"/>
        <v>1.000599</v>
      </c>
      <c r="F4814" s="1">
        <f t="shared" si="151"/>
        <v>42429</v>
      </c>
      <c r="G4814" cm="1">
        <f t="array" ref="G4814">PRODUCT( _xlfn._xlws.FILTER($E:$E, ($C:$C=C4814)*($F:$F=F4814)) ) - 1</f>
        <v>3.5061003497596666E-2</v>
      </c>
    </row>
    <row r="4815" spans="1:7" x14ac:dyDescent="0.2">
      <c r="A4815" s="1">
        <v>42433</v>
      </c>
      <c r="B4815">
        <v>0</v>
      </c>
      <c r="C4815" t="s">
        <v>14</v>
      </c>
      <c r="D4815">
        <v>1.0177E-2</v>
      </c>
      <c r="E4815">
        <f t="shared" si="150"/>
        <v>1.0101770000000001</v>
      </c>
      <c r="F4815" s="1">
        <f t="shared" si="151"/>
        <v>42429</v>
      </c>
      <c r="G4815" cm="1">
        <f t="array" ref="G4815">PRODUCT( _xlfn._xlws.FILTER($E:$E, ($C:$C=C4815)*($F:$F=F4815)) ) - 1</f>
        <v>3.5061003497596666E-2</v>
      </c>
    </row>
    <row r="4816" spans="1:7" x14ac:dyDescent="0.2">
      <c r="A4816" s="1">
        <v>42436</v>
      </c>
      <c r="B4816">
        <v>0</v>
      </c>
      <c r="C4816" t="s">
        <v>14</v>
      </c>
      <c r="D4816">
        <v>2.4593E-2</v>
      </c>
      <c r="E4816">
        <f t="shared" si="150"/>
        <v>1.0245930000000001</v>
      </c>
      <c r="F4816" s="1">
        <f t="shared" si="151"/>
        <v>42436</v>
      </c>
      <c r="G4816" cm="1">
        <f t="array" ref="G4816">PRODUCT( _xlfn._xlws.FILTER($E:$E, ($C:$C=C4816)*($F:$F=F4816)) ) - 1</f>
        <v>2.5777244133538435E-2</v>
      </c>
    </row>
    <row r="4817" spans="1:7" x14ac:dyDescent="0.2">
      <c r="A4817" s="1">
        <v>42437</v>
      </c>
      <c r="B4817">
        <v>0</v>
      </c>
      <c r="C4817" t="s">
        <v>14</v>
      </c>
      <c r="D4817">
        <v>-7.5189999999999996E-3</v>
      </c>
      <c r="E4817">
        <f t="shared" si="150"/>
        <v>0.99248099999999995</v>
      </c>
      <c r="F4817" s="1">
        <f t="shared" si="151"/>
        <v>42436</v>
      </c>
      <c r="G4817" cm="1">
        <f t="array" ref="G4817">PRODUCT( _xlfn._xlws.FILTER($E:$E, ($C:$C=C4817)*($F:$F=F4817)) ) - 1</f>
        <v>2.5777244133538435E-2</v>
      </c>
    </row>
    <row r="4818" spans="1:7" x14ac:dyDescent="0.2">
      <c r="A4818" s="1">
        <v>42438</v>
      </c>
      <c r="B4818">
        <v>0</v>
      </c>
      <c r="C4818" t="s">
        <v>14</v>
      </c>
      <c r="D4818">
        <v>5.5360000000000001E-3</v>
      </c>
      <c r="E4818">
        <f t="shared" si="150"/>
        <v>1.005536</v>
      </c>
      <c r="F4818" s="1">
        <f t="shared" si="151"/>
        <v>42436</v>
      </c>
      <c r="G4818" cm="1">
        <f t="array" ref="G4818">PRODUCT( _xlfn._xlws.FILTER($E:$E, ($C:$C=C4818)*($F:$F=F4818)) ) - 1</f>
        <v>2.5777244133538435E-2</v>
      </c>
    </row>
    <row r="4819" spans="1:7" x14ac:dyDescent="0.2">
      <c r="A4819" s="1">
        <v>42439</v>
      </c>
      <c r="B4819">
        <v>0</v>
      </c>
      <c r="C4819" t="s">
        <v>14</v>
      </c>
      <c r="D4819">
        <v>-6.6649999999999999E-3</v>
      </c>
      <c r="E4819">
        <f t="shared" si="150"/>
        <v>0.99333499999999997</v>
      </c>
      <c r="F4819" s="1">
        <f t="shared" si="151"/>
        <v>42436</v>
      </c>
      <c r="G4819" cm="1">
        <f t="array" ref="G4819">PRODUCT( _xlfn._xlws.FILTER($E:$E, ($C:$C=C4819)*($F:$F=F4819)) ) - 1</f>
        <v>2.5777244133538435E-2</v>
      </c>
    </row>
    <row r="4820" spans="1:7" x14ac:dyDescent="0.2">
      <c r="A4820" s="1">
        <v>42440</v>
      </c>
      <c r="B4820">
        <v>0</v>
      </c>
      <c r="C4820" t="s">
        <v>14</v>
      </c>
      <c r="D4820">
        <v>9.9179999999999997E-3</v>
      </c>
      <c r="E4820">
        <f t="shared" si="150"/>
        <v>1.0099180000000001</v>
      </c>
      <c r="F4820" s="1">
        <f t="shared" si="151"/>
        <v>42436</v>
      </c>
      <c r="G4820" cm="1">
        <f t="array" ref="G4820">PRODUCT( _xlfn._xlws.FILTER($E:$E, ($C:$C=C4820)*($F:$F=F4820)) ) - 1</f>
        <v>2.5777244133538435E-2</v>
      </c>
    </row>
    <row r="4821" spans="1:7" x14ac:dyDescent="0.2">
      <c r="A4821" s="1">
        <v>42443</v>
      </c>
      <c r="B4821">
        <v>0</v>
      </c>
      <c r="C4821" t="s">
        <v>14</v>
      </c>
      <c r="D4821">
        <v>4.6220000000000002E-3</v>
      </c>
      <c r="E4821">
        <f t="shared" si="150"/>
        <v>1.0046219999999999</v>
      </c>
      <c r="F4821" s="1">
        <f t="shared" si="151"/>
        <v>42443</v>
      </c>
      <c r="G4821" cm="1">
        <f t="array" ref="G4821">PRODUCT( _xlfn._xlws.FILTER($E:$E, ($C:$C=C4821)*($F:$F=F4821)) ) - 1</f>
        <v>3.9862223962588983E-2</v>
      </c>
    </row>
    <row r="4822" spans="1:7" x14ac:dyDescent="0.2">
      <c r="A4822" s="1">
        <v>42444</v>
      </c>
      <c r="B4822">
        <v>0</v>
      </c>
      <c r="C4822" t="s">
        <v>14</v>
      </c>
      <c r="D4822">
        <v>2.8177000000000001E-2</v>
      </c>
      <c r="E4822">
        <f t="shared" si="150"/>
        <v>1.0281769999999999</v>
      </c>
      <c r="F4822" s="1">
        <f t="shared" si="151"/>
        <v>42443</v>
      </c>
      <c r="G4822" cm="1">
        <f t="array" ref="G4822">PRODUCT( _xlfn._xlws.FILTER($E:$E, ($C:$C=C4822)*($F:$F=F4822)) ) - 1</f>
        <v>3.9862223962588983E-2</v>
      </c>
    </row>
    <row r="4823" spans="1:7" x14ac:dyDescent="0.2">
      <c r="A4823" s="1">
        <v>42445</v>
      </c>
      <c r="B4823">
        <v>0</v>
      </c>
      <c r="C4823" t="s">
        <v>14</v>
      </c>
      <c r="D4823">
        <v>1.0067E-2</v>
      </c>
      <c r="E4823">
        <f t="shared" si="150"/>
        <v>1.010067</v>
      </c>
      <c r="F4823" s="1">
        <f t="shared" si="151"/>
        <v>42443</v>
      </c>
      <c r="G4823" cm="1">
        <f t="array" ref="G4823">PRODUCT( _xlfn._xlws.FILTER($E:$E, ($C:$C=C4823)*($F:$F=F4823)) ) - 1</f>
        <v>3.9862223962588983E-2</v>
      </c>
    </row>
    <row r="4824" spans="1:7" x14ac:dyDescent="0.2">
      <c r="A4824" s="1">
        <v>42446</v>
      </c>
      <c r="B4824">
        <v>0</v>
      </c>
      <c r="C4824" t="s">
        <v>14</v>
      </c>
      <c r="D4824">
        <v>1.2182E-2</v>
      </c>
      <c r="E4824">
        <f t="shared" si="150"/>
        <v>1.0121819999999999</v>
      </c>
      <c r="F4824" s="1">
        <f t="shared" si="151"/>
        <v>42443</v>
      </c>
      <c r="G4824" cm="1">
        <f t="array" ref="G4824">PRODUCT( _xlfn._xlws.FILTER($E:$E, ($C:$C=C4824)*($F:$F=F4824)) ) - 1</f>
        <v>3.9862223962588983E-2</v>
      </c>
    </row>
    <row r="4825" spans="1:7" x14ac:dyDescent="0.2">
      <c r="A4825" s="1">
        <v>42447</v>
      </c>
      <c r="B4825">
        <v>0</v>
      </c>
      <c r="C4825" t="s">
        <v>14</v>
      </c>
      <c r="D4825">
        <v>-1.5317000000000001E-2</v>
      </c>
      <c r="E4825">
        <f t="shared" si="150"/>
        <v>0.98468299999999997</v>
      </c>
      <c r="F4825" s="1">
        <f t="shared" si="151"/>
        <v>42443</v>
      </c>
      <c r="G4825" cm="1">
        <f t="array" ref="G4825">PRODUCT( _xlfn._xlws.FILTER($E:$E, ($C:$C=C4825)*($F:$F=F4825)) ) - 1</f>
        <v>3.9862223962588983E-2</v>
      </c>
    </row>
    <row r="4826" spans="1:7" x14ac:dyDescent="0.2">
      <c r="A4826" s="1">
        <v>42450</v>
      </c>
      <c r="B4826">
        <v>0</v>
      </c>
      <c r="C4826" t="s">
        <v>14</v>
      </c>
      <c r="D4826">
        <v>8.6110000000000006E-3</v>
      </c>
      <c r="E4826">
        <f t="shared" si="150"/>
        <v>1.0086109999999999</v>
      </c>
      <c r="F4826" s="1">
        <f t="shared" si="151"/>
        <v>42450</v>
      </c>
      <c r="G4826" cm="1">
        <f t="array" ref="G4826">PRODUCT( _xlfn._xlws.FILTER($E:$E, ($C:$C=C4826)*($F:$F=F4826)) ) - 1</f>
        <v>-3.8887080301297505E-3</v>
      </c>
    </row>
    <row r="4827" spans="1:7" x14ac:dyDescent="0.2">
      <c r="A4827" s="1">
        <v>42451</v>
      </c>
      <c r="B4827">
        <v>0</v>
      </c>
      <c r="C4827" t="s">
        <v>14</v>
      </c>
      <c r="D4827">
        <v>-8.2600000000000002E-4</v>
      </c>
      <c r="E4827">
        <f t="shared" si="150"/>
        <v>0.99917400000000001</v>
      </c>
      <c r="F4827" s="1">
        <f t="shared" si="151"/>
        <v>42450</v>
      </c>
      <c r="G4827" cm="1">
        <f t="array" ref="G4827">PRODUCT( _xlfn._xlws.FILTER($E:$E, ($C:$C=C4827)*($F:$F=F4827)) ) - 1</f>
        <v>-3.8887080301297505E-3</v>
      </c>
    </row>
    <row r="4828" spans="1:7" x14ac:dyDescent="0.2">
      <c r="A4828" s="1">
        <v>42452</v>
      </c>
      <c r="B4828">
        <v>0</v>
      </c>
      <c r="C4828" t="s">
        <v>14</v>
      </c>
      <c r="D4828">
        <v>-1.9570000000000001E-2</v>
      </c>
      <c r="E4828">
        <f t="shared" si="150"/>
        <v>0.98043000000000002</v>
      </c>
      <c r="F4828" s="1">
        <f t="shared" si="151"/>
        <v>42450</v>
      </c>
      <c r="G4828" cm="1">
        <f t="array" ref="G4828">PRODUCT( _xlfn._xlws.FILTER($E:$E, ($C:$C=C4828)*($F:$F=F4828)) ) - 1</f>
        <v>-3.8887080301297505E-3</v>
      </c>
    </row>
    <row r="4829" spans="1:7" x14ac:dyDescent="0.2">
      <c r="A4829" s="1">
        <v>42453</v>
      </c>
      <c r="B4829">
        <v>0</v>
      </c>
      <c r="C4829" t="s">
        <v>14</v>
      </c>
      <c r="D4829">
        <v>8.1530000000000005E-3</v>
      </c>
      <c r="E4829">
        <f t="shared" si="150"/>
        <v>1.0081530000000001</v>
      </c>
      <c r="F4829" s="1">
        <f t="shared" si="151"/>
        <v>42450</v>
      </c>
      <c r="G4829" cm="1">
        <f t="array" ref="G4829">PRODUCT( _xlfn._xlws.FILTER($E:$E, ($C:$C=C4829)*($F:$F=F4829)) ) - 1</f>
        <v>-3.8887080301297505E-3</v>
      </c>
    </row>
    <row r="4830" spans="1:7" x14ac:dyDescent="0.2">
      <c r="A4830" s="1">
        <v>42457</v>
      </c>
      <c r="B4830">
        <v>0</v>
      </c>
      <c r="C4830" t="s">
        <v>14</v>
      </c>
      <c r="D4830">
        <v>-1.673E-3</v>
      </c>
      <c r="E4830">
        <f t="shared" si="150"/>
        <v>0.99832699999999996</v>
      </c>
      <c r="F4830" s="1">
        <f t="shared" si="151"/>
        <v>42457</v>
      </c>
      <c r="G4830" cm="1">
        <f t="array" ref="G4830">PRODUCT( _xlfn._xlws.FILTER($E:$E, ($C:$C=C4830)*($F:$F=F4830)) ) - 1</f>
        <v>4.7401894479970341E-3</v>
      </c>
    </row>
    <row r="4831" spans="1:7" x14ac:dyDescent="0.2">
      <c r="A4831" s="1">
        <v>42458</v>
      </c>
      <c r="B4831">
        <v>0</v>
      </c>
      <c r="C4831" t="s">
        <v>14</v>
      </c>
      <c r="D4831">
        <v>-8.1010000000000006E-3</v>
      </c>
      <c r="E4831">
        <f t="shared" si="150"/>
        <v>0.99189899999999998</v>
      </c>
      <c r="F4831" s="1">
        <f t="shared" si="151"/>
        <v>42457</v>
      </c>
      <c r="G4831" cm="1">
        <f t="array" ref="G4831">PRODUCT( _xlfn._xlws.FILTER($E:$E, ($C:$C=C4831)*($F:$F=F4831)) ) - 1</f>
        <v>4.7401894479970341E-3</v>
      </c>
    </row>
    <row r="4832" spans="1:7" x14ac:dyDescent="0.2">
      <c r="A4832" s="1">
        <v>42459</v>
      </c>
      <c r="B4832">
        <v>0</v>
      </c>
      <c r="C4832" t="s">
        <v>14</v>
      </c>
      <c r="D4832">
        <v>3.9430000000000003E-3</v>
      </c>
      <c r="E4832">
        <f t="shared" si="150"/>
        <v>1.003943</v>
      </c>
      <c r="F4832" s="1">
        <f t="shared" si="151"/>
        <v>42457</v>
      </c>
      <c r="G4832" cm="1">
        <f t="array" ref="G4832">PRODUCT( _xlfn._xlws.FILTER($E:$E, ($C:$C=C4832)*($F:$F=F4832)) ) - 1</f>
        <v>4.7401894479970341E-3</v>
      </c>
    </row>
    <row r="4833" spans="1:7" x14ac:dyDescent="0.2">
      <c r="A4833" s="1">
        <v>42460</v>
      </c>
      <c r="B4833">
        <v>0</v>
      </c>
      <c r="C4833" t="s">
        <v>14</v>
      </c>
      <c r="D4833">
        <v>1.4586E-2</v>
      </c>
      <c r="E4833">
        <f t="shared" si="150"/>
        <v>1.014586</v>
      </c>
      <c r="F4833" s="1">
        <f t="shared" si="151"/>
        <v>42457</v>
      </c>
      <c r="G4833" cm="1">
        <f t="array" ref="G4833">PRODUCT( _xlfn._xlws.FILTER($E:$E, ($C:$C=C4833)*($F:$F=F4833)) ) - 1</f>
        <v>4.7401894479970341E-3</v>
      </c>
    </row>
    <row r="4834" spans="1:7" x14ac:dyDescent="0.2">
      <c r="A4834" s="1">
        <v>42461</v>
      </c>
      <c r="B4834">
        <v>0</v>
      </c>
      <c r="C4834" t="s">
        <v>14</v>
      </c>
      <c r="D4834">
        <v>-3.8709999999999999E-3</v>
      </c>
      <c r="E4834">
        <f t="shared" si="150"/>
        <v>0.99612900000000004</v>
      </c>
      <c r="F4834" s="1">
        <f t="shared" si="151"/>
        <v>42457</v>
      </c>
      <c r="G4834" cm="1">
        <f t="array" ref="G4834">PRODUCT( _xlfn._xlws.FILTER($E:$E, ($C:$C=C4834)*($F:$F=F4834)) ) - 1</f>
        <v>4.7401894479970341E-3</v>
      </c>
    </row>
    <row r="4835" spans="1:7" x14ac:dyDescent="0.2">
      <c r="A4835" s="1">
        <v>42464</v>
      </c>
      <c r="B4835">
        <v>0</v>
      </c>
      <c r="C4835" t="s">
        <v>14</v>
      </c>
      <c r="D4835">
        <v>-1.9428000000000001E-2</v>
      </c>
      <c r="E4835">
        <f t="shared" si="150"/>
        <v>0.980572</v>
      </c>
      <c r="F4835" s="1">
        <f t="shared" si="151"/>
        <v>42464</v>
      </c>
      <c r="G4835" cm="1">
        <f t="array" ref="G4835">PRODUCT( _xlfn._xlws.FILTER($E:$E, ($C:$C=C4835)*($F:$F=F4835)) ) - 1</f>
        <v>-5.8290318896652149E-3</v>
      </c>
    </row>
    <row r="4836" spans="1:7" x14ac:dyDescent="0.2">
      <c r="A4836" s="1">
        <v>42465</v>
      </c>
      <c r="B4836">
        <v>0</v>
      </c>
      <c r="C4836" t="s">
        <v>14</v>
      </c>
      <c r="D4836">
        <v>-7.3590000000000001E-3</v>
      </c>
      <c r="E4836">
        <f t="shared" si="150"/>
        <v>0.992641</v>
      </c>
      <c r="F4836" s="1">
        <f t="shared" si="151"/>
        <v>42464</v>
      </c>
      <c r="G4836" cm="1">
        <f t="array" ref="G4836">PRODUCT( _xlfn._xlws.FILTER($E:$E, ($C:$C=C4836)*($F:$F=F4836)) ) - 1</f>
        <v>-5.8290318896652149E-3</v>
      </c>
    </row>
    <row r="4837" spans="1:7" x14ac:dyDescent="0.2">
      <c r="A4837" s="1">
        <v>42466</v>
      </c>
      <c r="B4837">
        <v>0</v>
      </c>
      <c r="C4837" t="s">
        <v>14</v>
      </c>
      <c r="D4837">
        <v>1.8818999999999999E-2</v>
      </c>
      <c r="E4837">
        <f t="shared" si="150"/>
        <v>1.0188189999999999</v>
      </c>
      <c r="F4837" s="1">
        <f t="shared" si="151"/>
        <v>42464</v>
      </c>
      <c r="G4837" cm="1">
        <f t="array" ref="G4837">PRODUCT( _xlfn._xlws.FILTER($E:$E, ($C:$C=C4837)*($F:$F=F4837)) ) - 1</f>
        <v>-5.8290318896652149E-3</v>
      </c>
    </row>
    <row r="4838" spans="1:7" x14ac:dyDescent="0.2">
      <c r="A4838" s="1">
        <v>42467</v>
      </c>
      <c r="B4838">
        <v>0</v>
      </c>
      <c r="C4838" t="s">
        <v>14</v>
      </c>
      <c r="D4838">
        <v>-9.5160000000000002E-3</v>
      </c>
      <c r="E4838">
        <f t="shared" si="150"/>
        <v>0.99048400000000003</v>
      </c>
      <c r="F4838" s="1">
        <f t="shared" si="151"/>
        <v>42464</v>
      </c>
      <c r="G4838" cm="1">
        <f t="array" ref="G4838">PRODUCT( _xlfn._xlws.FILTER($E:$E, ($C:$C=C4838)*($F:$F=F4838)) ) - 1</f>
        <v>-5.8290318896652149E-3</v>
      </c>
    </row>
    <row r="4839" spans="1:7" x14ac:dyDescent="0.2">
      <c r="A4839" s="1">
        <v>42468</v>
      </c>
      <c r="B4839">
        <v>0</v>
      </c>
      <c r="C4839" t="s">
        <v>14</v>
      </c>
      <c r="D4839">
        <v>1.2149999999999999E-2</v>
      </c>
      <c r="E4839">
        <f t="shared" si="150"/>
        <v>1.0121500000000001</v>
      </c>
      <c r="F4839" s="1">
        <f t="shared" si="151"/>
        <v>42464</v>
      </c>
      <c r="G4839" cm="1">
        <f t="array" ref="G4839">PRODUCT( _xlfn._xlws.FILTER($E:$E, ($C:$C=C4839)*($F:$F=F4839)) ) - 1</f>
        <v>-5.8290318896652149E-3</v>
      </c>
    </row>
    <row r="4840" spans="1:7" x14ac:dyDescent="0.2">
      <c r="A4840" s="1">
        <v>42471</v>
      </c>
      <c r="B4840">
        <v>0</v>
      </c>
      <c r="C4840" t="s">
        <v>14</v>
      </c>
      <c r="D4840">
        <v>-6.979E-3</v>
      </c>
      <c r="E4840">
        <f t="shared" si="150"/>
        <v>0.99302100000000004</v>
      </c>
      <c r="F4840" s="1">
        <f t="shared" si="151"/>
        <v>42471</v>
      </c>
      <c r="G4840" cm="1">
        <f t="array" ref="G4840">PRODUCT( _xlfn._xlws.FILTER($E:$E, ($C:$C=C4840)*($F:$F=F4840)) ) - 1</f>
        <v>2.7916107173284743E-3</v>
      </c>
    </row>
    <row r="4841" spans="1:7" x14ac:dyDescent="0.2">
      <c r="A4841" s="1">
        <v>42472</v>
      </c>
      <c r="B4841">
        <v>0</v>
      </c>
      <c r="C4841" t="s">
        <v>14</v>
      </c>
      <c r="D4841">
        <v>3.7109999999999997E-2</v>
      </c>
      <c r="E4841">
        <f t="shared" si="150"/>
        <v>1.03711</v>
      </c>
      <c r="F4841" s="1">
        <f t="shared" si="151"/>
        <v>42471</v>
      </c>
      <c r="G4841" cm="1">
        <f t="array" ref="G4841">PRODUCT( _xlfn._xlws.FILTER($E:$E, ($C:$C=C4841)*($F:$F=F4841)) ) - 1</f>
        <v>2.7916107173284743E-3</v>
      </c>
    </row>
    <row r="4842" spans="1:7" x14ac:dyDescent="0.2">
      <c r="A4842" s="1">
        <v>42473</v>
      </c>
      <c r="B4842">
        <v>0</v>
      </c>
      <c r="C4842" t="s">
        <v>14</v>
      </c>
      <c r="D4842">
        <v>4.3369999999999997E-3</v>
      </c>
      <c r="E4842">
        <f t="shared" si="150"/>
        <v>1.004337</v>
      </c>
      <c r="F4842" s="1">
        <f t="shared" si="151"/>
        <v>42471</v>
      </c>
      <c r="G4842" cm="1">
        <f t="array" ref="G4842">PRODUCT( _xlfn._xlws.FILTER($E:$E, ($C:$C=C4842)*($F:$F=F4842)) ) - 1</f>
        <v>2.7916107173284743E-3</v>
      </c>
    </row>
    <row r="4843" spans="1:7" x14ac:dyDescent="0.2">
      <c r="A4843" s="1">
        <v>42474</v>
      </c>
      <c r="B4843">
        <v>0</v>
      </c>
      <c r="C4843" t="s">
        <v>14</v>
      </c>
      <c r="D4843">
        <v>-3.7789999999999998E-3</v>
      </c>
      <c r="E4843">
        <f t="shared" si="150"/>
        <v>0.99622100000000002</v>
      </c>
      <c r="F4843" s="1">
        <f t="shared" si="151"/>
        <v>42471</v>
      </c>
      <c r="G4843" cm="1">
        <f t="array" ref="G4843">PRODUCT( _xlfn._xlws.FILTER($E:$E, ($C:$C=C4843)*($F:$F=F4843)) ) - 1</f>
        <v>2.7916107173284743E-3</v>
      </c>
    </row>
    <row r="4844" spans="1:7" x14ac:dyDescent="0.2">
      <c r="A4844" s="1">
        <v>42475</v>
      </c>
      <c r="B4844">
        <v>0</v>
      </c>
      <c r="C4844" t="s">
        <v>14</v>
      </c>
      <c r="D4844">
        <v>-2.6821999999999999E-2</v>
      </c>
      <c r="E4844">
        <f t="shared" si="150"/>
        <v>0.97317799999999999</v>
      </c>
      <c r="F4844" s="1">
        <f t="shared" si="151"/>
        <v>42471</v>
      </c>
      <c r="G4844" cm="1">
        <f t="array" ref="G4844">PRODUCT( _xlfn._xlws.FILTER($E:$E, ($C:$C=C4844)*($F:$F=F4844)) ) - 1</f>
        <v>2.7916107173284743E-3</v>
      </c>
    </row>
    <row r="4845" spans="1:7" x14ac:dyDescent="0.2">
      <c r="A4845" s="1">
        <v>42478</v>
      </c>
      <c r="B4845">
        <v>0</v>
      </c>
      <c r="C4845" t="s">
        <v>14</v>
      </c>
      <c r="D4845">
        <v>8.352E-3</v>
      </c>
      <c r="E4845">
        <f t="shared" si="150"/>
        <v>1.0083519999999999</v>
      </c>
      <c r="F4845" s="1">
        <f t="shared" si="151"/>
        <v>42478</v>
      </c>
      <c r="G4845" cm="1">
        <f t="array" ref="G4845">PRODUCT( _xlfn._xlws.FILTER($E:$E, ($C:$C=C4845)*($F:$F=F4845)) ) - 1</f>
        <v>1.0579763188053093E-2</v>
      </c>
    </row>
    <row r="4846" spans="1:7" x14ac:dyDescent="0.2">
      <c r="A4846" s="1">
        <v>42479</v>
      </c>
      <c r="B4846">
        <v>0</v>
      </c>
      <c r="C4846" t="s">
        <v>14</v>
      </c>
      <c r="D4846">
        <v>2.5399999999999999E-2</v>
      </c>
      <c r="E4846">
        <f t="shared" si="150"/>
        <v>1.0254000000000001</v>
      </c>
      <c r="F4846" s="1">
        <f t="shared" si="151"/>
        <v>42478</v>
      </c>
      <c r="G4846" cm="1">
        <f t="array" ref="G4846">PRODUCT( _xlfn._xlws.FILTER($E:$E, ($C:$C=C4846)*($F:$F=F4846)) ) - 1</f>
        <v>1.0579763188053093E-2</v>
      </c>
    </row>
    <row r="4847" spans="1:7" x14ac:dyDescent="0.2">
      <c r="A4847" s="1">
        <v>42480</v>
      </c>
      <c r="B4847">
        <v>0</v>
      </c>
      <c r="C4847" t="s">
        <v>14</v>
      </c>
      <c r="D4847">
        <v>-1.6424000000000001E-2</v>
      </c>
      <c r="E4847">
        <f t="shared" si="150"/>
        <v>0.98357600000000001</v>
      </c>
      <c r="F4847" s="1">
        <f t="shared" si="151"/>
        <v>42478</v>
      </c>
      <c r="G4847" cm="1">
        <f t="array" ref="G4847">PRODUCT( _xlfn._xlws.FILTER($E:$E, ($C:$C=C4847)*($F:$F=F4847)) ) - 1</f>
        <v>1.0579763188053093E-2</v>
      </c>
    </row>
    <row r="4848" spans="1:7" x14ac:dyDescent="0.2">
      <c r="A4848" s="1">
        <v>42481</v>
      </c>
      <c r="B4848">
        <v>0</v>
      </c>
      <c r="C4848" t="s">
        <v>14</v>
      </c>
      <c r="D4848">
        <v>-1.2866000000000001E-2</v>
      </c>
      <c r="E4848">
        <f t="shared" si="150"/>
        <v>0.98713399999999996</v>
      </c>
      <c r="F4848" s="1">
        <f t="shared" si="151"/>
        <v>42478</v>
      </c>
      <c r="G4848" cm="1">
        <f t="array" ref="G4848">PRODUCT( _xlfn._xlws.FILTER($E:$E, ($C:$C=C4848)*($F:$F=F4848)) ) - 1</f>
        <v>1.0579763188053093E-2</v>
      </c>
    </row>
    <row r="4849" spans="1:7" x14ac:dyDescent="0.2">
      <c r="A4849" s="1">
        <v>42482</v>
      </c>
      <c r="B4849">
        <v>0</v>
      </c>
      <c r="C4849" t="s">
        <v>14</v>
      </c>
      <c r="D4849">
        <v>6.6559999999999996E-3</v>
      </c>
      <c r="E4849">
        <f t="shared" si="150"/>
        <v>1.006656</v>
      </c>
      <c r="F4849" s="1">
        <f t="shared" si="151"/>
        <v>42478</v>
      </c>
      <c r="G4849" cm="1">
        <f t="array" ref="G4849">PRODUCT( _xlfn._xlws.FILTER($E:$E, ($C:$C=C4849)*($F:$F=F4849)) ) - 1</f>
        <v>1.0579763188053093E-2</v>
      </c>
    </row>
    <row r="4850" spans="1:7" x14ac:dyDescent="0.2">
      <c r="A4850" s="1">
        <v>42485</v>
      </c>
      <c r="B4850">
        <v>0</v>
      </c>
      <c r="C4850" t="s">
        <v>14</v>
      </c>
      <c r="D4850">
        <v>-3.581E-3</v>
      </c>
      <c r="E4850">
        <f t="shared" si="150"/>
        <v>0.99641900000000005</v>
      </c>
      <c r="F4850" s="1">
        <f t="shared" si="151"/>
        <v>42485</v>
      </c>
      <c r="G4850" cm="1">
        <f t="array" ref="G4850">PRODUCT( _xlfn._xlws.FILTER($E:$E, ($C:$C=C4850)*($F:$F=F4850)) ) - 1</f>
        <v>1.4601372420145031E-2</v>
      </c>
    </row>
    <row r="4851" spans="1:7" x14ac:dyDescent="0.2">
      <c r="A4851" s="1">
        <v>42486</v>
      </c>
      <c r="B4851">
        <v>0</v>
      </c>
      <c r="C4851" t="s">
        <v>14</v>
      </c>
      <c r="D4851">
        <v>4.9769999999999997E-3</v>
      </c>
      <c r="E4851">
        <f t="shared" si="150"/>
        <v>1.004977</v>
      </c>
      <c r="F4851" s="1">
        <f t="shared" si="151"/>
        <v>42485</v>
      </c>
      <c r="G4851" cm="1">
        <f t="array" ref="G4851">PRODUCT( _xlfn._xlws.FILTER($E:$E, ($C:$C=C4851)*($F:$F=F4851)) ) - 1</f>
        <v>1.4601372420145031E-2</v>
      </c>
    </row>
    <row r="4852" spans="1:7" x14ac:dyDescent="0.2">
      <c r="A4852" s="1">
        <v>42487</v>
      </c>
      <c r="B4852">
        <v>0</v>
      </c>
      <c r="C4852" t="s">
        <v>14</v>
      </c>
      <c r="D4852">
        <v>-2.751E-3</v>
      </c>
      <c r="E4852">
        <f t="shared" si="150"/>
        <v>0.99724900000000005</v>
      </c>
      <c r="F4852" s="1">
        <f t="shared" si="151"/>
        <v>42485</v>
      </c>
      <c r="G4852" cm="1">
        <f t="array" ref="G4852">PRODUCT( _xlfn._xlws.FILTER($E:$E, ($C:$C=C4852)*($F:$F=F4852)) ) - 1</f>
        <v>1.4601372420145031E-2</v>
      </c>
    </row>
    <row r="4853" spans="1:7" x14ac:dyDescent="0.2">
      <c r="A4853" s="1">
        <v>42488</v>
      </c>
      <c r="B4853">
        <v>0</v>
      </c>
      <c r="C4853" t="s">
        <v>14</v>
      </c>
      <c r="D4853">
        <v>1.6552000000000001E-2</v>
      </c>
      <c r="E4853">
        <f t="shared" si="150"/>
        <v>1.0165519999999999</v>
      </c>
      <c r="F4853" s="1">
        <f t="shared" si="151"/>
        <v>42485</v>
      </c>
      <c r="G4853" cm="1">
        <f t="array" ref="G4853">PRODUCT( _xlfn._xlws.FILTER($E:$E, ($C:$C=C4853)*($F:$F=F4853)) ) - 1</f>
        <v>1.4601372420145031E-2</v>
      </c>
    </row>
    <row r="4854" spans="1:7" x14ac:dyDescent="0.2">
      <c r="A4854" s="1">
        <v>42489</v>
      </c>
      <c r="B4854">
        <v>0</v>
      </c>
      <c r="C4854" t="s">
        <v>14</v>
      </c>
      <c r="D4854">
        <v>-5.4299999999999997E-4</v>
      </c>
      <c r="E4854">
        <f t="shared" si="150"/>
        <v>0.99945700000000004</v>
      </c>
      <c r="F4854" s="1">
        <f t="shared" si="151"/>
        <v>42485</v>
      </c>
      <c r="G4854" cm="1">
        <f t="array" ref="G4854">PRODUCT( _xlfn._xlws.FILTER($E:$E, ($C:$C=C4854)*($F:$F=F4854)) ) - 1</f>
        <v>1.4601372420145031E-2</v>
      </c>
    </row>
    <row r="4855" spans="1:7" x14ac:dyDescent="0.2">
      <c r="A4855" s="1">
        <v>42492</v>
      </c>
      <c r="B4855">
        <v>0</v>
      </c>
      <c r="C4855" t="s">
        <v>14</v>
      </c>
      <c r="D4855">
        <v>-3.3939999999999998E-2</v>
      </c>
      <c r="E4855">
        <f t="shared" si="150"/>
        <v>0.96606000000000003</v>
      </c>
      <c r="F4855" s="1">
        <f t="shared" si="151"/>
        <v>42492</v>
      </c>
      <c r="G4855" cm="1">
        <f t="array" ref="G4855">PRODUCT( _xlfn._xlws.FILTER($E:$E, ($C:$C=C4855)*($F:$F=F4855)) ) - 1</f>
        <v>-8.1183690700403877E-2</v>
      </c>
    </row>
    <row r="4856" spans="1:7" x14ac:dyDescent="0.2">
      <c r="A4856" s="1">
        <v>42493</v>
      </c>
      <c r="B4856">
        <v>0</v>
      </c>
      <c r="C4856" t="s">
        <v>14</v>
      </c>
      <c r="D4856">
        <v>-1.7707000000000001E-2</v>
      </c>
      <c r="E4856">
        <f t="shared" si="150"/>
        <v>0.98229299999999997</v>
      </c>
      <c r="F4856" s="1">
        <f t="shared" si="151"/>
        <v>42492</v>
      </c>
      <c r="G4856" cm="1">
        <f t="array" ref="G4856">PRODUCT( _xlfn._xlws.FILTER($E:$E, ($C:$C=C4856)*($F:$F=F4856)) ) - 1</f>
        <v>-8.1183690700403877E-2</v>
      </c>
    </row>
    <row r="4857" spans="1:7" x14ac:dyDescent="0.2">
      <c r="A4857" s="1">
        <v>42494</v>
      </c>
      <c r="B4857">
        <v>0</v>
      </c>
      <c r="C4857" t="s">
        <v>14</v>
      </c>
      <c r="D4857">
        <v>-2.2030999999999999E-2</v>
      </c>
      <c r="E4857">
        <f t="shared" si="150"/>
        <v>0.97796899999999998</v>
      </c>
      <c r="F4857" s="1">
        <f t="shared" si="151"/>
        <v>42492</v>
      </c>
      <c r="G4857" cm="1">
        <f t="array" ref="G4857">PRODUCT( _xlfn._xlws.FILTER($E:$E, ($C:$C=C4857)*($F:$F=F4857)) ) - 1</f>
        <v>-8.1183690700403877E-2</v>
      </c>
    </row>
    <row r="4858" spans="1:7" x14ac:dyDescent="0.2">
      <c r="A4858" s="1">
        <v>42495</v>
      </c>
      <c r="B4858">
        <v>0</v>
      </c>
      <c r="C4858" t="s">
        <v>14</v>
      </c>
      <c r="D4858">
        <v>-2.9842E-2</v>
      </c>
      <c r="E4858">
        <f t="shared" si="150"/>
        <v>0.97015799999999996</v>
      </c>
      <c r="F4858" s="1">
        <f t="shared" si="151"/>
        <v>42492</v>
      </c>
      <c r="G4858" cm="1">
        <f t="array" ref="G4858">PRODUCT( _xlfn._xlws.FILTER($E:$E, ($C:$C=C4858)*($F:$F=F4858)) ) - 1</f>
        <v>-8.1183690700403877E-2</v>
      </c>
    </row>
    <row r="4859" spans="1:7" x14ac:dyDescent="0.2">
      <c r="A4859" s="1">
        <v>42496</v>
      </c>
      <c r="B4859">
        <v>0</v>
      </c>
      <c r="C4859" t="s">
        <v>14</v>
      </c>
      <c r="D4859">
        <v>2.0507000000000001E-2</v>
      </c>
      <c r="E4859">
        <f t="shared" si="150"/>
        <v>1.0205070000000001</v>
      </c>
      <c r="F4859" s="1">
        <f t="shared" si="151"/>
        <v>42492</v>
      </c>
      <c r="G4859" cm="1">
        <f t="array" ref="G4859">PRODUCT( _xlfn._xlws.FILTER($E:$E, ($C:$C=C4859)*($F:$F=F4859)) ) - 1</f>
        <v>-8.1183690700403877E-2</v>
      </c>
    </row>
    <row r="4860" spans="1:7" x14ac:dyDescent="0.2">
      <c r="A4860" s="1">
        <v>42499</v>
      </c>
      <c r="B4860">
        <v>0</v>
      </c>
      <c r="C4860" t="s">
        <v>14</v>
      </c>
      <c r="D4860">
        <v>-1.7729999999999999E-2</v>
      </c>
      <c r="E4860">
        <f t="shared" si="150"/>
        <v>0.98226999999999998</v>
      </c>
      <c r="F4860" s="1">
        <f t="shared" si="151"/>
        <v>42499</v>
      </c>
      <c r="G4860" cm="1">
        <f t="array" ref="G4860">PRODUCT( _xlfn._xlws.FILTER($E:$E, ($C:$C=C4860)*($F:$F=F4860)) ) - 1</f>
        <v>6.7973470235971334E-3</v>
      </c>
    </row>
    <row r="4861" spans="1:7" x14ac:dyDescent="0.2">
      <c r="A4861" s="1">
        <v>42500</v>
      </c>
      <c r="B4861">
        <v>0</v>
      </c>
      <c r="C4861" t="s">
        <v>14</v>
      </c>
      <c r="D4861">
        <v>3.8508000000000001E-2</v>
      </c>
      <c r="E4861">
        <f t="shared" si="150"/>
        <v>1.038508</v>
      </c>
      <c r="F4861" s="1">
        <f t="shared" si="151"/>
        <v>42499</v>
      </c>
      <c r="G4861" cm="1">
        <f t="array" ref="G4861">PRODUCT( _xlfn._xlws.FILTER($E:$E, ($C:$C=C4861)*($F:$F=F4861)) ) - 1</f>
        <v>6.7973470235971334E-3</v>
      </c>
    </row>
    <row r="4862" spans="1:7" x14ac:dyDescent="0.2">
      <c r="A4862" s="1">
        <v>42501</v>
      </c>
      <c r="B4862">
        <v>0</v>
      </c>
      <c r="C4862" t="s">
        <v>14</v>
      </c>
      <c r="D4862">
        <v>-1.4480000000000001E-3</v>
      </c>
      <c r="E4862">
        <f t="shared" si="150"/>
        <v>0.998552</v>
      </c>
      <c r="F4862" s="1">
        <f t="shared" si="151"/>
        <v>42499</v>
      </c>
      <c r="G4862" cm="1">
        <f t="array" ref="G4862">PRODUCT( _xlfn._xlws.FILTER($E:$E, ($C:$C=C4862)*($F:$F=F4862)) ) - 1</f>
        <v>6.7973470235971334E-3</v>
      </c>
    </row>
    <row r="4863" spans="1:7" x14ac:dyDescent="0.2">
      <c r="A4863" s="1">
        <v>42502</v>
      </c>
      <c r="B4863">
        <v>0</v>
      </c>
      <c r="C4863" t="s">
        <v>14</v>
      </c>
      <c r="D4863">
        <v>-1.0444E-2</v>
      </c>
      <c r="E4863">
        <f t="shared" si="150"/>
        <v>0.98955599999999999</v>
      </c>
      <c r="F4863" s="1">
        <f t="shared" si="151"/>
        <v>42499</v>
      </c>
      <c r="G4863" cm="1">
        <f t="array" ref="G4863">PRODUCT( _xlfn._xlws.FILTER($E:$E, ($C:$C=C4863)*($F:$F=F4863)) ) - 1</f>
        <v>6.7973470235971334E-3</v>
      </c>
    </row>
    <row r="4864" spans="1:7" x14ac:dyDescent="0.2">
      <c r="A4864" s="1">
        <v>42503</v>
      </c>
      <c r="B4864">
        <v>0</v>
      </c>
      <c r="C4864" t="s">
        <v>14</v>
      </c>
      <c r="D4864">
        <v>-1.173E-3</v>
      </c>
      <c r="E4864">
        <f t="shared" si="150"/>
        <v>0.99882700000000002</v>
      </c>
      <c r="F4864" s="1">
        <f t="shared" si="151"/>
        <v>42499</v>
      </c>
      <c r="G4864" cm="1">
        <f t="array" ref="G4864">PRODUCT( _xlfn._xlws.FILTER($E:$E, ($C:$C=C4864)*($F:$F=F4864)) ) - 1</f>
        <v>6.7973470235971334E-3</v>
      </c>
    </row>
    <row r="4865" spans="1:7" x14ac:dyDescent="0.2">
      <c r="A4865" s="1">
        <v>42506</v>
      </c>
      <c r="B4865">
        <v>0</v>
      </c>
      <c r="C4865" t="s">
        <v>14</v>
      </c>
      <c r="D4865">
        <v>2.6710000000000001E-2</v>
      </c>
      <c r="E4865">
        <f t="shared" si="150"/>
        <v>1.02671</v>
      </c>
      <c r="F4865" s="1">
        <f t="shared" si="151"/>
        <v>42506</v>
      </c>
      <c r="G4865" cm="1">
        <f t="array" ref="G4865">PRODUCT( _xlfn._xlws.FILTER($E:$E, ($C:$C=C4865)*($F:$F=F4865)) ) - 1</f>
        <v>1.2621282467211614E-2</v>
      </c>
    </row>
    <row r="4866" spans="1:7" x14ac:dyDescent="0.2">
      <c r="A4866" s="1">
        <v>42507</v>
      </c>
      <c r="B4866">
        <v>0</v>
      </c>
      <c r="C4866" t="s">
        <v>14</v>
      </c>
      <c r="D4866">
        <v>4.0020000000000003E-3</v>
      </c>
      <c r="E4866">
        <f t="shared" si="150"/>
        <v>1.0040020000000001</v>
      </c>
      <c r="F4866" s="1">
        <f t="shared" si="151"/>
        <v>42506</v>
      </c>
      <c r="G4866" cm="1">
        <f t="array" ref="G4866">PRODUCT( _xlfn._xlws.FILTER($E:$E, ($C:$C=C4866)*($F:$F=F4866)) ) - 1</f>
        <v>1.2621282467211614E-2</v>
      </c>
    </row>
    <row r="4867" spans="1:7" x14ac:dyDescent="0.2">
      <c r="A4867" s="1">
        <v>42508</v>
      </c>
      <c r="B4867">
        <v>0</v>
      </c>
      <c r="C4867" t="s">
        <v>14</v>
      </c>
      <c r="D4867">
        <v>-2.0500999999999998E-2</v>
      </c>
      <c r="E4867">
        <f t="shared" si="150"/>
        <v>0.97949900000000001</v>
      </c>
      <c r="F4867" s="1">
        <f t="shared" si="151"/>
        <v>42506</v>
      </c>
      <c r="G4867" cm="1">
        <f t="array" ref="G4867">PRODUCT( _xlfn._xlws.FILTER($E:$E, ($C:$C=C4867)*($F:$F=F4867)) ) - 1</f>
        <v>1.2621282467211614E-2</v>
      </c>
    </row>
    <row r="4868" spans="1:7" x14ac:dyDescent="0.2">
      <c r="A4868" s="1">
        <v>42509</v>
      </c>
      <c r="B4868">
        <v>0</v>
      </c>
      <c r="C4868" t="s">
        <v>14</v>
      </c>
      <c r="D4868">
        <v>-2.9069999999999999E-3</v>
      </c>
      <c r="E4868">
        <f t="shared" ref="E4868:E4931" si="152">D4868+1</f>
        <v>0.99709300000000001</v>
      </c>
      <c r="F4868" s="1">
        <f t="shared" ref="F4868:F4931" si="153">A4868 - (WEEKDAY(A4868, 2) - 1)</f>
        <v>42506</v>
      </c>
      <c r="G4868" cm="1">
        <f t="array" ref="G4868">PRODUCT( _xlfn._xlws.FILTER($E:$E, ($C:$C=C4868)*($F:$F=F4868)) ) - 1</f>
        <v>1.2621282467211614E-2</v>
      </c>
    </row>
    <row r="4869" spans="1:7" x14ac:dyDescent="0.2">
      <c r="A4869" s="1">
        <v>42510</v>
      </c>
      <c r="B4869">
        <v>0</v>
      </c>
      <c r="C4869" t="s">
        <v>14</v>
      </c>
      <c r="D4869">
        <v>5.8310000000000002E-3</v>
      </c>
      <c r="E4869">
        <f t="shared" si="152"/>
        <v>1.0058309999999999</v>
      </c>
      <c r="F4869" s="1">
        <f t="shared" si="153"/>
        <v>42506</v>
      </c>
      <c r="G4869" cm="1">
        <f t="array" ref="G4869">PRODUCT( _xlfn._xlws.FILTER($E:$E, ($C:$C=C4869)*($F:$F=F4869)) ) - 1</f>
        <v>1.2621282467211614E-2</v>
      </c>
    </row>
    <row r="4870" spans="1:7" x14ac:dyDescent="0.2">
      <c r="A4870" s="1">
        <v>42514</v>
      </c>
      <c r="B4870">
        <v>0</v>
      </c>
      <c r="C4870" t="s">
        <v>14</v>
      </c>
      <c r="D4870">
        <v>2.5797E-2</v>
      </c>
      <c r="E4870">
        <f t="shared" si="152"/>
        <v>1.0257970000000001</v>
      </c>
      <c r="F4870" s="1">
        <f t="shared" si="153"/>
        <v>42513</v>
      </c>
      <c r="G4870" cm="1">
        <f t="array" ref="G4870">PRODUCT( _xlfn._xlws.FILTER($E:$E, ($C:$C=C4870)*($F:$F=F4870)) ) - 1</f>
        <v>4.0579835983595824E-2</v>
      </c>
    </row>
    <row r="4871" spans="1:7" x14ac:dyDescent="0.2">
      <c r="A4871" s="1">
        <v>42515</v>
      </c>
      <c r="B4871">
        <v>0</v>
      </c>
      <c r="C4871" t="s">
        <v>14</v>
      </c>
      <c r="D4871">
        <v>8.7600000000000004E-3</v>
      </c>
      <c r="E4871">
        <f t="shared" si="152"/>
        <v>1.0087600000000001</v>
      </c>
      <c r="F4871" s="1">
        <f t="shared" si="153"/>
        <v>42513</v>
      </c>
      <c r="G4871" cm="1">
        <f t="array" ref="G4871">PRODUCT( _xlfn._xlws.FILTER($E:$E, ($C:$C=C4871)*($F:$F=F4871)) ) - 1</f>
        <v>4.0579835983595824E-2</v>
      </c>
    </row>
    <row r="4872" spans="1:7" x14ac:dyDescent="0.2">
      <c r="A4872" s="1">
        <v>42516</v>
      </c>
      <c r="B4872">
        <v>0</v>
      </c>
      <c r="C4872" t="s">
        <v>14</v>
      </c>
      <c r="D4872">
        <v>0</v>
      </c>
      <c r="E4872">
        <f t="shared" si="152"/>
        <v>1</v>
      </c>
      <c r="F4872" s="1">
        <f t="shared" si="153"/>
        <v>42513</v>
      </c>
      <c r="G4872" cm="1">
        <f t="array" ref="G4872">PRODUCT( _xlfn._xlws.FILTER($E:$E, ($C:$C=C4872)*($F:$F=F4872)) ) - 1</f>
        <v>4.0579835983595824E-2</v>
      </c>
    </row>
    <row r="4873" spans="1:7" x14ac:dyDescent="0.2">
      <c r="A4873" s="1">
        <v>42517</v>
      </c>
      <c r="B4873">
        <v>0</v>
      </c>
      <c r="C4873" t="s">
        <v>14</v>
      </c>
      <c r="D4873">
        <v>5.6020000000000002E-3</v>
      </c>
      <c r="E4873">
        <f t="shared" si="152"/>
        <v>1.0056020000000001</v>
      </c>
      <c r="F4873" s="1">
        <f t="shared" si="153"/>
        <v>42513</v>
      </c>
      <c r="G4873" cm="1">
        <f t="array" ref="G4873">PRODUCT( _xlfn._xlws.FILTER($E:$E, ($C:$C=C4873)*($F:$F=F4873)) ) - 1</f>
        <v>4.0579835983595824E-2</v>
      </c>
    </row>
    <row r="4874" spans="1:7" x14ac:dyDescent="0.2">
      <c r="A4874" s="1">
        <v>42520</v>
      </c>
      <c r="B4874">
        <v>0</v>
      </c>
      <c r="C4874" t="s">
        <v>14</v>
      </c>
      <c r="D4874">
        <v>2.5070000000000001E-3</v>
      </c>
      <c r="E4874">
        <f t="shared" si="152"/>
        <v>1.002507</v>
      </c>
      <c r="F4874" s="1">
        <f t="shared" si="153"/>
        <v>42520</v>
      </c>
      <c r="G4874" cm="1">
        <f t="array" ref="G4874">PRODUCT( _xlfn._xlws.FILTER($E:$E, ($C:$C=C4874)*($F:$F=F4874)) ) - 1</f>
        <v>-2.2338493772777746E-4</v>
      </c>
    </row>
    <row r="4875" spans="1:7" x14ac:dyDescent="0.2">
      <c r="A4875" s="1">
        <v>42521</v>
      </c>
      <c r="B4875">
        <v>0</v>
      </c>
      <c r="C4875" t="s">
        <v>14</v>
      </c>
      <c r="D4875">
        <v>6.391E-3</v>
      </c>
      <c r="E4875">
        <f t="shared" si="152"/>
        <v>1.006391</v>
      </c>
      <c r="F4875" s="1">
        <f t="shared" si="153"/>
        <v>42520</v>
      </c>
      <c r="G4875" cm="1">
        <f t="array" ref="G4875">PRODUCT( _xlfn._xlws.FILTER($E:$E, ($C:$C=C4875)*($F:$F=F4875)) ) - 1</f>
        <v>-2.2338493772777746E-4</v>
      </c>
    </row>
    <row r="4876" spans="1:7" x14ac:dyDescent="0.2">
      <c r="A4876" s="1">
        <v>42522</v>
      </c>
      <c r="B4876">
        <v>0</v>
      </c>
      <c r="C4876" t="s">
        <v>14</v>
      </c>
      <c r="D4876">
        <v>-1.5737000000000001E-2</v>
      </c>
      <c r="E4876">
        <f t="shared" si="152"/>
        <v>0.984263</v>
      </c>
      <c r="F4876" s="1">
        <f t="shared" si="153"/>
        <v>42520</v>
      </c>
      <c r="G4876" cm="1">
        <f t="array" ref="G4876">PRODUCT( _xlfn._xlws.FILTER($E:$E, ($C:$C=C4876)*($F:$F=F4876)) ) - 1</f>
        <v>-2.2338493772777746E-4</v>
      </c>
    </row>
    <row r="4877" spans="1:7" x14ac:dyDescent="0.2">
      <c r="A4877" s="1">
        <v>42523</v>
      </c>
      <c r="B4877">
        <v>0</v>
      </c>
      <c r="C4877" t="s">
        <v>14</v>
      </c>
      <c r="D4877">
        <v>1.6968E-2</v>
      </c>
      <c r="E4877">
        <f t="shared" si="152"/>
        <v>1.0169680000000001</v>
      </c>
      <c r="F4877" s="1">
        <f t="shared" si="153"/>
        <v>42520</v>
      </c>
      <c r="G4877" cm="1">
        <f t="array" ref="G4877">PRODUCT( _xlfn._xlws.FILTER($E:$E, ($C:$C=C4877)*($F:$F=F4877)) ) - 1</f>
        <v>-2.2338493772777746E-4</v>
      </c>
    </row>
    <row r="4878" spans="1:7" x14ac:dyDescent="0.2">
      <c r="A4878" s="1">
        <v>42524</v>
      </c>
      <c r="B4878">
        <v>0</v>
      </c>
      <c r="C4878" t="s">
        <v>14</v>
      </c>
      <c r="D4878">
        <v>-1.0011000000000001E-2</v>
      </c>
      <c r="E4878">
        <f t="shared" si="152"/>
        <v>0.98998900000000001</v>
      </c>
      <c r="F4878" s="1">
        <f t="shared" si="153"/>
        <v>42520</v>
      </c>
      <c r="G4878" cm="1">
        <f t="array" ref="G4878">PRODUCT( _xlfn._xlws.FILTER($E:$E, ($C:$C=C4878)*($F:$F=F4878)) ) - 1</f>
        <v>-2.2338493772777746E-4</v>
      </c>
    </row>
    <row r="4879" spans="1:7" x14ac:dyDescent="0.2">
      <c r="A4879" s="1">
        <v>42527</v>
      </c>
      <c r="B4879">
        <v>0</v>
      </c>
      <c r="C4879" t="s">
        <v>14</v>
      </c>
      <c r="D4879">
        <v>6.1799999999999997E-3</v>
      </c>
      <c r="E4879">
        <f t="shared" si="152"/>
        <v>1.0061800000000001</v>
      </c>
      <c r="F4879" s="1">
        <f t="shared" si="153"/>
        <v>42527</v>
      </c>
      <c r="G4879" cm="1">
        <f t="array" ref="G4879">PRODUCT( _xlfn._xlws.FILTER($E:$E, ($C:$C=C4879)*($F:$F=F4879)) ) - 1</f>
        <v>-3.4268971884844568E-2</v>
      </c>
    </row>
    <row r="4880" spans="1:7" x14ac:dyDescent="0.2">
      <c r="A4880" s="1">
        <v>42528</v>
      </c>
      <c r="B4880">
        <v>0</v>
      </c>
      <c r="C4880" t="s">
        <v>14</v>
      </c>
      <c r="D4880">
        <v>1.8984000000000001E-2</v>
      </c>
      <c r="E4880">
        <f t="shared" si="152"/>
        <v>1.0189840000000001</v>
      </c>
      <c r="F4880" s="1">
        <f t="shared" si="153"/>
        <v>42527</v>
      </c>
      <c r="G4880" cm="1">
        <f t="array" ref="G4880">PRODUCT( _xlfn._xlws.FILTER($E:$E, ($C:$C=C4880)*($F:$F=F4880)) ) - 1</f>
        <v>-3.4268971884844568E-2</v>
      </c>
    </row>
    <row r="4881" spans="1:7" x14ac:dyDescent="0.2">
      <c r="A4881" s="1">
        <v>42529</v>
      </c>
      <c r="B4881">
        <v>0</v>
      </c>
      <c r="C4881" t="s">
        <v>14</v>
      </c>
      <c r="D4881">
        <v>-2.8219000000000001E-2</v>
      </c>
      <c r="E4881">
        <f t="shared" si="152"/>
        <v>0.97178100000000001</v>
      </c>
      <c r="F4881" s="1">
        <f t="shared" si="153"/>
        <v>42527</v>
      </c>
      <c r="G4881" cm="1">
        <f t="array" ref="G4881">PRODUCT( _xlfn._xlws.FILTER($E:$E, ($C:$C=C4881)*($F:$F=F4881)) ) - 1</f>
        <v>-3.4268971884844568E-2</v>
      </c>
    </row>
    <row r="4882" spans="1:7" x14ac:dyDescent="0.2">
      <c r="A4882" s="1">
        <v>42530</v>
      </c>
      <c r="B4882">
        <v>0</v>
      </c>
      <c r="C4882" t="s">
        <v>14</v>
      </c>
      <c r="D4882">
        <v>-8.1759999999999992E-3</v>
      </c>
      <c r="E4882">
        <f t="shared" si="152"/>
        <v>0.99182400000000004</v>
      </c>
      <c r="F4882" s="1">
        <f t="shared" si="153"/>
        <v>42527</v>
      </c>
      <c r="G4882" cm="1">
        <f t="array" ref="G4882">PRODUCT( _xlfn._xlws.FILTER($E:$E, ($C:$C=C4882)*($F:$F=F4882)) ) - 1</f>
        <v>-3.4268971884844568E-2</v>
      </c>
    </row>
    <row r="4883" spans="1:7" x14ac:dyDescent="0.2">
      <c r="A4883" s="1">
        <v>42531</v>
      </c>
      <c r="B4883">
        <v>0</v>
      </c>
      <c r="C4883" t="s">
        <v>14</v>
      </c>
      <c r="D4883">
        <v>-2.274E-2</v>
      </c>
      <c r="E4883">
        <f t="shared" si="152"/>
        <v>0.97726000000000002</v>
      </c>
      <c r="F4883" s="1">
        <f t="shared" si="153"/>
        <v>42527</v>
      </c>
      <c r="G4883" cm="1">
        <f t="array" ref="G4883">PRODUCT( _xlfn._xlws.FILTER($E:$E, ($C:$C=C4883)*($F:$F=F4883)) ) - 1</f>
        <v>-3.4268971884844568E-2</v>
      </c>
    </row>
    <row r="4884" spans="1:7" x14ac:dyDescent="0.2">
      <c r="A4884" s="1">
        <v>42534</v>
      </c>
      <c r="B4884">
        <v>0</v>
      </c>
      <c r="C4884" t="s">
        <v>14</v>
      </c>
      <c r="D4884">
        <v>1.163E-3</v>
      </c>
      <c r="E4884">
        <f t="shared" si="152"/>
        <v>1.001163</v>
      </c>
      <c r="F4884" s="1">
        <f t="shared" si="153"/>
        <v>42534</v>
      </c>
      <c r="G4884" cm="1">
        <f t="array" ref="G4884">PRODUCT( _xlfn._xlws.FILTER($E:$E, ($C:$C=C4884)*($F:$F=F4884)) ) - 1</f>
        <v>-1.1638395086220887E-3</v>
      </c>
    </row>
    <row r="4885" spans="1:7" x14ac:dyDescent="0.2">
      <c r="A4885" s="1">
        <v>42535</v>
      </c>
      <c r="B4885">
        <v>0</v>
      </c>
      <c r="C4885" t="s">
        <v>14</v>
      </c>
      <c r="D4885">
        <v>-7.8440000000000003E-3</v>
      </c>
      <c r="E4885">
        <f t="shared" si="152"/>
        <v>0.99215600000000004</v>
      </c>
      <c r="F4885" s="1">
        <f t="shared" si="153"/>
        <v>42534</v>
      </c>
      <c r="G4885" cm="1">
        <f t="array" ref="G4885">PRODUCT( _xlfn._xlws.FILTER($E:$E, ($C:$C=C4885)*($F:$F=F4885)) ) - 1</f>
        <v>-1.1638395086220887E-3</v>
      </c>
    </row>
    <row r="4886" spans="1:7" x14ac:dyDescent="0.2">
      <c r="A4886" s="1">
        <v>42536</v>
      </c>
      <c r="B4886">
        <v>0</v>
      </c>
      <c r="C4886" t="s">
        <v>14</v>
      </c>
      <c r="D4886">
        <v>-5.5640000000000004E-3</v>
      </c>
      <c r="E4886">
        <f t="shared" si="152"/>
        <v>0.99443599999999999</v>
      </c>
      <c r="F4886" s="1">
        <f t="shared" si="153"/>
        <v>42534</v>
      </c>
      <c r="G4886" cm="1">
        <f t="array" ref="G4886">PRODUCT( _xlfn._xlws.FILTER($E:$E, ($C:$C=C4886)*($F:$F=F4886)) ) - 1</f>
        <v>-1.1638395086220887E-3</v>
      </c>
    </row>
    <row r="4887" spans="1:7" x14ac:dyDescent="0.2">
      <c r="A4887" s="1">
        <v>42537</v>
      </c>
      <c r="B4887">
        <v>0</v>
      </c>
      <c r="C4887" t="s">
        <v>14</v>
      </c>
      <c r="D4887">
        <v>2.356E-3</v>
      </c>
      <c r="E4887">
        <f t="shared" si="152"/>
        <v>1.002356</v>
      </c>
      <c r="F4887" s="1">
        <f t="shared" si="153"/>
        <v>42534</v>
      </c>
      <c r="G4887" cm="1">
        <f t="array" ref="G4887">PRODUCT( _xlfn._xlws.FILTER($E:$E, ($C:$C=C4887)*($F:$F=F4887)) ) - 1</f>
        <v>-1.1638395086220887E-3</v>
      </c>
    </row>
    <row r="4888" spans="1:7" x14ac:dyDescent="0.2">
      <c r="A4888" s="1">
        <v>42538</v>
      </c>
      <c r="B4888">
        <v>0</v>
      </c>
      <c r="C4888" t="s">
        <v>14</v>
      </c>
      <c r="D4888">
        <v>8.8129999999999997E-3</v>
      </c>
      <c r="E4888">
        <f t="shared" si="152"/>
        <v>1.008813</v>
      </c>
      <c r="F4888" s="1">
        <f t="shared" si="153"/>
        <v>42534</v>
      </c>
      <c r="G4888" cm="1">
        <f t="array" ref="G4888">PRODUCT( _xlfn._xlws.FILTER($E:$E, ($C:$C=C4888)*($F:$F=F4888)) ) - 1</f>
        <v>-1.1638395086220887E-3</v>
      </c>
    </row>
    <row r="4889" spans="1:7" x14ac:dyDescent="0.2">
      <c r="A4889" s="1">
        <v>42541</v>
      </c>
      <c r="B4889">
        <v>0</v>
      </c>
      <c r="C4889" t="s">
        <v>14</v>
      </c>
      <c r="D4889">
        <v>5.2420000000000001E-3</v>
      </c>
      <c r="E4889">
        <f t="shared" si="152"/>
        <v>1.005242</v>
      </c>
      <c r="F4889" s="1">
        <f t="shared" si="153"/>
        <v>42541</v>
      </c>
      <c r="G4889" cm="1">
        <f t="array" ref="G4889">PRODUCT( _xlfn._xlws.FILTER($E:$E, ($C:$C=C4889)*($F:$F=F4889)) ) - 1</f>
        <v>1.4851676989444895E-2</v>
      </c>
    </row>
    <row r="4890" spans="1:7" x14ac:dyDescent="0.2">
      <c r="A4890" s="1">
        <v>42542</v>
      </c>
      <c r="B4890">
        <v>0</v>
      </c>
      <c r="C4890" t="s">
        <v>14</v>
      </c>
      <c r="D4890">
        <v>5.2139999999999999E-3</v>
      </c>
      <c r="E4890">
        <f t="shared" si="152"/>
        <v>1.0052140000000001</v>
      </c>
      <c r="F4890" s="1">
        <f t="shared" si="153"/>
        <v>42541</v>
      </c>
      <c r="G4890" cm="1">
        <f t="array" ref="G4890">PRODUCT( _xlfn._xlws.FILTER($E:$E, ($C:$C=C4890)*($F:$F=F4890)) ) - 1</f>
        <v>1.4851676989444895E-2</v>
      </c>
    </row>
    <row r="4891" spans="1:7" x14ac:dyDescent="0.2">
      <c r="A4891" s="1">
        <v>42543</v>
      </c>
      <c r="B4891">
        <v>0</v>
      </c>
      <c r="C4891" t="s">
        <v>14</v>
      </c>
      <c r="D4891">
        <v>2.594E-3</v>
      </c>
      <c r="E4891">
        <f t="shared" si="152"/>
        <v>1.002594</v>
      </c>
      <c r="F4891" s="1">
        <f t="shared" si="153"/>
        <v>42541</v>
      </c>
      <c r="G4891" cm="1">
        <f t="array" ref="G4891">PRODUCT( _xlfn._xlws.FILTER($E:$E, ($C:$C=C4891)*($F:$F=F4891)) ) - 1</f>
        <v>1.4851676989444895E-2</v>
      </c>
    </row>
    <row r="4892" spans="1:7" x14ac:dyDescent="0.2">
      <c r="A4892" s="1">
        <v>42544</v>
      </c>
      <c r="B4892">
        <v>0</v>
      </c>
      <c r="C4892" t="s">
        <v>14</v>
      </c>
      <c r="D4892">
        <v>4.0529000000000003E-2</v>
      </c>
      <c r="E4892">
        <f t="shared" si="152"/>
        <v>1.040529</v>
      </c>
      <c r="F4892" s="1">
        <f t="shared" si="153"/>
        <v>42541</v>
      </c>
      <c r="G4892" cm="1">
        <f t="array" ref="G4892">PRODUCT( _xlfn._xlws.FILTER($E:$E, ($C:$C=C4892)*($F:$F=F4892)) ) - 1</f>
        <v>1.4851676989444895E-2</v>
      </c>
    </row>
    <row r="4893" spans="1:7" x14ac:dyDescent="0.2">
      <c r="A4893" s="1">
        <v>42545</v>
      </c>
      <c r="B4893">
        <v>0</v>
      </c>
      <c r="C4893" t="s">
        <v>14</v>
      </c>
      <c r="D4893">
        <v>-3.7293E-2</v>
      </c>
      <c r="E4893">
        <f t="shared" si="152"/>
        <v>0.96270699999999998</v>
      </c>
      <c r="F4893" s="1">
        <f t="shared" si="153"/>
        <v>42541</v>
      </c>
      <c r="G4893" cm="1">
        <f t="array" ref="G4893">PRODUCT( _xlfn._xlws.FILTER($E:$E, ($C:$C=C4893)*($F:$F=F4893)) ) - 1</f>
        <v>1.4851676989444895E-2</v>
      </c>
    </row>
    <row r="4894" spans="1:7" x14ac:dyDescent="0.2">
      <c r="A4894" s="1">
        <v>42548</v>
      </c>
      <c r="B4894">
        <v>0</v>
      </c>
      <c r="C4894" t="s">
        <v>14</v>
      </c>
      <c r="D4894">
        <v>-1.4921E-2</v>
      </c>
      <c r="E4894">
        <f t="shared" si="152"/>
        <v>0.98507900000000004</v>
      </c>
      <c r="F4894" s="1">
        <f t="shared" si="153"/>
        <v>42548</v>
      </c>
      <c r="G4894" cm="1">
        <f t="array" ref="G4894">PRODUCT( _xlfn._xlws.FILTER($E:$E, ($C:$C=C4894)*($F:$F=F4894)) ) - 1</f>
        <v>2.8407064897411738E-2</v>
      </c>
    </row>
    <row r="4895" spans="1:7" x14ac:dyDescent="0.2">
      <c r="A4895" s="1">
        <v>42549</v>
      </c>
      <c r="B4895">
        <v>0</v>
      </c>
      <c r="C4895" t="s">
        <v>14</v>
      </c>
      <c r="D4895">
        <v>1.7769E-2</v>
      </c>
      <c r="E4895">
        <f t="shared" si="152"/>
        <v>1.0177689999999999</v>
      </c>
      <c r="F4895" s="1">
        <f t="shared" si="153"/>
        <v>42548</v>
      </c>
      <c r="G4895" cm="1">
        <f t="array" ref="G4895">PRODUCT( _xlfn._xlws.FILTER($E:$E, ($C:$C=C4895)*($F:$F=F4895)) ) - 1</f>
        <v>2.8407064897411738E-2</v>
      </c>
    </row>
    <row r="4896" spans="1:7" x14ac:dyDescent="0.2">
      <c r="A4896" s="1">
        <v>42550</v>
      </c>
      <c r="B4896">
        <v>0</v>
      </c>
      <c r="C4896" t="s">
        <v>14</v>
      </c>
      <c r="D4896">
        <v>1.8603000000000001E-2</v>
      </c>
      <c r="E4896">
        <f t="shared" si="152"/>
        <v>1.0186029999999999</v>
      </c>
      <c r="F4896" s="1">
        <f t="shared" si="153"/>
        <v>42548</v>
      </c>
      <c r="G4896" cm="1">
        <f t="array" ref="G4896">PRODUCT( _xlfn._xlws.FILTER($E:$E, ($C:$C=C4896)*($F:$F=F4896)) ) - 1</f>
        <v>2.8407064897411738E-2</v>
      </c>
    </row>
    <row r="4897" spans="1:7" x14ac:dyDescent="0.2">
      <c r="A4897" s="1">
        <v>42551</v>
      </c>
      <c r="B4897">
        <v>0</v>
      </c>
      <c r="C4897" t="s">
        <v>14</v>
      </c>
      <c r="D4897">
        <v>7.0239999999999999E-3</v>
      </c>
      <c r="E4897">
        <f t="shared" si="152"/>
        <v>1.0070239999999999</v>
      </c>
      <c r="F4897" s="1">
        <f t="shared" si="153"/>
        <v>42548</v>
      </c>
      <c r="G4897" cm="1">
        <f t="array" ref="G4897">PRODUCT( _xlfn._xlws.FILTER($E:$E, ($C:$C=C4897)*($F:$F=F4897)) ) - 1</f>
        <v>2.8407064897411738E-2</v>
      </c>
    </row>
    <row r="4898" spans="1:7" x14ac:dyDescent="0.2">
      <c r="A4898" s="1">
        <v>42555</v>
      </c>
      <c r="B4898">
        <v>0</v>
      </c>
      <c r="C4898" t="s">
        <v>14</v>
      </c>
      <c r="D4898">
        <v>2.3996E-2</v>
      </c>
      <c r="E4898">
        <f t="shared" si="152"/>
        <v>1.0239959999999999</v>
      </c>
      <c r="F4898" s="1">
        <f t="shared" si="153"/>
        <v>42555</v>
      </c>
      <c r="G4898" cm="1">
        <f t="array" ref="G4898">PRODUCT( _xlfn._xlws.FILTER($E:$E, ($C:$C=C4898)*($F:$F=F4898)) ) - 1</f>
        <v>1.2277037774720556E-2</v>
      </c>
    </row>
    <row r="4899" spans="1:7" x14ac:dyDescent="0.2">
      <c r="A4899" s="1">
        <v>42556</v>
      </c>
      <c r="B4899">
        <v>0</v>
      </c>
      <c r="C4899" t="s">
        <v>14</v>
      </c>
      <c r="D4899">
        <v>8.1700000000000002E-4</v>
      </c>
      <c r="E4899">
        <f t="shared" si="152"/>
        <v>1.0008170000000001</v>
      </c>
      <c r="F4899" s="1">
        <f t="shared" si="153"/>
        <v>42555</v>
      </c>
      <c r="G4899" cm="1">
        <f t="array" ref="G4899">PRODUCT( _xlfn._xlws.FILTER($E:$E, ($C:$C=C4899)*($F:$F=F4899)) ) - 1</f>
        <v>1.2277037774720556E-2</v>
      </c>
    </row>
    <row r="4900" spans="1:7" x14ac:dyDescent="0.2">
      <c r="A4900" s="1">
        <v>42557</v>
      </c>
      <c r="B4900">
        <v>0</v>
      </c>
      <c r="C4900" t="s">
        <v>14</v>
      </c>
      <c r="D4900">
        <v>-8.1679999999999999E-3</v>
      </c>
      <c r="E4900">
        <f t="shared" si="152"/>
        <v>0.99183200000000005</v>
      </c>
      <c r="F4900" s="1">
        <f t="shared" si="153"/>
        <v>42555</v>
      </c>
      <c r="G4900" cm="1">
        <f t="array" ref="G4900">PRODUCT( _xlfn._xlws.FILTER($E:$E, ($C:$C=C4900)*($F:$F=F4900)) ) - 1</f>
        <v>1.2277037774720556E-2</v>
      </c>
    </row>
    <row r="4901" spans="1:7" x14ac:dyDescent="0.2">
      <c r="A4901" s="1">
        <v>42558</v>
      </c>
      <c r="B4901">
        <v>0</v>
      </c>
      <c r="C4901" t="s">
        <v>14</v>
      </c>
      <c r="D4901">
        <v>-1.0156E-2</v>
      </c>
      <c r="E4901">
        <f t="shared" si="152"/>
        <v>0.98984399999999995</v>
      </c>
      <c r="F4901" s="1">
        <f t="shared" si="153"/>
        <v>42555</v>
      </c>
      <c r="G4901" cm="1">
        <f t="array" ref="G4901">PRODUCT( _xlfn._xlws.FILTER($E:$E, ($C:$C=C4901)*($F:$F=F4901)) ) - 1</f>
        <v>1.2277037774720556E-2</v>
      </c>
    </row>
    <row r="4902" spans="1:7" x14ac:dyDescent="0.2">
      <c r="A4902" s="1">
        <v>42559</v>
      </c>
      <c r="B4902">
        <v>0</v>
      </c>
      <c r="C4902" t="s">
        <v>14</v>
      </c>
      <c r="D4902">
        <v>6.1009999999999997E-3</v>
      </c>
      <c r="E4902">
        <f t="shared" si="152"/>
        <v>1.0061009999999999</v>
      </c>
      <c r="F4902" s="1">
        <f t="shared" si="153"/>
        <v>42555</v>
      </c>
      <c r="G4902" cm="1">
        <f t="array" ref="G4902">PRODUCT( _xlfn._xlws.FILTER($E:$E, ($C:$C=C4902)*($F:$F=F4902)) ) - 1</f>
        <v>1.2277037774720556E-2</v>
      </c>
    </row>
    <row r="4903" spans="1:7" x14ac:dyDescent="0.2">
      <c r="A4903" s="1">
        <v>42562</v>
      </c>
      <c r="B4903">
        <v>0</v>
      </c>
      <c r="C4903" t="s">
        <v>14</v>
      </c>
      <c r="D4903">
        <v>2.7599999999999999E-4</v>
      </c>
      <c r="E4903">
        <f t="shared" si="152"/>
        <v>1.0002759999999999</v>
      </c>
      <c r="F4903" s="1">
        <f t="shared" si="153"/>
        <v>42562</v>
      </c>
      <c r="G4903" cm="1">
        <f t="array" ref="G4903">PRODUCT( _xlfn._xlws.FILTER($E:$E, ($C:$C=C4903)*($F:$F=F4903)) ) - 1</f>
        <v>-5.5128302689169129E-3</v>
      </c>
    </row>
    <row r="4904" spans="1:7" x14ac:dyDescent="0.2">
      <c r="A4904" s="1">
        <v>42563</v>
      </c>
      <c r="B4904">
        <v>0</v>
      </c>
      <c r="C4904" t="s">
        <v>14</v>
      </c>
      <c r="D4904">
        <v>2.5902000000000001E-2</v>
      </c>
      <c r="E4904">
        <f t="shared" si="152"/>
        <v>1.0259020000000001</v>
      </c>
      <c r="F4904" s="1">
        <f t="shared" si="153"/>
        <v>42562</v>
      </c>
      <c r="G4904" cm="1">
        <f t="array" ref="G4904">PRODUCT( _xlfn._xlws.FILTER($E:$E, ($C:$C=C4904)*($F:$F=F4904)) ) - 1</f>
        <v>-5.5128302689169129E-3</v>
      </c>
    </row>
    <row r="4905" spans="1:7" x14ac:dyDescent="0.2">
      <c r="A4905" s="1">
        <v>42564</v>
      </c>
      <c r="B4905">
        <v>0</v>
      </c>
      <c r="C4905" t="s">
        <v>14</v>
      </c>
      <c r="D4905">
        <v>-1.4773E-2</v>
      </c>
      <c r="E4905">
        <f t="shared" si="152"/>
        <v>0.98522699999999996</v>
      </c>
      <c r="F4905" s="1">
        <f t="shared" si="153"/>
        <v>42562</v>
      </c>
      <c r="G4905" cm="1">
        <f t="array" ref="G4905">PRODUCT( _xlfn._xlws.FILTER($E:$E, ($C:$C=C4905)*($F:$F=F4905)) ) - 1</f>
        <v>-5.5128302689169129E-3</v>
      </c>
    </row>
    <row r="4906" spans="1:7" x14ac:dyDescent="0.2">
      <c r="A4906" s="1">
        <v>42565</v>
      </c>
      <c r="B4906">
        <v>0</v>
      </c>
      <c r="C4906" t="s">
        <v>14</v>
      </c>
      <c r="D4906">
        <v>-2.454E-3</v>
      </c>
      <c r="E4906">
        <f t="shared" si="152"/>
        <v>0.99754600000000004</v>
      </c>
      <c r="F4906" s="1">
        <f t="shared" si="153"/>
        <v>42562</v>
      </c>
      <c r="G4906" cm="1">
        <f t="array" ref="G4906">PRODUCT( _xlfn._xlws.FILTER($E:$E, ($C:$C=C4906)*($F:$F=F4906)) ) - 1</f>
        <v>-5.5128302689169129E-3</v>
      </c>
    </row>
    <row r="4907" spans="1:7" x14ac:dyDescent="0.2">
      <c r="A4907" s="1">
        <v>42566</v>
      </c>
      <c r="B4907">
        <v>0</v>
      </c>
      <c r="C4907" t="s">
        <v>14</v>
      </c>
      <c r="D4907">
        <v>-1.3938000000000001E-2</v>
      </c>
      <c r="E4907">
        <f t="shared" si="152"/>
        <v>0.98606199999999999</v>
      </c>
      <c r="F4907" s="1">
        <f t="shared" si="153"/>
        <v>42562</v>
      </c>
      <c r="G4907" cm="1">
        <f t="array" ref="G4907">PRODUCT( _xlfn._xlws.FILTER($E:$E, ($C:$C=C4907)*($F:$F=F4907)) ) - 1</f>
        <v>-5.5128302689169129E-3</v>
      </c>
    </row>
    <row r="4908" spans="1:7" x14ac:dyDescent="0.2">
      <c r="A4908" s="1">
        <v>42569</v>
      </c>
      <c r="B4908">
        <v>0</v>
      </c>
      <c r="C4908" t="s">
        <v>14</v>
      </c>
      <c r="D4908">
        <v>3.0490000000000001E-3</v>
      </c>
      <c r="E4908">
        <f t="shared" si="152"/>
        <v>1.0030490000000001</v>
      </c>
      <c r="F4908" s="1">
        <f t="shared" si="153"/>
        <v>42569</v>
      </c>
      <c r="G4908" cm="1">
        <f t="array" ref="G4908">PRODUCT( _xlfn._xlws.FILTER($E:$E, ($C:$C=C4908)*($F:$F=F4908)) ) - 1</f>
        <v>-2.2169701275603915E-3</v>
      </c>
    </row>
    <row r="4909" spans="1:7" x14ac:dyDescent="0.2">
      <c r="A4909" s="1">
        <v>42570</v>
      </c>
      <c r="B4909">
        <v>0</v>
      </c>
      <c r="C4909" t="s">
        <v>14</v>
      </c>
      <c r="D4909">
        <v>-1.0776000000000001E-2</v>
      </c>
      <c r="E4909">
        <f t="shared" si="152"/>
        <v>0.98922399999999999</v>
      </c>
      <c r="F4909" s="1">
        <f t="shared" si="153"/>
        <v>42569</v>
      </c>
      <c r="G4909" cm="1">
        <f t="array" ref="G4909">PRODUCT( _xlfn._xlws.FILTER($E:$E, ($C:$C=C4909)*($F:$F=F4909)) ) - 1</f>
        <v>-2.2169701275603915E-3</v>
      </c>
    </row>
    <row r="4910" spans="1:7" x14ac:dyDescent="0.2">
      <c r="A4910" s="1">
        <v>42571</v>
      </c>
      <c r="B4910">
        <v>0</v>
      </c>
      <c r="C4910" t="s">
        <v>14</v>
      </c>
      <c r="D4910">
        <v>6.9829999999999996E-3</v>
      </c>
      <c r="E4910">
        <f t="shared" si="152"/>
        <v>1.006983</v>
      </c>
      <c r="F4910" s="1">
        <f t="shared" si="153"/>
        <v>42569</v>
      </c>
      <c r="G4910" cm="1">
        <f t="array" ref="G4910">PRODUCT( _xlfn._xlws.FILTER($E:$E, ($C:$C=C4910)*($F:$F=F4910)) ) - 1</f>
        <v>-2.2169701275603915E-3</v>
      </c>
    </row>
    <row r="4911" spans="1:7" x14ac:dyDescent="0.2">
      <c r="A4911" s="1">
        <v>42572</v>
      </c>
      <c r="B4911">
        <v>0</v>
      </c>
      <c r="C4911" t="s">
        <v>14</v>
      </c>
      <c r="D4911">
        <v>-1.9419999999999999E-3</v>
      </c>
      <c r="E4911">
        <f t="shared" si="152"/>
        <v>0.998058</v>
      </c>
      <c r="F4911" s="1">
        <f t="shared" si="153"/>
        <v>42569</v>
      </c>
      <c r="G4911" cm="1">
        <f t="array" ref="G4911">PRODUCT( _xlfn._xlws.FILTER($E:$E, ($C:$C=C4911)*($F:$F=F4911)) ) - 1</f>
        <v>-2.2169701275603915E-3</v>
      </c>
    </row>
    <row r="4912" spans="1:7" x14ac:dyDescent="0.2">
      <c r="A4912" s="1">
        <v>42573</v>
      </c>
      <c r="B4912">
        <v>0</v>
      </c>
      <c r="C4912" t="s">
        <v>14</v>
      </c>
      <c r="D4912">
        <v>5.5599999999999996E-4</v>
      </c>
      <c r="E4912">
        <f t="shared" si="152"/>
        <v>1.000556</v>
      </c>
      <c r="F4912" s="1">
        <f t="shared" si="153"/>
        <v>42569</v>
      </c>
      <c r="G4912" cm="1">
        <f t="array" ref="G4912">PRODUCT( _xlfn._xlws.FILTER($E:$E, ($C:$C=C4912)*($F:$F=F4912)) ) - 1</f>
        <v>-2.2169701275603915E-3</v>
      </c>
    </row>
    <row r="4913" spans="1:7" x14ac:dyDescent="0.2">
      <c r="A4913" s="1">
        <v>42576</v>
      </c>
      <c r="B4913">
        <v>0</v>
      </c>
      <c r="C4913" t="s">
        <v>14</v>
      </c>
      <c r="D4913">
        <v>-3.2778000000000002E-2</v>
      </c>
      <c r="E4913">
        <f t="shared" si="152"/>
        <v>0.96722200000000003</v>
      </c>
      <c r="F4913" s="1">
        <f t="shared" si="153"/>
        <v>42576</v>
      </c>
      <c r="G4913" cm="1">
        <f t="array" ref="G4913">PRODUCT( _xlfn._xlws.FILTER($E:$E, ($C:$C=C4913)*($F:$F=F4913)) ) - 1</f>
        <v>-2.3889626678576525E-2</v>
      </c>
    </row>
    <row r="4914" spans="1:7" x14ac:dyDescent="0.2">
      <c r="A4914" s="1">
        <v>42577</v>
      </c>
      <c r="B4914">
        <v>0</v>
      </c>
      <c r="C4914" t="s">
        <v>14</v>
      </c>
      <c r="D4914">
        <v>5.744E-3</v>
      </c>
      <c r="E4914">
        <f t="shared" si="152"/>
        <v>1.005744</v>
      </c>
      <c r="F4914" s="1">
        <f t="shared" si="153"/>
        <v>42576</v>
      </c>
      <c r="G4914" cm="1">
        <f t="array" ref="G4914">PRODUCT( _xlfn._xlws.FILTER($E:$E, ($C:$C=C4914)*($F:$F=F4914)) ) - 1</f>
        <v>-2.3889626678576525E-2</v>
      </c>
    </row>
    <row r="4915" spans="1:7" x14ac:dyDescent="0.2">
      <c r="A4915" s="1">
        <v>42578</v>
      </c>
      <c r="B4915">
        <v>0</v>
      </c>
      <c r="C4915" t="s">
        <v>14</v>
      </c>
      <c r="D4915">
        <v>-1.0279999999999999E-2</v>
      </c>
      <c r="E4915">
        <f t="shared" si="152"/>
        <v>0.98972000000000004</v>
      </c>
      <c r="F4915" s="1">
        <f t="shared" si="153"/>
        <v>42576</v>
      </c>
      <c r="G4915" cm="1">
        <f t="array" ref="G4915">PRODUCT( _xlfn._xlws.FILTER($E:$E, ($C:$C=C4915)*($F:$F=F4915)) ) - 1</f>
        <v>-2.3889626678576525E-2</v>
      </c>
    </row>
    <row r="4916" spans="1:7" x14ac:dyDescent="0.2">
      <c r="A4916" s="1">
        <v>42579</v>
      </c>
      <c r="B4916">
        <v>0</v>
      </c>
      <c r="C4916" t="s">
        <v>14</v>
      </c>
      <c r="D4916">
        <v>1.5291000000000001E-2</v>
      </c>
      <c r="E4916">
        <f t="shared" si="152"/>
        <v>1.0152909999999999</v>
      </c>
      <c r="F4916" s="1">
        <f t="shared" si="153"/>
        <v>42576</v>
      </c>
      <c r="G4916" cm="1">
        <f t="array" ref="G4916">PRODUCT( _xlfn._xlws.FILTER($E:$E, ($C:$C=C4916)*($F:$F=F4916)) ) - 1</f>
        <v>-2.3889626678576525E-2</v>
      </c>
    </row>
    <row r="4917" spans="1:7" x14ac:dyDescent="0.2">
      <c r="A4917" s="1">
        <v>42580</v>
      </c>
      <c r="B4917">
        <v>0</v>
      </c>
      <c r="C4917" t="s">
        <v>14</v>
      </c>
      <c r="D4917">
        <v>-1.421E-3</v>
      </c>
      <c r="E4917">
        <f t="shared" si="152"/>
        <v>0.99857899999999999</v>
      </c>
      <c r="F4917" s="1">
        <f t="shared" si="153"/>
        <v>42576</v>
      </c>
      <c r="G4917" cm="1">
        <f t="array" ref="G4917">PRODUCT( _xlfn._xlws.FILTER($E:$E, ($C:$C=C4917)*($F:$F=F4917)) ) - 1</f>
        <v>-2.3889626678576525E-2</v>
      </c>
    </row>
    <row r="4918" spans="1:7" x14ac:dyDescent="0.2">
      <c r="A4918" s="1">
        <v>42584</v>
      </c>
      <c r="B4918">
        <v>0</v>
      </c>
      <c r="C4918" t="s">
        <v>14</v>
      </c>
      <c r="D4918">
        <v>-3.0734000000000001E-2</v>
      </c>
      <c r="E4918">
        <f t="shared" si="152"/>
        <v>0.96926599999999996</v>
      </c>
      <c r="F4918" s="1">
        <f t="shared" si="153"/>
        <v>42583</v>
      </c>
      <c r="G4918" cm="1">
        <f t="array" ref="G4918">PRODUCT( _xlfn._xlws.FILTER($E:$E, ($C:$C=C4918)*($F:$F=F4918)) ) - 1</f>
        <v>-3.1293098643532247E-3</v>
      </c>
    </row>
    <row r="4919" spans="1:7" x14ac:dyDescent="0.2">
      <c r="A4919" s="1">
        <v>42585</v>
      </c>
      <c r="B4919">
        <v>0</v>
      </c>
      <c r="C4919" t="s">
        <v>14</v>
      </c>
      <c r="D4919">
        <v>1.468E-2</v>
      </c>
      <c r="E4919">
        <f t="shared" si="152"/>
        <v>1.01468</v>
      </c>
      <c r="F4919" s="1">
        <f t="shared" si="153"/>
        <v>42583</v>
      </c>
      <c r="G4919" cm="1">
        <f t="array" ref="G4919">PRODUCT( _xlfn._xlws.FILTER($E:$E, ($C:$C=C4919)*($F:$F=F4919)) ) - 1</f>
        <v>-3.1293098643532247E-3</v>
      </c>
    </row>
    <row r="4920" spans="1:7" x14ac:dyDescent="0.2">
      <c r="A4920" s="1">
        <v>42586</v>
      </c>
      <c r="B4920">
        <v>0</v>
      </c>
      <c r="C4920" t="s">
        <v>14</v>
      </c>
      <c r="D4920">
        <v>4.6299999999999996E-3</v>
      </c>
      <c r="E4920">
        <f t="shared" si="152"/>
        <v>1.0046299999999999</v>
      </c>
      <c r="F4920" s="1">
        <f t="shared" si="153"/>
        <v>42583</v>
      </c>
      <c r="G4920" cm="1">
        <f t="array" ref="G4920">PRODUCT( _xlfn._xlws.FILTER($E:$E, ($C:$C=C4920)*($F:$F=F4920)) ) - 1</f>
        <v>-3.1293098643532247E-3</v>
      </c>
    </row>
    <row r="4921" spans="1:7" x14ac:dyDescent="0.2">
      <c r="A4921" s="1">
        <v>42587</v>
      </c>
      <c r="B4921">
        <v>0</v>
      </c>
      <c r="C4921" t="s">
        <v>14</v>
      </c>
      <c r="D4921">
        <v>8.9289999999999994E-3</v>
      </c>
      <c r="E4921">
        <f t="shared" si="152"/>
        <v>1.008929</v>
      </c>
      <c r="F4921" s="1">
        <f t="shared" si="153"/>
        <v>42583</v>
      </c>
      <c r="G4921" cm="1">
        <f t="array" ref="G4921">PRODUCT( _xlfn._xlws.FILTER($E:$E, ($C:$C=C4921)*($F:$F=F4921)) ) - 1</f>
        <v>-3.1293098643532247E-3</v>
      </c>
    </row>
    <row r="4922" spans="1:7" x14ac:dyDescent="0.2">
      <c r="A4922" s="1">
        <v>42590</v>
      </c>
      <c r="B4922">
        <v>0</v>
      </c>
      <c r="C4922" t="s">
        <v>14</v>
      </c>
      <c r="D4922">
        <v>1.7413999999999999E-2</v>
      </c>
      <c r="E4922">
        <f t="shared" si="152"/>
        <v>1.017414</v>
      </c>
      <c r="F4922" s="1">
        <f t="shared" si="153"/>
        <v>42590</v>
      </c>
      <c r="G4922" cm="1">
        <f t="array" ref="G4922">PRODUCT( _xlfn._xlws.FILTER($E:$E, ($C:$C=C4922)*($F:$F=F4922)) ) - 1</f>
        <v>4.0537813476942075E-2</v>
      </c>
    </row>
    <row r="4923" spans="1:7" x14ac:dyDescent="0.2">
      <c r="A4923" s="1">
        <v>42591</v>
      </c>
      <c r="B4923">
        <v>0</v>
      </c>
      <c r="C4923" t="s">
        <v>14</v>
      </c>
      <c r="D4923">
        <v>7.2950000000000003E-3</v>
      </c>
      <c r="E4923">
        <f t="shared" si="152"/>
        <v>1.0072950000000001</v>
      </c>
      <c r="F4923" s="1">
        <f t="shared" si="153"/>
        <v>42590</v>
      </c>
      <c r="G4923" cm="1">
        <f t="array" ref="G4923">PRODUCT( _xlfn._xlws.FILTER($E:$E, ($C:$C=C4923)*($F:$F=F4923)) ) - 1</f>
        <v>4.0537813476942075E-2</v>
      </c>
    </row>
    <row r="4924" spans="1:7" x14ac:dyDescent="0.2">
      <c r="A4924" s="1">
        <v>42592</v>
      </c>
      <c r="B4924">
        <v>0</v>
      </c>
      <c r="C4924" t="s">
        <v>14</v>
      </c>
      <c r="D4924">
        <v>3.8999999999999998E-3</v>
      </c>
      <c r="E4924">
        <f t="shared" si="152"/>
        <v>1.0039</v>
      </c>
      <c r="F4924" s="1">
        <f t="shared" si="153"/>
        <v>42590</v>
      </c>
      <c r="G4924" cm="1">
        <f t="array" ref="G4924">PRODUCT( _xlfn._xlws.FILTER($E:$E, ($C:$C=C4924)*($F:$F=F4924)) ) - 1</f>
        <v>4.0537813476942075E-2</v>
      </c>
    </row>
    <row r="4925" spans="1:7" x14ac:dyDescent="0.2">
      <c r="A4925" s="1">
        <v>42593</v>
      </c>
      <c r="B4925">
        <v>0</v>
      </c>
      <c r="C4925" t="s">
        <v>14</v>
      </c>
      <c r="D4925">
        <v>7.4920000000000004E-3</v>
      </c>
      <c r="E4925">
        <f t="shared" si="152"/>
        <v>1.0074920000000001</v>
      </c>
      <c r="F4925" s="1">
        <f t="shared" si="153"/>
        <v>42590</v>
      </c>
      <c r="G4925" cm="1">
        <f t="array" ref="G4925">PRODUCT( _xlfn._xlws.FILTER($E:$E, ($C:$C=C4925)*($F:$F=F4925)) ) - 1</f>
        <v>4.0537813476942075E-2</v>
      </c>
    </row>
    <row r="4926" spans="1:7" x14ac:dyDescent="0.2">
      <c r="A4926" s="1">
        <v>42594</v>
      </c>
      <c r="B4926">
        <v>0</v>
      </c>
      <c r="C4926" t="s">
        <v>14</v>
      </c>
      <c r="D4926">
        <v>3.8560000000000001E-3</v>
      </c>
      <c r="E4926">
        <f t="shared" si="152"/>
        <v>1.0038560000000001</v>
      </c>
      <c r="F4926" s="1">
        <f t="shared" si="153"/>
        <v>42590</v>
      </c>
      <c r="G4926" cm="1">
        <f t="array" ref="G4926">PRODUCT( _xlfn._xlws.FILTER($E:$E, ($C:$C=C4926)*($F:$F=F4926)) ) - 1</f>
        <v>4.0537813476942075E-2</v>
      </c>
    </row>
    <row r="4927" spans="1:7" x14ac:dyDescent="0.2">
      <c r="A4927" s="1">
        <v>42597</v>
      </c>
      <c r="B4927">
        <v>0</v>
      </c>
      <c r="C4927" t="s">
        <v>14</v>
      </c>
      <c r="D4927">
        <v>6.3099999999999996E-3</v>
      </c>
      <c r="E4927">
        <f t="shared" si="152"/>
        <v>1.00631</v>
      </c>
      <c r="F4927" s="1">
        <f t="shared" si="153"/>
        <v>42597</v>
      </c>
      <c r="G4927" cm="1">
        <f t="array" ref="G4927">PRODUCT( _xlfn._xlws.FILTER($E:$E, ($C:$C=C4927)*($F:$F=F4927)) ) - 1</f>
        <v>2.7433263210576708E-3</v>
      </c>
    </row>
    <row r="4928" spans="1:7" x14ac:dyDescent="0.2">
      <c r="A4928" s="1">
        <v>42598</v>
      </c>
      <c r="B4928">
        <v>0</v>
      </c>
      <c r="C4928" t="s">
        <v>14</v>
      </c>
      <c r="D4928">
        <v>-2.454E-3</v>
      </c>
      <c r="E4928">
        <f t="shared" si="152"/>
        <v>0.99754600000000004</v>
      </c>
      <c r="F4928" s="1">
        <f t="shared" si="153"/>
        <v>42597</v>
      </c>
      <c r="G4928" cm="1">
        <f t="array" ref="G4928">PRODUCT( _xlfn._xlws.FILTER($E:$E, ($C:$C=C4928)*($F:$F=F4928)) ) - 1</f>
        <v>2.7433263210576708E-3</v>
      </c>
    </row>
    <row r="4929" spans="1:7" x14ac:dyDescent="0.2">
      <c r="A4929" s="1">
        <v>42599</v>
      </c>
      <c r="B4929">
        <v>0</v>
      </c>
      <c r="C4929" t="s">
        <v>14</v>
      </c>
      <c r="D4929">
        <v>-7.1060000000000003E-3</v>
      </c>
      <c r="E4929">
        <f t="shared" si="152"/>
        <v>0.99289400000000005</v>
      </c>
      <c r="F4929" s="1">
        <f t="shared" si="153"/>
        <v>42597</v>
      </c>
      <c r="G4929" cm="1">
        <f t="array" ref="G4929">PRODUCT( _xlfn._xlws.FILTER($E:$E, ($C:$C=C4929)*($F:$F=F4929)) ) - 1</f>
        <v>2.7433263210576708E-3</v>
      </c>
    </row>
    <row r="4930" spans="1:7" x14ac:dyDescent="0.2">
      <c r="A4930" s="1">
        <v>42600</v>
      </c>
      <c r="B4930">
        <v>0</v>
      </c>
      <c r="C4930" t="s">
        <v>14</v>
      </c>
      <c r="D4930">
        <v>8.5330000000000007E-3</v>
      </c>
      <c r="E4930">
        <f t="shared" si="152"/>
        <v>1.0085329999999999</v>
      </c>
      <c r="F4930" s="1">
        <f t="shared" si="153"/>
        <v>42597</v>
      </c>
      <c r="G4930" cm="1">
        <f t="array" ref="G4930">PRODUCT( _xlfn._xlws.FILTER($E:$E, ($C:$C=C4930)*($F:$F=F4930)) ) - 1</f>
        <v>2.7433263210576708E-3</v>
      </c>
    </row>
    <row r="4931" spans="1:7" x14ac:dyDescent="0.2">
      <c r="A4931" s="1">
        <v>42601</v>
      </c>
      <c r="B4931">
        <v>0</v>
      </c>
      <c r="C4931" t="s">
        <v>14</v>
      </c>
      <c r="D4931">
        <v>-2.4559999999999998E-3</v>
      </c>
      <c r="E4931">
        <f t="shared" si="152"/>
        <v>0.99754399999999999</v>
      </c>
      <c r="F4931" s="1">
        <f t="shared" si="153"/>
        <v>42597</v>
      </c>
      <c r="G4931" cm="1">
        <f t="array" ref="G4931">PRODUCT( _xlfn._xlws.FILTER($E:$E, ($C:$C=C4931)*($F:$F=F4931)) ) - 1</f>
        <v>2.7433263210576708E-3</v>
      </c>
    </row>
    <row r="4932" spans="1:7" x14ac:dyDescent="0.2">
      <c r="A4932" s="1">
        <v>42604</v>
      </c>
      <c r="B4932">
        <v>0</v>
      </c>
      <c r="C4932" t="s">
        <v>14</v>
      </c>
      <c r="D4932">
        <v>4.6509999999999998E-3</v>
      </c>
      <c r="E4932">
        <f t="shared" ref="E4932:E4995" si="154">D4932+1</f>
        <v>1.004651</v>
      </c>
      <c r="F4932" s="1">
        <f t="shared" ref="F4932:F4995" si="155">A4932 - (WEEKDAY(A4932, 2) - 1)</f>
        <v>42604</v>
      </c>
      <c r="G4932" cm="1">
        <f t="array" ref="G4932">PRODUCT( _xlfn._xlws.FILTER($E:$E, ($C:$C=C4932)*($F:$F=F4932)) ) - 1</f>
        <v>-1.9161581478924772E-3</v>
      </c>
    </row>
    <row r="4933" spans="1:7" x14ac:dyDescent="0.2">
      <c r="A4933" s="1">
        <v>42605</v>
      </c>
      <c r="B4933">
        <v>0</v>
      </c>
      <c r="C4933" t="s">
        <v>14</v>
      </c>
      <c r="D4933">
        <v>-6.2639999999999996E-3</v>
      </c>
      <c r="E4933">
        <f t="shared" si="154"/>
        <v>0.99373599999999995</v>
      </c>
      <c r="F4933" s="1">
        <f t="shared" si="155"/>
        <v>42604</v>
      </c>
      <c r="G4933" cm="1">
        <f t="array" ref="G4933">PRODUCT( _xlfn._xlws.FILTER($E:$E, ($C:$C=C4933)*($F:$F=F4933)) ) - 1</f>
        <v>-1.9161581478924772E-3</v>
      </c>
    </row>
    <row r="4934" spans="1:7" x14ac:dyDescent="0.2">
      <c r="A4934" s="1">
        <v>42606</v>
      </c>
      <c r="B4934">
        <v>0</v>
      </c>
      <c r="C4934" t="s">
        <v>14</v>
      </c>
      <c r="D4934">
        <v>-4.9329999999999999E-3</v>
      </c>
      <c r="E4934">
        <f t="shared" si="154"/>
        <v>0.99506700000000003</v>
      </c>
      <c r="F4934" s="1">
        <f t="shared" si="155"/>
        <v>42604</v>
      </c>
      <c r="G4934" cm="1">
        <f t="array" ref="G4934">PRODUCT( _xlfn._xlws.FILTER($E:$E, ($C:$C=C4934)*($F:$F=F4934)) ) - 1</f>
        <v>-1.9161581478924772E-3</v>
      </c>
    </row>
    <row r="4935" spans="1:7" x14ac:dyDescent="0.2">
      <c r="A4935" s="1">
        <v>42607</v>
      </c>
      <c r="B4935">
        <v>0</v>
      </c>
      <c r="C4935" t="s">
        <v>14</v>
      </c>
      <c r="D4935">
        <v>-1.1019999999999999E-3</v>
      </c>
      <c r="E4935">
        <f t="shared" si="154"/>
        <v>0.99889799999999995</v>
      </c>
      <c r="F4935" s="1">
        <f t="shared" si="155"/>
        <v>42604</v>
      </c>
      <c r="G4935" cm="1">
        <f t="array" ref="G4935">PRODUCT( _xlfn._xlws.FILTER($E:$E, ($C:$C=C4935)*($F:$F=F4935)) ) - 1</f>
        <v>-1.9161581478924772E-3</v>
      </c>
    </row>
    <row r="4936" spans="1:7" x14ac:dyDescent="0.2">
      <c r="A4936" s="1">
        <v>42608</v>
      </c>
      <c r="B4936">
        <v>0</v>
      </c>
      <c r="C4936" t="s">
        <v>14</v>
      </c>
      <c r="D4936">
        <v>5.79E-3</v>
      </c>
      <c r="E4936">
        <f t="shared" si="154"/>
        <v>1.00579</v>
      </c>
      <c r="F4936" s="1">
        <f t="shared" si="155"/>
        <v>42604</v>
      </c>
      <c r="G4936" cm="1">
        <f t="array" ref="G4936">PRODUCT( _xlfn._xlws.FILTER($E:$E, ($C:$C=C4936)*($F:$F=F4936)) ) - 1</f>
        <v>-1.9161581478924772E-3</v>
      </c>
    </row>
    <row r="4937" spans="1:7" x14ac:dyDescent="0.2">
      <c r="A4937" s="1">
        <v>42611</v>
      </c>
      <c r="B4937">
        <v>0</v>
      </c>
      <c r="C4937" t="s">
        <v>14</v>
      </c>
      <c r="D4937">
        <v>-9.3200000000000002E-3</v>
      </c>
      <c r="E4937">
        <f t="shared" si="154"/>
        <v>0.99068000000000001</v>
      </c>
      <c r="F4937" s="1">
        <f t="shared" si="155"/>
        <v>42611</v>
      </c>
      <c r="G4937" cm="1">
        <f t="array" ref="G4937">PRODUCT( _xlfn._xlws.FILTER($E:$E, ($C:$C=C4937)*($F:$F=F4937)) ) - 1</f>
        <v>-1.5253246123098196E-2</v>
      </c>
    </row>
    <row r="4938" spans="1:7" x14ac:dyDescent="0.2">
      <c r="A4938" s="1">
        <v>42612</v>
      </c>
      <c r="B4938">
        <v>0</v>
      </c>
      <c r="C4938" t="s">
        <v>14</v>
      </c>
      <c r="D4938">
        <v>7.7479999999999997E-3</v>
      </c>
      <c r="E4938">
        <f t="shared" si="154"/>
        <v>1.0077480000000001</v>
      </c>
      <c r="F4938" s="1">
        <f t="shared" si="155"/>
        <v>42611</v>
      </c>
      <c r="G4938" cm="1">
        <f t="array" ref="G4938">PRODUCT( _xlfn._xlws.FILTER($E:$E, ($C:$C=C4938)*($F:$F=F4938)) ) - 1</f>
        <v>-1.5253246123098196E-2</v>
      </c>
    </row>
    <row r="4939" spans="1:7" x14ac:dyDescent="0.2">
      <c r="A4939" s="1">
        <v>42613</v>
      </c>
      <c r="B4939">
        <v>0</v>
      </c>
      <c r="C4939" t="s">
        <v>14</v>
      </c>
      <c r="D4939">
        <v>-2.3612999999999999E-2</v>
      </c>
      <c r="E4939">
        <f t="shared" si="154"/>
        <v>0.976387</v>
      </c>
      <c r="F4939" s="1">
        <f t="shared" si="155"/>
        <v>42611</v>
      </c>
      <c r="G4939" cm="1">
        <f t="array" ref="G4939">PRODUCT( _xlfn._xlws.FILTER($E:$E, ($C:$C=C4939)*($F:$F=F4939)) ) - 1</f>
        <v>-1.5253246123098196E-2</v>
      </c>
    </row>
    <row r="4940" spans="1:7" x14ac:dyDescent="0.2">
      <c r="A4940" s="1">
        <v>42614</v>
      </c>
      <c r="B4940">
        <v>0</v>
      </c>
      <c r="C4940" t="s">
        <v>14</v>
      </c>
      <c r="D4940">
        <v>-1.9689999999999998E-3</v>
      </c>
      <c r="E4940">
        <f t="shared" si="154"/>
        <v>0.998031</v>
      </c>
      <c r="F4940" s="1">
        <f t="shared" si="155"/>
        <v>42611</v>
      </c>
      <c r="G4940" cm="1">
        <f t="array" ref="G4940">PRODUCT( _xlfn._xlws.FILTER($E:$E, ($C:$C=C4940)*($F:$F=F4940)) ) - 1</f>
        <v>-1.5253246123098196E-2</v>
      </c>
    </row>
    <row r="4941" spans="1:7" x14ac:dyDescent="0.2">
      <c r="A4941" s="1">
        <v>42615</v>
      </c>
      <c r="B4941">
        <v>0</v>
      </c>
      <c r="C4941" t="s">
        <v>14</v>
      </c>
      <c r="D4941">
        <v>1.2215999999999999E-2</v>
      </c>
      <c r="E4941">
        <f t="shared" si="154"/>
        <v>1.012216</v>
      </c>
      <c r="F4941" s="1">
        <f t="shared" si="155"/>
        <v>42611</v>
      </c>
      <c r="G4941" cm="1">
        <f t="array" ref="G4941">PRODUCT( _xlfn._xlws.FILTER($E:$E, ($C:$C=C4941)*($F:$F=F4941)) ) - 1</f>
        <v>-1.5253246123098196E-2</v>
      </c>
    </row>
    <row r="4942" spans="1:7" x14ac:dyDescent="0.2">
      <c r="A4942" s="1">
        <v>42619</v>
      </c>
      <c r="B4942">
        <v>0</v>
      </c>
      <c r="C4942" t="s">
        <v>14</v>
      </c>
      <c r="D4942">
        <v>-7.5779999999999997E-3</v>
      </c>
      <c r="E4942">
        <f t="shared" si="154"/>
        <v>0.99242200000000003</v>
      </c>
      <c r="F4942" s="1">
        <f t="shared" si="155"/>
        <v>42618</v>
      </c>
      <c r="G4942" cm="1">
        <f t="array" ref="G4942">PRODUCT( _xlfn._xlws.FILTER($E:$E, ($C:$C=C4942)*($F:$F=F4942)) ) - 1</f>
        <v>-1.6279518444300978E-2</v>
      </c>
    </row>
    <row r="4943" spans="1:7" x14ac:dyDescent="0.2">
      <c r="A4943" s="1">
        <v>42620</v>
      </c>
      <c r="B4943">
        <v>0</v>
      </c>
      <c r="C4943" t="s">
        <v>14</v>
      </c>
      <c r="D4943">
        <v>-1.98E-3</v>
      </c>
      <c r="E4943">
        <f t="shared" si="154"/>
        <v>0.99802000000000002</v>
      </c>
      <c r="F4943" s="1">
        <f t="shared" si="155"/>
        <v>42618</v>
      </c>
      <c r="G4943" cm="1">
        <f t="array" ref="G4943">PRODUCT( _xlfn._xlws.FILTER($E:$E, ($C:$C=C4943)*($F:$F=F4943)) ) - 1</f>
        <v>-1.6279518444300978E-2</v>
      </c>
    </row>
    <row r="4944" spans="1:7" x14ac:dyDescent="0.2">
      <c r="A4944" s="1">
        <v>42621</v>
      </c>
      <c r="B4944">
        <v>0</v>
      </c>
      <c r="C4944" t="s">
        <v>14</v>
      </c>
      <c r="D4944">
        <v>1.3318E-2</v>
      </c>
      <c r="E4944">
        <f t="shared" si="154"/>
        <v>1.0133179999999999</v>
      </c>
      <c r="F4944" s="1">
        <f t="shared" si="155"/>
        <v>42618</v>
      </c>
      <c r="G4944" cm="1">
        <f t="array" ref="G4944">PRODUCT( _xlfn._xlws.FILTER($E:$E, ($C:$C=C4944)*($F:$F=F4944)) ) - 1</f>
        <v>-1.6279518444300978E-2</v>
      </c>
    </row>
    <row r="4945" spans="1:7" x14ac:dyDescent="0.2">
      <c r="A4945" s="1">
        <v>42622</v>
      </c>
      <c r="B4945">
        <v>0</v>
      </c>
      <c r="C4945" t="s">
        <v>14</v>
      </c>
      <c r="D4945">
        <v>-1.9855000000000001E-2</v>
      </c>
      <c r="E4945">
        <f t="shared" si="154"/>
        <v>0.98014500000000004</v>
      </c>
      <c r="F4945" s="1">
        <f t="shared" si="155"/>
        <v>42618</v>
      </c>
      <c r="G4945" cm="1">
        <f t="array" ref="G4945">PRODUCT( _xlfn._xlws.FILTER($E:$E, ($C:$C=C4945)*($F:$F=F4945)) ) - 1</f>
        <v>-1.6279518444300978E-2</v>
      </c>
    </row>
    <row r="4946" spans="1:7" x14ac:dyDescent="0.2">
      <c r="A4946" s="1">
        <v>42625</v>
      </c>
      <c r="B4946">
        <v>0</v>
      </c>
      <c r="C4946" t="s">
        <v>14</v>
      </c>
      <c r="D4946">
        <v>-3.424E-3</v>
      </c>
      <c r="E4946">
        <f t="shared" si="154"/>
        <v>0.99657600000000002</v>
      </c>
      <c r="F4946" s="1">
        <f t="shared" si="155"/>
        <v>42625</v>
      </c>
      <c r="G4946" cm="1">
        <f t="array" ref="G4946">PRODUCT( _xlfn._xlws.FILTER($E:$E, ($C:$C=C4946)*($F:$F=F4946)) ) - 1</f>
        <v>-2.2824993431869167E-2</v>
      </c>
    </row>
    <row r="4947" spans="1:7" x14ac:dyDescent="0.2">
      <c r="A4947" s="1">
        <v>42626</v>
      </c>
      <c r="B4947">
        <v>0</v>
      </c>
      <c r="C4947" t="s">
        <v>14</v>
      </c>
      <c r="D4947">
        <v>-1.8322000000000001E-2</v>
      </c>
      <c r="E4947">
        <f t="shared" si="154"/>
        <v>0.98167800000000005</v>
      </c>
      <c r="F4947" s="1">
        <f t="shared" si="155"/>
        <v>42625</v>
      </c>
      <c r="G4947" cm="1">
        <f t="array" ref="G4947">PRODUCT( _xlfn._xlws.FILTER($E:$E, ($C:$C=C4947)*($F:$F=F4947)) ) - 1</f>
        <v>-2.2824993431869167E-2</v>
      </c>
    </row>
    <row r="4948" spans="1:7" x14ac:dyDescent="0.2">
      <c r="A4948" s="1">
        <v>42627</v>
      </c>
      <c r="B4948">
        <v>0</v>
      </c>
      <c r="C4948" t="s">
        <v>14</v>
      </c>
      <c r="D4948">
        <v>-1.4580000000000001E-3</v>
      </c>
      <c r="E4948">
        <f t="shared" si="154"/>
        <v>0.99854200000000004</v>
      </c>
      <c r="F4948" s="1">
        <f t="shared" si="155"/>
        <v>42625</v>
      </c>
      <c r="G4948" cm="1">
        <f t="array" ref="G4948">PRODUCT( _xlfn._xlws.FILTER($E:$E, ($C:$C=C4948)*($F:$F=F4948)) ) - 1</f>
        <v>-2.2824993431869167E-2</v>
      </c>
    </row>
    <row r="4949" spans="1:7" x14ac:dyDescent="0.2">
      <c r="A4949" s="1">
        <v>42628</v>
      </c>
      <c r="B4949">
        <v>0</v>
      </c>
      <c r="C4949" t="s">
        <v>14</v>
      </c>
      <c r="D4949">
        <v>6.1330000000000004E-3</v>
      </c>
      <c r="E4949">
        <f t="shared" si="154"/>
        <v>1.0061329999999999</v>
      </c>
      <c r="F4949" s="1">
        <f t="shared" si="155"/>
        <v>42625</v>
      </c>
      <c r="G4949" cm="1">
        <f t="array" ref="G4949">PRODUCT( _xlfn._xlws.FILTER($E:$E, ($C:$C=C4949)*($F:$F=F4949)) ) - 1</f>
        <v>-2.2824993431869167E-2</v>
      </c>
    </row>
    <row r="4950" spans="1:7" x14ac:dyDescent="0.2">
      <c r="A4950" s="1">
        <v>42629</v>
      </c>
      <c r="B4950">
        <v>0</v>
      </c>
      <c r="C4950" t="s">
        <v>14</v>
      </c>
      <c r="D4950">
        <v>-5.8060000000000004E-3</v>
      </c>
      <c r="E4950">
        <f t="shared" si="154"/>
        <v>0.99419400000000002</v>
      </c>
      <c r="F4950" s="1">
        <f t="shared" si="155"/>
        <v>42625</v>
      </c>
      <c r="G4950" cm="1">
        <f t="array" ref="G4950">PRODUCT( _xlfn._xlws.FILTER($E:$E, ($C:$C=C4950)*($F:$F=F4950)) ) - 1</f>
        <v>-2.2824993431869167E-2</v>
      </c>
    </row>
    <row r="4951" spans="1:7" x14ac:dyDescent="0.2">
      <c r="A4951" s="1">
        <v>42632</v>
      </c>
      <c r="B4951">
        <v>0</v>
      </c>
      <c r="C4951" t="s">
        <v>14</v>
      </c>
      <c r="D4951">
        <v>7.2989999999999999E-3</v>
      </c>
      <c r="E4951">
        <f t="shared" si="154"/>
        <v>1.0072989999999999</v>
      </c>
      <c r="F4951" s="1">
        <f t="shared" si="155"/>
        <v>42632</v>
      </c>
      <c r="G4951" cm="1">
        <f t="array" ref="G4951">PRODUCT( _xlfn._xlws.FILTER($E:$E, ($C:$C=C4951)*($F:$F=F4951)) ) - 1</f>
        <v>1.7517603321081987E-2</v>
      </c>
    </row>
    <row r="4952" spans="1:7" x14ac:dyDescent="0.2">
      <c r="A4952" s="1">
        <v>42633</v>
      </c>
      <c r="B4952">
        <v>0</v>
      </c>
      <c r="C4952" t="s">
        <v>14</v>
      </c>
      <c r="D4952">
        <v>-1.3044E-2</v>
      </c>
      <c r="E4952">
        <f t="shared" si="154"/>
        <v>0.98695599999999994</v>
      </c>
      <c r="F4952" s="1">
        <f t="shared" si="155"/>
        <v>42632</v>
      </c>
      <c r="G4952" cm="1">
        <f t="array" ref="G4952">PRODUCT( _xlfn._xlws.FILTER($E:$E, ($C:$C=C4952)*($F:$F=F4952)) ) - 1</f>
        <v>1.7517603321081987E-2</v>
      </c>
    </row>
    <row r="4953" spans="1:7" x14ac:dyDescent="0.2">
      <c r="A4953" s="1">
        <v>42634</v>
      </c>
      <c r="B4953">
        <v>0</v>
      </c>
      <c r="C4953" t="s">
        <v>14</v>
      </c>
      <c r="D4953">
        <v>1.0279E-2</v>
      </c>
      <c r="E4953">
        <f t="shared" si="154"/>
        <v>1.0102789999999999</v>
      </c>
      <c r="F4953" s="1">
        <f t="shared" si="155"/>
        <v>42632</v>
      </c>
      <c r="G4953" cm="1">
        <f t="array" ref="G4953">PRODUCT( _xlfn._xlws.FILTER($E:$E, ($C:$C=C4953)*($F:$F=F4953)) ) - 1</f>
        <v>1.7517603321081987E-2</v>
      </c>
    </row>
    <row r="4954" spans="1:7" x14ac:dyDescent="0.2">
      <c r="A4954" s="1">
        <v>42635</v>
      </c>
      <c r="B4954">
        <v>0</v>
      </c>
      <c r="C4954" t="s">
        <v>14</v>
      </c>
      <c r="D4954">
        <v>1.5698E-2</v>
      </c>
      <c r="E4954">
        <f t="shared" si="154"/>
        <v>1.015698</v>
      </c>
      <c r="F4954" s="1">
        <f t="shared" si="155"/>
        <v>42632</v>
      </c>
      <c r="G4954" cm="1">
        <f t="array" ref="G4954">PRODUCT( _xlfn._xlws.FILTER($E:$E, ($C:$C=C4954)*($F:$F=F4954)) ) - 1</f>
        <v>1.7517603321081987E-2</v>
      </c>
    </row>
    <row r="4955" spans="1:7" x14ac:dyDescent="0.2">
      <c r="A4955" s="1">
        <v>42636</v>
      </c>
      <c r="B4955">
        <v>0</v>
      </c>
      <c r="C4955" t="s">
        <v>14</v>
      </c>
      <c r="D4955">
        <v>-2.5760000000000002E-3</v>
      </c>
      <c r="E4955">
        <f t="shared" si="154"/>
        <v>0.99742399999999998</v>
      </c>
      <c r="F4955" s="1">
        <f t="shared" si="155"/>
        <v>42632</v>
      </c>
      <c r="G4955" cm="1">
        <f t="array" ref="G4955">PRODUCT( _xlfn._xlws.FILTER($E:$E, ($C:$C=C4955)*($F:$F=F4955)) ) - 1</f>
        <v>1.7517603321081987E-2</v>
      </c>
    </row>
    <row r="4956" spans="1:7" x14ac:dyDescent="0.2">
      <c r="A4956" s="1">
        <v>42639</v>
      </c>
      <c r="B4956">
        <v>0</v>
      </c>
      <c r="C4956" t="s">
        <v>14</v>
      </c>
      <c r="D4956">
        <v>-4.8780000000000004E-3</v>
      </c>
      <c r="E4956">
        <f t="shared" si="154"/>
        <v>0.99512199999999995</v>
      </c>
      <c r="F4956" s="1">
        <f t="shared" si="155"/>
        <v>42639</v>
      </c>
      <c r="G4956" cm="1">
        <f t="array" ref="G4956">PRODUCT( _xlfn._xlws.FILTER($E:$E, ($C:$C=C4956)*($F:$F=F4956)) ) - 1</f>
        <v>4.5050805624088808E-2</v>
      </c>
    </row>
    <row r="4957" spans="1:7" x14ac:dyDescent="0.2">
      <c r="A4957" s="1">
        <v>42640</v>
      </c>
      <c r="B4957">
        <v>0</v>
      </c>
      <c r="C4957" t="s">
        <v>14</v>
      </c>
      <c r="D4957">
        <v>-1.4418E-2</v>
      </c>
      <c r="E4957">
        <f t="shared" si="154"/>
        <v>0.98558199999999996</v>
      </c>
      <c r="F4957" s="1">
        <f t="shared" si="155"/>
        <v>42639</v>
      </c>
      <c r="G4957" cm="1">
        <f t="array" ref="G4957">PRODUCT( _xlfn._xlws.FILTER($E:$E, ($C:$C=C4957)*($F:$F=F4957)) ) - 1</f>
        <v>4.5050805624088808E-2</v>
      </c>
    </row>
    <row r="4958" spans="1:7" x14ac:dyDescent="0.2">
      <c r="A4958" s="1">
        <v>42641</v>
      </c>
      <c r="B4958">
        <v>0</v>
      </c>
      <c r="C4958" t="s">
        <v>14</v>
      </c>
      <c r="D4958">
        <v>4.0960000000000003E-2</v>
      </c>
      <c r="E4958">
        <f t="shared" si="154"/>
        <v>1.0409600000000001</v>
      </c>
      <c r="F4958" s="1">
        <f t="shared" si="155"/>
        <v>42639</v>
      </c>
      <c r="G4958" cm="1">
        <f t="array" ref="G4958">PRODUCT( _xlfn._xlws.FILTER($E:$E, ($C:$C=C4958)*($F:$F=F4958)) ) - 1</f>
        <v>4.5050805624088808E-2</v>
      </c>
    </row>
    <row r="4959" spans="1:7" x14ac:dyDescent="0.2">
      <c r="A4959" s="1">
        <v>42642</v>
      </c>
      <c r="B4959">
        <v>0</v>
      </c>
      <c r="C4959" t="s">
        <v>14</v>
      </c>
      <c r="D4959">
        <v>2.3328000000000002E-2</v>
      </c>
      <c r="E4959">
        <f t="shared" si="154"/>
        <v>1.023328</v>
      </c>
      <c r="F4959" s="1">
        <f t="shared" si="155"/>
        <v>42639</v>
      </c>
      <c r="G4959" cm="1">
        <f t="array" ref="G4959">PRODUCT( _xlfn._xlws.FILTER($E:$E, ($C:$C=C4959)*($F:$F=F4959)) ) - 1</f>
        <v>4.5050805624088808E-2</v>
      </c>
    </row>
    <row r="4960" spans="1:7" x14ac:dyDescent="0.2">
      <c r="A4960" s="1">
        <v>42643</v>
      </c>
      <c r="B4960">
        <v>0</v>
      </c>
      <c r="C4960" t="s">
        <v>14</v>
      </c>
      <c r="D4960">
        <v>2.7500000000000002E-4</v>
      </c>
      <c r="E4960">
        <f t="shared" si="154"/>
        <v>1.000275</v>
      </c>
      <c r="F4960" s="1">
        <f t="shared" si="155"/>
        <v>42639</v>
      </c>
      <c r="G4960" cm="1">
        <f t="array" ref="G4960">PRODUCT( _xlfn._xlws.FILTER($E:$E, ($C:$C=C4960)*($F:$F=F4960)) ) - 1</f>
        <v>4.5050805624088808E-2</v>
      </c>
    </row>
    <row r="4961" spans="1:7" x14ac:dyDescent="0.2">
      <c r="A4961" s="1">
        <v>42646</v>
      </c>
      <c r="B4961">
        <v>0</v>
      </c>
      <c r="C4961" t="s">
        <v>14</v>
      </c>
      <c r="D4961">
        <v>-4.1190000000000003E-3</v>
      </c>
      <c r="E4961">
        <f t="shared" si="154"/>
        <v>0.99588100000000002</v>
      </c>
      <c r="F4961" s="1">
        <f t="shared" si="155"/>
        <v>42646</v>
      </c>
      <c r="G4961" cm="1">
        <f t="array" ref="G4961">PRODUCT( _xlfn._xlws.FILTER($E:$E, ($C:$C=C4961)*($F:$F=F4961)) ) - 1</f>
        <v>1.2630436334957418E-2</v>
      </c>
    </row>
    <row r="4962" spans="1:7" x14ac:dyDescent="0.2">
      <c r="A4962" s="1">
        <v>42647</v>
      </c>
      <c r="B4962">
        <v>0</v>
      </c>
      <c r="C4962" t="s">
        <v>14</v>
      </c>
      <c r="D4962">
        <v>3.0330000000000001E-3</v>
      </c>
      <c r="E4962">
        <f t="shared" si="154"/>
        <v>1.0030330000000001</v>
      </c>
      <c r="F4962" s="1">
        <f t="shared" si="155"/>
        <v>42646</v>
      </c>
      <c r="G4962" cm="1">
        <f t="array" ref="G4962">PRODUCT( _xlfn._xlws.FILTER($E:$E, ($C:$C=C4962)*($F:$F=F4962)) ) - 1</f>
        <v>1.2630436334957418E-2</v>
      </c>
    </row>
    <row r="4963" spans="1:7" x14ac:dyDescent="0.2">
      <c r="A4963" s="1">
        <v>42648</v>
      </c>
      <c r="B4963">
        <v>0</v>
      </c>
      <c r="C4963" t="s">
        <v>14</v>
      </c>
      <c r="D4963">
        <v>8.5210000000000008E-3</v>
      </c>
      <c r="E4963">
        <f t="shared" si="154"/>
        <v>1.008521</v>
      </c>
      <c r="F4963" s="1">
        <f t="shared" si="155"/>
        <v>42646</v>
      </c>
      <c r="G4963" cm="1">
        <f t="array" ref="G4963">PRODUCT( _xlfn._xlws.FILTER($E:$E, ($C:$C=C4963)*($F:$F=F4963)) ) - 1</f>
        <v>1.2630436334957418E-2</v>
      </c>
    </row>
    <row r="4964" spans="1:7" x14ac:dyDescent="0.2">
      <c r="A4964" s="1">
        <v>42649</v>
      </c>
      <c r="B4964">
        <v>0</v>
      </c>
      <c r="C4964" t="s">
        <v>14</v>
      </c>
      <c r="D4964">
        <v>5.7239999999999999E-3</v>
      </c>
      <c r="E4964">
        <f t="shared" si="154"/>
        <v>1.0057240000000001</v>
      </c>
      <c r="F4964" s="1">
        <f t="shared" si="155"/>
        <v>42646</v>
      </c>
      <c r="G4964" cm="1">
        <f t="array" ref="G4964">PRODUCT( _xlfn._xlws.FILTER($E:$E, ($C:$C=C4964)*($F:$F=F4964)) ) - 1</f>
        <v>1.2630436334957418E-2</v>
      </c>
    </row>
    <row r="4965" spans="1:7" x14ac:dyDescent="0.2">
      <c r="A4965" s="1">
        <v>42650</v>
      </c>
      <c r="B4965">
        <v>0</v>
      </c>
      <c r="C4965" t="s">
        <v>14</v>
      </c>
      <c r="D4965">
        <v>-5.4199999999999995E-4</v>
      </c>
      <c r="E4965">
        <f t="shared" si="154"/>
        <v>0.99945799999999996</v>
      </c>
      <c r="F4965" s="1">
        <f t="shared" si="155"/>
        <v>42646</v>
      </c>
      <c r="G4965" cm="1">
        <f t="array" ref="G4965">PRODUCT( _xlfn._xlws.FILTER($E:$E, ($C:$C=C4965)*($F:$F=F4965)) ) - 1</f>
        <v>1.2630436334957418E-2</v>
      </c>
    </row>
    <row r="4966" spans="1:7" x14ac:dyDescent="0.2">
      <c r="A4966" s="1">
        <v>42654</v>
      </c>
      <c r="B4966">
        <v>0</v>
      </c>
      <c r="C4966" t="s">
        <v>14</v>
      </c>
      <c r="D4966">
        <v>1.41E-2</v>
      </c>
      <c r="E4966">
        <f t="shared" si="154"/>
        <v>1.0141</v>
      </c>
      <c r="F4966" s="1">
        <f t="shared" si="155"/>
        <v>42653</v>
      </c>
      <c r="G4966" cm="1">
        <f t="array" ref="G4966">PRODUCT( _xlfn._xlws.FILTER($E:$E, ($C:$C=C4966)*($F:$F=F4966)) ) - 1</f>
        <v>1.35576793175749E-2</v>
      </c>
    </row>
    <row r="4967" spans="1:7" x14ac:dyDescent="0.2">
      <c r="A4967" s="1">
        <v>42655</v>
      </c>
      <c r="B4967">
        <v>0</v>
      </c>
      <c r="C4967" t="s">
        <v>14</v>
      </c>
      <c r="D4967">
        <v>-5.6150000000000002E-3</v>
      </c>
      <c r="E4967">
        <f t="shared" si="154"/>
        <v>0.99438499999999996</v>
      </c>
      <c r="F4967" s="1">
        <f t="shared" si="155"/>
        <v>42653</v>
      </c>
      <c r="G4967" cm="1">
        <f t="array" ref="G4967">PRODUCT( _xlfn._xlws.FILTER($E:$E, ($C:$C=C4967)*($F:$F=F4967)) ) - 1</f>
        <v>1.35576793175749E-2</v>
      </c>
    </row>
    <row r="4968" spans="1:7" x14ac:dyDescent="0.2">
      <c r="A4968" s="1">
        <v>42656</v>
      </c>
      <c r="B4968">
        <v>0</v>
      </c>
      <c r="C4968" t="s">
        <v>14</v>
      </c>
      <c r="D4968">
        <v>1.0756E-2</v>
      </c>
      <c r="E4968">
        <f t="shared" si="154"/>
        <v>1.010756</v>
      </c>
      <c r="F4968" s="1">
        <f t="shared" si="155"/>
        <v>42653</v>
      </c>
      <c r="G4968" cm="1">
        <f t="array" ref="G4968">PRODUCT( _xlfn._xlws.FILTER($E:$E, ($C:$C=C4968)*($F:$F=F4968)) ) - 1</f>
        <v>1.35576793175749E-2</v>
      </c>
    </row>
    <row r="4969" spans="1:7" x14ac:dyDescent="0.2">
      <c r="A4969" s="1">
        <v>42657</v>
      </c>
      <c r="B4969">
        <v>0</v>
      </c>
      <c r="C4969" t="s">
        <v>14</v>
      </c>
      <c r="D4969">
        <v>-5.587E-3</v>
      </c>
      <c r="E4969">
        <f t="shared" si="154"/>
        <v>0.99441299999999999</v>
      </c>
      <c r="F4969" s="1">
        <f t="shared" si="155"/>
        <v>42653</v>
      </c>
      <c r="G4969" cm="1">
        <f t="array" ref="G4969">PRODUCT( _xlfn._xlws.FILTER($E:$E, ($C:$C=C4969)*($F:$F=F4969)) ) - 1</f>
        <v>1.35576793175749E-2</v>
      </c>
    </row>
    <row r="4970" spans="1:7" x14ac:dyDescent="0.2">
      <c r="A4970" s="1">
        <v>42660</v>
      </c>
      <c r="B4970">
        <v>0</v>
      </c>
      <c r="C4970" t="s">
        <v>14</v>
      </c>
      <c r="D4970">
        <v>5.0829999999999998E-3</v>
      </c>
      <c r="E4970">
        <f t="shared" si="154"/>
        <v>1.0050829999999999</v>
      </c>
      <c r="F4970" s="1">
        <f t="shared" si="155"/>
        <v>42660</v>
      </c>
      <c r="G4970" cm="1">
        <f t="array" ref="G4970">PRODUCT( _xlfn._xlws.FILTER($E:$E, ($C:$C=C4970)*($F:$F=F4970)) ) - 1</f>
        <v>4.8422141680770636E-2</v>
      </c>
    </row>
    <row r="4971" spans="1:7" x14ac:dyDescent="0.2">
      <c r="A4971" s="1">
        <v>42661</v>
      </c>
      <c r="B4971">
        <v>0</v>
      </c>
      <c r="C4971" t="s">
        <v>14</v>
      </c>
      <c r="D4971">
        <v>1.0381E-2</v>
      </c>
      <c r="E4971">
        <f t="shared" si="154"/>
        <v>1.010381</v>
      </c>
      <c r="F4971" s="1">
        <f t="shared" si="155"/>
        <v>42660</v>
      </c>
      <c r="G4971" cm="1">
        <f t="array" ref="G4971">PRODUCT( _xlfn._xlws.FILTER($E:$E, ($C:$C=C4971)*($F:$F=F4971)) ) - 1</f>
        <v>4.8422141680770636E-2</v>
      </c>
    </row>
    <row r="4972" spans="1:7" x14ac:dyDescent="0.2">
      <c r="A4972" s="1">
        <v>42662</v>
      </c>
      <c r="B4972">
        <v>0</v>
      </c>
      <c r="C4972" t="s">
        <v>14</v>
      </c>
      <c r="D4972">
        <v>1.1063999999999999E-2</v>
      </c>
      <c r="E4972">
        <f t="shared" si="154"/>
        <v>1.011064</v>
      </c>
      <c r="F4972" s="1">
        <f t="shared" si="155"/>
        <v>42660</v>
      </c>
      <c r="G4972" cm="1">
        <f t="array" ref="G4972">PRODUCT( _xlfn._xlws.FILTER($E:$E, ($C:$C=C4972)*($F:$F=F4972)) ) - 1</f>
        <v>4.8422141680770636E-2</v>
      </c>
    </row>
    <row r="4973" spans="1:7" x14ac:dyDescent="0.2">
      <c r="A4973" s="1">
        <v>42663</v>
      </c>
      <c r="B4973">
        <v>0</v>
      </c>
      <c r="C4973" t="s">
        <v>14</v>
      </c>
      <c r="D4973">
        <v>1.0161999999999999E-2</v>
      </c>
      <c r="E4973">
        <f t="shared" si="154"/>
        <v>1.010162</v>
      </c>
      <c r="F4973" s="1">
        <f t="shared" si="155"/>
        <v>42660</v>
      </c>
      <c r="G4973" cm="1">
        <f t="array" ref="G4973">PRODUCT( _xlfn._xlws.FILTER($E:$E, ($C:$C=C4973)*($F:$F=F4973)) ) - 1</f>
        <v>4.8422141680770636E-2</v>
      </c>
    </row>
    <row r="4974" spans="1:7" x14ac:dyDescent="0.2">
      <c r="A4974" s="1">
        <v>42664</v>
      </c>
      <c r="B4974">
        <v>0</v>
      </c>
      <c r="C4974" t="s">
        <v>14</v>
      </c>
      <c r="D4974">
        <v>1.0833000000000001E-2</v>
      </c>
      <c r="E4974">
        <f t="shared" si="154"/>
        <v>1.0108330000000001</v>
      </c>
      <c r="F4974" s="1">
        <f t="shared" si="155"/>
        <v>42660</v>
      </c>
      <c r="G4974" cm="1">
        <f t="array" ref="G4974">PRODUCT( _xlfn._xlws.FILTER($E:$E, ($C:$C=C4974)*($F:$F=F4974)) ) - 1</f>
        <v>4.8422141680770636E-2</v>
      </c>
    </row>
    <row r="4975" spans="1:7" x14ac:dyDescent="0.2">
      <c r="A4975" s="1">
        <v>42667</v>
      </c>
      <c r="B4975">
        <v>0</v>
      </c>
      <c r="C4975" t="s">
        <v>14</v>
      </c>
      <c r="D4975">
        <v>3.5720000000000001E-3</v>
      </c>
      <c r="E4975">
        <f t="shared" si="154"/>
        <v>1.0035719999999999</v>
      </c>
      <c r="F4975" s="1">
        <f t="shared" si="155"/>
        <v>42667</v>
      </c>
      <c r="G4975" cm="1">
        <f t="array" ref="G4975">PRODUCT( _xlfn._xlws.FILTER($E:$E, ($C:$C=C4975)*($F:$F=F4975)) ) - 1</f>
        <v>5.3585439186142114E-2</v>
      </c>
    </row>
    <row r="4976" spans="1:7" x14ac:dyDescent="0.2">
      <c r="A4976" s="1">
        <v>42668</v>
      </c>
      <c r="B4976">
        <v>0</v>
      </c>
      <c r="C4976" t="s">
        <v>14</v>
      </c>
      <c r="D4976">
        <v>-8.3909999999999992E-3</v>
      </c>
      <c r="E4976">
        <f t="shared" si="154"/>
        <v>0.99160899999999996</v>
      </c>
      <c r="F4976" s="1">
        <f t="shared" si="155"/>
        <v>42667</v>
      </c>
      <c r="G4976" cm="1">
        <f t="array" ref="G4976">PRODUCT( _xlfn._xlws.FILTER($E:$E, ($C:$C=C4976)*($F:$F=F4976)) ) - 1</f>
        <v>5.3585439186142114E-2</v>
      </c>
    </row>
    <row r="4977" spans="1:7" x14ac:dyDescent="0.2">
      <c r="A4977" s="1">
        <v>42669</v>
      </c>
      <c r="B4977">
        <v>0</v>
      </c>
      <c r="C4977" t="s">
        <v>14</v>
      </c>
      <c r="D4977">
        <v>9.7439999999999992E-3</v>
      </c>
      <c r="E4977">
        <f t="shared" si="154"/>
        <v>1.009744</v>
      </c>
      <c r="F4977" s="1">
        <f t="shared" si="155"/>
        <v>42667</v>
      </c>
      <c r="G4977" cm="1">
        <f t="array" ref="G4977">PRODUCT( _xlfn._xlws.FILTER($E:$E, ($C:$C=C4977)*($F:$F=F4977)) ) - 1</f>
        <v>5.3585439186142114E-2</v>
      </c>
    </row>
    <row r="4978" spans="1:7" x14ac:dyDescent="0.2">
      <c r="A4978" s="1">
        <v>42670</v>
      </c>
      <c r="B4978">
        <v>0</v>
      </c>
      <c r="C4978" t="s">
        <v>14</v>
      </c>
      <c r="D4978">
        <v>5.6627999999999998E-2</v>
      </c>
      <c r="E4978">
        <f t="shared" si="154"/>
        <v>1.0566279999999999</v>
      </c>
      <c r="F4978" s="1">
        <f t="shared" si="155"/>
        <v>42667</v>
      </c>
      <c r="G4978" cm="1">
        <f t="array" ref="G4978">PRODUCT( _xlfn._xlws.FILTER($E:$E, ($C:$C=C4978)*($F:$F=F4978)) ) - 1</f>
        <v>5.3585439186142114E-2</v>
      </c>
    </row>
    <row r="4979" spans="1:7" x14ac:dyDescent="0.2">
      <c r="A4979" s="1">
        <v>42671</v>
      </c>
      <c r="B4979">
        <v>0</v>
      </c>
      <c r="C4979" t="s">
        <v>14</v>
      </c>
      <c r="D4979">
        <v>-7.6899999999999998E-3</v>
      </c>
      <c r="E4979">
        <f t="shared" si="154"/>
        <v>0.99231000000000003</v>
      </c>
      <c r="F4979" s="1">
        <f t="shared" si="155"/>
        <v>42667</v>
      </c>
      <c r="G4979" cm="1">
        <f t="array" ref="G4979">PRODUCT( _xlfn._xlws.FILTER($E:$E, ($C:$C=C4979)*($F:$F=F4979)) ) - 1</f>
        <v>5.3585439186142114E-2</v>
      </c>
    </row>
    <row r="4980" spans="1:7" x14ac:dyDescent="0.2">
      <c r="A4980" s="1">
        <v>42674</v>
      </c>
      <c r="B4980">
        <v>0</v>
      </c>
      <c r="C4980" t="s">
        <v>14</v>
      </c>
      <c r="D4980">
        <v>-2.5187999999999999E-2</v>
      </c>
      <c r="E4980">
        <f t="shared" si="154"/>
        <v>0.97481200000000001</v>
      </c>
      <c r="F4980" s="1">
        <f t="shared" si="155"/>
        <v>42674</v>
      </c>
      <c r="G4980" cm="1">
        <f t="array" ref="G4980">PRODUCT( _xlfn._xlws.FILTER($E:$E, ($C:$C=C4980)*($F:$F=F4980)) ) - 1</f>
        <v>-5.2312922488204627E-2</v>
      </c>
    </row>
    <row r="4981" spans="1:7" x14ac:dyDescent="0.2">
      <c r="A4981" s="1">
        <v>42675</v>
      </c>
      <c r="B4981">
        <v>0</v>
      </c>
      <c r="C4981" t="s">
        <v>14</v>
      </c>
      <c r="D4981">
        <v>-2.4840000000000001E-3</v>
      </c>
      <c r="E4981">
        <f t="shared" si="154"/>
        <v>0.99751599999999996</v>
      </c>
      <c r="F4981" s="1">
        <f t="shared" si="155"/>
        <v>42674</v>
      </c>
      <c r="G4981" cm="1">
        <f t="array" ref="G4981">PRODUCT( _xlfn._xlws.FILTER($E:$E, ($C:$C=C4981)*($F:$F=F4981)) ) - 1</f>
        <v>-5.2312922488204627E-2</v>
      </c>
    </row>
    <row r="4982" spans="1:7" x14ac:dyDescent="0.2">
      <c r="A4982" s="1">
        <v>42676</v>
      </c>
      <c r="B4982">
        <v>0</v>
      </c>
      <c r="C4982" t="s">
        <v>14</v>
      </c>
      <c r="D4982">
        <v>-1.0461E-2</v>
      </c>
      <c r="E4982">
        <f t="shared" si="154"/>
        <v>0.98953899999999995</v>
      </c>
      <c r="F4982" s="1">
        <f t="shared" si="155"/>
        <v>42674</v>
      </c>
      <c r="G4982" cm="1">
        <f t="array" ref="G4982">PRODUCT( _xlfn._xlws.FILTER($E:$E, ($C:$C=C4982)*($F:$F=F4982)) ) - 1</f>
        <v>-5.2312922488204627E-2</v>
      </c>
    </row>
    <row r="4983" spans="1:7" x14ac:dyDescent="0.2">
      <c r="A4983" s="1">
        <v>42677</v>
      </c>
      <c r="B4983">
        <v>0</v>
      </c>
      <c r="C4983" t="s">
        <v>14</v>
      </c>
      <c r="D4983">
        <v>-4.5310000000000003E-3</v>
      </c>
      <c r="E4983">
        <f t="shared" si="154"/>
        <v>0.99546900000000005</v>
      </c>
      <c r="F4983" s="1">
        <f t="shared" si="155"/>
        <v>42674</v>
      </c>
      <c r="G4983" cm="1">
        <f t="array" ref="G4983">PRODUCT( _xlfn._xlws.FILTER($E:$E, ($C:$C=C4983)*($F:$F=F4983)) ) - 1</f>
        <v>-5.2312922488204627E-2</v>
      </c>
    </row>
    <row r="4984" spans="1:7" x14ac:dyDescent="0.2">
      <c r="A4984" s="1">
        <v>42678</v>
      </c>
      <c r="B4984">
        <v>0</v>
      </c>
      <c r="C4984" t="s">
        <v>14</v>
      </c>
      <c r="D4984">
        <v>-1.0619E-2</v>
      </c>
      <c r="E4984">
        <f t="shared" si="154"/>
        <v>0.98938099999999995</v>
      </c>
      <c r="F4984" s="1">
        <f t="shared" si="155"/>
        <v>42674</v>
      </c>
      <c r="G4984" cm="1">
        <f t="array" ref="G4984">PRODUCT( _xlfn._xlws.FILTER($E:$E, ($C:$C=C4984)*($F:$F=F4984)) ) - 1</f>
        <v>-5.2312922488204627E-2</v>
      </c>
    </row>
    <row r="4985" spans="1:7" x14ac:dyDescent="0.2">
      <c r="A4985" s="1">
        <v>42681</v>
      </c>
      <c r="B4985">
        <v>0</v>
      </c>
      <c r="C4985" t="s">
        <v>14</v>
      </c>
      <c r="D4985">
        <v>2.4788999999999999E-2</v>
      </c>
      <c r="E4985">
        <f t="shared" si="154"/>
        <v>1.0247889999999999</v>
      </c>
      <c r="F4985" s="1">
        <f t="shared" si="155"/>
        <v>42681</v>
      </c>
      <c r="G4985" cm="1">
        <f t="array" ref="G4985">PRODUCT( _xlfn._xlws.FILTER($E:$E, ($C:$C=C4985)*($F:$F=F4985)) ) - 1</f>
        <v>1.0221501672086131E-2</v>
      </c>
    </row>
    <row r="4986" spans="1:7" x14ac:dyDescent="0.2">
      <c r="A4986" s="1">
        <v>42682</v>
      </c>
      <c r="B4986">
        <v>0</v>
      </c>
      <c r="C4986" t="s">
        <v>14</v>
      </c>
      <c r="D4986">
        <v>1.2470000000000001E-3</v>
      </c>
      <c r="E4986">
        <f t="shared" si="154"/>
        <v>1.001247</v>
      </c>
      <c r="F4986" s="1">
        <f t="shared" si="155"/>
        <v>42681</v>
      </c>
      <c r="G4986" cm="1">
        <f t="array" ref="G4986">PRODUCT( _xlfn._xlws.FILTER($E:$E, ($C:$C=C4986)*($F:$F=F4986)) ) - 1</f>
        <v>1.0221501672086131E-2</v>
      </c>
    </row>
    <row r="4987" spans="1:7" x14ac:dyDescent="0.2">
      <c r="A4987" s="1">
        <v>42683</v>
      </c>
      <c r="B4987">
        <v>0</v>
      </c>
      <c r="C4987" t="s">
        <v>14</v>
      </c>
      <c r="D4987">
        <v>1.5193E-2</v>
      </c>
      <c r="E4987">
        <f t="shared" si="154"/>
        <v>1.015193</v>
      </c>
      <c r="F4987" s="1">
        <f t="shared" si="155"/>
        <v>42681</v>
      </c>
      <c r="G4987" cm="1">
        <f t="array" ref="G4987">PRODUCT( _xlfn._xlws.FILTER($E:$E, ($C:$C=C4987)*($F:$F=F4987)) ) - 1</f>
        <v>1.0221501672086131E-2</v>
      </c>
    </row>
    <row r="4988" spans="1:7" x14ac:dyDescent="0.2">
      <c r="A4988" s="1">
        <v>42684</v>
      </c>
      <c r="B4988">
        <v>0</v>
      </c>
      <c r="C4988" t="s">
        <v>14</v>
      </c>
      <c r="D4988">
        <v>-1.6438000000000001E-2</v>
      </c>
      <c r="E4988">
        <f t="shared" si="154"/>
        <v>0.98356200000000005</v>
      </c>
      <c r="F4988" s="1">
        <f t="shared" si="155"/>
        <v>42681</v>
      </c>
      <c r="G4988" cm="1">
        <f t="array" ref="G4988">PRODUCT( _xlfn._xlws.FILTER($E:$E, ($C:$C=C4988)*($F:$F=F4988)) ) - 1</f>
        <v>1.0221501672086131E-2</v>
      </c>
    </row>
    <row r="4989" spans="1:7" x14ac:dyDescent="0.2">
      <c r="A4989" s="1">
        <v>42685</v>
      </c>
      <c r="B4989">
        <v>0</v>
      </c>
      <c r="C4989" t="s">
        <v>14</v>
      </c>
      <c r="D4989">
        <v>-1.3969000000000001E-2</v>
      </c>
      <c r="E4989">
        <f t="shared" si="154"/>
        <v>0.98603099999999999</v>
      </c>
      <c r="F4989" s="1">
        <f t="shared" si="155"/>
        <v>42681</v>
      </c>
      <c r="G4989" cm="1">
        <f t="array" ref="G4989">PRODUCT( _xlfn._xlws.FILTER($E:$E, ($C:$C=C4989)*($F:$F=F4989)) ) - 1</f>
        <v>1.0221501672086131E-2</v>
      </c>
    </row>
    <row r="4990" spans="1:7" x14ac:dyDescent="0.2">
      <c r="A4990" s="1">
        <v>42688</v>
      </c>
      <c r="B4990">
        <v>0</v>
      </c>
      <c r="C4990" t="s">
        <v>14</v>
      </c>
      <c r="D4990">
        <v>6.3239999999999998E-3</v>
      </c>
      <c r="E4990">
        <f t="shared" si="154"/>
        <v>1.006324</v>
      </c>
      <c r="F4990" s="1">
        <f t="shared" si="155"/>
        <v>42688</v>
      </c>
      <c r="G4990" cm="1">
        <f t="array" ref="G4990">PRODUCT( _xlfn._xlws.FILTER($E:$E, ($C:$C=C4990)*($F:$F=F4990)) ) - 1</f>
        <v>5.7677116217367042E-2</v>
      </c>
    </row>
    <row r="4991" spans="1:7" x14ac:dyDescent="0.2">
      <c r="A4991" s="1">
        <v>42689</v>
      </c>
      <c r="B4991">
        <v>0</v>
      </c>
      <c r="C4991" t="s">
        <v>14</v>
      </c>
      <c r="D4991">
        <v>3.9216000000000001E-2</v>
      </c>
      <c r="E4991">
        <f t="shared" si="154"/>
        <v>1.0392159999999999</v>
      </c>
      <c r="F4991" s="1">
        <f t="shared" si="155"/>
        <v>42688</v>
      </c>
      <c r="G4991" cm="1">
        <f t="array" ref="G4991">PRODUCT( _xlfn._xlws.FILTER($E:$E, ($C:$C=C4991)*($F:$F=F4991)) ) - 1</f>
        <v>5.7677116217367042E-2</v>
      </c>
    </row>
    <row r="4992" spans="1:7" x14ac:dyDescent="0.2">
      <c r="A4992" s="1">
        <v>42690</v>
      </c>
      <c r="B4992">
        <v>0</v>
      </c>
      <c r="C4992" t="s">
        <v>14</v>
      </c>
      <c r="D4992">
        <v>-7.9830000000000005E-3</v>
      </c>
      <c r="E4992">
        <f t="shared" si="154"/>
        <v>0.99201700000000004</v>
      </c>
      <c r="F4992" s="1">
        <f t="shared" si="155"/>
        <v>42688</v>
      </c>
      <c r="G4992" cm="1">
        <f t="array" ref="G4992">PRODUCT( _xlfn._xlws.FILTER($E:$E, ($C:$C=C4992)*($F:$F=F4992)) ) - 1</f>
        <v>5.7677116217367042E-2</v>
      </c>
    </row>
    <row r="4993" spans="1:7" x14ac:dyDescent="0.2">
      <c r="A4993" s="1">
        <v>42691</v>
      </c>
      <c r="B4993">
        <v>0</v>
      </c>
      <c r="C4993" t="s">
        <v>14</v>
      </c>
      <c r="D4993">
        <v>5.1209999999999997E-3</v>
      </c>
      <c r="E4993">
        <f t="shared" si="154"/>
        <v>1.0051209999999999</v>
      </c>
      <c r="F4993" s="1">
        <f t="shared" si="155"/>
        <v>42688</v>
      </c>
      <c r="G4993" cm="1">
        <f t="array" ref="G4993">PRODUCT( _xlfn._xlws.FILTER($E:$E, ($C:$C=C4993)*($F:$F=F4993)) ) - 1</f>
        <v>5.7677116217367042E-2</v>
      </c>
    </row>
    <row r="4994" spans="1:7" x14ac:dyDescent="0.2">
      <c r="A4994" s="1">
        <v>42692</v>
      </c>
      <c r="B4994">
        <v>0</v>
      </c>
      <c r="C4994" t="s">
        <v>14</v>
      </c>
      <c r="D4994">
        <v>1.4312999999999999E-2</v>
      </c>
      <c r="E4994">
        <f t="shared" si="154"/>
        <v>1.014313</v>
      </c>
      <c r="F4994" s="1">
        <f t="shared" si="155"/>
        <v>42688</v>
      </c>
      <c r="G4994" cm="1">
        <f t="array" ref="G4994">PRODUCT( _xlfn._xlws.FILTER($E:$E, ($C:$C=C4994)*($F:$F=F4994)) ) - 1</f>
        <v>5.7677116217367042E-2</v>
      </c>
    </row>
    <row r="4995" spans="1:7" x14ac:dyDescent="0.2">
      <c r="A4995" s="1">
        <v>42695</v>
      </c>
      <c r="B4995">
        <v>0</v>
      </c>
      <c r="C4995" t="s">
        <v>14</v>
      </c>
      <c r="D4995">
        <v>2.3678999999999999E-2</v>
      </c>
      <c r="E4995">
        <f t="shared" si="154"/>
        <v>1.023679</v>
      </c>
      <c r="F4995" s="1">
        <f t="shared" si="155"/>
        <v>42695</v>
      </c>
      <c r="G4995" cm="1">
        <f t="array" ref="G4995">PRODUCT( _xlfn._xlws.FILTER($E:$E, ($C:$C=C4995)*($F:$F=F4995)) ) - 1</f>
        <v>3.5884296787829228E-3</v>
      </c>
    </row>
    <row r="4996" spans="1:7" x14ac:dyDescent="0.2">
      <c r="A4996" s="1">
        <v>42696</v>
      </c>
      <c r="B4996">
        <v>0</v>
      </c>
      <c r="C4996" t="s">
        <v>14</v>
      </c>
      <c r="D4996">
        <v>-3.9719999999999998E-3</v>
      </c>
      <c r="E4996">
        <f t="shared" ref="E4996:E5059" si="156">D4996+1</f>
        <v>0.99602800000000002</v>
      </c>
      <c r="F4996" s="1">
        <f t="shared" ref="F4996:F5059" si="157">A4996 - (WEEKDAY(A4996, 2) - 1)</f>
        <v>42695</v>
      </c>
      <c r="G4996" cm="1">
        <f t="array" ref="G4996">PRODUCT( _xlfn._xlws.FILTER($E:$E, ($C:$C=C4996)*($F:$F=F4996)) ) - 1</f>
        <v>3.5884296787829228E-3</v>
      </c>
    </row>
    <row r="4997" spans="1:7" x14ac:dyDescent="0.2">
      <c r="A4997" s="1">
        <v>42697</v>
      </c>
      <c r="B4997">
        <v>0</v>
      </c>
      <c r="C4997" t="s">
        <v>14</v>
      </c>
      <c r="D4997">
        <v>-2.111E-3</v>
      </c>
      <c r="E4997">
        <f t="shared" si="156"/>
        <v>0.99788900000000003</v>
      </c>
      <c r="F4997" s="1">
        <f t="shared" si="157"/>
        <v>42695</v>
      </c>
      <c r="G4997" cm="1">
        <f t="array" ref="G4997">PRODUCT( _xlfn._xlws.FILTER($E:$E, ($C:$C=C4997)*($F:$F=F4997)) ) - 1</f>
        <v>3.5884296787829228E-3</v>
      </c>
    </row>
    <row r="4998" spans="1:7" x14ac:dyDescent="0.2">
      <c r="A4998" s="1">
        <v>42698</v>
      </c>
      <c r="B4998">
        <v>0</v>
      </c>
      <c r="C4998" t="s">
        <v>14</v>
      </c>
      <c r="D4998">
        <v>-9.3999999999999997E-4</v>
      </c>
      <c r="E4998">
        <f t="shared" si="156"/>
        <v>0.99905999999999995</v>
      </c>
      <c r="F4998" s="1">
        <f t="shared" si="157"/>
        <v>42695</v>
      </c>
      <c r="G4998" cm="1">
        <f t="array" ref="G4998">PRODUCT( _xlfn._xlws.FILTER($E:$E, ($C:$C=C4998)*($F:$F=F4998)) ) - 1</f>
        <v>3.5884296787829228E-3</v>
      </c>
    </row>
    <row r="4999" spans="1:7" x14ac:dyDescent="0.2">
      <c r="A4999" s="1">
        <v>42699</v>
      </c>
      <c r="B4999">
        <v>0</v>
      </c>
      <c r="C4999" t="s">
        <v>14</v>
      </c>
      <c r="D4999">
        <v>-1.2706E-2</v>
      </c>
      <c r="E4999">
        <f t="shared" si="156"/>
        <v>0.987294</v>
      </c>
      <c r="F4999" s="1">
        <f t="shared" si="157"/>
        <v>42695</v>
      </c>
      <c r="G4999" cm="1">
        <f t="array" ref="G4999">PRODUCT( _xlfn._xlws.FILTER($E:$E, ($C:$C=C4999)*($F:$F=F4999)) ) - 1</f>
        <v>3.5884296787829228E-3</v>
      </c>
    </row>
    <row r="5000" spans="1:7" x14ac:dyDescent="0.2">
      <c r="A5000" s="1">
        <v>42702</v>
      </c>
      <c r="B5000">
        <v>0</v>
      </c>
      <c r="C5000" t="s">
        <v>14</v>
      </c>
      <c r="D5000">
        <v>-1.6683E-2</v>
      </c>
      <c r="E5000">
        <f t="shared" si="156"/>
        <v>0.983317</v>
      </c>
      <c r="F5000" s="1">
        <f t="shared" si="157"/>
        <v>42702</v>
      </c>
      <c r="G5000" cm="1">
        <f t="array" ref="G5000">PRODUCT( _xlfn._xlws.FILTER($E:$E, ($C:$C=C5000)*($F:$F=F5000)) ) - 1</f>
        <v>2.7412635155487308E-2</v>
      </c>
    </row>
    <row r="5001" spans="1:7" x14ac:dyDescent="0.2">
      <c r="A5001" s="1">
        <v>42703</v>
      </c>
      <c r="B5001">
        <v>0</v>
      </c>
      <c r="C5001" t="s">
        <v>14</v>
      </c>
      <c r="D5001">
        <v>-2.2055000000000002E-2</v>
      </c>
      <c r="E5001">
        <f t="shared" si="156"/>
        <v>0.97794499999999995</v>
      </c>
      <c r="F5001" s="1">
        <f t="shared" si="157"/>
        <v>42702</v>
      </c>
      <c r="G5001" cm="1">
        <f t="array" ref="G5001">PRODUCT( _xlfn._xlws.FILTER($E:$E, ($C:$C=C5001)*($F:$F=F5001)) ) - 1</f>
        <v>2.7412635155487308E-2</v>
      </c>
    </row>
    <row r="5002" spans="1:7" x14ac:dyDescent="0.2">
      <c r="A5002" s="1">
        <v>42704</v>
      </c>
      <c r="B5002">
        <v>0</v>
      </c>
      <c r="C5002" t="s">
        <v>14</v>
      </c>
      <c r="D5002">
        <v>6.7409999999999998E-2</v>
      </c>
      <c r="E5002">
        <f t="shared" si="156"/>
        <v>1.06741</v>
      </c>
      <c r="F5002" s="1">
        <f t="shared" si="157"/>
        <v>42702</v>
      </c>
      <c r="G5002" cm="1">
        <f t="array" ref="G5002">PRODUCT( _xlfn._xlws.FILTER($E:$E, ($C:$C=C5002)*($F:$F=F5002)) ) - 1</f>
        <v>2.7412635155487308E-2</v>
      </c>
    </row>
    <row r="5003" spans="1:7" x14ac:dyDescent="0.2">
      <c r="A5003" s="1">
        <v>42705</v>
      </c>
      <c r="B5003">
        <v>0</v>
      </c>
      <c r="C5003" t="s">
        <v>14</v>
      </c>
      <c r="D5003">
        <v>4.4409999999999996E-3</v>
      </c>
      <c r="E5003">
        <f t="shared" si="156"/>
        <v>1.0044409999999999</v>
      </c>
      <c r="F5003" s="1">
        <f t="shared" si="157"/>
        <v>42702</v>
      </c>
      <c r="G5003" cm="1">
        <f t="array" ref="G5003">PRODUCT( _xlfn._xlws.FILTER($E:$E, ($C:$C=C5003)*($F:$F=F5003)) ) - 1</f>
        <v>2.7412635155487308E-2</v>
      </c>
    </row>
    <row r="5004" spans="1:7" x14ac:dyDescent="0.2">
      <c r="A5004" s="1">
        <v>42706</v>
      </c>
      <c r="B5004">
        <v>0</v>
      </c>
      <c r="C5004" t="s">
        <v>14</v>
      </c>
      <c r="D5004">
        <v>-3.4910000000000002E-3</v>
      </c>
      <c r="E5004">
        <f t="shared" si="156"/>
        <v>0.99650899999999998</v>
      </c>
      <c r="F5004" s="1">
        <f t="shared" si="157"/>
        <v>42702</v>
      </c>
      <c r="G5004" cm="1">
        <f t="array" ref="G5004">PRODUCT( _xlfn._xlws.FILTER($E:$E, ($C:$C=C5004)*($F:$F=F5004)) ) - 1</f>
        <v>2.7412635155487308E-2</v>
      </c>
    </row>
    <row r="5005" spans="1:7" x14ac:dyDescent="0.2">
      <c r="A5005" s="1">
        <v>42709</v>
      </c>
      <c r="B5005">
        <v>0</v>
      </c>
      <c r="C5005" t="s">
        <v>14</v>
      </c>
      <c r="D5005">
        <v>6.3049999999999998E-3</v>
      </c>
      <c r="E5005">
        <f t="shared" si="156"/>
        <v>1.006305</v>
      </c>
      <c r="F5005" s="1">
        <f t="shared" si="157"/>
        <v>42709</v>
      </c>
      <c r="G5005" cm="1">
        <f t="array" ref="G5005">PRODUCT( _xlfn._xlws.FILTER($E:$E, ($C:$C=C5005)*($F:$F=F5005)) ) - 1</f>
        <v>3.5020902061630999E-3</v>
      </c>
    </row>
    <row r="5006" spans="1:7" x14ac:dyDescent="0.2">
      <c r="A5006" s="1">
        <v>42710</v>
      </c>
      <c r="B5006">
        <v>0</v>
      </c>
      <c r="C5006" t="s">
        <v>14</v>
      </c>
      <c r="D5006">
        <v>-2.7850000000000001E-3</v>
      </c>
      <c r="E5006">
        <f t="shared" si="156"/>
        <v>0.99721499999999996</v>
      </c>
      <c r="F5006" s="1">
        <f t="shared" si="157"/>
        <v>42709</v>
      </c>
      <c r="G5006" cm="1">
        <f t="array" ref="G5006">PRODUCT( _xlfn._xlws.FILTER($E:$E, ($C:$C=C5006)*($F:$F=F5006)) ) - 1</f>
        <v>3.5020902061630999E-3</v>
      </c>
    </row>
    <row r="5007" spans="1:7" x14ac:dyDescent="0.2">
      <c r="A5007" s="1">
        <v>42711</v>
      </c>
      <c r="B5007">
        <v>0</v>
      </c>
      <c r="C5007" t="s">
        <v>14</v>
      </c>
      <c r="D5007">
        <v>1.3960000000000001E-3</v>
      </c>
      <c r="E5007">
        <f t="shared" si="156"/>
        <v>1.001396</v>
      </c>
      <c r="F5007" s="1">
        <f t="shared" si="157"/>
        <v>42709</v>
      </c>
      <c r="G5007" cm="1">
        <f t="array" ref="G5007">PRODUCT( _xlfn._xlws.FILTER($E:$E, ($C:$C=C5007)*($F:$F=F5007)) ) - 1</f>
        <v>3.5020902061630999E-3</v>
      </c>
    </row>
    <row r="5008" spans="1:7" x14ac:dyDescent="0.2">
      <c r="A5008" s="1">
        <v>42712</v>
      </c>
      <c r="B5008">
        <v>0</v>
      </c>
      <c r="C5008" t="s">
        <v>14</v>
      </c>
      <c r="D5008">
        <v>-4.4159999999999998E-3</v>
      </c>
      <c r="E5008">
        <f t="shared" si="156"/>
        <v>0.99558400000000002</v>
      </c>
      <c r="F5008" s="1">
        <f t="shared" si="157"/>
        <v>42709</v>
      </c>
      <c r="G5008" cm="1">
        <f t="array" ref="G5008">PRODUCT( _xlfn._xlws.FILTER($E:$E, ($C:$C=C5008)*($F:$F=F5008)) ) - 1</f>
        <v>3.5020902061630999E-3</v>
      </c>
    </row>
    <row r="5009" spans="1:7" x14ac:dyDescent="0.2">
      <c r="A5009" s="1">
        <v>42713</v>
      </c>
      <c r="B5009">
        <v>0</v>
      </c>
      <c r="C5009" t="s">
        <v>14</v>
      </c>
      <c r="D5009">
        <v>3.0349999999999999E-3</v>
      </c>
      <c r="E5009">
        <f t="shared" si="156"/>
        <v>1.0030349999999999</v>
      </c>
      <c r="F5009" s="1">
        <f t="shared" si="157"/>
        <v>42709</v>
      </c>
      <c r="G5009" cm="1">
        <f t="array" ref="G5009">PRODUCT( _xlfn._xlws.FILTER($E:$E, ($C:$C=C5009)*($F:$F=F5009)) ) - 1</f>
        <v>3.5020902061630999E-3</v>
      </c>
    </row>
    <row r="5010" spans="1:7" x14ac:dyDescent="0.2">
      <c r="A5010" s="1">
        <v>42716</v>
      </c>
      <c r="B5010">
        <v>0</v>
      </c>
      <c r="C5010" t="s">
        <v>14</v>
      </c>
      <c r="D5010">
        <v>-4.6540000000000002E-3</v>
      </c>
      <c r="E5010">
        <f t="shared" si="156"/>
        <v>0.99534599999999995</v>
      </c>
      <c r="F5010" s="1">
        <f t="shared" si="157"/>
        <v>42716</v>
      </c>
      <c r="G5010" cm="1">
        <f t="array" ref="G5010">PRODUCT( _xlfn._xlws.FILTER($E:$E, ($C:$C=C5010)*($F:$F=F5010)) ) - 1</f>
        <v>1.9082983435677825E-2</v>
      </c>
    </row>
    <row r="5011" spans="1:7" x14ac:dyDescent="0.2">
      <c r="A5011" s="1">
        <v>42717</v>
      </c>
      <c r="B5011">
        <v>0</v>
      </c>
      <c r="C5011" t="s">
        <v>14</v>
      </c>
      <c r="D5011">
        <v>2.2912999999999999E-2</v>
      </c>
      <c r="E5011">
        <f t="shared" si="156"/>
        <v>1.022913</v>
      </c>
      <c r="F5011" s="1">
        <f t="shared" si="157"/>
        <v>42716</v>
      </c>
      <c r="G5011" cm="1">
        <f t="array" ref="G5011">PRODUCT( _xlfn._xlws.FILTER($E:$E, ($C:$C=C5011)*($F:$F=F5011)) ) - 1</f>
        <v>1.9082983435677825E-2</v>
      </c>
    </row>
    <row r="5012" spans="1:7" x14ac:dyDescent="0.2">
      <c r="A5012" s="1">
        <v>42718</v>
      </c>
      <c r="B5012">
        <v>0</v>
      </c>
      <c r="C5012" t="s">
        <v>14</v>
      </c>
      <c r="D5012">
        <v>-1.1886000000000001E-2</v>
      </c>
      <c r="E5012">
        <f t="shared" si="156"/>
        <v>0.98811400000000005</v>
      </c>
      <c r="F5012" s="1">
        <f t="shared" si="157"/>
        <v>42716</v>
      </c>
      <c r="G5012" cm="1">
        <f t="array" ref="G5012">PRODUCT( _xlfn._xlws.FILTER($E:$E, ($C:$C=C5012)*($F:$F=F5012)) ) - 1</f>
        <v>1.9082983435677825E-2</v>
      </c>
    </row>
    <row r="5013" spans="1:7" x14ac:dyDescent="0.2">
      <c r="A5013" s="1">
        <v>42719</v>
      </c>
      <c r="B5013">
        <v>0</v>
      </c>
      <c r="C5013" t="s">
        <v>14</v>
      </c>
      <c r="D5013">
        <v>1.2954E-2</v>
      </c>
      <c r="E5013">
        <f t="shared" si="156"/>
        <v>1.0129539999999999</v>
      </c>
      <c r="F5013" s="1">
        <f t="shared" si="157"/>
        <v>42716</v>
      </c>
      <c r="G5013" cm="1">
        <f t="array" ref="G5013">PRODUCT( _xlfn._xlws.FILTER($E:$E, ($C:$C=C5013)*($F:$F=F5013)) ) - 1</f>
        <v>1.9082983435677825E-2</v>
      </c>
    </row>
    <row r="5014" spans="1:7" x14ac:dyDescent="0.2">
      <c r="A5014" s="1">
        <v>42720</v>
      </c>
      <c r="B5014">
        <v>0</v>
      </c>
      <c r="C5014" t="s">
        <v>14</v>
      </c>
      <c r="D5014">
        <v>0</v>
      </c>
      <c r="E5014">
        <f t="shared" si="156"/>
        <v>1</v>
      </c>
      <c r="F5014" s="1">
        <f t="shared" si="157"/>
        <v>42716</v>
      </c>
      <c r="G5014" cm="1">
        <f t="array" ref="G5014">PRODUCT( _xlfn._xlws.FILTER($E:$E, ($C:$C=C5014)*($F:$F=F5014)) ) - 1</f>
        <v>1.9082983435677825E-2</v>
      </c>
    </row>
    <row r="5015" spans="1:7" x14ac:dyDescent="0.2">
      <c r="A5015" s="1">
        <v>42723</v>
      </c>
      <c r="B5015">
        <v>0</v>
      </c>
      <c r="C5015" t="s">
        <v>14</v>
      </c>
      <c r="D5015">
        <v>6.8499999999999995E-4</v>
      </c>
      <c r="E5015">
        <f t="shared" si="156"/>
        <v>1.000685</v>
      </c>
      <c r="F5015" s="1">
        <f t="shared" si="157"/>
        <v>42723</v>
      </c>
      <c r="G5015" cm="1">
        <f t="array" ref="G5015">PRODUCT( _xlfn._xlws.FILTER($E:$E, ($C:$C=C5015)*($F:$F=F5015)) ) - 1</f>
        <v>1.3016915656821171E-2</v>
      </c>
    </row>
    <row r="5016" spans="1:7" x14ac:dyDescent="0.2">
      <c r="A5016" s="1">
        <v>42724</v>
      </c>
      <c r="B5016">
        <v>0</v>
      </c>
      <c r="C5016" t="s">
        <v>14</v>
      </c>
      <c r="D5016">
        <v>2.967E-3</v>
      </c>
      <c r="E5016">
        <f t="shared" si="156"/>
        <v>1.0029669999999999</v>
      </c>
      <c r="F5016" s="1">
        <f t="shared" si="157"/>
        <v>42723</v>
      </c>
      <c r="G5016" cm="1">
        <f t="array" ref="G5016">PRODUCT( _xlfn._xlws.FILTER($E:$E, ($C:$C=C5016)*($F:$F=F5016)) ) - 1</f>
        <v>1.3016915656821171E-2</v>
      </c>
    </row>
    <row r="5017" spans="1:7" x14ac:dyDescent="0.2">
      <c r="A5017" s="1">
        <v>42725</v>
      </c>
      <c r="B5017">
        <v>0</v>
      </c>
      <c r="C5017" t="s">
        <v>14</v>
      </c>
      <c r="D5017">
        <v>4.55E-4</v>
      </c>
      <c r="E5017">
        <f t="shared" si="156"/>
        <v>1.0004550000000001</v>
      </c>
      <c r="F5017" s="1">
        <f t="shared" si="157"/>
        <v>42723</v>
      </c>
      <c r="G5017" cm="1">
        <f t="array" ref="G5017">PRODUCT( _xlfn._xlws.FILTER($E:$E, ($C:$C=C5017)*($F:$F=F5017)) ) - 1</f>
        <v>1.3016915656821171E-2</v>
      </c>
    </row>
    <row r="5018" spans="1:7" x14ac:dyDescent="0.2">
      <c r="A5018" s="1">
        <v>42726</v>
      </c>
      <c r="B5018">
        <v>0</v>
      </c>
      <c r="C5018" t="s">
        <v>14</v>
      </c>
      <c r="D5018">
        <v>1.0689000000000001E-2</v>
      </c>
      <c r="E5018">
        <f t="shared" si="156"/>
        <v>1.0106889999999999</v>
      </c>
      <c r="F5018" s="1">
        <f t="shared" si="157"/>
        <v>42723</v>
      </c>
      <c r="G5018" cm="1">
        <f t="array" ref="G5018">PRODUCT( _xlfn._xlws.FILTER($E:$E, ($C:$C=C5018)*($F:$F=F5018)) ) - 1</f>
        <v>1.3016915656821171E-2</v>
      </c>
    </row>
    <row r="5019" spans="1:7" x14ac:dyDescent="0.2">
      <c r="A5019" s="1">
        <v>42727</v>
      </c>
      <c r="B5019">
        <v>0</v>
      </c>
      <c r="C5019" t="s">
        <v>14</v>
      </c>
      <c r="D5019">
        <v>-1.8E-3</v>
      </c>
      <c r="E5019">
        <f t="shared" si="156"/>
        <v>0.99819999999999998</v>
      </c>
      <c r="F5019" s="1">
        <f t="shared" si="157"/>
        <v>42723</v>
      </c>
      <c r="G5019" cm="1">
        <f t="array" ref="G5019">PRODUCT( _xlfn._xlws.FILTER($E:$E, ($C:$C=C5019)*($F:$F=F5019)) ) - 1</f>
        <v>1.3016915656821171E-2</v>
      </c>
    </row>
    <row r="5020" spans="1:7" x14ac:dyDescent="0.2">
      <c r="A5020" s="1">
        <v>42732</v>
      </c>
      <c r="B5020">
        <v>0</v>
      </c>
      <c r="C5020" t="s">
        <v>14</v>
      </c>
      <c r="D5020">
        <v>-6.0870000000000004E-3</v>
      </c>
      <c r="E5020">
        <f t="shared" si="156"/>
        <v>0.99391300000000005</v>
      </c>
      <c r="F5020" s="1">
        <f t="shared" si="157"/>
        <v>42730</v>
      </c>
      <c r="G5020" cm="1">
        <f t="array" ref="G5020">PRODUCT( _xlfn._xlws.FILTER($E:$E, ($C:$C=C5020)*($F:$F=F5020)) ) - 1</f>
        <v>-1.0370709386774424E-2</v>
      </c>
    </row>
    <row r="5021" spans="1:7" x14ac:dyDescent="0.2">
      <c r="A5021" s="1">
        <v>42733</v>
      </c>
      <c r="B5021">
        <v>0</v>
      </c>
      <c r="C5021" t="s">
        <v>14</v>
      </c>
      <c r="D5021">
        <v>4.5360000000000001E-3</v>
      </c>
      <c r="E5021">
        <f t="shared" si="156"/>
        <v>1.0045360000000001</v>
      </c>
      <c r="F5021" s="1">
        <f t="shared" si="157"/>
        <v>42730</v>
      </c>
      <c r="G5021" cm="1">
        <f t="array" ref="G5021">PRODUCT( _xlfn._xlws.FILTER($E:$E, ($C:$C=C5021)*($F:$F=F5021)) ) - 1</f>
        <v>-1.0370709386774424E-2</v>
      </c>
    </row>
    <row r="5022" spans="1:7" x14ac:dyDescent="0.2">
      <c r="A5022" s="1">
        <v>42734</v>
      </c>
      <c r="B5022">
        <v>0</v>
      </c>
      <c r="C5022" t="s">
        <v>14</v>
      </c>
      <c r="D5022">
        <v>-8.8059999999999996E-3</v>
      </c>
      <c r="E5022">
        <f t="shared" si="156"/>
        <v>0.99119400000000002</v>
      </c>
      <c r="F5022" s="1">
        <f t="shared" si="157"/>
        <v>42730</v>
      </c>
      <c r="G5022" cm="1">
        <f t="array" ref="G5022">PRODUCT( _xlfn._xlws.FILTER($E:$E, ($C:$C=C5022)*($F:$F=F5022)) ) - 1</f>
        <v>-1.0370709386774424E-2</v>
      </c>
    </row>
    <row r="5023" spans="1:7" x14ac:dyDescent="0.2">
      <c r="A5023" s="1">
        <v>40911</v>
      </c>
      <c r="B5023">
        <v>2</v>
      </c>
      <c r="C5023" t="s">
        <v>15</v>
      </c>
      <c r="D5023">
        <v>-5.8989999999999997E-3</v>
      </c>
      <c r="E5023">
        <f t="shared" si="156"/>
        <v>0.99410100000000001</v>
      </c>
      <c r="F5023" s="1">
        <f t="shared" si="157"/>
        <v>40910</v>
      </c>
      <c r="G5023" cm="1">
        <f t="array" ref="G5023">PRODUCT( _xlfn._xlws.FILTER($E:$E, ($C:$C=C5023)*($F:$F=F5023)) ) - 1</f>
        <v>-8.3282730998285315E-3</v>
      </c>
    </row>
    <row r="5024" spans="1:7" x14ac:dyDescent="0.2">
      <c r="A5024" s="1">
        <v>40912</v>
      </c>
      <c r="B5024">
        <v>2</v>
      </c>
      <c r="C5024" t="s">
        <v>15</v>
      </c>
      <c r="D5024">
        <v>-4.712E-3</v>
      </c>
      <c r="E5024">
        <f t="shared" si="156"/>
        <v>0.99528799999999995</v>
      </c>
      <c r="F5024" s="1">
        <f t="shared" si="157"/>
        <v>40910</v>
      </c>
      <c r="G5024" cm="1">
        <f t="array" ref="G5024">PRODUCT( _xlfn._xlws.FILTER($E:$E, ($C:$C=C5024)*($F:$F=F5024)) ) - 1</f>
        <v>-8.3282730998285315E-3</v>
      </c>
    </row>
    <row r="5025" spans="1:7" x14ac:dyDescent="0.2">
      <c r="A5025" s="1">
        <v>40913</v>
      </c>
      <c r="B5025">
        <v>2</v>
      </c>
      <c r="C5025" t="s">
        <v>15</v>
      </c>
      <c r="D5025">
        <v>1.1748E-2</v>
      </c>
      <c r="E5025">
        <f t="shared" si="156"/>
        <v>1.0117480000000001</v>
      </c>
      <c r="F5025" s="1">
        <f t="shared" si="157"/>
        <v>40910</v>
      </c>
      <c r="G5025" cm="1">
        <f t="array" ref="G5025">PRODUCT( _xlfn._xlws.FILTER($E:$E, ($C:$C=C5025)*($F:$F=F5025)) ) - 1</f>
        <v>-8.3282730998285315E-3</v>
      </c>
    </row>
    <row r="5026" spans="1:7" x14ac:dyDescent="0.2">
      <c r="A5026" s="1">
        <v>40914</v>
      </c>
      <c r="B5026">
        <v>2</v>
      </c>
      <c r="C5026" t="s">
        <v>15</v>
      </c>
      <c r="D5026">
        <v>-9.3589999999999993E-3</v>
      </c>
      <c r="E5026">
        <f t="shared" si="156"/>
        <v>0.99064099999999999</v>
      </c>
      <c r="F5026" s="1">
        <f t="shared" si="157"/>
        <v>40910</v>
      </c>
      <c r="G5026" cm="1">
        <f t="array" ref="G5026">PRODUCT( _xlfn._xlws.FILTER($E:$E, ($C:$C=C5026)*($F:$F=F5026)) ) - 1</f>
        <v>-8.3282730998285315E-3</v>
      </c>
    </row>
    <row r="5027" spans="1:7" x14ac:dyDescent="0.2">
      <c r="A5027" s="1">
        <v>40917</v>
      </c>
      <c r="B5027">
        <v>2</v>
      </c>
      <c r="C5027" t="s">
        <v>15</v>
      </c>
      <c r="D5027">
        <v>-3.849E-3</v>
      </c>
      <c r="E5027">
        <f t="shared" si="156"/>
        <v>0.99615100000000001</v>
      </c>
      <c r="F5027" s="1">
        <f t="shared" si="157"/>
        <v>40917</v>
      </c>
      <c r="G5027" cm="1">
        <f t="array" ref="G5027">PRODUCT( _xlfn._xlws.FILTER($E:$E, ($C:$C=C5027)*($F:$F=F5027)) ) - 1</f>
        <v>-2.3792992158116588E-2</v>
      </c>
    </row>
    <row r="5028" spans="1:7" x14ac:dyDescent="0.2">
      <c r="A5028" s="1">
        <v>40918</v>
      </c>
      <c r="B5028">
        <v>2</v>
      </c>
      <c r="C5028" t="s">
        <v>15</v>
      </c>
      <c r="D5028">
        <v>-9.1319999999999995E-3</v>
      </c>
      <c r="E5028">
        <f t="shared" si="156"/>
        <v>0.99086799999999997</v>
      </c>
      <c r="F5028" s="1">
        <f t="shared" si="157"/>
        <v>40917</v>
      </c>
      <c r="G5028" cm="1">
        <f t="array" ref="G5028">PRODUCT( _xlfn._xlws.FILTER($E:$E, ($C:$C=C5028)*($F:$F=F5028)) ) - 1</f>
        <v>-2.3792992158116588E-2</v>
      </c>
    </row>
    <row r="5029" spans="1:7" x14ac:dyDescent="0.2">
      <c r="A5029" s="1">
        <v>40919</v>
      </c>
      <c r="B5029">
        <v>2</v>
      </c>
      <c r="C5029" t="s">
        <v>15</v>
      </c>
      <c r="D5029">
        <v>-1.418E-3</v>
      </c>
      <c r="E5029">
        <f t="shared" si="156"/>
        <v>0.99858199999999997</v>
      </c>
      <c r="F5029" s="1">
        <f t="shared" si="157"/>
        <v>40917</v>
      </c>
      <c r="G5029" cm="1">
        <f t="array" ref="G5029">PRODUCT( _xlfn._xlws.FILTER($E:$E, ($C:$C=C5029)*($F:$F=F5029)) ) - 1</f>
        <v>-2.3792992158116588E-2</v>
      </c>
    </row>
    <row r="5030" spans="1:7" x14ac:dyDescent="0.2">
      <c r="A5030" s="1">
        <v>40920</v>
      </c>
      <c r="B5030">
        <v>2</v>
      </c>
      <c r="C5030" t="s">
        <v>15</v>
      </c>
      <c r="D5030">
        <v>0</v>
      </c>
      <c r="E5030">
        <f t="shared" si="156"/>
        <v>1</v>
      </c>
      <c r="F5030" s="1">
        <f t="shared" si="157"/>
        <v>40917</v>
      </c>
      <c r="G5030" cm="1">
        <f t="array" ref="G5030">PRODUCT( _xlfn._xlws.FILTER($E:$E, ($C:$C=C5030)*($F:$F=F5030)) ) - 1</f>
        <v>-2.3792992158116588E-2</v>
      </c>
    </row>
    <row r="5031" spans="1:7" x14ac:dyDescent="0.2">
      <c r="A5031" s="1">
        <v>40921</v>
      </c>
      <c r="B5031">
        <v>2</v>
      </c>
      <c r="C5031" t="s">
        <v>15</v>
      </c>
      <c r="D5031">
        <v>-9.5849999999999998E-3</v>
      </c>
      <c r="E5031">
        <f t="shared" si="156"/>
        <v>0.99041500000000005</v>
      </c>
      <c r="F5031" s="1">
        <f t="shared" si="157"/>
        <v>40917</v>
      </c>
      <c r="G5031" cm="1">
        <f t="array" ref="G5031">PRODUCT( _xlfn._xlws.FILTER($E:$E, ($C:$C=C5031)*($F:$F=F5031)) ) - 1</f>
        <v>-2.3792992158116588E-2</v>
      </c>
    </row>
    <row r="5032" spans="1:7" x14ac:dyDescent="0.2">
      <c r="A5032" s="1">
        <v>40924</v>
      </c>
      <c r="B5032">
        <v>2</v>
      </c>
      <c r="C5032" t="s">
        <v>15</v>
      </c>
      <c r="D5032">
        <v>1.075E-3</v>
      </c>
      <c r="E5032">
        <f t="shared" si="156"/>
        <v>1.0010749999999999</v>
      </c>
      <c r="F5032" s="1">
        <f t="shared" si="157"/>
        <v>40924</v>
      </c>
      <c r="G5032" cm="1">
        <f t="array" ref="G5032">PRODUCT( _xlfn._xlws.FILTER($E:$E, ($C:$C=C5032)*($F:$F=F5032)) ) - 1</f>
        <v>3.4047737086744245E-3</v>
      </c>
    </row>
    <row r="5033" spans="1:7" x14ac:dyDescent="0.2">
      <c r="A5033" s="1">
        <v>40925</v>
      </c>
      <c r="B5033">
        <v>2</v>
      </c>
      <c r="C5033" t="s">
        <v>15</v>
      </c>
      <c r="D5033">
        <v>6.803E-3</v>
      </c>
      <c r="E5033">
        <f t="shared" si="156"/>
        <v>1.0068029999999999</v>
      </c>
      <c r="F5033" s="1">
        <f t="shared" si="157"/>
        <v>40924</v>
      </c>
      <c r="G5033" cm="1">
        <f t="array" ref="G5033">PRODUCT( _xlfn._xlws.FILTER($E:$E, ($C:$C=C5033)*($F:$F=F5033)) ) - 1</f>
        <v>3.4047737086744245E-3</v>
      </c>
    </row>
    <row r="5034" spans="1:7" x14ac:dyDescent="0.2">
      <c r="A5034" s="1">
        <v>40926</v>
      </c>
      <c r="B5034">
        <v>2</v>
      </c>
      <c r="C5034" t="s">
        <v>15</v>
      </c>
      <c r="D5034">
        <v>-2.3119999999999998E-3</v>
      </c>
      <c r="E5034">
        <f t="shared" si="156"/>
        <v>0.99768800000000002</v>
      </c>
      <c r="F5034" s="1">
        <f t="shared" si="157"/>
        <v>40924</v>
      </c>
      <c r="G5034" cm="1">
        <f t="array" ref="G5034">PRODUCT( _xlfn._xlws.FILTER($E:$E, ($C:$C=C5034)*($F:$F=F5034)) ) - 1</f>
        <v>3.4047737086744245E-3</v>
      </c>
    </row>
    <row r="5035" spans="1:7" x14ac:dyDescent="0.2">
      <c r="A5035" s="1">
        <v>40927</v>
      </c>
      <c r="B5035">
        <v>2</v>
      </c>
      <c r="C5035" t="s">
        <v>15</v>
      </c>
      <c r="D5035">
        <v>5.3499999999999999E-4</v>
      </c>
      <c r="E5035">
        <f t="shared" si="156"/>
        <v>1.000535</v>
      </c>
      <c r="F5035" s="1">
        <f t="shared" si="157"/>
        <v>40924</v>
      </c>
      <c r="G5035" cm="1">
        <f t="array" ref="G5035">PRODUCT( _xlfn._xlws.FILTER($E:$E, ($C:$C=C5035)*($F:$F=F5035)) ) - 1</f>
        <v>3.4047737086744245E-3</v>
      </c>
    </row>
    <row r="5036" spans="1:7" x14ac:dyDescent="0.2">
      <c r="A5036" s="1">
        <v>40928</v>
      </c>
      <c r="B5036">
        <v>2</v>
      </c>
      <c r="C5036" t="s">
        <v>15</v>
      </c>
      <c r="D5036">
        <v>-2.6719999999999999E-3</v>
      </c>
      <c r="E5036">
        <f t="shared" si="156"/>
        <v>0.99732799999999999</v>
      </c>
      <c r="F5036" s="1">
        <f t="shared" si="157"/>
        <v>40924</v>
      </c>
      <c r="G5036" cm="1">
        <f t="array" ref="G5036">PRODUCT( _xlfn._xlws.FILTER($E:$E, ($C:$C=C5036)*($F:$F=F5036)) ) - 1</f>
        <v>3.4047737086744245E-3</v>
      </c>
    </row>
    <row r="5037" spans="1:7" x14ac:dyDescent="0.2">
      <c r="A5037" s="1">
        <v>40931</v>
      </c>
      <c r="B5037">
        <v>2</v>
      </c>
      <c r="C5037" t="s">
        <v>15</v>
      </c>
      <c r="D5037">
        <v>7.5009999999999999E-3</v>
      </c>
      <c r="E5037">
        <f t="shared" si="156"/>
        <v>1.007501</v>
      </c>
      <c r="F5037" s="1">
        <f t="shared" si="157"/>
        <v>40931</v>
      </c>
      <c r="G5037" cm="1">
        <f t="array" ref="G5037">PRODUCT( _xlfn._xlws.FILTER($E:$E, ($C:$C=C5037)*($F:$F=F5037)) ) - 1</f>
        <v>2.4998357738414967E-3</v>
      </c>
    </row>
    <row r="5038" spans="1:7" x14ac:dyDescent="0.2">
      <c r="A5038" s="1">
        <v>40932</v>
      </c>
      <c r="B5038">
        <v>2</v>
      </c>
      <c r="C5038" t="s">
        <v>15</v>
      </c>
      <c r="D5038">
        <v>-6.5589999999999997E-3</v>
      </c>
      <c r="E5038">
        <f t="shared" si="156"/>
        <v>0.99344100000000002</v>
      </c>
      <c r="F5038" s="1">
        <f t="shared" si="157"/>
        <v>40931</v>
      </c>
      <c r="G5038" cm="1">
        <f t="array" ref="G5038">PRODUCT( _xlfn._xlws.FILTER($E:$E, ($C:$C=C5038)*($F:$F=F5038)) ) - 1</f>
        <v>2.4998357738414967E-3</v>
      </c>
    </row>
    <row r="5039" spans="1:7" x14ac:dyDescent="0.2">
      <c r="A5039" s="1">
        <v>40933</v>
      </c>
      <c r="B5039">
        <v>2</v>
      </c>
      <c r="C5039" t="s">
        <v>15</v>
      </c>
      <c r="D5039">
        <v>3.9259999999999998E-3</v>
      </c>
      <c r="E5039">
        <f t="shared" si="156"/>
        <v>1.0039260000000001</v>
      </c>
      <c r="F5039" s="1">
        <f t="shared" si="157"/>
        <v>40931</v>
      </c>
      <c r="G5039" cm="1">
        <f t="array" ref="G5039">PRODUCT( _xlfn._xlws.FILTER($E:$E, ($C:$C=C5039)*($F:$F=F5039)) ) - 1</f>
        <v>2.4998357738414967E-3</v>
      </c>
    </row>
    <row r="5040" spans="1:7" x14ac:dyDescent="0.2">
      <c r="A5040" s="1">
        <v>40934</v>
      </c>
      <c r="B5040">
        <v>2</v>
      </c>
      <c r="C5040" t="s">
        <v>15</v>
      </c>
      <c r="D5040">
        <v>1.9550000000000001E-3</v>
      </c>
      <c r="E5040">
        <f t="shared" si="156"/>
        <v>1.0019549999999999</v>
      </c>
      <c r="F5040" s="1">
        <f t="shared" si="157"/>
        <v>40931</v>
      </c>
      <c r="G5040" cm="1">
        <f t="array" ref="G5040">PRODUCT( _xlfn._xlws.FILTER($E:$E, ($C:$C=C5040)*($F:$F=F5040)) ) - 1</f>
        <v>2.4998357738414967E-3</v>
      </c>
    </row>
    <row r="5041" spans="1:7" x14ac:dyDescent="0.2">
      <c r="A5041" s="1">
        <v>40935</v>
      </c>
      <c r="B5041">
        <v>2</v>
      </c>
      <c r="C5041" t="s">
        <v>15</v>
      </c>
      <c r="D5041">
        <v>-4.2579999999999996E-3</v>
      </c>
      <c r="E5041">
        <f t="shared" si="156"/>
        <v>0.99574200000000002</v>
      </c>
      <c r="F5041" s="1">
        <f t="shared" si="157"/>
        <v>40931</v>
      </c>
      <c r="G5041" cm="1">
        <f t="array" ref="G5041">PRODUCT( _xlfn._xlws.FILTER($E:$E, ($C:$C=C5041)*($F:$F=F5041)) ) - 1</f>
        <v>2.4998357738414967E-3</v>
      </c>
    </row>
    <row r="5042" spans="1:7" x14ac:dyDescent="0.2">
      <c r="A5042" s="1">
        <v>40938</v>
      </c>
      <c r="B5042">
        <v>2</v>
      </c>
      <c r="C5042" t="s">
        <v>15</v>
      </c>
      <c r="D5042">
        <v>6.4140000000000004E-3</v>
      </c>
      <c r="E5042">
        <f t="shared" si="156"/>
        <v>1.0064139999999999</v>
      </c>
      <c r="F5042" s="1">
        <f t="shared" si="157"/>
        <v>40938</v>
      </c>
      <c r="G5042" cm="1">
        <f t="array" ref="G5042">PRODUCT( _xlfn._xlws.FILTER($E:$E, ($C:$C=C5042)*($F:$F=F5042)) ) - 1</f>
        <v>1.1580460026291206E-2</v>
      </c>
    </row>
    <row r="5043" spans="1:7" x14ac:dyDescent="0.2">
      <c r="A5043" s="1">
        <v>40939</v>
      </c>
      <c r="B5043">
        <v>2</v>
      </c>
      <c r="C5043" t="s">
        <v>15</v>
      </c>
      <c r="D5043">
        <v>5.31E-4</v>
      </c>
      <c r="E5043">
        <f t="shared" si="156"/>
        <v>1.0005310000000001</v>
      </c>
      <c r="F5043" s="1">
        <f t="shared" si="157"/>
        <v>40938</v>
      </c>
      <c r="G5043" cm="1">
        <f t="array" ref="G5043">PRODUCT( _xlfn._xlws.FILTER($E:$E, ($C:$C=C5043)*($F:$F=F5043)) ) - 1</f>
        <v>1.1580460026291206E-2</v>
      </c>
    </row>
    <row r="5044" spans="1:7" x14ac:dyDescent="0.2">
      <c r="A5044" s="1">
        <v>40940</v>
      </c>
      <c r="B5044">
        <v>2</v>
      </c>
      <c r="C5044" t="s">
        <v>15</v>
      </c>
      <c r="D5044">
        <v>1.0793000000000001E-2</v>
      </c>
      <c r="E5044">
        <f t="shared" si="156"/>
        <v>1.0107930000000001</v>
      </c>
      <c r="F5044" s="1">
        <f t="shared" si="157"/>
        <v>40938</v>
      </c>
      <c r="G5044" cm="1">
        <f t="array" ref="G5044">PRODUCT( _xlfn._xlws.FILTER($E:$E, ($C:$C=C5044)*($F:$F=F5044)) ) - 1</f>
        <v>1.1580460026291206E-2</v>
      </c>
    </row>
    <row r="5045" spans="1:7" x14ac:dyDescent="0.2">
      <c r="A5045" s="1">
        <v>40941</v>
      </c>
      <c r="B5045">
        <v>2</v>
      </c>
      <c r="C5045" t="s">
        <v>15</v>
      </c>
      <c r="D5045">
        <v>-2.6259999999999999E-3</v>
      </c>
      <c r="E5045">
        <f t="shared" si="156"/>
        <v>0.99737399999999998</v>
      </c>
      <c r="F5045" s="1">
        <f t="shared" si="157"/>
        <v>40938</v>
      </c>
      <c r="G5045" cm="1">
        <f t="array" ref="G5045">PRODUCT( _xlfn._xlws.FILTER($E:$E, ($C:$C=C5045)*($F:$F=F5045)) ) - 1</f>
        <v>1.1580460026291206E-2</v>
      </c>
    </row>
    <row r="5046" spans="1:7" x14ac:dyDescent="0.2">
      <c r="A5046" s="1">
        <v>40942</v>
      </c>
      <c r="B5046">
        <v>2</v>
      </c>
      <c r="C5046" t="s">
        <v>15</v>
      </c>
      <c r="D5046">
        <v>-3.5100000000000001E-3</v>
      </c>
      <c r="E5046">
        <f t="shared" si="156"/>
        <v>0.99648999999999999</v>
      </c>
      <c r="F5046" s="1">
        <f t="shared" si="157"/>
        <v>40938</v>
      </c>
      <c r="G5046" cm="1">
        <f t="array" ref="G5046">PRODUCT( _xlfn._xlws.FILTER($E:$E, ($C:$C=C5046)*($F:$F=F5046)) ) - 1</f>
        <v>1.1580460026291206E-2</v>
      </c>
    </row>
    <row r="5047" spans="1:7" x14ac:dyDescent="0.2">
      <c r="A5047" s="1">
        <v>40945</v>
      </c>
      <c r="B5047">
        <v>2</v>
      </c>
      <c r="C5047" t="s">
        <v>15</v>
      </c>
      <c r="D5047">
        <v>8.8099999999999995E-4</v>
      </c>
      <c r="E5047">
        <f t="shared" si="156"/>
        <v>1.0008809999999999</v>
      </c>
      <c r="F5047" s="1">
        <f t="shared" si="157"/>
        <v>40945</v>
      </c>
      <c r="G5047" cm="1">
        <f t="array" ref="G5047">PRODUCT( _xlfn._xlws.FILTER($E:$E, ($C:$C=C5047)*($F:$F=F5047)) ) - 1</f>
        <v>-8.4528948189347419E-3</v>
      </c>
    </row>
    <row r="5048" spans="1:7" x14ac:dyDescent="0.2">
      <c r="A5048" s="1">
        <v>40946</v>
      </c>
      <c r="B5048">
        <v>2</v>
      </c>
      <c r="C5048" t="s">
        <v>15</v>
      </c>
      <c r="D5048">
        <v>-4.3990000000000001E-3</v>
      </c>
      <c r="E5048">
        <f t="shared" si="156"/>
        <v>0.99560099999999996</v>
      </c>
      <c r="F5048" s="1">
        <f t="shared" si="157"/>
        <v>40945</v>
      </c>
      <c r="G5048" cm="1">
        <f t="array" ref="G5048">PRODUCT( _xlfn._xlws.FILTER($E:$E, ($C:$C=C5048)*($F:$F=F5048)) ) - 1</f>
        <v>-8.4528948189347419E-3</v>
      </c>
    </row>
    <row r="5049" spans="1:7" x14ac:dyDescent="0.2">
      <c r="A5049" s="1">
        <v>40947</v>
      </c>
      <c r="B5049">
        <v>2</v>
      </c>
      <c r="C5049" t="s">
        <v>15</v>
      </c>
      <c r="D5049">
        <v>7.6E-3</v>
      </c>
      <c r="E5049">
        <f t="shared" si="156"/>
        <v>1.0076000000000001</v>
      </c>
      <c r="F5049" s="1">
        <f t="shared" si="157"/>
        <v>40945</v>
      </c>
      <c r="G5049" cm="1">
        <f t="array" ref="G5049">PRODUCT( _xlfn._xlws.FILTER($E:$E, ($C:$C=C5049)*($F:$F=F5049)) ) - 1</f>
        <v>-8.4528948189347419E-3</v>
      </c>
    </row>
    <row r="5050" spans="1:7" x14ac:dyDescent="0.2">
      <c r="A5050" s="1">
        <v>40948</v>
      </c>
      <c r="B5050">
        <v>2</v>
      </c>
      <c r="C5050" t="s">
        <v>15</v>
      </c>
      <c r="D5050">
        <v>3.5079999999999998E-3</v>
      </c>
      <c r="E5050">
        <f t="shared" si="156"/>
        <v>1.0035080000000001</v>
      </c>
      <c r="F5050" s="1">
        <f t="shared" si="157"/>
        <v>40945</v>
      </c>
      <c r="G5050" cm="1">
        <f t="array" ref="G5050">PRODUCT( _xlfn._xlws.FILTER($E:$E, ($C:$C=C5050)*($F:$F=F5050)) ) - 1</f>
        <v>-8.4528948189347419E-3</v>
      </c>
    </row>
    <row r="5051" spans="1:7" x14ac:dyDescent="0.2">
      <c r="A5051" s="1">
        <v>40949</v>
      </c>
      <c r="B5051">
        <v>2</v>
      </c>
      <c r="C5051" t="s">
        <v>15</v>
      </c>
      <c r="D5051">
        <v>-1.5906E-2</v>
      </c>
      <c r="E5051">
        <f t="shared" si="156"/>
        <v>0.98409400000000002</v>
      </c>
      <c r="F5051" s="1">
        <f t="shared" si="157"/>
        <v>40945</v>
      </c>
      <c r="G5051" cm="1">
        <f t="array" ref="G5051">PRODUCT( _xlfn._xlws.FILTER($E:$E, ($C:$C=C5051)*($F:$F=F5051)) ) - 1</f>
        <v>-8.4528948189347419E-3</v>
      </c>
    </row>
    <row r="5052" spans="1:7" x14ac:dyDescent="0.2">
      <c r="A5052" s="1">
        <v>40952</v>
      </c>
      <c r="B5052">
        <v>2</v>
      </c>
      <c r="C5052" t="s">
        <v>15</v>
      </c>
      <c r="D5052">
        <v>1.7799999999999999E-4</v>
      </c>
      <c r="E5052">
        <f t="shared" si="156"/>
        <v>1.000178</v>
      </c>
      <c r="F5052" s="1">
        <f t="shared" si="157"/>
        <v>40952</v>
      </c>
      <c r="G5052" cm="1">
        <f t="array" ref="G5052">PRODUCT( _xlfn._xlws.FILTER($E:$E, ($C:$C=C5052)*($F:$F=F5052)) ) - 1</f>
        <v>-4.9722198426094266E-3</v>
      </c>
    </row>
    <row r="5053" spans="1:7" x14ac:dyDescent="0.2">
      <c r="A5053" s="1">
        <v>40953</v>
      </c>
      <c r="B5053">
        <v>2</v>
      </c>
      <c r="C5053" t="s">
        <v>15</v>
      </c>
      <c r="D5053">
        <v>7.1000000000000002E-4</v>
      </c>
      <c r="E5053">
        <f t="shared" si="156"/>
        <v>1.00071</v>
      </c>
      <c r="F5053" s="1">
        <f t="shared" si="157"/>
        <v>40952</v>
      </c>
      <c r="G5053" cm="1">
        <f t="array" ref="G5053">PRODUCT( _xlfn._xlws.FILTER($E:$E, ($C:$C=C5053)*($F:$F=F5053)) ) - 1</f>
        <v>-4.9722198426094266E-3</v>
      </c>
    </row>
    <row r="5054" spans="1:7" x14ac:dyDescent="0.2">
      <c r="A5054" s="1">
        <v>40954</v>
      </c>
      <c r="B5054">
        <v>2</v>
      </c>
      <c r="C5054" t="s">
        <v>15</v>
      </c>
      <c r="D5054">
        <v>1.7799999999999999E-4</v>
      </c>
      <c r="E5054">
        <f t="shared" si="156"/>
        <v>1.000178</v>
      </c>
      <c r="F5054" s="1">
        <f t="shared" si="157"/>
        <v>40952</v>
      </c>
      <c r="G5054" cm="1">
        <f t="array" ref="G5054">PRODUCT( _xlfn._xlws.FILTER($E:$E, ($C:$C=C5054)*($F:$F=F5054)) ) - 1</f>
        <v>-4.9722198426094266E-3</v>
      </c>
    </row>
    <row r="5055" spans="1:7" x14ac:dyDescent="0.2">
      <c r="A5055" s="1">
        <v>40955</v>
      </c>
      <c r="B5055">
        <v>2</v>
      </c>
      <c r="C5055" t="s">
        <v>15</v>
      </c>
      <c r="D5055">
        <v>-5.3200000000000003E-4</v>
      </c>
      <c r="E5055">
        <f t="shared" si="156"/>
        <v>0.99946800000000002</v>
      </c>
      <c r="F5055" s="1">
        <f t="shared" si="157"/>
        <v>40952</v>
      </c>
      <c r="G5055" cm="1">
        <f t="array" ref="G5055">PRODUCT( _xlfn._xlws.FILTER($E:$E, ($C:$C=C5055)*($F:$F=F5055)) ) - 1</f>
        <v>-4.9722198426094266E-3</v>
      </c>
    </row>
    <row r="5056" spans="1:7" x14ac:dyDescent="0.2">
      <c r="A5056" s="1">
        <v>40956</v>
      </c>
      <c r="B5056">
        <v>2</v>
      </c>
      <c r="C5056" t="s">
        <v>15</v>
      </c>
      <c r="D5056">
        <v>-5.5030000000000001E-3</v>
      </c>
      <c r="E5056">
        <f t="shared" si="156"/>
        <v>0.99449699999999996</v>
      </c>
      <c r="F5056" s="1">
        <f t="shared" si="157"/>
        <v>40952</v>
      </c>
      <c r="G5056" cm="1">
        <f t="array" ref="G5056">PRODUCT( _xlfn._xlws.FILTER($E:$E, ($C:$C=C5056)*($F:$F=F5056)) ) - 1</f>
        <v>-4.9722198426094266E-3</v>
      </c>
    </row>
    <row r="5057" spans="1:7" x14ac:dyDescent="0.2">
      <c r="A5057" s="1">
        <v>40960</v>
      </c>
      <c r="B5057">
        <v>2</v>
      </c>
      <c r="C5057" t="s">
        <v>15</v>
      </c>
      <c r="D5057">
        <v>-2.1419999999999998E-3</v>
      </c>
      <c r="E5057">
        <f t="shared" si="156"/>
        <v>0.99785800000000002</v>
      </c>
      <c r="F5057" s="1">
        <f t="shared" si="157"/>
        <v>40959</v>
      </c>
      <c r="G5057" cm="1">
        <f t="array" ref="G5057">PRODUCT( _xlfn._xlws.FILTER($E:$E, ($C:$C=C5057)*($F:$F=F5057)) ) - 1</f>
        <v>2.1421164802535753E-2</v>
      </c>
    </row>
    <row r="5058" spans="1:7" x14ac:dyDescent="0.2">
      <c r="A5058" s="1">
        <v>40961</v>
      </c>
      <c r="B5058">
        <v>2</v>
      </c>
      <c r="C5058" t="s">
        <v>15</v>
      </c>
      <c r="D5058">
        <v>2.4150000000000001E-2</v>
      </c>
      <c r="E5058">
        <f t="shared" si="156"/>
        <v>1.0241499999999999</v>
      </c>
      <c r="F5058" s="1">
        <f t="shared" si="157"/>
        <v>40959</v>
      </c>
      <c r="G5058" cm="1">
        <f t="array" ref="G5058">PRODUCT( _xlfn._xlws.FILTER($E:$E, ($C:$C=C5058)*($F:$F=F5058)) ) - 1</f>
        <v>2.1421164802535753E-2</v>
      </c>
    </row>
    <row r="5059" spans="1:7" x14ac:dyDescent="0.2">
      <c r="A5059" s="1">
        <v>40962</v>
      </c>
      <c r="B5059">
        <v>2</v>
      </c>
      <c r="C5059" t="s">
        <v>15</v>
      </c>
      <c r="D5059">
        <v>-1.1004E-2</v>
      </c>
      <c r="E5059">
        <f t="shared" si="156"/>
        <v>0.98899599999999999</v>
      </c>
      <c r="F5059" s="1">
        <f t="shared" si="157"/>
        <v>40959</v>
      </c>
      <c r="G5059" cm="1">
        <f t="array" ref="G5059">PRODUCT( _xlfn._xlws.FILTER($E:$E, ($C:$C=C5059)*($F:$F=F5059)) ) - 1</f>
        <v>2.1421164802535753E-2</v>
      </c>
    </row>
    <row r="5060" spans="1:7" x14ac:dyDescent="0.2">
      <c r="A5060" s="1">
        <v>40963</v>
      </c>
      <c r="B5060">
        <v>2</v>
      </c>
      <c r="C5060" t="s">
        <v>15</v>
      </c>
      <c r="D5060">
        <v>1.0597000000000001E-2</v>
      </c>
      <c r="E5060">
        <f t="shared" ref="E5060:E5123" si="158">D5060+1</f>
        <v>1.010597</v>
      </c>
      <c r="F5060" s="1">
        <f t="shared" ref="F5060:F5123" si="159">A5060 - (WEEKDAY(A5060, 2) - 1)</f>
        <v>40959</v>
      </c>
      <c r="G5060" cm="1">
        <f t="array" ref="G5060">PRODUCT( _xlfn._xlws.FILTER($E:$E, ($C:$C=C5060)*($F:$F=F5060)) ) - 1</f>
        <v>2.1421164802535753E-2</v>
      </c>
    </row>
    <row r="5061" spans="1:7" x14ac:dyDescent="0.2">
      <c r="A5061" s="1">
        <v>40966</v>
      </c>
      <c r="B5061">
        <v>2</v>
      </c>
      <c r="C5061" t="s">
        <v>15</v>
      </c>
      <c r="D5061">
        <v>4.3689999999999996E-3</v>
      </c>
      <c r="E5061">
        <f t="shared" si="158"/>
        <v>1.0043690000000001</v>
      </c>
      <c r="F5061" s="1">
        <f t="shared" si="159"/>
        <v>40966</v>
      </c>
      <c r="G5061" cm="1">
        <f t="array" ref="G5061">PRODUCT( _xlfn._xlws.FILTER($E:$E, ($C:$C=C5061)*($F:$F=F5061)) ) - 1</f>
        <v>1.3972342593981946E-3</v>
      </c>
    </row>
    <row r="5062" spans="1:7" x14ac:dyDescent="0.2">
      <c r="A5062" s="1">
        <v>40967</v>
      </c>
      <c r="B5062">
        <v>2</v>
      </c>
      <c r="C5062" t="s">
        <v>15</v>
      </c>
      <c r="D5062">
        <v>-1.9139999999999999E-3</v>
      </c>
      <c r="E5062">
        <f t="shared" si="158"/>
        <v>0.99808600000000003</v>
      </c>
      <c r="F5062" s="1">
        <f t="shared" si="159"/>
        <v>40966</v>
      </c>
      <c r="G5062" cm="1">
        <f t="array" ref="G5062">PRODUCT( _xlfn._xlws.FILTER($E:$E, ($C:$C=C5062)*($F:$F=F5062)) ) - 1</f>
        <v>1.3972342593981946E-3</v>
      </c>
    </row>
    <row r="5063" spans="1:7" x14ac:dyDescent="0.2">
      <c r="A5063" s="1">
        <v>40968</v>
      </c>
      <c r="B5063">
        <v>2</v>
      </c>
      <c r="C5063" t="s">
        <v>15</v>
      </c>
      <c r="D5063">
        <v>3.8349999999999999E-3</v>
      </c>
      <c r="E5063">
        <f t="shared" si="158"/>
        <v>1.003835</v>
      </c>
      <c r="F5063" s="1">
        <f t="shared" si="159"/>
        <v>40966</v>
      </c>
      <c r="G5063" cm="1">
        <f t="array" ref="G5063">PRODUCT( _xlfn._xlws.FILTER($E:$E, ($C:$C=C5063)*($F:$F=F5063)) ) - 1</f>
        <v>1.3972342593981946E-3</v>
      </c>
    </row>
    <row r="5064" spans="1:7" x14ac:dyDescent="0.2">
      <c r="A5064" s="1">
        <v>40969</v>
      </c>
      <c r="B5064">
        <v>2</v>
      </c>
      <c r="C5064" t="s">
        <v>15</v>
      </c>
      <c r="D5064">
        <v>-2.7789999999999998E-3</v>
      </c>
      <c r="E5064">
        <f t="shared" si="158"/>
        <v>0.99722100000000002</v>
      </c>
      <c r="F5064" s="1">
        <f t="shared" si="159"/>
        <v>40966</v>
      </c>
      <c r="G5064" cm="1">
        <f t="array" ref="G5064">PRODUCT( _xlfn._xlws.FILTER($E:$E, ($C:$C=C5064)*($F:$F=F5064)) ) - 1</f>
        <v>1.3972342593981946E-3</v>
      </c>
    </row>
    <row r="5065" spans="1:7" x14ac:dyDescent="0.2">
      <c r="A5065" s="1">
        <v>40970</v>
      </c>
      <c r="B5065">
        <v>2</v>
      </c>
      <c r="C5065" t="s">
        <v>15</v>
      </c>
      <c r="D5065">
        <v>-2.0899999999999998E-3</v>
      </c>
      <c r="E5065">
        <f t="shared" si="158"/>
        <v>0.99790999999999996</v>
      </c>
      <c r="F5065" s="1">
        <f t="shared" si="159"/>
        <v>40966</v>
      </c>
      <c r="G5065" cm="1">
        <f t="array" ref="G5065">PRODUCT( _xlfn._xlws.FILTER($E:$E, ($C:$C=C5065)*($F:$F=F5065)) ) - 1</f>
        <v>1.3972342593981946E-3</v>
      </c>
    </row>
    <row r="5066" spans="1:7" x14ac:dyDescent="0.2">
      <c r="A5066" s="1">
        <v>40973</v>
      </c>
      <c r="B5066">
        <v>2</v>
      </c>
      <c r="C5066" t="s">
        <v>15</v>
      </c>
      <c r="D5066">
        <v>4.189E-3</v>
      </c>
      <c r="E5066">
        <f t="shared" si="158"/>
        <v>1.004189</v>
      </c>
      <c r="F5066" s="1">
        <f t="shared" si="159"/>
        <v>40973</v>
      </c>
      <c r="G5066" cm="1">
        <f t="array" ref="G5066">PRODUCT( _xlfn._xlws.FILTER($E:$E, ($C:$C=C5066)*($F:$F=F5066)) ) - 1</f>
        <v>6.5080262157291013E-3</v>
      </c>
    </row>
    <row r="5067" spans="1:7" x14ac:dyDescent="0.2">
      <c r="A5067" s="1">
        <v>40974</v>
      </c>
      <c r="B5067">
        <v>2</v>
      </c>
      <c r="C5067" t="s">
        <v>15</v>
      </c>
      <c r="D5067">
        <v>-3.3019999999999998E-3</v>
      </c>
      <c r="E5067">
        <f t="shared" si="158"/>
        <v>0.99669799999999997</v>
      </c>
      <c r="F5067" s="1">
        <f t="shared" si="159"/>
        <v>40973</v>
      </c>
      <c r="G5067" cm="1">
        <f t="array" ref="G5067">PRODUCT( _xlfn._xlws.FILTER($E:$E, ($C:$C=C5067)*($F:$F=F5067)) ) - 1</f>
        <v>6.5080262157291013E-3</v>
      </c>
    </row>
    <row r="5068" spans="1:7" x14ac:dyDescent="0.2">
      <c r="A5068" s="1">
        <v>40975</v>
      </c>
      <c r="B5068">
        <v>2</v>
      </c>
      <c r="C5068" t="s">
        <v>15</v>
      </c>
      <c r="D5068">
        <v>6.9800000000000005E-4</v>
      </c>
      <c r="E5068">
        <f t="shared" si="158"/>
        <v>1.0006980000000001</v>
      </c>
      <c r="F5068" s="1">
        <f t="shared" si="159"/>
        <v>40973</v>
      </c>
      <c r="G5068" cm="1">
        <f t="array" ref="G5068">PRODUCT( _xlfn._xlws.FILTER($E:$E, ($C:$C=C5068)*($F:$F=F5068)) ) - 1</f>
        <v>6.5080262157291013E-3</v>
      </c>
    </row>
    <row r="5069" spans="1:7" x14ac:dyDescent="0.2">
      <c r="A5069" s="1">
        <v>40976</v>
      </c>
      <c r="B5069">
        <v>2</v>
      </c>
      <c r="C5069" t="s">
        <v>15</v>
      </c>
      <c r="D5069">
        <v>-4.0489999999999996E-3</v>
      </c>
      <c r="E5069">
        <f t="shared" si="158"/>
        <v>0.99595100000000003</v>
      </c>
      <c r="F5069" s="1">
        <f t="shared" si="159"/>
        <v>40973</v>
      </c>
      <c r="G5069" cm="1">
        <f t="array" ref="G5069">PRODUCT( _xlfn._xlws.FILTER($E:$E, ($C:$C=C5069)*($F:$F=F5069)) ) - 1</f>
        <v>6.5080262157291013E-3</v>
      </c>
    </row>
    <row r="5070" spans="1:7" x14ac:dyDescent="0.2">
      <c r="A5070" s="1">
        <v>40977</v>
      </c>
      <c r="B5070">
        <v>2</v>
      </c>
      <c r="C5070" t="s">
        <v>15</v>
      </c>
      <c r="D5070">
        <v>9.0139999999999994E-3</v>
      </c>
      <c r="E5070">
        <f t="shared" si="158"/>
        <v>1.0090140000000001</v>
      </c>
      <c r="F5070" s="1">
        <f t="shared" si="159"/>
        <v>40973</v>
      </c>
      <c r="G5070" cm="1">
        <f t="array" ref="G5070">PRODUCT( _xlfn._xlws.FILTER($E:$E, ($C:$C=C5070)*($F:$F=F5070)) ) - 1</f>
        <v>6.5080262157291013E-3</v>
      </c>
    </row>
    <row r="5071" spans="1:7" x14ac:dyDescent="0.2">
      <c r="A5071" s="1">
        <v>40980</v>
      </c>
      <c r="B5071">
        <v>2</v>
      </c>
      <c r="C5071" t="s">
        <v>15</v>
      </c>
      <c r="D5071">
        <v>1.0510000000000001E-3</v>
      </c>
      <c r="E5071">
        <f t="shared" si="158"/>
        <v>1.0010509999999999</v>
      </c>
      <c r="F5071" s="1">
        <f t="shared" si="159"/>
        <v>40980</v>
      </c>
      <c r="G5071" cm="1">
        <f t="array" ref="G5071">PRODUCT( _xlfn._xlws.FILTER($E:$E, ($C:$C=C5071)*($F:$F=F5071)) ) - 1</f>
        <v>1.9267749465836648E-3</v>
      </c>
    </row>
    <row r="5072" spans="1:7" x14ac:dyDescent="0.2">
      <c r="A5072" s="1">
        <v>40981</v>
      </c>
      <c r="B5072">
        <v>2</v>
      </c>
      <c r="C5072" t="s">
        <v>15</v>
      </c>
      <c r="D5072">
        <v>1.5048000000000001E-2</v>
      </c>
      <c r="E5072">
        <f t="shared" si="158"/>
        <v>1.015048</v>
      </c>
      <c r="F5072" s="1">
        <f t="shared" si="159"/>
        <v>40980</v>
      </c>
      <c r="G5072" cm="1">
        <f t="array" ref="G5072">PRODUCT( _xlfn._xlws.FILTER($E:$E, ($C:$C=C5072)*($F:$F=F5072)) ) - 1</f>
        <v>1.9267749465836648E-3</v>
      </c>
    </row>
    <row r="5073" spans="1:7" x14ac:dyDescent="0.2">
      <c r="A5073" s="1">
        <v>40982</v>
      </c>
      <c r="B5073">
        <v>2</v>
      </c>
      <c r="C5073" t="s">
        <v>15</v>
      </c>
      <c r="D5073">
        <v>-1.4135E-2</v>
      </c>
      <c r="E5073">
        <f t="shared" si="158"/>
        <v>0.98586499999999999</v>
      </c>
      <c r="F5073" s="1">
        <f t="shared" si="159"/>
        <v>40980</v>
      </c>
      <c r="G5073" cm="1">
        <f t="array" ref="G5073">PRODUCT( _xlfn._xlws.FILTER($E:$E, ($C:$C=C5073)*($F:$F=F5073)) ) - 1</f>
        <v>1.9267749465836648E-3</v>
      </c>
    </row>
    <row r="5074" spans="1:7" x14ac:dyDescent="0.2">
      <c r="A5074" s="1">
        <v>40983</v>
      </c>
      <c r="B5074">
        <v>2</v>
      </c>
      <c r="C5074" t="s">
        <v>15</v>
      </c>
      <c r="D5074">
        <v>8.2179999999999996E-3</v>
      </c>
      <c r="E5074">
        <f t="shared" si="158"/>
        <v>1.0082180000000001</v>
      </c>
      <c r="F5074" s="1">
        <f t="shared" si="159"/>
        <v>40980</v>
      </c>
      <c r="G5074" cm="1">
        <f t="array" ref="G5074">PRODUCT( _xlfn._xlws.FILTER($E:$E, ($C:$C=C5074)*($F:$F=F5074)) ) - 1</f>
        <v>1.9267749465836648E-3</v>
      </c>
    </row>
    <row r="5075" spans="1:7" x14ac:dyDescent="0.2">
      <c r="A5075" s="1">
        <v>40984</v>
      </c>
      <c r="B5075">
        <v>2</v>
      </c>
      <c r="C5075" t="s">
        <v>15</v>
      </c>
      <c r="D5075">
        <v>-7.9780000000000007E-3</v>
      </c>
      <c r="E5075">
        <f t="shared" si="158"/>
        <v>0.99202199999999996</v>
      </c>
      <c r="F5075" s="1">
        <f t="shared" si="159"/>
        <v>40980</v>
      </c>
      <c r="G5075" cm="1">
        <f t="array" ref="G5075">PRODUCT( _xlfn._xlws.FILTER($E:$E, ($C:$C=C5075)*($F:$F=F5075)) ) - 1</f>
        <v>1.9267749465836648E-3</v>
      </c>
    </row>
    <row r="5076" spans="1:7" x14ac:dyDescent="0.2">
      <c r="A5076" s="1">
        <v>40987</v>
      </c>
      <c r="B5076">
        <v>2</v>
      </c>
      <c r="C5076" t="s">
        <v>15</v>
      </c>
      <c r="D5076">
        <v>-4.1960000000000001E-3</v>
      </c>
      <c r="E5076">
        <f t="shared" si="158"/>
        <v>0.99580400000000002</v>
      </c>
      <c r="F5076" s="1">
        <f t="shared" si="159"/>
        <v>40987</v>
      </c>
      <c r="G5076" cm="1">
        <f t="array" ref="G5076">PRODUCT( _xlfn._xlws.FILTER($E:$E, ($C:$C=C5076)*($F:$F=F5076)) ) - 1</f>
        <v>4.8956974536198405E-3</v>
      </c>
    </row>
    <row r="5077" spans="1:7" x14ac:dyDescent="0.2">
      <c r="A5077" s="1">
        <v>40988</v>
      </c>
      <c r="B5077">
        <v>2</v>
      </c>
      <c r="C5077" t="s">
        <v>15</v>
      </c>
      <c r="D5077">
        <v>7.7250000000000001E-3</v>
      </c>
      <c r="E5077">
        <f t="shared" si="158"/>
        <v>1.007725</v>
      </c>
      <c r="F5077" s="1">
        <f t="shared" si="159"/>
        <v>40987</v>
      </c>
      <c r="G5077" cm="1">
        <f t="array" ref="G5077">PRODUCT( _xlfn._xlws.FILTER($E:$E, ($C:$C=C5077)*($F:$F=F5077)) ) - 1</f>
        <v>4.8956974536198405E-3</v>
      </c>
    </row>
    <row r="5078" spans="1:7" x14ac:dyDescent="0.2">
      <c r="A5078" s="1">
        <v>40989</v>
      </c>
      <c r="B5078">
        <v>2</v>
      </c>
      <c r="C5078" t="s">
        <v>15</v>
      </c>
      <c r="D5078">
        <v>-3.31E-3</v>
      </c>
      <c r="E5078">
        <f t="shared" si="158"/>
        <v>0.99668999999999996</v>
      </c>
      <c r="F5078" s="1">
        <f t="shared" si="159"/>
        <v>40987</v>
      </c>
      <c r="G5078" cm="1">
        <f t="array" ref="G5078">PRODUCT( _xlfn._xlws.FILTER($E:$E, ($C:$C=C5078)*($F:$F=F5078)) ) - 1</f>
        <v>4.8956974536198405E-3</v>
      </c>
    </row>
    <row r="5079" spans="1:7" x14ac:dyDescent="0.2">
      <c r="A5079" s="1">
        <v>40990</v>
      </c>
      <c r="B5079">
        <v>2</v>
      </c>
      <c r="C5079" t="s">
        <v>15</v>
      </c>
      <c r="D5079">
        <v>9.7890000000000008E-3</v>
      </c>
      <c r="E5079">
        <f t="shared" si="158"/>
        <v>1.009789</v>
      </c>
      <c r="F5079" s="1">
        <f t="shared" si="159"/>
        <v>40987</v>
      </c>
      <c r="G5079" cm="1">
        <f t="array" ref="G5079">PRODUCT( _xlfn._xlws.FILTER($E:$E, ($C:$C=C5079)*($F:$F=F5079)) ) - 1</f>
        <v>4.8956974536198405E-3</v>
      </c>
    </row>
    <row r="5080" spans="1:7" x14ac:dyDescent="0.2">
      <c r="A5080" s="1">
        <v>40991</v>
      </c>
      <c r="B5080">
        <v>2</v>
      </c>
      <c r="C5080" t="s">
        <v>15</v>
      </c>
      <c r="D5080">
        <v>-5.0200000000000002E-3</v>
      </c>
      <c r="E5080">
        <f t="shared" si="158"/>
        <v>0.99497999999999998</v>
      </c>
      <c r="F5080" s="1">
        <f t="shared" si="159"/>
        <v>40987</v>
      </c>
      <c r="G5080" cm="1">
        <f t="array" ref="G5080">PRODUCT( _xlfn._xlws.FILTER($E:$E, ($C:$C=C5080)*($F:$F=F5080)) ) - 1</f>
        <v>4.8956974536198405E-3</v>
      </c>
    </row>
    <row r="5081" spans="1:7" x14ac:dyDescent="0.2">
      <c r="A5081" s="1">
        <v>40994</v>
      </c>
      <c r="B5081">
        <v>2</v>
      </c>
      <c r="C5081" t="s">
        <v>15</v>
      </c>
      <c r="D5081">
        <v>1.2874E-2</v>
      </c>
      <c r="E5081">
        <f t="shared" si="158"/>
        <v>1.0128740000000001</v>
      </c>
      <c r="F5081" s="1">
        <f t="shared" si="159"/>
        <v>40994</v>
      </c>
      <c r="G5081" cm="1">
        <f t="array" ref="G5081">PRODUCT( _xlfn._xlws.FILTER($E:$E, ($C:$C=C5081)*($F:$F=F5081)) ) - 1</f>
        <v>6.9589393925517662E-3</v>
      </c>
    </row>
    <row r="5082" spans="1:7" x14ac:dyDescent="0.2">
      <c r="A5082" s="1">
        <v>40995</v>
      </c>
      <c r="B5082">
        <v>2</v>
      </c>
      <c r="C5082" t="s">
        <v>15</v>
      </c>
      <c r="D5082">
        <v>9.103E-3</v>
      </c>
      <c r="E5082">
        <f t="shared" si="158"/>
        <v>1.0091030000000001</v>
      </c>
      <c r="F5082" s="1">
        <f t="shared" si="159"/>
        <v>40994</v>
      </c>
      <c r="G5082" cm="1">
        <f t="array" ref="G5082">PRODUCT( _xlfn._xlws.FILTER($E:$E, ($C:$C=C5082)*($F:$F=F5082)) ) - 1</f>
        <v>6.9589393925517662E-3</v>
      </c>
    </row>
    <row r="5083" spans="1:7" x14ac:dyDescent="0.2">
      <c r="A5083" s="1">
        <v>40996</v>
      </c>
      <c r="B5083">
        <v>2</v>
      </c>
      <c r="C5083" t="s">
        <v>15</v>
      </c>
      <c r="D5083">
        <v>1.1745E-2</v>
      </c>
      <c r="E5083">
        <f t="shared" si="158"/>
        <v>1.0117449999999999</v>
      </c>
      <c r="F5083" s="1">
        <f t="shared" si="159"/>
        <v>40994</v>
      </c>
      <c r="G5083" cm="1">
        <f t="array" ref="G5083">PRODUCT( _xlfn._xlws.FILTER($E:$E, ($C:$C=C5083)*($F:$F=F5083)) ) - 1</f>
        <v>6.9589393925517662E-3</v>
      </c>
    </row>
    <row r="5084" spans="1:7" x14ac:dyDescent="0.2">
      <c r="A5084" s="1">
        <v>40997</v>
      </c>
      <c r="B5084">
        <v>2</v>
      </c>
      <c r="C5084" t="s">
        <v>15</v>
      </c>
      <c r="D5084">
        <v>-1.9179000000000002E-2</v>
      </c>
      <c r="E5084">
        <f t="shared" si="158"/>
        <v>0.98082099999999994</v>
      </c>
      <c r="F5084" s="1">
        <f t="shared" si="159"/>
        <v>40994</v>
      </c>
      <c r="G5084" cm="1">
        <f t="array" ref="G5084">PRODUCT( _xlfn._xlws.FILTER($E:$E, ($C:$C=C5084)*($F:$F=F5084)) ) - 1</f>
        <v>6.9589393925517662E-3</v>
      </c>
    </row>
    <row r="5085" spans="1:7" x14ac:dyDescent="0.2">
      <c r="A5085" s="1">
        <v>40998</v>
      </c>
      <c r="B5085">
        <v>2</v>
      </c>
      <c r="C5085" t="s">
        <v>15</v>
      </c>
      <c r="D5085">
        <v>-7.2040000000000003E-3</v>
      </c>
      <c r="E5085">
        <f t="shared" si="158"/>
        <v>0.99279600000000001</v>
      </c>
      <c r="F5085" s="1">
        <f t="shared" si="159"/>
        <v>40994</v>
      </c>
      <c r="G5085" cm="1">
        <f t="array" ref="G5085">PRODUCT( _xlfn._xlws.FILTER($E:$E, ($C:$C=C5085)*($F:$F=F5085)) ) - 1</f>
        <v>6.9589393925517662E-3</v>
      </c>
    </row>
    <row r="5086" spans="1:7" x14ac:dyDescent="0.2">
      <c r="A5086" s="1">
        <v>41001</v>
      </c>
      <c r="B5086">
        <v>2</v>
      </c>
      <c r="C5086" t="s">
        <v>15</v>
      </c>
      <c r="D5086">
        <v>2.764E-3</v>
      </c>
      <c r="E5086">
        <f t="shared" si="158"/>
        <v>1.002764</v>
      </c>
      <c r="F5086" s="1">
        <f t="shared" si="159"/>
        <v>41001</v>
      </c>
      <c r="G5086" cm="1">
        <f t="array" ref="G5086">PRODUCT( _xlfn._xlws.FILTER($E:$E, ($C:$C=C5086)*($F:$F=F5086)) ) - 1</f>
        <v>7.4296507219193675E-3</v>
      </c>
    </row>
    <row r="5087" spans="1:7" x14ac:dyDescent="0.2">
      <c r="A5087" s="1">
        <v>41002</v>
      </c>
      <c r="B5087">
        <v>2</v>
      </c>
      <c r="C5087" t="s">
        <v>15</v>
      </c>
      <c r="D5087">
        <v>1.034E-3</v>
      </c>
      <c r="E5087">
        <f t="shared" si="158"/>
        <v>1.001034</v>
      </c>
      <c r="F5087" s="1">
        <f t="shared" si="159"/>
        <v>41001</v>
      </c>
      <c r="G5087" cm="1">
        <f t="array" ref="G5087">PRODUCT( _xlfn._xlws.FILTER($E:$E, ($C:$C=C5087)*($F:$F=F5087)) ) - 1</f>
        <v>7.4296507219193675E-3</v>
      </c>
    </row>
    <row r="5088" spans="1:7" x14ac:dyDescent="0.2">
      <c r="A5088" s="1">
        <v>41003</v>
      </c>
      <c r="B5088">
        <v>2</v>
      </c>
      <c r="C5088" t="s">
        <v>15</v>
      </c>
      <c r="D5088">
        <v>4.3030000000000004E-3</v>
      </c>
      <c r="E5088">
        <f t="shared" si="158"/>
        <v>1.0043029999999999</v>
      </c>
      <c r="F5088" s="1">
        <f t="shared" si="159"/>
        <v>41001</v>
      </c>
      <c r="G5088" cm="1">
        <f t="array" ref="G5088">PRODUCT( _xlfn._xlws.FILTER($E:$E, ($C:$C=C5088)*($F:$F=F5088)) ) - 1</f>
        <v>7.4296507219193675E-3</v>
      </c>
    </row>
    <row r="5089" spans="1:7" x14ac:dyDescent="0.2">
      <c r="A5089" s="1">
        <v>41004</v>
      </c>
      <c r="B5089">
        <v>2</v>
      </c>
      <c r="C5089" t="s">
        <v>15</v>
      </c>
      <c r="D5089">
        <v>-6.8499999999999995E-4</v>
      </c>
      <c r="E5089">
        <f t="shared" si="158"/>
        <v>0.99931499999999995</v>
      </c>
      <c r="F5089" s="1">
        <f t="shared" si="159"/>
        <v>41001</v>
      </c>
      <c r="G5089" cm="1">
        <f t="array" ref="G5089">PRODUCT( _xlfn._xlws.FILTER($E:$E, ($C:$C=C5089)*($F:$F=F5089)) ) - 1</f>
        <v>7.4296507219193675E-3</v>
      </c>
    </row>
    <row r="5090" spans="1:7" x14ac:dyDescent="0.2">
      <c r="A5090" s="1">
        <v>41008</v>
      </c>
      <c r="B5090">
        <v>2</v>
      </c>
      <c r="C5090" t="s">
        <v>15</v>
      </c>
      <c r="D5090">
        <v>-2.7439999999999999E-3</v>
      </c>
      <c r="E5090">
        <f t="shared" si="158"/>
        <v>0.99725600000000003</v>
      </c>
      <c r="F5090" s="1">
        <f t="shared" si="159"/>
        <v>41008</v>
      </c>
      <c r="G5090" cm="1">
        <f t="array" ref="G5090">PRODUCT( _xlfn._xlws.FILTER($E:$E, ($C:$C=C5090)*($F:$F=F5090)) ) - 1</f>
        <v>-6.3456511318316089E-3</v>
      </c>
    </row>
    <row r="5091" spans="1:7" x14ac:dyDescent="0.2">
      <c r="A5091" s="1">
        <v>41009</v>
      </c>
      <c r="B5091">
        <v>2</v>
      </c>
      <c r="C5091" t="s">
        <v>15</v>
      </c>
      <c r="D5091">
        <v>-1.0489999999999999E-2</v>
      </c>
      <c r="E5091">
        <f t="shared" si="158"/>
        <v>0.98951</v>
      </c>
      <c r="F5091" s="1">
        <f t="shared" si="159"/>
        <v>41008</v>
      </c>
      <c r="G5091" cm="1">
        <f t="array" ref="G5091">PRODUCT( _xlfn._xlws.FILTER($E:$E, ($C:$C=C5091)*($F:$F=F5091)) ) - 1</f>
        <v>-6.3456511318316089E-3</v>
      </c>
    </row>
    <row r="5092" spans="1:7" x14ac:dyDescent="0.2">
      <c r="A5092" s="1">
        <v>41010</v>
      </c>
      <c r="B5092">
        <v>2</v>
      </c>
      <c r="C5092" t="s">
        <v>15</v>
      </c>
      <c r="D5092">
        <v>-2.4329999999999998E-3</v>
      </c>
      <c r="E5092">
        <f t="shared" si="158"/>
        <v>0.99756699999999998</v>
      </c>
      <c r="F5092" s="1">
        <f t="shared" si="159"/>
        <v>41008</v>
      </c>
      <c r="G5092" cm="1">
        <f t="array" ref="G5092">PRODUCT( _xlfn._xlws.FILTER($E:$E, ($C:$C=C5092)*($F:$F=F5092)) ) - 1</f>
        <v>-6.3456511318316089E-3</v>
      </c>
    </row>
    <row r="5093" spans="1:7" x14ac:dyDescent="0.2">
      <c r="A5093" s="1">
        <v>41011</v>
      </c>
      <c r="B5093">
        <v>2</v>
      </c>
      <c r="C5093" t="s">
        <v>15</v>
      </c>
      <c r="D5093">
        <v>5.5750000000000001E-3</v>
      </c>
      <c r="E5093">
        <f t="shared" si="158"/>
        <v>1.0055750000000001</v>
      </c>
      <c r="F5093" s="1">
        <f t="shared" si="159"/>
        <v>41008</v>
      </c>
      <c r="G5093" cm="1">
        <f t="array" ref="G5093">PRODUCT( _xlfn._xlws.FILTER($E:$E, ($C:$C=C5093)*($F:$F=F5093)) ) - 1</f>
        <v>-6.3456511318316089E-3</v>
      </c>
    </row>
    <row r="5094" spans="1:7" x14ac:dyDescent="0.2">
      <c r="A5094" s="1">
        <v>41012</v>
      </c>
      <c r="B5094">
        <v>2</v>
      </c>
      <c r="C5094" t="s">
        <v>15</v>
      </c>
      <c r="D5094">
        <v>3.8110000000000002E-3</v>
      </c>
      <c r="E5094">
        <f t="shared" si="158"/>
        <v>1.003811</v>
      </c>
      <c r="F5094" s="1">
        <f t="shared" si="159"/>
        <v>41008</v>
      </c>
      <c r="G5094" cm="1">
        <f t="array" ref="G5094">PRODUCT( _xlfn._xlws.FILTER($E:$E, ($C:$C=C5094)*($F:$F=F5094)) ) - 1</f>
        <v>-6.3456511318316089E-3</v>
      </c>
    </row>
    <row r="5095" spans="1:7" x14ac:dyDescent="0.2">
      <c r="A5095" s="1">
        <v>41015</v>
      </c>
      <c r="B5095">
        <v>2</v>
      </c>
      <c r="C5095" t="s">
        <v>15</v>
      </c>
      <c r="D5095">
        <v>4.8329999999999996E-3</v>
      </c>
      <c r="E5095">
        <f t="shared" si="158"/>
        <v>1.0048330000000001</v>
      </c>
      <c r="F5095" s="1">
        <f t="shared" si="159"/>
        <v>41015</v>
      </c>
      <c r="G5095" cm="1">
        <f t="array" ref="G5095">PRODUCT( _xlfn._xlws.FILTER($E:$E, ($C:$C=C5095)*($F:$F=F5095)) ) - 1</f>
        <v>2.5199493476133039E-2</v>
      </c>
    </row>
    <row r="5096" spans="1:7" x14ac:dyDescent="0.2">
      <c r="A5096" s="1">
        <v>41016</v>
      </c>
      <c r="B5096">
        <v>2</v>
      </c>
      <c r="C5096" t="s">
        <v>15</v>
      </c>
      <c r="D5096">
        <v>6.8710000000000004E-3</v>
      </c>
      <c r="E5096">
        <f t="shared" si="158"/>
        <v>1.0068710000000001</v>
      </c>
      <c r="F5096" s="1">
        <f t="shared" si="159"/>
        <v>41015</v>
      </c>
      <c r="G5096" cm="1">
        <f t="array" ref="G5096">PRODUCT( _xlfn._xlws.FILTER($E:$E, ($C:$C=C5096)*($F:$F=F5096)) ) - 1</f>
        <v>2.5199493476133039E-2</v>
      </c>
    </row>
    <row r="5097" spans="1:7" x14ac:dyDescent="0.2">
      <c r="A5097" s="1">
        <v>41017</v>
      </c>
      <c r="B5097">
        <v>2</v>
      </c>
      <c r="C5097" t="s">
        <v>15</v>
      </c>
      <c r="D5097">
        <v>7.1650000000000004E-3</v>
      </c>
      <c r="E5097">
        <f t="shared" si="158"/>
        <v>1.0071650000000001</v>
      </c>
      <c r="F5097" s="1">
        <f t="shared" si="159"/>
        <v>41015</v>
      </c>
      <c r="G5097" cm="1">
        <f t="array" ref="G5097">PRODUCT( _xlfn._xlws.FILTER($E:$E, ($C:$C=C5097)*($F:$F=F5097)) ) - 1</f>
        <v>2.5199493476133039E-2</v>
      </c>
    </row>
    <row r="5098" spans="1:7" x14ac:dyDescent="0.2">
      <c r="A5098" s="1">
        <v>41018</v>
      </c>
      <c r="B5098">
        <v>2</v>
      </c>
      <c r="C5098" t="s">
        <v>15</v>
      </c>
      <c r="D5098">
        <v>5.2509999999999996E-3</v>
      </c>
      <c r="E5098">
        <f t="shared" si="158"/>
        <v>1.0052509999999999</v>
      </c>
      <c r="F5098" s="1">
        <f t="shared" si="159"/>
        <v>41015</v>
      </c>
      <c r="G5098" cm="1">
        <f t="array" ref="G5098">PRODUCT( _xlfn._xlws.FILTER($E:$E, ($C:$C=C5098)*($F:$F=F5098)) ) - 1</f>
        <v>2.5199493476133039E-2</v>
      </c>
    </row>
    <row r="5099" spans="1:7" x14ac:dyDescent="0.2">
      <c r="A5099" s="1">
        <v>41019</v>
      </c>
      <c r="B5099">
        <v>2</v>
      </c>
      <c r="C5099" t="s">
        <v>15</v>
      </c>
      <c r="D5099">
        <v>8.4199999999999998E-4</v>
      </c>
      <c r="E5099">
        <f t="shared" si="158"/>
        <v>1.000842</v>
      </c>
      <c r="F5099" s="1">
        <f t="shared" si="159"/>
        <v>41015</v>
      </c>
      <c r="G5099" cm="1">
        <f t="array" ref="G5099">PRODUCT( _xlfn._xlws.FILTER($E:$E, ($C:$C=C5099)*($F:$F=F5099)) ) - 1</f>
        <v>2.5199493476133039E-2</v>
      </c>
    </row>
    <row r="5100" spans="1:7" x14ac:dyDescent="0.2">
      <c r="A5100" s="1">
        <v>41022</v>
      </c>
      <c r="B5100">
        <v>2</v>
      </c>
      <c r="C5100" t="s">
        <v>15</v>
      </c>
      <c r="D5100">
        <v>-1.0606000000000001E-2</v>
      </c>
      <c r="E5100">
        <f t="shared" si="158"/>
        <v>0.989394</v>
      </c>
      <c r="F5100" s="1">
        <f t="shared" si="159"/>
        <v>41022</v>
      </c>
      <c r="G5100" cm="1">
        <f t="array" ref="G5100">PRODUCT( _xlfn._xlws.FILTER($E:$E, ($C:$C=C5100)*($F:$F=F5100)) ) - 1</f>
        <v>-7.406795630949814E-3</v>
      </c>
    </row>
    <row r="5101" spans="1:7" x14ac:dyDescent="0.2">
      <c r="A5101" s="1">
        <v>41023</v>
      </c>
      <c r="B5101">
        <v>2</v>
      </c>
      <c r="C5101" t="s">
        <v>15</v>
      </c>
      <c r="D5101">
        <v>2.8930000000000002E-3</v>
      </c>
      <c r="E5101">
        <f t="shared" si="158"/>
        <v>1.002893</v>
      </c>
      <c r="F5101" s="1">
        <f t="shared" si="159"/>
        <v>41022</v>
      </c>
      <c r="G5101" cm="1">
        <f t="array" ref="G5101">PRODUCT( _xlfn._xlws.FILTER($E:$E, ($C:$C=C5101)*($F:$F=F5101)) ) - 1</f>
        <v>-7.406795630949814E-3</v>
      </c>
    </row>
    <row r="5102" spans="1:7" x14ac:dyDescent="0.2">
      <c r="A5102" s="1">
        <v>41024</v>
      </c>
      <c r="B5102">
        <v>2</v>
      </c>
      <c r="C5102" t="s">
        <v>15</v>
      </c>
      <c r="D5102">
        <v>-8.3129999999999992E-3</v>
      </c>
      <c r="E5102">
        <f t="shared" si="158"/>
        <v>0.99168699999999999</v>
      </c>
      <c r="F5102" s="1">
        <f t="shared" si="159"/>
        <v>41022</v>
      </c>
      <c r="G5102" cm="1">
        <f t="array" ref="G5102">PRODUCT( _xlfn._xlws.FILTER($E:$E, ($C:$C=C5102)*($F:$F=F5102)) ) - 1</f>
        <v>-7.406795630949814E-3</v>
      </c>
    </row>
    <row r="5103" spans="1:7" x14ac:dyDescent="0.2">
      <c r="A5103" s="1">
        <v>41025</v>
      </c>
      <c r="B5103">
        <v>2</v>
      </c>
      <c r="C5103" t="s">
        <v>15</v>
      </c>
      <c r="D5103">
        <v>1.5399999999999999E-3</v>
      </c>
      <c r="E5103">
        <f t="shared" si="158"/>
        <v>1.0015400000000001</v>
      </c>
      <c r="F5103" s="1">
        <f t="shared" si="159"/>
        <v>41022</v>
      </c>
      <c r="G5103" cm="1">
        <f t="array" ref="G5103">PRODUCT( _xlfn._xlws.FILTER($E:$E, ($C:$C=C5103)*($F:$F=F5103)) ) - 1</f>
        <v>-7.406795630949814E-3</v>
      </c>
    </row>
    <row r="5104" spans="1:7" x14ac:dyDescent="0.2">
      <c r="A5104" s="1">
        <v>41026</v>
      </c>
      <c r="B5104">
        <v>2</v>
      </c>
      <c r="C5104" t="s">
        <v>15</v>
      </c>
      <c r="D5104">
        <v>7.1739999999999998E-3</v>
      </c>
      <c r="E5104">
        <f t="shared" si="158"/>
        <v>1.007174</v>
      </c>
      <c r="F5104" s="1">
        <f t="shared" si="159"/>
        <v>41022</v>
      </c>
      <c r="G5104" cm="1">
        <f t="array" ref="G5104">PRODUCT( _xlfn._xlws.FILTER($E:$E, ($C:$C=C5104)*($F:$F=F5104)) ) - 1</f>
        <v>-7.406795630949814E-3</v>
      </c>
    </row>
    <row r="5105" spans="1:7" x14ac:dyDescent="0.2">
      <c r="A5105" s="1">
        <v>41029</v>
      </c>
      <c r="B5105">
        <v>2</v>
      </c>
      <c r="C5105" t="s">
        <v>15</v>
      </c>
      <c r="D5105">
        <v>5.9360000000000003E-3</v>
      </c>
      <c r="E5105">
        <f t="shared" si="158"/>
        <v>1.0059359999999999</v>
      </c>
      <c r="F5105" s="1">
        <f t="shared" si="159"/>
        <v>41029</v>
      </c>
      <c r="G5105" cm="1">
        <f t="array" ref="G5105">PRODUCT( _xlfn._xlws.FILTER($E:$E, ($C:$C=C5105)*($F:$F=F5105)) ) - 1</f>
        <v>-1.7979137776906184E-2</v>
      </c>
    </row>
    <row r="5106" spans="1:7" x14ac:dyDescent="0.2">
      <c r="A5106" s="1">
        <v>41030</v>
      </c>
      <c r="B5106">
        <v>2</v>
      </c>
      <c r="C5106" t="s">
        <v>15</v>
      </c>
      <c r="D5106">
        <v>-5.5640000000000004E-3</v>
      </c>
      <c r="E5106">
        <f t="shared" si="158"/>
        <v>0.99443599999999999</v>
      </c>
      <c r="F5106" s="1">
        <f t="shared" si="159"/>
        <v>41029</v>
      </c>
      <c r="G5106" cm="1">
        <f t="array" ref="G5106">PRODUCT( _xlfn._xlws.FILTER($E:$E, ($C:$C=C5106)*($F:$F=F5106)) ) - 1</f>
        <v>-1.7979137776906184E-2</v>
      </c>
    </row>
    <row r="5107" spans="1:7" x14ac:dyDescent="0.2">
      <c r="A5107" s="1">
        <v>41031</v>
      </c>
      <c r="B5107">
        <v>2</v>
      </c>
      <c r="C5107" t="s">
        <v>15</v>
      </c>
      <c r="D5107">
        <v>1.356E-3</v>
      </c>
      <c r="E5107">
        <f t="shared" si="158"/>
        <v>1.0013559999999999</v>
      </c>
      <c r="F5107" s="1">
        <f t="shared" si="159"/>
        <v>41029</v>
      </c>
      <c r="G5107" cm="1">
        <f t="array" ref="G5107">PRODUCT( _xlfn._xlws.FILTER($E:$E, ($C:$C=C5107)*($F:$F=F5107)) ) - 1</f>
        <v>-1.7979137776906184E-2</v>
      </c>
    </row>
    <row r="5108" spans="1:7" x14ac:dyDescent="0.2">
      <c r="A5108" s="1">
        <v>41032</v>
      </c>
      <c r="B5108">
        <v>2</v>
      </c>
      <c r="C5108" t="s">
        <v>15</v>
      </c>
      <c r="D5108">
        <v>-3.0479999999999999E-3</v>
      </c>
      <c r="E5108">
        <f t="shared" si="158"/>
        <v>0.99695199999999995</v>
      </c>
      <c r="F5108" s="1">
        <f t="shared" si="159"/>
        <v>41029</v>
      </c>
      <c r="G5108" cm="1">
        <f t="array" ref="G5108">PRODUCT( _xlfn._xlws.FILTER($E:$E, ($C:$C=C5108)*($F:$F=F5108)) ) - 1</f>
        <v>-1.7979137776906184E-2</v>
      </c>
    </row>
    <row r="5109" spans="1:7" x14ac:dyDescent="0.2">
      <c r="A5109" s="1">
        <v>41033</v>
      </c>
      <c r="B5109">
        <v>2</v>
      </c>
      <c r="C5109" t="s">
        <v>15</v>
      </c>
      <c r="D5109">
        <v>-1.6643999999999999E-2</v>
      </c>
      <c r="E5109">
        <f t="shared" si="158"/>
        <v>0.98335600000000001</v>
      </c>
      <c r="F5109" s="1">
        <f t="shared" si="159"/>
        <v>41029</v>
      </c>
      <c r="G5109" cm="1">
        <f t="array" ref="G5109">PRODUCT( _xlfn._xlws.FILTER($E:$E, ($C:$C=C5109)*($F:$F=F5109)) ) - 1</f>
        <v>-1.7979137776906184E-2</v>
      </c>
    </row>
    <row r="5110" spans="1:7" x14ac:dyDescent="0.2">
      <c r="A5110" s="1">
        <v>41036</v>
      </c>
      <c r="B5110">
        <v>2</v>
      </c>
      <c r="C5110" t="s">
        <v>15</v>
      </c>
      <c r="D5110">
        <v>8.9809999999999994E-3</v>
      </c>
      <c r="E5110">
        <f t="shared" si="158"/>
        <v>1.0089809999999999</v>
      </c>
      <c r="F5110" s="1">
        <f t="shared" si="159"/>
        <v>41036</v>
      </c>
      <c r="G5110" cm="1">
        <f t="array" ref="G5110">PRODUCT( _xlfn._xlws.FILTER($E:$E, ($C:$C=C5110)*($F:$F=F5110)) ) - 1</f>
        <v>3.3332262367678611E-2</v>
      </c>
    </row>
    <row r="5111" spans="1:7" x14ac:dyDescent="0.2">
      <c r="A5111" s="1">
        <v>41037</v>
      </c>
      <c r="B5111">
        <v>2</v>
      </c>
      <c r="C5111" t="s">
        <v>15</v>
      </c>
      <c r="D5111">
        <v>-4.4510000000000001E-3</v>
      </c>
      <c r="E5111">
        <f t="shared" si="158"/>
        <v>0.99554900000000002</v>
      </c>
      <c r="F5111" s="1">
        <f t="shared" si="159"/>
        <v>41036</v>
      </c>
      <c r="G5111" cm="1">
        <f t="array" ref="G5111">PRODUCT( _xlfn._xlws.FILTER($E:$E, ($C:$C=C5111)*($F:$F=F5111)) ) - 1</f>
        <v>3.3332262367678611E-2</v>
      </c>
    </row>
    <row r="5112" spans="1:7" x14ac:dyDescent="0.2">
      <c r="A5112" s="1">
        <v>41038</v>
      </c>
      <c r="B5112">
        <v>2</v>
      </c>
      <c r="C5112" t="s">
        <v>15</v>
      </c>
      <c r="D5112">
        <v>-5.1599999999999997E-4</v>
      </c>
      <c r="E5112">
        <f t="shared" si="158"/>
        <v>0.99948400000000004</v>
      </c>
      <c r="F5112" s="1">
        <f t="shared" si="159"/>
        <v>41036</v>
      </c>
      <c r="G5112" cm="1">
        <f t="array" ref="G5112">PRODUCT( _xlfn._xlws.FILTER($E:$E, ($C:$C=C5112)*($F:$F=F5112)) ) - 1</f>
        <v>3.3332262367678611E-2</v>
      </c>
    </row>
    <row r="5113" spans="1:7" x14ac:dyDescent="0.2">
      <c r="A5113" s="1">
        <v>41039</v>
      </c>
      <c r="B5113">
        <v>2</v>
      </c>
      <c r="C5113" t="s">
        <v>15</v>
      </c>
      <c r="D5113">
        <v>1.3934E-2</v>
      </c>
      <c r="E5113">
        <f t="shared" si="158"/>
        <v>1.0139339999999999</v>
      </c>
      <c r="F5113" s="1">
        <f t="shared" si="159"/>
        <v>41036</v>
      </c>
      <c r="G5113" cm="1">
        <f t="array" ref="G5113">PRODUCT( _xlfn._xlws.FILTER($E:$E, ($C:$C=C5113)*($F:$F=F5113)) ) - 1</f>
        <v>3.3332262367678611E-2</v>
      </c>
    </row>
    <row r="5114" spans="1:7" x14ac:dyDescent="0.2">
      <c r="A5114" s="1">
        <v>41040</v>
      </c>
      <c r="B5114">
        <v>2</v>
      </c>
      <c r="C5114" t="s">
        <v>15</v>
      </c>
      <c r="D5114">
        <v>1.5100000000000001E-2</v>
      </c>
      <c r="E5114">
        <f t="shared" si="158"/>
        <v>1.0150999999999999</v>
      </c>
      <c r="F5114" s="1">
        <f t="shared" si="159"/>
        <v>41036</v>
      </c>
      <c r="G5114" cm="1">
        <f t="array" ref="G5114">PRODUCT( _xlfn._xlws.FILTER($E:$E, ($C:$C=C5114)*($F:$F=F5114)) ) - 1</f>
        <v>3.3332262367678611E-2</v>
      </c>
    </row>
    <row r="5115" spans="1:7" x14ac:dyDescent="0.2">
      <c r="A5115" s="1">
        <v>41043</v>
      </c>
      <c r="B5115">
        <v>2</v>
      </c>
      <c r="C5115" t="s">
        <v>15</v>
      </c>
      <c r="D5115">
        <v>2.6740000000000002E-3</v>
      </c>
      <c r="E5115">
        <f t="shared" si="158"/>
        <v>1.0026740000000001</v>
      </c>
      <c r="F5115" s="1">
        <f t="shared" si="159"/>
        <v>41043</v>
      </c>
      <c r="G5115" cm="1">
        <f t="array" ref="G5115">PRODUCT( _xlfn._xlws.FILTER($E:$E, ($C:$C=C5115)*($F:$F=F5115)) ) - 1</f>
        <v>-6.5179183415235986E-3</v>
      </c>
    </row>
    <row r="5116" spans="1:7" x14ac:dyDescent="0.2">
      <c r="A5116" s="1">
        <v>41044</v>
      </c>
      <c r="B5116">
        <v>2</v>
      </c>
      <c r="C5116" t="s">
        <v>15</v>
      </c>
      <c r="D5116">
        <v>2E-3</v>
      </c>
      <c r="E5116">
        <f t="shared" si="158"/>
        <v>1.002</v>
      </c>
      <c r="F5116" s="1">
        <f t="shared" si="159"/>
        <v>41043</v>
      </c>
      <c r="G5116" cm="1">
        <f t="array" ref="G5116">PRODUCT( _xlfn._xlws.FILTER($E:$E, ($C:$C=C5116)*($F:$F=F5116)) ) - 1</f>
        <v>-6.5179183415235986E-3</v>
      </c>
    </row>
    <row r="5117" spans="1:7" x14ac:dyDescent="0.2">
      <c r="A5117" s="1">
        <v>41045</v>
      </c>
      <c r="B5117">
        <v>2</v>
      </c>
      <c r="C5117" t="s">
        <v>15</v>
      </c>
      <c r="D5117">
        <v>2.9949999999999998E-3</v>
      </c>
      <c r="E5117">
        <f t="shared" si="158"/>
        <v>1.0029950000000001</v>
      </c>
      <c r="F5117" s="1">
        <f t="shared" si="159"/>
        <v>41043</v>
      </c>
      <c r="G5117" cm="1">
        <f t="array" ref="G5117">PRODUCT( _xlfn._xlws.FILTER($E:$E, ($C:$C=C5117)*($F:$F=F5117)) ) - 1</f>
        <v>-6.5179183415235986E-3</v>
      </c>
    </row>
    <row r="5118" spans="1:7" x14ac:dyDescent="0.2">
      <c r="A5118" s="1">
        <v>41046</v>
      </c>
      <c r="B5118">
        <v>2</v>
      </c>
      <c r="C5118" t="s">
        <v>15</v>
      </c>
      <c r="D5118">
        <v>-4.6439999999999997E-3</v>
      </c>
      <c r="E5118">
        <f t="shared" si="158"/>
        <v>0.99535600000000002</v>
      </c>
      <c r="F5118" s="1">
        <f t="shared" si="159"/>
        <v>41043</v>
      </c>
      <c r="G5118" cm="1">
        <f t="array" ref="G5118">PRODUCT( _xlfn._xlws.FILTER($E:$E, ($C:$C=C5118)*($F:$F=F5118)) ) - 1</f>
        <v>-6.5179183415235986E-3</v>
      </c>
    </row>
    <row r="5119" spans="1:7" x14ac:dyDescent="0.2">
      <c r="A5119" s="1">
        <v>41047</v>
      </c>
      <c r="B5119">
        <v>2</v>
      </c>
      <c r="C5119" t="s">
        <v>15</v>
      </c>
      <c r="D5119">
        <v>-9.4979999999999995E-3</v>
      </c>
      <c r="E5119">
        <f t="shared" si="158"/>
        <v>0.99050199999999999</v>
      </c>
      <c r="F5119" s="1">
        <f t="shared" si="159"/>
        <v>41043</v>
      </c>
      <c r="G5119" cm="1">
        <f t="array" ref="G5119">PRODUCT( _xlfn._xlws.FILTER($E:$E, ($C:$C=C5119)*($F:$F=F5119)) ) - 1</f>
        <v>-6.5179183415235986E-3</v>
      </c>
    </row>
    <row r="5120" spans="1:7" x14ac:dyDescent="0.2">
      <c r="A5120" s="1">
        <v>41051</v>
      </c>
      <c r="B5120">
        <v>2</v>
      </c>
      <c r="C5120" t="s">
        <v>15</v>
      </c>
      <c r="D5120">
        <v>8.4099999999999995E-4</v>
      </c>
      <c r="E5120">
        <f t="shared" si="158"/>
        <v>1.0008410000000001</v>
      </c>
      <c r="F5120" s="1">
        <f t="shared" si="159"/>
        <v>41050</v>
      </c>
      <c r="G5120" cm="1">
        <f t="array" ref="G5120">PRODUCT( _xlfn._xlws.FILTER($E:$E, ($C:$C=C5120)*($F:$F=F5120)) ) - 1</f>
        <v>-1.3122813020183588E-2</v>
      </c>
    </row>
    <row r="5121" spans="1:7" x14ac:dyDescent="0.2">
      <c r="A5121" s="1">
        <v>41052</v>
      </c>
      <c r="B5121">
        <v>2</v>
      </c>
      <c r="C5121" t="s">
        <v>15</v>
      </c>
      <c r="D5121">
        <v>-8.2369999999999995E-3</v>
      </c>
      <c r="E5121">
        <f t="shared" si="158"/>
        <v>0.99176299999999995</v>
      </c>
      <c r="F5121" s="1">
        <f t="shared" si="159"/>
        <v>41050</v>
      </c>
      <c r="G5121" cm="1">
        <f t="array" ref="G5121">PRODUCT( _xlfn._xlws.FILTER($E:$E, ($C:$C=C5121)*($F:$F=F5121)) ) - 1</f>
        <v>-1.3122813020183588E-2</v>
      </c>
    </row>
    <row r="5122" spans="1:7" x14ac:dyDescent="0.2">
      <c r="A5122" s="1">
        <v>41053</v>
      </c>
      <c r="B5122">
        <v>2</v>
      </c>
      <c r="C5122" t="s">
        <v>15</v>
      </c>
      <c r="D5122">
        <v>-4.5760000000000002E-3</v>
      </c>
      <c r="E5122">
        <f t="shared" si="158"/>
        <v>0.99542399999999998</v>
      </c>
      <c r="F5122" s="1">
        <f t="shared" si="159"/>
        <v>41050</v>
      </c>
      <c r="G5122" cm="1">
        <f t="array" ref="G5122">PRODUCT( _xlfn._xlws.FILTER($E:$E, ($C:$C=C5122)*($F:$F=F5122)) ) - 1</f>
        <v>-1.3122813020183588E-2</v>
      </c>
    </row>
    <row r="5123" spans="1:7" x14ac:dyDescent="0.2">
      <c r="A5123" s="1">
        <v>41054</v>
      </c>
      <c r="B5123">
        <v>2</v>
      </c>
      <c r="C5123" t="s">
        <v>15</v>
      </c>
      <c r="D5123">
        <v>-1.1919999999999999E-3</v>
      </c>
      <c r="E5123">
        <f t="shared" si="158"/>
        <v>0.99880800000000003</v>
      </c>
      <c r="F5123" s="1">
        <f t="shared" si="159"/>
        <v>41050</v>
      </c>
      <c r="G5123" cm="1">
        <f t="array" ref="G5123">PRODUCT( _xlfn._xlws.FILTER($E:$E, ($C:$C=C5123)*($F:$F=F5123)) ) - 1</f>
        <v>-1.3122813020183588E-2</v>
      </c>
    </row>
    <row r="5124" spans="1:7" x14ac:dyDescent="0.2">
      <c r="A5124" s="1">
        <v>41057</v>
      </c>
      <c r="B5124">
        <v>2</v>
      </c>
      <c r="C5124" t="s">
        <v>15</v>
      </c>
      <c r="D5124">
        <v>-3.4099999999999999E-4</v>
      </c>
      <c r="E5124">
        <f t="shared" ref="E5124:E5187" si="160">D5124+1</f>
        <v>0.99965899999999996</v>
      </c>
      <c r="F5124" s="1">
        <f t="shared" ref="F5124:F5187" si="161">A5124 - (WEEKDAY(A5124, 2) - 1)</f>
        <v>41057</v>
      </c>
      <c r="G5124" cm="1">
        <f t="array" ref="G5124">PRODUCT( _xlfn._xlws.FILTER($E:$E, ($C:$C=C5124)*($F:$F=F5124)) ) - 1</f>
        <v>1.38079483688478E-2</v>
      </c>
    </row>
    <row r="5125" spans="1:7" x14ac:dyDescent="0.2">
      <c r="A5125" s="1">
        <v>41058</v>
      </c>
      <c r="B5125">
        <v>2</v>
      </c>
      <c r="C5125" t="s">
        <v>15</v>
      </c>
      <c r="D5125">
        <v>6.8209999999999998E-3</v>
      </c>
      <c r="E5125">
        <f t="shared" si="160"/>
        <v>1.006821</v>
      </c>
      <c r="F5125" s="1">
        <f t="shared" si="161"/>
        <v>41057</v>
      </c>
      <c r="G5125" cm="1">
        <f t="array" ref="G5125">PRODUCT( _xlfn._xlws.FILTER($E:$E, ($C:$C=C5125)*($F:$F=F5125)) ) - 1</f>
        <v>1.38079483688478E-2</v>
      </c>
    </row>
    <row r="5126" spans="1:7" x14ac:dyDescent="0.2">
      <c r="A5126" s="1">
        <v>41059</v>
      </c>
      <c r="B5126">
        <v>2</v>
      </c>
      <c r="C5126" t="s">
        <v>15</v>
      </c>
      <c r="D5126">
        <v>-1.6899999999999999E-4</v>
      </c>
      <c r="E5126">
        <f t="shared" si="160"/>
        <v>0.99983100000000003</v>
      </c>
      <c r="F5126" s="1">
        <f t="shared" si="161"/>
        <v>41057</v>
      </c>
      <c r="G5126" cm="1">
        <f t="array" ref="G5126">PRODUCT( _xlfn._xlws.FILTER($E:$E, ($C:$C=C5126)*($F:$F=F5126)) ) - 1</f>
        <v>1.38079483688478E-2</v>
      </c>
    </row>
    <row r="5127" spans="1:7" x14ac:dyDescent="0.2">
      <c r="A5127" s="1">
        <v>41060</v>
      </c>
      <c r="B5127">
        <v>2</v>
      </c>
      <c r="C5127" t="s">
        <v>15</v>
      </c>
      <c r="D5127">
        <v>1.8464999999999999E-2</v>
      </c>
      <c r="E5127">
        <f t="shared" si="160"/>
        <v>1.018465</v>
      </c>
      <c r="F5127" s="1">
        <f t="shared" si="161"/>
        <v>41057</v>
      </c>
      <c r="G5127" cm="1">
        <f t="array" ref="G5127">PRODUCT( _xlfn._xlws.FILTER($E:$E, ($C:$C=C5127)*($F:$F=F5127)) ) - 1</f>
        <v>1.38079483688478E-2</v>
      </c>
    </row>
    <row r="5128" spans="1:7" x14ac:dyDescent="0.2">
      <c r="A5128" s="1">
        <v>41061</v>
      </c>
      <c r="B5128">
        <v>2</v>
      </c>
      <c r="C5128" t="s">
        <v>15</v>
      </c>
      <c r="D5128">
        <v>-1.0812E-2</v>
      </c>
      <c r="E5128">
        <f t="shared" si="160"/>
        <v>0.98918799999999996</v>
      </c>
      <c r="F5128" s="1">
        <f t="shared" si="161"/>
        <v>41057</v>
      </c>
      <c r="G5128" cm="1">
        <f t="array" ref="G5128">PRODUCT( _xlfn._xlws.FILTER($E:$E, ($C:$C=C5128)*($F:$F=F5128)) ) - 1</f>
        <v>1.38079483688478E-2</v>
      </c>
    </row>
    <row r="5129" spans="1:7" x14ac:dyDescent="0.2">
      <c r="A5129" s="1">
        <v>41064</v>
      </c>
      <c r="B5129">
        <v>2</v>
      </c>
      <c r="C5129" t="s">
        <v>15</v>
      </c>
      <c r="D5129">
        <v>2.6900000000000001E-3</v>
      </c>
      <c r="E5129">
        <f t="shared" si="160"/>
        <v>1.0026900000000001</v>
      </c>
      <c r="F5129" s="1">
        <f t="shared" si="161"/>
        <v>41064</v>
      </c>
      <c r="G5129" cm="1">
        <f t="array" ref="G5129">PRODUCT( _xlfn._xlws.FILTER($E:$E, ($C:$C=C5129)*($F:$F=F5129)) ) - 1</f>
        <v>-3.6822421454255627E-3</v>
      </c>
    </row>
    <row r="5130" spans="1:7" x14ac:dyDescent="0.2">
      <c r="A5130" s="1">
        <v>41065</v>
      </c>
      <c r="B5130">
        <v>2</v>
      </c>
      <c r="C5130" t="s">
        <v>15</v>
      </c>
      <c r="D5130">
        <v>1.3752E-2</v>
      </c>
      <c r="E5130">
        <f t="shared" si="160"/>
        <v>1.013752</v>
      </c>
      <c r="F5130" s="1">
        <f t="shared" si="161"/>
        <v>41064</v>
      </c>
      <c r="G5130" cm="1">
        <f t="array" ref="G5130">PRODUCT( _xlfn._xlws.FILTER($E:$E, ($C:$C=C5130)*($F:$F=F5130)) ) - 1</f>
        <v>-3.6822421454255627E-3</v>
      </c>
    </row>
    <row r="5131" spans="1:7" x14ac:dyDescent="0.2">
      <c r="A5131" s="1">
        <v>41066</v>
      </c>
      <c r="B5131">
        <v>2</v>
      </c>
      <c r="C5131" t="s">
        <v>15</v>
      </c>
      <c r="D5131">
        <v>-5.1279999999999997E-3</v>
      </c>
      <c r="E5131">
        <f t="shared" si="160"/>
        <v>0.99487199999999998</v>
      </c>
      <c r="F5131" s="1">
        <f t="shared" si="161"/>
        <v>41064</v>
      </c>
      <c r="G5131" cm="1">
        <f t="array" ref="G5131">PRODUCT( _xlfn._xlws.FILTER($E:$E, ($C:$C=C5131)*($F:$F=F5131)) ) - 1</f>
        <v>-3.6822421454255627E-3</v>
      </c>
    </row>
    <row r="5132" spans="1:7" x14ac:dyDescent="0.2">
      <c r="A5132" s="1">
        <v>41067</v>
      </c>
      <c r="B5132">
        <v>2</v>
      </c>
      <c r="C5132" t="s">
        <v>15</v>
      </c>
      <c r="D5132">
        <v>-8.9029999999999995E-3</v>
      </c>
      <c r="E5132">
        <f t="shared" si="160"/>
        <v>0.99109700000000001</v>
      </c>
      <c r="F5132" s="1">
        <f t="shared" si="161"/>
        <v>41064</v>
      </c>
      <c r="G5132" cm="1">
        <f t="array" ref="G5132">PRODUCT( _xlfn._xlws.FILTER($E:$E, ($C:$C=C5132)*($F:$F=F5132)) ) - 1</f>
        <v>-3.6822421454255627E-3</v>
      </c>
    </row>
    <row r="5133" spans="1:7" x14ac:dyDescent="0.2">
      <c r="A5133" s="1">
        <v>41068</v>
      </c>
      <c r="B5133">
        <v>2</v>
      </c>
      <c r="C5133" t="s">
        <v>15</v>
      </c>
      <c r="D5133">
        <v>-5.9319999999999998E-3</v>
      </c>
      <c r="E5133">
        <f t="shared" si="160"/>
        <v>0.99406799999999995</v>
      </c>
      <c r="F5133" s="1">
        <f t="shared" si="161"/>
        <v>41064</v>
      </c>
      <c r="G5133" cm="1">
        <f t="array" ref="G5133">PRODUCT( _xlfn._xlws.FILTER($E:$E, ($C:$C=C5133)*($F:$F=F5133)) ) - 1</f>
        <v>-3.6822421454255627E-3</v>
      </c>
    </row>
    <row r="5134" spans="1:7" x14ac:dyDescent="0.2">
      <c r="A5134" s="1">
        <v>41071</v>
      </c>
      <c r="B5134">
        <v>2</v>
      </c>
      <c r="C5134" t="s">
        <v>15</v>
      </c>
      <c r="D5134">
        <v>6.3090000000000004E-3</v>
      </c>
      <c r="E5134">
        <f t="shared" si="160"/>
        <v>1.0063089999999999</v>
      </c>
      <c r="F5134" s="1">
        <f t="shared" si="161"/>
        <v>41071</v>
      </c>
      <c r="G5134" cm="1">
        <f t="array" ref="G5134">PRODUCT( _xlfn._xlws.FILTER($E:$E, ($C:$C=C5134)*($F:$F=F5134)) ) - 1</f>
        <v>-3.5796513208473657E-3</v>
      </c>
    </row>
    <row r="5135" spans="1:7" x14ac:dyDescent="0.2">
      <c r="A5135" s="1">
        <v>41072</v>
      </c>
      <c r="B5135">
        <v>2</v>
      </c>
      <c r="C5135" t="s">
        <v>15</v>
      </c>
      <c r="D5135">
        <v>1.0169999999999999E-3</v>
      </c>
      <c r="E5135">
        <f t="shared" si="160"/>
        <v>1.001017</v>
      </c>
      <c r="F5135" s="1">
        <f t="shared" si="161"/>
        <v>41071</v>
      </c>
      <c r="G5135" cm="1">
        <f t="array" ref="G5135">PRODUCT( _xlfn._xlws.FILTER($E:$E, ($C:$C=C5135)*($F:$F=F5135)) ) - 1</f>
        <v>-3.5796513208473657E-3</v>
      </c>
    </row>
    <row r="5136" spans="1:7" x14ac:dyDescent="0.2">
      <c r="A5136" s="1">
        <v>41073</v>
      </c>
      <c r="B5136">
        <v>2</v>
      </c>
      <c r="C5136" t="s">
        <v>15</v>
      </c>
      <c r="D5136">
        <v>1.1850000000000001E-3</v>
      </c>
      <c r="E5136">
        <f t="shared" si="160"/>
        <v>1.001185</v>
      </c>
      <c r="F5136" s="1">
        <f t="shared" si="161"/>
        <v>41071</v>
      </c>
      <c r="G5136" cm="1">
        <f t="array" ref="G5136">PRODUCT( _xlfn._xlws.FILTER($E:$E, ($C:$C=C5136)*($F:$F=F5136)) ) - 1</f>
        <v>-3.5796513208473657E-3</v>
      </c>
    </row>
    <row r="5137" spans="1:7" x14ac:dyDescent="0.2">
      <c r="A5137" s="1">
        <v>41074</v>
      </c>
      <c r="B5137">
        <v>2</v>
      </c>
      <c r="C5137" t="s">
        <v>15</v>
      </c>
      <c r="D5137">
        <v>2.029E-3</v>
      </c>
      <c r="E5137">
        <f t="shared" si="160"/>
        <v>1.0020290000000001</v>
      </c>
      <c r="F5137" s="1">
        <f t="shared" si="161"/>
        <v>41071</v>
      </c>
      <c r="G5137" cm="1">
        <f t="array" ref="G5137">PRODUCT( _xlfn._xlws.FILTER($E:$E, ($C:$C=C5137)*($F:$F=F5137)) ) - 1</f>
        <v>-3.5796513208473657E-3</v>
      </c>
    </row>
    <row r="5138" spans="1:7" x14ac:dyDescent="0.2">
      <c r="A5138" s="1">
        <v>41075</v>
      </c>
      <c r="B5138">
        <v>2</v>
      </c>
      <c r="C5138" t="s">
        <v>15</v>
      </c>
      <c r="D5138">
        <v>-1.4004000000000001E-2</v>
      </c>
      <c r="E5138">
        <f t="shared" si="160"/>
        <v>0.98599599999999998</v>
      </c>
      <c r="F5138" s="1">
        <f t="shared" si="161"/>
        <v>41071</v>
      </c>
      <c r="G5138" cm="1">
        <f t="array" ref="G5138">PRODUCT( _xlfn._xlws.FILTER($E:$E, ($C:$C=C5138)*($F:$F=F5138)) ) - 1</f>
        <v>-3.5796513208473657E-3</v>
      </c>
    </row>
    <row r="5139" spans="1:7" x14ac:dyDescent="0.2">
      <c r="A5139" s="1">
        <v>41078</v>
      </c>
      <c r="B5139">
        <v>2</v>
      </c>
      <c r="C5139" t="s">
        <v>15</v>
      </c>
      <c r="D5139">
        <v>1.9848999999999999E-2</v>
      </c>
      <c r="E5139">
        <f t="shared" si="160"/>
        <v>1.019849</v>
      </c>
      <c r="F5139" s="1">
        <f t="shared" si="161"/>
        <v>41078</v>
      </c>
      <c r="G5139" cm="1">
        <f t="array" ref="G5139">PRODUCT( _xlfn._xlws.FILTER($E:$E, ($C:$C=C5139)*($F:$F=F5139)) ) - 1</f>
        <v>2.9945450503423121E-2</v>
      </c>
    </row>
    <row r="5140" spans="1:7" x14ac:dyDescent="0.2">
      <c r="A5140" s="1">
        <v>41079</v>
      </c>
      <c r="B5140">
        <v>2</v>
      </c>
      <c r="C5140" t="s">
        <v>15</v>
      </c>
      <c r="D5140">
        <v>8.8929999999999999E-3</v>
      </c>
      <c r="E5140">
        <f t="shared" si="160"/>
        <v>1.008893</v>
      </c>
      <c r="F5140" s="1">
        <f t="shared" si="161"/>
        <v>41078</v>
      </c>
      <c r="G5140" cm="1">
        <f t="array" ref="G5140">PRODUCT( _xlfn._xlws.FILTER($E:$E, ($C:$C=C5140)*($F:$F=F5140)) ) - 1</f>
        <v>2.9945450503423121E-2</v>
      </c>
    </row>
    <row r="5141" spans="1:7" x14ac:dyDescent="0.2">
      <c r="A5141" s="1">
        <v>41080</v>
      </c>
      <c r="B5141">
        <v>2</v>
      </c>
      <c r="C5141" t="s">
        <v>15</v>
      </c>
      <c r="D5141">
        <v>1.3637E-2</v>
      </c>
      <c r="E5141">
        <f t="shared" si="160"/>
        <v>1.0136369999999999</v>
      </c>
      <c r="F5141" s="1">
        <f t="shared" si="161"/>
        <v>41078</v>
      </c>
      <c r="G5141" cm="1">
        <f t="array" ref="G5141">PRODUCT( _xlfn._xlws.FILTER($E:$E, ($C:$C=C5141)*($F:$F=F5141)) ) - 1</f>
        <v>2.9945450503423121E-2</v>
      </c>
    </row>
    <row r="5142" spans="1:7" x14ac:dyDescent="0.2">
      <c r="A5142" s="1">
        <v>41081</v>
      </c>
      <c r="B5142">
        <v>2</v>
      </c>
      <c r="C5142" t="s">
        <v>15</v>
      </c>
      <c r="D5142">
        <v>-1.3946E-2</v>
      </c>
      <c r="E5142">
        <f t="shared" si="160"/>
        <v>0.98605399999999999</v>
      </c>
      <c r="F5142" s="1">
        <f t="shared" si="161"/>
        <v>41078</v>
      </c>
      <c r="G5142" cm="1">
        <f t="array" ref="G5142">PRODUCT( _xlfn._xlws.FILTER($E:$E, ($C:$C=C5142)*($F:$F=F5142)) ) - 1</f>
        <v>2.9945450503423121E-2</v>
      </c>
    </row>
    <row r="5143" spans="1:7" x14ac:dyDescent="0.2">
      <c r="A5143" s="1">
        <v>41082</v>
      </c>
      <c r="B5143">
        <v>2</v>
      </c>
      <c r="C5143" t="s">
        <v>15</v>
      </c>
      <c r="D5143">
        <v>1.498E-3</v>
      </c>
      <c r="E5143">
        <f t="shared" si="160"/>
        <v>1.001498</v>
      </c>
      <c r="F5143" s="1">
        <f t="shared" si="161"/>
        <v>41078</v>
      </c>
      <c r="G5143" cm="1">
        <f t="array" ref="G5143">PRODUCT( _xlfn._xlws.FILTER($E:$E, ($C:$C=C5143)*($F:$F=F5143)) ) - 1</f>
        <v>2.9945450503423121E-2</v>
      </c>
    </row>
    <row r="5144" spans="1:7" x14ac:dyDescent="0.2">
      <c r="A5144" s="1">
        <v>41085</v>
      </c>
      <c r="B5144">
        <v>2</v>
      </c>
      <c r="C5144" t="s">
        <v>15</v>
      </c>
      <c r="D5144">
        <v>3.4889999999999999E-3</v>
      </c>
      <c r="E5144">
        <f t="shared" si="160"/>
        <v>1.0034890000000001</v>
      </c>
      <c r="F5144" s="1">
        <f t="shared" si="161"/>
        <v>41085</v>
      </c>
      <c r="G5144" cm="1">
        <f t="array" ref="G5144">PRODUCT( _xlfn._xlws.FILTER($E:$E, ($C:$C=C5144)*($F:$F=F5144)) ) - 1</f>
        <v>1.5783101892582918E-2</v>
      </c>
    </row>
    <row r="5145" spans="1:7" x14ac:dyDescent="0.2">
      <c r="A5145" s="1">
        <v>41086</v>
      </c>
      <c r="B5145">
        <v>2</v>
      </c>
      <c r="C5145" t="s">
        <v>15</v>
      </c>
      <c r="D5145">
        <v>6.6200000000000005E-4</v>
      </c>
      <c r="E5145">
        <f t="shared" si="160"/>
        <v>1.0006619999999999</v>
      </c>
      <c r="F5145" s="1">
        <f t="shared" si="161"/>
        <v>41085</v>
      </c>
      <c r="G5145" cm="1">
        <f t="array" ref="G5145">PRODUCT( _xlfn._xlws.FILTER($E:$E, ($C:$C=C5145)*($F:$F=F5145)) ) - 1</f>
        <v>1.5783101892582918E-2</v>
      </c>
    </row>
    <row r="5146" spans="1:7" x14ac:dyDescent="0.2">
      <c r="A5146" s="1">
        <v>41087</v>
      </c>
      <c r="B5146">
        <v>2</v>
      </c>
      <c r="C5146" t="s">
        <v>15</v>
      </c>
      <c r="D5146">
        <v>-6.9490000000000003E-3</v>
      </c>
      <c r="E5146">
        <f t="shared" si="160"/>
        <v>0.99305100000000002</v>
      </c>
      <c r="F5146" s="1">
        <f t="shared" si="161"/>
        <v>41085</v>
      </c>
      <c r="G5146" cm="1">
        <f t="array" ref="G5146">PRODUCT( _xlfn._xlws.FILTER($E:$E, ($C:$C=C5146)*($F:$F=F5146)) ) - 1</f>
        <v>1.5783101892582918E-2</v>
      </c>
    </row>
    <row r="5147" spans="1:7" x14ac:dyDescent="0.2">
      <c r="A5147" s="1">
        <v>41088</v>
      </c>
      <c r="B5147">
        <v>2</v>
      </c>
      <c r="C5147" t="s">
        <v>15</v>
      </c>
      <c r="D5147">
        <v>1.0996000000000001E-2</v>
      </c>
      <c r="E5147">
        <f t="shared" si="160"/>
        <v>1.010996</v>
      </c>
      <c r="F5147" s="1">
        <f t="shared" si="161"/>
        <v>41085</v>
      </c>
      <c r="G5147" cm="1">
        <f t="array" ref="G5147">PRODUCT( _xlfn._xlws.FILTER($E:$E, ($C:$C=C5147)*($F:$F=F5147)) ) - 1</f>
        <v>1.5783101892582918E-2</v>
      </c>
    </row>
    <row r="5148" spans="1:7" x14ac:dyDescent="0.2">
      <c r="A5148" s="1">
        <v>41089</v>
      </c>
      <c r="B5148">
        <v>2</v>
      </c>
      <c r="C5148" t="s">
        <v>15</v>
      </c>
      <c r="D5148">
        <v>7.5810000000000001E-3</v>
      </c>
      <c r="E5148">
        <f t="shared" si="160"/>
        <v>1.0075810000000001</v>
      </c>
      <c r="F5148" s="1">
        <f t="shared" si="161"/>
        <v>41085</v>
      </c>
      <c r="G5148" cm="1">
        <f t="array" ref="G5148">PRODUCT( _xlfn._xlws.FILTER($E:$E, ($C:$C=C5148)*($F:$F=F5148)) ) - 1</f>
        <v>1.5783101892582918E-2</v>
      </c>
    </row>
    <row r="5149" spans="1:7" x14ac:dyDescent="0.2">
      <c r="A5149" s="1">
        <v>41093</v>
      </c>
      <c r="B5149">
        <v>2</v>
      </c>
      <c r="C5149" t="s">
        <v>15</v>
      </c>
      <c r="D5149">
        <v>2.5352E-2</v>
      </c>
      <c r="E5149">
        <f t="shared" si="160"/>
        <v>1.025352</v>
      </c>
      <c r="F5149" s="1">
        <f t="shared" si="161"/>
        <v>41092</v>
      </c>
      <c r="G5149" cm="1">
        <f t="array" ref="G5149">PRODUCT( _xlfn._xlws.FILTER($E:$E, ($C:$C=C5149)*($F:$F=F5149)) ) - 1</f>
        <v>2.4044455586688773E-2</v>
      </c>
    </row>
    <row r="5150" spans="1:7" x14ac:dyDescent="0.2">
      <c r="A5150" s="1">
        <v>41094</v>
      </c>
      <c r="B5150">
        <v>2</v>
      </c>
      <c r="C5150" t="s">
        <v>15</v>
      </c>
      <c r="D5150">
        <v>3.3500000000000001E-3</v>
      </c>
      <c r="E5150">
        <f t="shared" si="160"/>
        <v>1.00335</v>
      </c>
      <c r="F5150" s="1">
        <f t="shared" si="161"/>
        <v>41092</v>
      </c>
      <c r="G5150" cm="1">
        <f t="array" ref="G5150">PRODUCT( _xlfn._xlws.FILTER($E:$E, ($C:$C=C5150)*($F:$F=F5150)) ) - 1</f>
        <v>2.4044455586688773E-2</v>
      </c>
    </row>
    <row r="5151" spans="1:7" x14ac:dyDescent="0.2">
      <c r="A5151" s="1">
        <v>41095</v>
      </c>
      <c r="B5151">
        <v>2</v>
      </c>
      <c r="C5151" t="s">
        <v>15</v>
      </c>
      <c r="D5151">
        <v>2.0669999999999998E-3</v>
      </c>
      <c r="E5151">
        <f t="shared" si="160"/>
        <v>1.002067</v>
      </c>
      <c r="F5151" s="1">
        <f t="shared" si="161"/>
        <v>41092</v>
      </c>
      <c r="G5151" cm="1">
        <f t="array" ref="G5151">PRODUCT( _xlfn._xlws.FILTER($E:$E, ($C:$C=C5151)*($F:$F=F5151)) ) - 1</f>
        <v>2.4044455586688773E-2</v>
      </c>
    </row>
    <row r="5152" spans="1:7" x14ac:dyDescent="0.2">
      <c r="A5152" s="1">
        <v>41096</v>
      </c>
      <c r="B5152">
        <v>2</v>
      </c>
      <c r="C5152" t="s">
        <v>15</v>
      </c>
      <c r="D5152">
        <v>-6.6629999999999997E-3</v>
      </c>
      <c r="E5152">
        <f t="shared" si="160"/>
        <v>0.99333700000000003</v>
      </c>
      <c r="F5152" s="1">
        <f t="shared" si="161"/>
        <v>41092</v>
      </c>
      <c r="G5152" cm="1">
        <f t="array" ref="G5152">PRODUCT( _xlfn._xlws.FILTER($E:$E, ($C:$C=C5152)*($F:$F=F5152)) ) - 1</f>
        <v>2.4044455586688773E-2</v>
      </c>
    </row>
    <row r="5153" spans="1:7" x14ac:dyDescent="0.2">
      <c r="A5153" s="1">
        <v>41099</v>
      </c>
      <c r="B5153">
        <v>2</v>
      </c>
      <c r="C5153" t="s">
        <v>15</v>
      </c>
      <c r="D5153">
        <v>7.3470000000000002E-3</v>
      </c>
      <c r="E5153">
        <f t="shared" si="160"/>
        <v>1.007347</v>
      </c>
      <c r="F5153" s="1">
        <f t="shared" si="161"/>
        <v>41099</v>
      </c>
      <c r="G5153" cm="1">
        <f t="array" ref="G5153">PRODUCT( _xlfn._xlws.FILTER($E:$E, ($C:$C=C5153)*($F:$F=F5153)) ) - 1</f>
        <v>-4.4731162096824928E-3</v>
      </c>
    </row>
    <row r="5154" spans="1:7" x14ac:dyDescent="0.2">
      <c r="A5154" s="1">
        <v>41100</v>
      </c>
      <c r="B5154">
        <v>2</v>
      </c>
      <c r="C5154" t="s">
        <v>15</v>
      </c>
      <c r="D5154">
        <v>2.6949999999999999E-3</v>
      </c>
      <c r="E5154">
        <f t="shared" si="160"/>
        <v>1.0026949999999999</v>
      </c>
      <c r="F5154" s="1">
        <f t="shared" si="161"/>
        <v>41099</v>
      </c>
      <c r="G5154" cm="1">
        <f t="array" ref="G5154">PRODUCT( _xlfn._xlws.FILTER($E:$E, ($C:$C=C5154)*($F:$F=F5154)) ) - 1</f>
        <v>-4.4731162096824928E-3</v>
      </c>
    </row>
    <row r="5155" spans="1:7" x14ac:dyDescent="0.2">
      <c r="A5155" s="1">
        <v>41101</v>
      </c>
      <c r="B5155">
        <v>2</v>
      </c>
      <c r="C5155" t="s">
        <v>15</v>
      </c>
      <c r="D5155">
        <v>-1.5970999999999999E-2</v>
      </c>
      <c r="E5155">
        <f t="shared" si="160"/>
        <v>0.98402900000000004</v>
      </c>
      <c r="F5155" s="1">
        <f t="shared" si="161"/>
        <v>41099</v>
      </c>
      <c r="G5155" cm="1">
        <f t="array" ref="G5155">PRODUCT( _xlfn._xlws.FILTER($E:$E, ($C:$C=C5155)*($F:$F=F5155)) ) - 1</f>
        <v>-4.4731162096824928E-3</v>
      </c>
    </row>
    <row r="5156" spans="1:7" x14ac:dyDescent="0.2">
      <c r="A5156" s="1">
        <v>41102</v>
      </c>
      <c r="B5156">
        <v>2</v>
      </c>
      <c r="C5156" t="s">
        <v>15</v>
      </c>
      <c r="D5156">
        <v>5.6239999999999997E-3</v>
      </c>
      <c r="E5156">
        <f t="shared" si="160"/>
        <v>1.0056240000000001</v>
      </c>
      <c r="F5156" s="1">
        <f t="shared" si="161"/>
        <v>41099</v>
      </c>
      <c r="G5156" cm="1">
        <f t="array" ref="G5156">PRODUCT( _xlfn._xlws.FILTER($E:$E, ($C:$C=C5156)*($F:$F=F5156)) ) - 1</f>
        <v>-4.4731162096824928E-3</v>
      </c>
    </row>
    <row r="5157" spans="1:7" x14ac:dyDescent="0.2">
      <c r="A5157" s="1">
        <v>41103</v>
      </c>
      <c r="B5157">
        <v>2</v>
      </c>
      <c r="C5157" t="s">
        <v>15</v>
      </c>
      <c r="D5157">
        <v>-3.9950000000000003E-3</v>
      </c>
      <c r="E5157">
        <f t="shared" si="160"/>
        <v>0.99600500000000003</v>
      </c>
      <c r="F5157" s="1">
        <f t="shared" si="161"/>
        <v>41099</v>
      </c>
      <c r="G5157" cm="1">
        <f t="array" ref="G5157">PRODUCT( _xlfn._xlws.FILTER($E:$E, ($C:$C=C5157)*($F:$F=F5157)) ) - 1</f>
        <v>-4.4731162096824928E-3</v>
      </c>
    </row>
    <row r="5158" spans="1:7" x14ac:dyDescent="0.2">
      <c r="A5158" s="1">
        <v>41106</v>
      </c>
      <c r="B5158">
        <v>2</v>
      </c>
      <c r="C5158" t="s">
        <v>15</v>
      </c>
      <c r="D5158">
        <v>0</v>
      </c>
      <c r="E5158">
        <f t="shared" si="160"/>
        <v>1</v>
      </c>
      <c r="F5158" s="1">
        <f t="shared" si="161"/>
        <v>41106</v>
      </c>
      <c r="G5158" cm="1">
        <f t="array" ref="G5158">PRODUCT( _xlfn._xlws.FILTER($E:$E, ($C:$C=C5158)*($F:$F=F5158)) ) - 1</f>
        <v>-1.5562586410384993E-2</v>
      </c>
    </row>
    <row r="5159" spans="1:7" x14ac:dyDescent="0.2">
      <c r="A5159" s="1">
        <v>41107</v>
      </c>
      <c r="B5159">
        <v>2</v>
      </c>
      <c r="C5159" t="s">
        <v>15</v>
      </c>
      <c r="D5159">
        <v>1.1230000000000001E-3</v>
      </c>
      <c r="E5159">
        <f t="shared" si="160"/>
        <v>1.001123</v>
      </c>
      <c r="F5159" s="1">
        <f t="shared" si="161"/>
        <v>41106</v>
      </c>
      <c r="G5159" cm="1">
        <f t="array" ref="G5159">PRODUCT( _xlfn._xlws.FILTER($E:$E, ($C:$C=C5159)*($F:$F=F5159)) ) - 1</f>
        <v>-1.5562586410384993E-2</v>
      </c>
    </row>
    <row r="5160" spans="1:7" x14ac:dyDescent="0.2">
      <c r="A5160" s="1">
        <v>41108</v>
      </c>
      <c r="B5160">
        <v>2</v>
      </c>
      <c r="C5160" t="s">
        <v>15</v>
      </c>
      <c r="D5160">
        <v>4.6470000000000001E-3</v>
      </c>
      <c r="E5160">
        <f t="shared" si="160"/>
        <v>1.0046470000000001</v>
      </c>
      <c r="F5160" s="1">
        <f t="shared" si="161"/>
        <v>41106</v>
      </c>
      <c r="G5160" cm="1">
        <f t="array" ref="G5160">PRODUCT( _xlfn._xlws.FILTER($E:$E, ($C:$C=C5160)*($F:$F=F5160)) ) - 1</f>
        <v>-1.5562586410384993E-2</v>
      </c>
    </row>
    <row r="5161" spans="1:7" x14ac:dyDescent="0.2">
      <c r="A5161" s="1">
        <v>41109</v>
      </c>
      <c r="B5161">
        <v>2</v>
      </c>
      <c r="C5161" t="s">
        <v>15</v>
      </c>
      <c r="D5161">
        <v>-9.2519999999999998E-3</v>
      </c>
      <c r="E5161">
        <f t="shared" si="160"/>
        <v>0.99074799999999996</v>
      </c>
      <c r="F5161" s="1">
        <f t="shared" si="161"/>
        <v>41106</v>
      </c>
      <c r="G5161" cm="1">
        <f t="array" ref="G5161">PRODUCT( _xlfn._xlws.FILTER($E:$E, ($C:$C=C5161)*($F:$F=F5161)) ) - 1</f>
        <v>-1.5562586410384993E-2</v>
      </c>
    </row>
    <row r="5162" spans="1:7" x14ac:dyDescent="0.2">
      <c r="A5162" s="1">
        <v>41110</v>
      </c>
      <c r="B5162">
        <v>2</v>
      </c>
      <c r="C5162" t="s">
        <v>15</v>
      </c>
      <c r="D5162">
        <v>-1.2075000000000001E-2</v>
      </c>
      <c r="E5162">
        <f t="shared" si="160"/>
        <v>0.98792500000000005</v>
      </c>
      <c r="F5162" s="1">
        <f t="shared" si="161"/>
        <v>41106</v>
      </c>
      <c r="G5162" cm="1">
        <f t="array" ref="G5162">PRODUCT( _xlfn._xlws.FILTER($E:$E, ($C:$C=C5162)*($F:$F=F5162)) ) - 1</f>
        <v>-1.5562586410384993E-2</v>
      </c>
    </row>
    <row r="5163" spans="1:7" x14ac:dyDescent="0.2">
      <c r="A5163" s="1">
        <v>41113</v>
      </c>
      <c r="B5163">
        <v>2</v>
      </c>
      <c r="C5163" t="s">
        <v>15</v>
      </c>
      <c r="D5163">
        <v>1.1571E-2</v>
      </c>
      <c r="E5163">
        <f t="shared" si="160"/>
        <v>1.011571</v>
      </c>
      <c r="F5163" s="1">
        <f t="shared" si="161"/>
        <v>41113</v>
      </c>
      <c r="G5163" cm="1">
        <f t="array" ref="G5163">PRODUCT( _xlfn._xlws.FILTER($E:$E, ($C:$C=C5163)*($F:$F=F5163)) ) - 1</f>
        <v>2.3956792555718032E-2</v>
      </c>
    </row>
    <row r="5164" spans="1:7" x14ac:dyDescent="0.2">
      <c r="A5164" s="1">
        <v>41114</v>
      </c>
      <c r="B5164">
        <v>2</v>
      </c>
      <c r="C5164" t="s">
        <v>15</v>
      </c>
      <c r="D5164">
        <v>1.611E-3</v>
      </c>
      <c r="E5164">
        <f t="shared" si="160"/>
        <v>1.001611</v>
      </c>
      <c r="F5164" s="1">
        <f t="shared" si="161"/>
        <v>41113</v>
      </c>
      <c r="G5164" cm="1">
        <f t="array" ref="G5164">PRODUCT( _xlfn._xlws.FILTER($E:$E, ($C:$C=C5164)*($F:$F=F5164)) ) - 1</f>
        <v>2.3956792555718032E-2</v>
      </c>
    </row>
    <row r="5165" spans="1:7" x14ac:dyDescent="0.2">
      <c r="A5165" s="1">
        <v>41115</v>
      </c>
      <c r="B5165">
        <v>2</v>
      </c>
      <c r="C5165" t="s">
        <v>15</v>
      </c>
      <c r="D5165">
        <v>-3.7000000000000002E-3</v>
      </c>
      <c r="E5165">
        <f t="shared" si="160"/>
        <v>0.99629999999999996</v>
      </c>
      <c r="F5165" s="1">
        <f t="shared" si="161"/>
        <v>41113</v>
      </c>
      <c r="G5165" cm="1">
        <f t="array" ref="G5165">PRODUCT( _xlfn._xlws.FILTER($E:$E, ($C:$C=C5165)*($F:$F=F5165)) ) - 1</f>
        <v>2.3956792555718032E-2</v>
      </c>
    </row>
    <row r="5166" spans="1:7" x14ac:dyDescent="0.2">
      <c r="A5166" s="1">
        <v>41116</v>
      </c>
      <c r="B5166">
        <v>2</v>
      </c>
      <c r="C5166" t="s">
        <v>15</v>
      </c>
      <c r="D5166">
        <v>7.4269999999999996E-3</v>
      </c>
      <c r="E5166">
        <f t="shared" si="160"/>
        <v>1.0074270000000001</v>
      </c>
      <c r="F5166" s="1">
        <f t="shared" si="161"/>
        <v>41113</v>
      </c>
      <c r="G5166" cm="1">
        <f t="array" ref="G5166">PRODUCT( _xlfn._xlws.FILTER($E:$E, ($C:$C=C5166)*($F:$F=F5166)) ) - 1</f>
        <v>2.3956792555718032E-2</v>
      </c>
    </row>
    <row r="5167" spans="1:7" x14ac:dyDescent="0.2">
      <c r="A5167" s="1">
        <v>41117</v>
      </c>
      <c r="B5167">
        <v>2</v>
      </c>
      <c r="C5167" t="s">
        <v>15</v>
      </c>
      <c r="D5167">
        <v>6.8910000000000004E-3</v>
      </c>
      <c r="E5167">
        <f t="shared" si="160"/>
        <v>1.006891</v>
      </c>
      <c r="F5167" s="1">
        <f t="shared" si="161"/>
        <v>41113</v>
      </c>
      <c r="G5167" cm="1">
        <f t="array" ref="G5167">PRODUCT( _xlfn._xlws.FILTER($E:$E, ($C:$C=C5167)*($F:$F=F5167)) ) - 1</f>
        <v>2.3956792555718032E-2</v>
      </c>
    </row>
    <row r="5168" spans="1:7" x14ac:dyDescent="0.2">
      <c r="A5168" s="1">
        <v>41120</v>
      </c>
      <c r="B5168">
        <v>2</v>
      </c>
      <c r="C5168" t="s">
        <v>15</v>
      </c>
      <c r="D5168">
        <v>2.7060000000000001E-3</v>
      </c>
      <c r="E5168">
        <f t="shared" si="160"/>
        <v>1.0027060000000001</v>
      </c>
      <c r="F5168" s="1">
        <f t="shared" si="161"/>
        <v>41120</v>
      </c>
      <c r="G5168" cm="1">
        <f t="array" ref="G5168">PRODUCT( _xlfn._xlws.FILTER($E:$E, ($C:$C=C5168)*($F:$F=F5168)) ) - 1</f>
        <v>5.4110656274157787E-3</v>
      </c>
    </row>
    <row r="5169" spans="1:7" x14ac:dyDescent="0.2">
      <c r="A5169" s="1">
        <v>41121</v>
      </c>
      <c r="B5169">
        <v>2</v>
      </c>
      <c r="C5169" t="s">
        <v>15</v>
      </c>
      <c r="D5169">
        <v>-6.032E-3</v>
      </c>
      <c r="E5169">
        <f t="shared" si="160"/>
        <v>0.99396799999999996</v>
      </c>
      <c r="F5169" s="1">
        <f t="shared" si="161"/>
        <v>41120</v>
      </c>
      <c r="G5169" cm="1">
        <f t="array" ref="G5169">PRODUCT( _xlfn._xlws.FILTER($E:$E, ($C:$C=C5169)*($F:$F=F5169)) ) - 1</f>
        <v>5.4110656274157787E-3</v>
      </c>
    </row>
    <row r="5170" spans="1:7" x14ac:dyDescent="0.2">
      <c r="A5170" s="1">
        <v>41122</v>
      </c>
      <c r="B5170">
        <v>2</v>
      </c>
      <c r="C5170" t="s">
        <v>15</v>
      </c>
      <c r="D5170">
        <v>1.4369999999999999E-3</v>
      </c>
      <c r="E5170">
        <f t="shared" si="160"/>
        <v>1.0014369999999999</v>
      </c>
      <c r="F5170" s="1">
        <f t="shared" si="161"/>
        <v>41120</v>
      </c>
      <c r="G5170" cm="1">
        <f t="array" ref="G5170">PRODUCT( _xlfn._xlws.FILTER($E:$E, ($C:$C=C5170)*($F:$F=F5170)) ) - 1</f>
        <v>5.4110656274157787E-3</v>
      </c>
    </row>
    <row r="5171" spans="1:7" x14ac:dyDescent="0.2">
      <c r="A5171" s="1">
        <v>41123</v>
      </c>
      <c r="B5171">
        <v>2</v>
      </c>
      <c r="C5171" t="s">
        <v>15</v>
      </c>
      <c r="D5171">
        <v>-5.1029999999999999E-3</v>
      </c>
      <c r="E5171">
        <f t="shared" si="160"/>
        <v>0.99489700000000003</v>
      </c>
      <c r="F5171" s="1">
        <f t="shared" si="161"/>
        <v>41120</v>
      </c>
      <c r="G5171" cm="1">
        <f t="array" ref="G5171">PRODUCT( _xlfn._xlws.FILTER($E:$E, ($C:$C=C5171)*($F:$F=F5171)) ) - 1</f>
        <v>5.4110656274157787E-3</v>
      </c>
    </row>
    <row r="5172" spans="1:7" x14ac:dyDescent="0.2">
      <c r="A5172" s="1">
        <v>41124</v>
      </c>
      <c r="B5172">
        <v>2</v>
      </c>
      <c r="C5172" t="s">
        <v>15</v>
      </c>
      <c r="D5172">
        <v>1.2501999999999999E-2</v>
      </c>
      <c r="E5172">
        <f t="shared" si="160"/>
        <v>1.012502</v>
      </c>
      <c r="F5172" s="1">
        <f t="shared" si="161"/>
        <v>41120</v>
      </c>
      <c r="G5172" cm="1">
        <f t="array" ref="G5172">PRODUCT( _xlfn._xlws.FILTER($E:$E, ($C:$C=C5172)*($F:$F=F5172)) ) - 1</f>
        <v>5.4110656274157787E-3</v>
      </c>
    </row>
    <row r="5173" spans="1:7" x14ac:dyDescent="0.2">
      <c r="A5173" s="1">
        <v>41128</v>
      </c>
      <c r="B5173">
        <v>2</v>
      </c>
      <c r="C5173" t="s">
        <v>15</v>
      </c>
      <c r="D5173">
        <v>2.0896000000000001E-2</v>
      </c>
      <c r="E5173">
        <f t="shared" si="160"/>
        <v>1.020896</v>
      </c>
      <c r="F5173" s="1">
        <f t="shared" si="161"/>
        <v>41127</v>
      </c>
      <c r="G5173" cm="1">
        <f t="array" ref="G5173">PRODUCT( _xlfn._xlws.FILTER($E:$E, ($C:$C=C5173)*($F:$F=F5173)) ) - 1</f>
        <v>2.9602211055679728E-2</v>
      </c>
    </row>
    <row r="5174" spans="1:7" x14ac:dyDescent="0.2">
      <c r="A5174" s="1">
        <v>41129</v>
      </c>
      <c r="B5174">
        <v>2</v>
      </c>
      <c r="C5174" t="s">
        <v>15</v>
      </c>
      <c r="D5174">
        <v>-7.443E-3</v>
      </c>
      <c r="E5174">
        <f t="shared" si="160"/>
        <v>0.99255700000000002</v>
      </c>
      <c r="F5174" s="1">
        <f t="shared" si="161"/>
        <v>41127</v>
      </c>
      <c r="G5174" cm="1">
        <f t="array" ref="G5174">PRODUCT( _xlfn._xlws.FILTER($E:$E, ($C:$C=C5174)*($F:$F=F5174)) ) - 1</f>
        <v>2.9602211055679728E-2</v>
      </c>
    </row>
    <row r="5175" spans="1:7" x14ac:dyDescent="0.2">
      <c r="A5175" s="1">
        <v>41130</v>
      </c>
      <c r="B5175">
        <v>2</v>
      </c>
      <c r="C5175" t="s">
        <v>15</v>
      </c>
      <c r="D5175">
        <v>1.5310000000000001E-2</v>
      </c>
      <c r="E5175">
        <f t="shared" si="160"/>
        <v>1.0153099999999999</v>
      </c>
      <c r="F5175" s="1">
        <f t="shared" si="161"/>
        <v>41127</v>
      </c>
      <c r="G5175" cm="1">
        <f t="array" ref="G5175">PRODUCT( _xlfn._xlws.FILTER($E:$E, ($C:$C=C5175)*($F:$F=F5175)) ) - 1</f>
        <v>2.9602211055679728E-2</v>
      </c>
    </row>
    <row r="5176" spans="1:7" x14ac:dyDescent="0.2">
      <c r="A5176" s="1">
        <v>41131</v>
      </c>
      <c r="B5176">
        <v>2</v>
      </c>
      <c r="C5176" t="s">
        <v>15</v>
      </c>
      <c r="D5176">
        <v>7.6900000000000004E-4</v>
      </c>
      <c r="E5176">
        <f t="shared" si="160"/>
        <v>1.000769</v>
      </c>
      <c r="F5176" s="1">
        <f t="shared" si="161"/>
        <v>41127</v>
      </c>
      <c r="G5176" cm="1">
        <f t="array" ref="G5176">PRODUCT( _xlfn._xlws.FILTER($E:$E, ($C:$C=C5176)*($F:$F=F5176)) ) - 1</f>
        <v>2.9602211055679728E-2</v>
      </c>
    </row>
    <row r="5177" spans="1:7" x14ac:dyDescent="0.2">
      <c r="A5177" s="1">
        <v>41134</v>
      </c>
      <c r="B5177">
        <v>2</v>
      </c>
      <c r="C5177" t="s">
        <v>15</v>
      </c>
      <c r="D5177">
        <v>-4.6129999999999999E-3</v>
      </c>
      <c r="E5177">
        <f t="shared" si="160"/>
        <v>0.99538700000000002</v>
      </c>
      <c r="F5177" s="1">
        <f t="shared" si="161"/>
        <v>41134</v>
      </c>
      <c r="G5177" cm="1">
        <f t="array" ref="G5177">PRODUCT( _xlfn._xlws.FILTER($E:$E, ($C:$C=C5177)*($F:$F=F5177)) ) - 1</f>
        <v>-1.9066149707384517E-2</v>
      </c>
    </row>
    <row r="5178" spans="1:7" x14ac:dyDescent="0.2">
      <c r="A5178" s="1">
        <v>41135</v>
      </c>
      <c r="B5178">
        <v>2</v>
      </c>
      <c r="C5178" t="s">
        <v>15</v>
      </c>
      <c r="D5178">
        <v>-2.163E-3</v>
      </c>
      <c r="E5178">
        <f t="shared" si="160"/>
        <v>0.99783699999999997</v>
      </c>
      <c r="F5178" s="1">
        <f t="shared" si="161"/>
        <v>41134</v>
      </c>
      <c r="G5178" cm="1">
        <f t="array" ref="G5178">PRODUCT( _xlfn._xlws.FILTER($E:$E, ($C:$C=C5178)*($F:$F=F5178)) ) - 1</f>
        <v>-1.9066149707384517E-2</v>
      </c>
    </row>
    <row r="5179" spans="1:7" x14ac:dyDescent="0.2">
      <c r="A5179" s="1">
        <v>41136</v>
      </c>
      <c r="B5179">
        <v>2</v>
      </c>
      <c r="C5179" t="s">
        <v>15</v>
      </c>
      <c r="D5179">
        <v>4.3340000000000002E-3</v>
      </c>
      <c r="E5179">
        <f t="shared" si="160"/>
        <v>1.0043340000000001</v>
      </c>
      <c r="F5179" s="1">
        <f t="shared" si="161"/>
        <v>41134</v>
      </c>
      <c r="G5179" cm="1">
        <f t="array" ref="G5179">PRODUCT( _xlfn._xlws.FILTER($E:$E, ($C:$C=C5179)*($F:$F=F5179)) ) - 1</f>
        <v>-1.9066149707384517E-2</v>
      </c>
    </row>
    <row r="5180" spans="1:7" x14ac:dyDescent="0.2">
      <c r="A5180" s="1">
        <v>41137</v>
      </c>
      <c r="B5180">
        <v>2</v>
      </c>
      <c r="C5180" t="s">
        <v>15</v>
      </c>
      <c r="D5180">
        <v>-2.1578E-2</v>
      </c>
      <c r="E5180">
        <f t="shared" si="160"/>
        <v>0.97842200000000001</v>
      </c>
      <c r="F5180" s="1">
        <f t="shared" si="161"/>
        <v>41134</v>
      </c>
      <c r="G5180" cm="1">
        <f t="array" ref="G5180">PRODUCT( _xlfn._xlws.FILTER($E:$E, ($C:$C=C5180)*($F:$F=F5180)) ) - 1</f>
        <v>-1.9066149707384517E-2</v>
      </c>
    </row>
    <row r="5181" spans="1:7" x14ac:dyDescent="0.2">
      <c r="A5181" s="1">
        <v>41138</v>
      </c>
      <c r="B5181">
        <v>2</v>
      </c>
      <c r="C5181" t="s">
        <v>15</v>
      </c>
      <c r="D5181">
        <v>5.0410000000000003E-3</v>
      </c>
      <c r="E5181">
        <f t="shared" si="160"/>
        <v>1.0050410000000001</v>
      </c>
      <c r="F5181" s="1">
        <f t="shared" si="161"/>
        <v>41134</v>
      </c>
      <c r="G5181" cm="1">
        <f t="array" ref="G5181">PRODUCT( _xlfn._xlws.FILTER($E:$E, ($C:$C=C5181)*($F:$F=F5181)) ) - 1</f>
        <v>-1.9066149707384517E-2</v>
      </c>
    </row>
    <row r="5182" spans="1:7" x14ac:dyDescent="0.2">
      <c r="A5182" s="1">
        <v>41141</v>
      </c>
      <c r="B5182">
        <v>2</v>
      </c>
      <c r="C5182" t="s">
        <v>15</v>
      </c>
      <c r="D5182">
        <v>7.3670000000000003E-3</v>
      </c>
      <c r="E5182">
        <f t="shared" si="160"/>
        <v>1.0073669999999999</v>
      </c>
      <c r="F5182" s="1">
        <f t="shared" si="161"/>
        <v>41141</v>
      </c>
      <c r="G5182" cm="1">
        <f t="array" ref="G5182">PRODUCT( _xlfn._xlws.FILTER($E:$E, ($C:$C=C5182)*($F:$F=F5182)) ) - 1</f>
        <v>3.1338068747535086E-3</v>
      </c>
    </row>
    <row r="5183" spans="1:7" x14ac:dyDescent="0.2">
      <c r="A5183" s="1">
        <v>41142</v>
      </c>
      <c r="B5183">
        <v>2</v>
      </c>
      <c r="C5183" t="s">
        <v>15</v>
      </c>
      <c r="D5183">
        <v>-1.1981E-2</v>
      </c>
      <c r="E5183">
        <f t="shared" si="160"/>
        <v>0.98801899999999998</v>
      </c>
      <c r="F5183" s="1">
        <f t="shared" si="161"/>
        <v>41141</v>
      </c>
      <c r="G5183" cm="1">
        <f t="array" ref="G5183">PRODUCT( _xlfn._xlws.FILTER($E:$E, ($C:$C=C5183)*($F:$F=F5183)) ) - 1</f>
        <v>3.1338068747535086E-3</v>
      </c>
    </row>
    <row r="5184" spans="1:7" x14ac:dyDescent="0.2">
      <c r="A5184" s="1">
        <v>41143</v>
      </c>
      <c r="B5184">
        <v>2</v>
      </c>
      <c r="C5184" t="s">
        <v>15</v>
      </c>
      <c r="D5184">
        <v>-6.7720000000000002E-3</v>
      </c>
      <c r="E5184">
        <f t="shared" si="160"/>
        <v>0.993228</v>
      </c>
      <c r="F5184" s="1">
        <f t="shared" si="161"/>
        <v>41141</v>
      </c>
      <c r="G5184" cm="1">
        <f t="array" ref="G5184">PRODUCT( _xlfn._xlws.FILTER($E:$E, ($C:$C=C5184)*($F:$F=F5184)) ) - 1</f>
        <v>3.1338068747535086E-3</v>
      </c>
    </row>
    <row r="5185" spans="1:7" x14ac:dyDescent="0.2">
      <c r="A5185" s="1">
        <v>41144</v>
      </c>
      <c r="B5185">
        <v>2</v>
      </c>
      <c r="C5185" t="s">
        <v>15</v>
      </c>
      <c r="D5185">
        <v>7.4520000000000003E-3</v>
      </c>
      <c r="E5185">
        <f t="shared" si="160"/>
        <v>1.007452</v>
      </c>
      <c r="F5185" s="1">
        <f t="shared" si="161"/>
        <v>41141</v>
      </c>
      <c r="G5185" cm="1">
        <f t="array" ref="G5185">PRODUCT( _xlfn._xlws.FILTER($E:$E, ($C:$C=C5185)*($F:$F=F5185)) ) - 1</f>
        <v>3.1338068747535086E-3</v>
      </c>
    </row>
    <row r="5186" spans="1:7" x14ac:dyDescent="0.2">
      <c r="A5186" s="1">
        <v>41145</v>
      </c>
      <c r="B5186">
        <v>2</v>
      </c>
      <c r="C5186" t="s">
        <v>15</v>
      </c>
      <c r="D5186">
        <v>7.2389999999999998E-3</v>
      </c>
      <c r="E5186">
        <f t="shared" si="160"/>
        <v>1.007239</v>
      </c>
      <c r="F5186" s="1">
        <f t="shared" si="161"/>
        <v>41141</v>
      </c>
      <c r="G5186" cm="1">
        <f t="array" ref="G5186">PRODUCT( _xlfn._xlws.FILTER($E:$E, ($C:$C=C5186)*($F:$F=F5186)) ) - 1</f>
        <v>3.1338068747535086E-3</v>
      </c>
    </row>
    <row r="5187" spans="1:7" x14ac:dyDescent="0.2">
      <c r="A5187" s="1">
        <v>41148</v>
      </c>
      <c r="B5187">
        <v>2</v>
      </c>
      <c r="C5187" t="s">
        <v>15</v>
      </c>
      <c r="D5187">
        <v>4.2189999999999997E-3</v>
      </c>
      <c r="E5187">
        <f t="shared" si="160"/>
        <v>1.004219</v>
      </c>
      <c r="F5187" s="1">
        <f t="shared" si="161"/>
        <v>41148</v>
      </c>
      <c r="G5187" cm="1">
        <f t="array" ref="G5187">PRODUCT( _xlfn._xlws.FILTER($E:$E, ($C:$C=C5187)*($F:$F=F5187)) ) - 1</f>
        <v>-3.0155664463311305E-2</v>
      </c>
    </row>
    <row r="5188" spans="1:7" x14ac:dyDescent="0.2">
      <c r="A5188" s="1">
        <v>41149</v>
      </c>
      <c r="B5188">
        <v>2</v>
      </c>
      <c r="C5188" t="s">
        <v>15</v>
      </c>
      <c r="D5188">
        <v>-6.6899999999999998E-3</v>
      </c>
      <c r="E5188">
        <f t="shared" ref="E5188:E5251" si="162">D5188+1</f>
        <v>0.99331000000000003</v>
      </c>
      <c r="F5188" s="1">
        <f t="shared" ref="F5188:F5251" si="163">A5188 - (WEEKDAY(A5188, 2) - 1)</f>
        <v>41148</v>
      </c>
      <c r="G5188" cm="1">
        <f t="array" ref="G5188">PRODUCT( _xlfn._xlws.FILTER($E:$E, ($C:$C=C5188)*($F:$F=F5188)) ) - 1</f>
        <v>-3.0155664463311305E-2</v>
      </c>
    </row>
    <row r="5189" spans="1:7" x14ac:dyDescent="0.2">
      <c r="A5189" s="1">
        <v>41150</v>
      </c>
      <c r="B5189">
        <v>2</v>
      </c>
      <c r="C5189" t="s">
        <v>15</v>
      </c>
      <c r="D5189">
        <v>1.3471E-2</v>
      </c>
      <c r="E5189">
        <f t="shared" si="162"/>
        <v>1.013471</v>
      </c>
      <c r="F5189" s="1">
        <f t="shared" si="163"/>
        <v>41148</v>
      </c>
      <c r="G5189" cm="1">
        <f t="array" ref="G5189">PRODUCT( _xlfn._xlws.FILTER($E:$E, ($C:$C=C5189)*($F:$F=F5189)) ) - 1</f>
        <v>-3.0155664463311305E-2</v>
      </c>
    </row>
    <row r="5190" spans="1:7" x14ac:dyDescent="0.2">
      <c r="A5190" s="1">
        <v>41151</v>
      </c>
      <c r="B5190">
        <v>2</v>
      </c>
      <c r="C5190" t="s">
        <v>15</v>
      </c>
      <c r="D5190">
        <v>-1.6229E-2</v>
      </c>
      <c r="E5190">
        <f t="shared" si="162"/>
        <v>0.98377099999999995</v>
      </c>
      <c r="F5190" s="1">
        <f t="shared" si="163"/>
        <v>41148</v>
      </c>
      <c r="G5190" cm="1">
        <f t="array" ref="G5190">PRODUCT( _xlfn._xlws.FILTER($E:$E, ($C:$C=C5190)*($F:$F=F5190)) ) - 1</f>
        <v>-3.0155664463311305E-2</v>
      </c>
    </row>
    <row r="5191" spans="1:7" x14ac:dyDescent="0.2">
      <c r="A5191" s="1">
        <v>41152</v>
      </c>
      <c r="B5191">
        <v>2</v>
      </c>
      <c r="C5191" t="s">
        <v>15</v>
      </c>
      <c r="D5191">
        <v>-2.4823000000000001E-2</v>
      </c>
      <c r="E5191">
        <f t="shared" si="162"/>
        <v>0.97517699999999996</v>
      </c>
      <c r="F5191" s="1">
        <f t="shared" si="163"/>
        <v>41148</v>
      </c>
      <c r="G5191" cm="1">
        <f t="array" ref="G5191">PRODUCT( _xlfn._xlws.FILTER($E:$E, ($C:$C=C5191)*($F:$F=F5191)) ) - 1</f>
        <v>-3.0155664463311305E-2</v>
      </c>
    </row>
    <row r="5192" spans="1:7" x14ac:dyDescent="0.2">
      <c r="A5192" s="1">
        <v>41156</v>
      </c>
      <c r="B5192">
        <v>2</v>
      </c>
      <c r="C5192" t="s">
        <v>15</v>
      </c>
      <c r="D5192">
        <v>9.9889999999999996E-3</v>
      </c>
      <c r="E5192">
        <f t="shared" si="162"/>
        <v>1.009989</v>
      </c>
      <c r="F5192" s="1">
        <f t="shared" si="163"/>
        <v>41155</v>
      </c>
      <c r="G5192" cm="1">
        <f t="array" ref="G5192">PRODUCT( _xlfn._xlws.FILTER($E:$E, ($C:$C=C5192)*($F:$F=F5192)) ) - 1</f>
        <v>4.6887471224070776E-3</v>
      </c>
    </row>
    <row r="5193" spans="1:7" x14ac:dyDescent="0.2">
      <c r="A5193" s="1">
        <v>41157</v>
      </c>
      <c r="B5193">
        <v>2</v>
      </c>
      <c r="C5193" t="s">
        <v>15</v>
      </c>
      <c r="D5193">
        <v>8.933E-3</v>
      </c>
      <c r="E5193">
        <f t="shared" si="162"/>
        <v>1.0089330000000001</v>
      </c>
      <c r="F5193" s="1">
        <f t="shared" si="163"/>
        <v>41155</v>
      </c>
      <c r="G5193" cm="1">
        <f t="array" ref="G5193">PRODUCT( _xlfn._xlws.FILTER($E:$E, ($C:$C=C5193)*($F:$F=F5193)) ) - 1</f>
        <v>4.6887471224070776E-3</v>
      </c>
    </row>
    <row r="5194" spans="1:7" x14ac:dyDescent="0.2">
      <c r="A5194" s="1">
        <v>41158</v>
      </c>
      <c r="B5194">
        <v>2</v>
      </c>
      <c r="C5194" t="s">
        <v>15</v>
      </c>
      <c r="D5194">
        <v>6.3199999999999997E-4</v>
      </c>
      <c r="E5194">
        <f t="shared" si="162"/>
        <v>1.000632</v>
      </c>
      <c r="F5194" s="1">
        <f t="shared" si="163"/>
        <v>41155</v>
      </c>
      <c r="G5194" cm="1">
        <f t="array" ref="G5194">PRODUCT( _xlfn._xlws.FILTER($E:$E, ($C:$C=C5194)*($F:$F=F5194)) ) - 1</f>
        <v>4.6887471224070776E-3</v>
      </c>
    </row>
    <row r="5195" spans="1:7" x14ac:dyDescent="0.2">
      <c r="A5195" s="1">
        <v>41159</v>
      </c>
      <c r="B5195">
        <v>2</v>
      </c>
      <c r="C5195" t="s">
        <v>15</v>
      </c>
      <c r="D5195">
        <v>-1.4678E-2</v>
      </c>
      <c r="E5195">
        <f t="shared" si="162"/>
        <v>0.98532200000000003</v>
      </c>
      <c r="F5195" s="1">
        <f t="shared" si="163"/>
        <v>41155</v>
      </c>
      <c r="G5195" cm="1">
        <f t="array" ref="G5195">PRODUCT( _xlfn._xlws.FILTER($E:$E, ($C:$C=C5195)*($F:$F=F5195)) ) - 1</f>
        <v>4.6887471224070776E-3</v>
      </c>
    </row>
    <row r="5196" spans="1:7" x14ac:dyDescent="0.2">
      <c r="A5196" s="1">
        <v>41162</v>
      </c>
      <c r="B5196">
        <v>2</v>
      </c>
      <c r="C5196" t="s">
        <v>15</v>
      </c>
      <c r="D5196">
        <v>9.0670000000000004E-3</v>
      </c>
      <c r="E5196">
        <f t="shared" si="162"/>
        <v>1.0090669999999999</v>
      </c>
      <c r="F5196" s="1">
        <f t="shared" si="163"/>
        <v>41162</v>
      </c>
      <c r="G5196" cm="1">
        <f t="array" ref="G5196">PRODUCT( _xlfn._xlws.FILTER($E:$E, ($C:$C=C5196)*($F:$F=F5196)) ) - 1</f>
        <v>-1.6677229520880132E-2</v>
      </c>
    </row>
    <row r="5197" spans="1:7" x14ac:dyDescent="0.2">
      <c r="A5197" s="1">
        <v>41163</v>
      </c>
      <c r="B5197">
        <v>2</v>
      </c>
      <c r="C5197" t="s">
        <v>15</v>
      </c>
      <c r="D5197">
        <v>-1.1393E-2</v>
      </c>
      <c r="E5197">
        <f t="shared" si="162"/>
        <v>0.98860700000000001</v>
      </c>
      <c r="F5197" s="1">
        <f t="shared" si="163"/>
        <v>41162</v>
      </c>
      <c r="G5197" cm="1">
        <f t="array" ref="G5197">PRODUCT( _xlfn._xlws.FILTER($E:$E, ($C:$C=C5197)*($F:$F=F5197)) ) - 1</f>
        <v>-1.6677229520880132E-2</v>
      </c>
    </row>
    <row r="5198" spans="1:7" x14ac:dyDescent="0.2">
      <c r="A5198" s="1">
        <v>41164</v>
      </c>
      <c r="B5198">
        <v>2</v>
      </c>
      <c r="C5198" t="s">
        <v>15</v>
      </c>
      <c r="D5198">
        <v>1.5582E-2</v>
      </c>
      <c r="E5198">
        <f t="shared" si="162"/>
        <v>1.015582</v>
      </c>
      <c r="F5198" s="1">
        <f t="shared" si="163"/>
        <v>41162</v>
      </c>
      <c r="G5198" cm="1">
        <f t="array" ref="G5198">PRODUCT( _xlfn._xlws.FILTER($E:$E, ($C:$C=C5198)*($F:$F=F5198)) ) - 1</f>
        <v>-1.6677229520880132E-2</v>
      </c>
    </row>
    <row r="5199" spans="1:7" x14ac:dyDescent="0.2">
      <c r="A5199" s="1">
        <v>41165</v>
      </c>
      <c r="B5199">
        <v>2</v>
      </c>
      <c r="C5199" t="s">
        <v>15</v>
      </c>
      <c r="D5199">
        <v>-1.3904E-2</v>
      </c>
      <c r="E5199">
        <f t="shared" si="162"/>
        <v>0.98609599999999997</v>
      </c>
      <c r="F5199" s="1">
        <f t="shared" si="163"/>
        <v>41162</v>
      </c>
      <c r="G5199" cm="1">
        <f t="array" ref="G5199">PRODUCT( _xlfn._xlws.FILTER($E:$E, ($C:$C=C5199)*($F:$F=F5199)) ) - 1</f>
        <v>-1.6677229520880132E-2</v>
      </c>
    </row>
    <row r="5200" spans="1:7" x14ac:dyDescent="0.2">
      <c r="A5200" s="1">
        <v>41166</v>
      </c>
      <c r="B5200">
        <v>2</v>
      </c>
      <c r="C5200" t="s">
        <v>15</v>
      </c>
      <c r="D5200">
        <v>-1.5720999999999999E-2</v>
      </c>
      <c r="E5200">
        <f t="shared" si="162"/>
        <v>0.98427900000000002</v>
      </c>
      <c r="F5200" s="1">
        <f t="shared" si="163"/>
        <v>41162</v>
      </c>
      <c r="G5200" cm="1">
        <f t="array" ref="G5200">PRODUCT( _xlfn._xlws.FILTER($E:$E, ($C:$C=C5200)*($F:$F=F5200)) ) - 1</f>
        <v>-1.6677229520880132E-2</v>
      </c>
    </row>
    <row r="5201" spans="1:7" x14ac:dyDescent="0.2">
      <c r="A5201" s="1">
        <v>41169</v>
      </c>
      <c r="B5201">
        <v>2</v>
      </c>
      <c r="C5201" t="s">
        <v>15</v>
      </c>
      <c r="D5201">
        <v>7.574E-3</v>
      </c>
      <c r="E5201">
        <f t="shared" si="162"/>
        <v>1.007574</v>
      </c>
      <c r="F5201" s="1">
        <f t="shared" si="163"/>
        <v>41169</v>
      </c>
      <c r="G5201" cm="1">
        <f t="array" ref="G5201">PRODUCT( _xlfn._xlws.FILTER($E:$E, ($C:$C=C5201)*($F:$F=F5201)) ) - 1</f>
        <v>7.4091983872637268E-3</v>
      </c>
    </row>
    <row r="5202" spans="1:7" x14ac:dyDescent="0.2">
      <c r="A5202" s="1">
        <v>41170</v>
      </c>
      <c r="B5202">
        <v>2</v>
      </c>
      <c r="C5202" t="s">
        <v>15</v>
      </c>
      <c r="D5202">
        <v>1.193E-2</v>
      </c>
      <c r="E5202">
        <f t="shared" si="162"/>
        <v>1.01193</v>
      </c>
      <c r="F5202" s="1">
        <f t="shared" si="163"/>
        <v>41169</v>
      </c>
      <c r="G5202" cm="1">
        <f t="array" ref="G5202">PRODUCT( _xlfn._xlws.FILTER($E:$E, ($C:$C=C5202)*($F:$F=F5202)) ) - 1</f>
        <v>7.4091983872637268E-3</v>
      </c>
    </row>
    <row r="5203" spans="1:7" x14ac:dyDescent="0.2">
      <c r="A5203" s="1">
        <v>41171</v>
      </c>
      <c r="B5203">
        <v>2</v>
      </c>
      <c r="C5203" t="s">
        <v>15</v>
      </c>
      <c r="D5203">
        <v>-1.1627999999999999E-2</v>
      </c>
      <c r="E5203">
        <f t="shared" si="162"/>
        <v>0.98837200000000003</v>
      </c>
      <c r="F5203" s="1">
        <f t="shared" si="163"/>
        <v>41169</v>
      </c>
      <c r="G5203" cm="1">
        <f t="array" ref="G5203">PRODUCT( _xlfn._xlws.FILTER($E:$E, ($C:$C=C5203)*($F:$F=F5203)) ) - 1</f>
        <v>7.4091983872637268E-3</v>
      </c>
    </row>
    <row r="5204" spans="1:7" x14ac:dyDescent="0.2">
      <c r="A5204" s="1">
        <v>41172</v>
      </c>
      <c r="B5204">
        <v>2</v>
      </c>
      <c r="C5204" t="s">
        <v>15</v>
      </c>
      <c r="D5204">
        <v>1.1601E-2</v>
      </c>
      <c r="E5204">
        <f t="shared" si="162"/>
        <v>1.011601</v>
      </c>
      <c r="F5204" s="1">
        <f t="shared" si="163"/>
        <v>41169</v>
      </c>
      <c r="G5204" cm="1">
        <f t="array" ref="G5204">PRODUCT( _xlfn._xlws.FILTER($E:$E, ($C:$C=C5204)*($F:$F=F5204)) ) - 1</f>
        <v>7.4091983872637268E-3</v>
      </c>
    </row>
    <row r="5205" spans="1:7" x14ac:dyDescent="0.2">
      <c r="A5205" s="1">
        <v>41173</v>
      </c>
      <c r="B5205">
        <v>2</v>
      </c>
      <c r="C5205" t="s">
        <v>15</v>
      </c>
      <c r="D5205">
        <v>-1.1790999999999999E-2</v>
      </c>
      <c r="E5205">
        <f t="shared" si="162"/>
        <v>0.988209</v>
      </c>
      <c r="F5205" s="1">
        <f t="shared" si="163"/>
        <v>41169</v>
      </c>
      <c r="G5205" cm="1">
        <f t="array" ref="G5205">PRODUCT( _xlfn._xlws.FILTER($E:$E, ($C:$C=C5205)*($F:$F=F5205)) ) - 1</f>
        <v>7.4091983872637268E-3</v>
      </c>
    </row>
    <row r="5206" spans="1:7" x14ac:dyDescent="0.2">
      <c r="A5206" s="1">
        <v>41176</v>
      </c>
      <c r="B5206">
        <v>2</v>
      </c>
      <c r="C5206" t="s">
        <v>15</v>
      </c>
      <c r="D5206">
        <v>1.3729999999999999E-2</v>
      </c>
      <c r="E5206">
        <f t="shared" si="162"/>
        <v>1.01373</v>
      </c>
      <c r="F5206" s="1">
        <f t="shared" si="163"/>
        <v>41176</v>
      </c>
      <c r="G5206" cm="1">
        <f t="array" ref="G5206">PRODUCT( _xlfn._xlws.FILTER($E:$E, ($C:$C=C5206)*($F:$F=F5206)) ) - 1</f>
        <v>1.3566577035130978E-2</v>
      </c>
    </row>
    <row r="5207" spans="1:7" x14ac:dyDescent="0.2">
      <c r="A5207" s="1">
        <v>41177</v>
      </c>
      <c r="B5207">
        <v>2</v>
      </c>
      <c r="C5207" t="s">
        <v>15</v>
      </c>
      <c r="D5207">
        <v>3.5469999999999998E-3</v>
      </c>
      <c r="E5207">
        <f t="shared" si="162"/>
        <v>1.003547</v>
      </c>
      <c r="F5207" s="1">
        <f t="shared" si="163"/>
        <v>41176</v>
      </c>
      <c r="G5207" cm="1">
        <f t="array" ref="G5207">PRODUCT( _xlfn._xlws.FILTER($E:$E, ($C:$C=C5207)*($F:$F=F5207)) ) - 1</f>
        <v>1.3566577035130978E-2</v>
      </c>
    </row>
    <row r="5208" spans="1:7" x14ac:dyDescent="0.2">
      <c r="A5208" s="1">
        <v>41178</v>
      </c>
      <c r="B5208">
        <v>2</v>
      </c>
      <c r="C5208" t="s">
        <v>15</v>
      </c>
      <c r="D5208">
        <v>3.0530000000000002E-3</v>
      </c>
      <c r="E5208">
        <f t="shared" si="162"/>
        <v>1.003053</v>
      </c>
      <c r="F5208" s="1">
        <f t="shared" si="163"/>
        <v>41176</v>
      </c>
      <c r="G5208" cm="1">
        <f t="array" ref="G5208">PRODUCT( _xlfn._xlws.FILTER($E:$E, ($C:$C=C5208)*($F:$F=F5208)) ) - 1</f>
        <v>1.3566577035130978E-2</v>
      </c>
    </row>
    <row r="5209" spans="1:7" x14ac:dyDescent="0.2">
      <c r="A5209" s="1">
        <v>41179</v>
      </c>
      <c r="B5209">
        <v>2</v>
      </c>
      <c r="C5209" t="s">
        <v>15</v>
      </c>
      <c r="D5209">
        <v>-4.3249999999999999E-3</v>
      </c>
      <c r="E5209">
        <f t="shared" si="162"/>
        <v>0.99567499999999998</v>
      </c>
      <c r="F5209" s="1">
        <f t="shared" si="163"/>
        <v>41176</v>
      </c>
      <c r="G5209" cm="1">
        <f t="array" ref="G5209">PRODUCT( _xlfn._xlws.FILTER($E:$E, ($C:$C=C5209)*($F:$F=F5209)) ) - 1</f>
        <v>1.3566577035130978E-2</v>
      </c>
    </row>
    <row r="5210" spans="1:7" x14ac:dyDescent="0.2">
      <c r="A5210" s="1">
        <v>41180</v>
      </c>
      <c r="B5210">
        <v>2</v>
      </c>
      <c r="C5210" t="s">
        <v>15</v>
      </c>
      <c r="D5210">
        <v>-2.4130000000000002E-3</v>
      </c>
      <c r="E5210">
        <f t="shared" si="162"/>
        <v>0.997587</v>
      </c>
      <c r="F5210" s="1">
        <f t="shared" si="163"/>
        <v>41176</v>
      </c>
      <c r="G5210" cm="1">
        <f t="array" ref="G5210">PRODUCT( _xlfn._xlws.FILTER($E:$E, ($C:$C=C5210)*($F:$F=F5210)) ) - 1</f>
        <v>1.3566577035130978E-2</v>
      </c>
    </row>
    <row r="5211" spans="1:7" x14ac:dyDescent="0.2">
      <c r="A5211" s="1">
        <v>41183</v>
      </c>
      <c r="B5211">
        <v>2</v>
      </c>
      <c r="C5211" t="s">
        <v>15</v>
      </c>
      <c r="D5211">
        <v>7.7409999999999996E-3</v>
      </c>
      <c r="E5211">
        <f t="shared" si="162"/>
        <v>1.007741</v>
      </c>
      <c r="F5211" s="1">
        <f t="shared" si="163"/>
        <v>41183</v>
      </c>
      <c r="G5211" cm="1">
        <f t="array" ref="G5211">PRODUCT( _xlfn._xlws.FILTER($E:$E, ($C:$C=C5211)*($F:$F=F5211)) ) - 1</f>
        <v>2.2737375076834265E-2</v>
      </c>
    </row>
    <row r="5212" spans="1:7" x14ac:dyDescent="0.2">
      <c r="A5212" s="1">
        <v>41184</v>
      </c>
      <c r="B5212">
        <v>2</v>
      </c>
      <c r="C5212" t="s">
        <v>15</v>
      </c>
      <c r="D5212">
        <v>3.0400000000000002E-3</v>
      </c>
      <c r="E5212">
        <f t="shared" si="162"/>
        <v>1.0030399999999999</v>
      </c>
      <c r="F5212" s="1">
        <f t="shared" si="163"/>
        <v>41183</v>
      </c>
      <c r="G5212" cm="1">
        <f t="array" ref="G5212">PRODUCT( _xlfn._xlws.FILTER($E:$E, ($C:$C=C5212)*($F:$F=F5212)) ) - 1</f>
        <v>2.2737375076834265E-2</v>
      </c>
    </row>
    <row r="5213" spans="1:7" x14ac:dyDescent="0.2">
      <c r="A5213" s="1">
        <v>41185</v>
      </c>
      <c r="B5213">
        <v>2</v>
      </c>
      <c r="C5213" t="s">
        <v>15</v>
      </c>
      <c r="D5213">
        <v>1.5950000000000001E-3</v>
      </c>
      <c r="E5213">
        <f t="shared" si="162"/>
        <v>1.001595</v>
      </c>
      <c r="F5213" s="1">
        <f t="shared" si="163"/>
        <v>41183</v>
      </c>
      <c r="G5213" cm="1">
        <f t="array" ref="G5213">PRODUCT( _xlfn._xlws.FILTER($E:$E, ($C:$C=C5213)*($F:$F=F5213)) ) - 1</f>
        <v>2.2737375076834265E-2</v>
      </c>
    </row>
    <row r="5214" spans="1:7" x14ac:dyDescent="0.2">
      <c r="A5214" s="1">
        <v>41186</v>
      </c>
      <c r="B5214">
        <v>2</v>
      </c>
      <c r="C5214" t="s">
        <v>15</v>
      </c>
      <c r="D5214">
        <v>9.0790000000000003E-3</v>
      </c>
      <c r="E5214">
        <f t="shared" si="162"/>
        <v>1.0090790000000001</v>
      </c>
      <c r="F5214" s="1">
        <f t="shared" si="163"/>
        <v>41183</v>
      </c>
      <c r="G5214" cm="1">
        <f t="array" ref="G5214">PRODUCT( _xlfn._xlws.FILTER($E:$E, ($C:$C=C5214)*($F:$F=F5214)) ) - 1</f>
        <v>2.2737375076834265E-2</v>
      </c>
    </row>
    <row r="5215" spans="1:7" x14ac:dyDescent="0.2">
      <c r="A5215" s="1">
        <v>41187</v>
      </c>
      <c r="B5215">
        <v>2</v>
      </c>
      <c r="C5215" t="s">
        <v>15</v>
      </c>
      <c r="D5215">
        <v>1.1050000000000001E-3</v>
      </c>
      <c r="E5215">
        <f t="shared" si="162"/>
        <v>1.0011049999999999</v>
      </c>
      <c r="F5215" s="1">
        <f t="shared" si="163"/>
        <v>41183</v>
      </c>
      <c r="G5215" cm="1">
        <f t="array" ref="G5215">PRODUCT( _xlfn._xlws.FILTER($E:$E, ($C:$C=C5215)*($F:$F=F5215)) ) - 1</f>
        <v>2.2737375076834265E-2</v>
      </c>
    </row>
    <row r="5216" spans="1:7" x14ac:dyDescent="0.2">
      <c r="A5216" s="1">
        <v>41191</v>
      </c>
      <c r="B5216">
        <v>2</v>
      </c>
      <c r="C5216" t="s">
        <v>15</v>
      </c>
      <c r="D5216">
        <v>-1.0880000000000001E-2</v>
      </c>
      <c r="E5216">
        <f t="shared" si="162"/>
        <v>0.98912</v>
      </c>
      <c r="F5216" s="1">
        <f t="shared" si="163"/>
        <v>41190</v>
      </c>
      <c r="G5216" cm="1">
        <f t="array" ref="G5216">PRODUCT( _xlfn._xlws.FILTER($E:$E, ($C:$C=C5216)*($F:$F=F5216)) ) - 1</f>
        <v>-1.1194921479051212E-2</v>
      </c>
    </row>
    <row r="5217" spans="1:7" x14ac:dyDescent="0.2">
      <c r="A5217" s="1">
        <v>41192</v>
      </c>
      <c r="B5217">
        <v>2</v>
      </c>
      <c r="C5217" t="s">
        <v>15</v>
      </c>
      <c r="D5217">
        <v>-2.0720000000000001E-3</v>
      </c>
      <c r="E5217">
        <f t="shared" si="162"/>
        <v>0.99792800000000004</v>
      </c>
      <c r="F5217" s="1">
        <f t="shared" si="163"/>
        <v>41190</v>
      </c>
      <c r="G5217" cm="1">
        <f t="array" ref="G5217">PRODUCT( _xlfn._xlws.FILTER($E:$E, ($C:$C=C5217)*($F:$F=F5217)) ) - 1</f>
        <v>-1.1194921479051212E-2</v>
      </c>
    </row>
    <row r="5218" spans="1:7" x14ac:dyDescent="0.2">
      <c r="A5218" s="1">
        <v>41193</v>
      </c>
      <c r="B5218">
        <v>2</v>
      </c>
      <c r="C5218" t="s">
        <v>15</v>
      </c>
      <c r="D5218">
        <v>1.6000000000000001E-4</v>
      </c>
      <c r="E5218">
        <f t="shared" si="162"/>
        <v>1.0001599999999999</v>
      </c>
      <c r="F5218" s="1">
        <f t="shared" si="163"/>
        <v>41190</v>
      </c>
      <c r="G5218" cm="1">
        <f t="array" ref="G5218">PRODUCT( _xlfn._xlws.FILTER($E:$E, ($C:$C=C5218)*($F:$F=F5218)) ) - 1</f>
        <v>-1.1194921479051212E-2</v>
      </c>
    </row>
    <row r="5219" spans="1:7" x14ac:dyDescent="0.2">
      <c r="A5219" s="1">
        <v>41194</v>
      </c>
      <c r="B5219">
        <v>2</v>
      </c>
      <c r="C5219" t="s">
        <v>15</v>
      </c>
      <c r="D5219">
        <v>1.5969999999999999E-3</v>
      </c>
      <c r="E5219">
        <f t="shared" si="162"/>
        <v>1.0015970000000001</v>
      </c>
      <c r="F5219" s="1">
        <f t="shared" si="163"/>
        <v>41190</v>
      </c>
      <c r="G5219" cm="1">
        <f t="array" ref="G5219">PRODUCT( _xlfn._xlws.FILTER($E:$E, ($C:$C=C5219)*($F:$F=F5219)) ) - 1</f>
        <v>-1.1194921479051212E-2</v>
      </c>
    </row>
    <row r="5220" spans="1:7" x14ac:dyDescent="0.2">
      <c r="A5220" s="1">
        <v>41197</v>
      </c>
      <c r="B5220">
        <v>2</v>
      </c>
      <c r="C5220" t="s">
        <v>15</v>
      </c>
      <c r="D5220">
        <v>2.232E-3</v>
      </c>
      <c r="E5220">
        <f t="shared" si="162"/>
        <v>1.002232</v>
      </c>
      <c r="F5220" s="1">
        <f t="shared" si="163"/>
        <v>41197</v>
      </c>
      <c r="G5220" cm="1">
        <f t="array" ref="G5220">PRODUCT( _xlfn._xlws.FILTER($E:$E, ($C:$C=C5220)*($F:$F=F5220)) ) - 1</f>
        <v>4.7826416237588543E-3</v>
      </c>
    </row>
    <row r="5221" spans="1:7" x14ac:dyDescent="0.2">
      <c r="A5221" s="1">
        <v>41198</v>
      </c>
      <c r="B5221">
        <v>2</v>
      </c>
      <c r="C5221" t="s">
        <v>15</v>
      </c>
      <c r="D5221">
        <v>3.1799999999999998E-4</v>
      </c>
      <c r="E5221">
        <f t="shared" si="162"/>
        <v>1.000318</v>
      </c>
      <c r="F5221" s="1">
        <f t="shared" si="163"/>
        <v>41197</v>
      </c>
      <c r="G5221" cm="1">
        <f t="array" ref="G5221">PRODUCT( _xlfn._xlws.FILTER($E:$E, ($C:$C=C5221)*($F:$F=F5221)) ) - 1</f>
        <v>4.7826416237588543E-3</v>
      </c>
    </row>
    <row r="5222" spans="1:7" x14ac:dyDescent="0.2">
      <c r="A5222" s="1">
        <v>41199</v>
      </c>
      <c r="B5222">
        <v>2</v>
      </c>
      <c r="C5222" t="s">
        <v>15</v>
      </c>
      <c r="D5222">
        <v>3.1799999999999998E-4</v>
      </c>
      <c r="E5222">
        <f t="shared" si="162"/>
        <v>1.000318</v>
      </c>
      <c r="F5222" s="1">
        <f t="shared" si="163"/>
        <v>41197</v>
      </c>
      <c r="G5222" cm="1">
        <f t="array" ref="G5222">PRODUCT( _xlfn._xlws.FILTER($E:$E, ($C:$C=C5222)*($F:$F=F5222)) ) - 1</f>
        <v>4.7826416237588543E-3</v>
      </c>
    </row>
    <row r="5223" spans="1:7" x14ac:dyDescent="0.2">
      <c r="A5223" s="1">
        <v>41200</v>
      </c>
      <c r="B5223">
        <v>2</v>
      </c>
      <c r="C5223" t="s">
        <v>15</v>
      </c>
      <c r="D5223">
        <v>3.0209999999999998E-3</v>
      </c>
      <c r="E5223">
        <f t="shared" si="162"/>
        <v>1.0030209999999999</v>
      </c>
      <c r="F5223" s="1">
        <f t="shared" si="163"/>
        <v>41197</v>
      </c>
      <c r="G5223" cm="1">
        <f t="array" ref="G5223">PRODUCT( _xlfn._xlws.FILTER($E:$E, ($C:$C=C5223)*($F:$F=F5223)) ) - 1</f>
        <v>4.7826416237588543E-3</v>
      </c>
    </row>
    <row r="5224" spans="1:7" x14ac:dyDescent="0.2">
      <c r="A5224" s="1">
        <v>41201</v>
      </c>
      <c r="B5224">
        <v>2</v>
      </c>
      <c r="C5224" t="s">
        <v>15</v>
      </c>
      <c r="D5224">
        <v>-1.1100000000000001E-3</v>
      </c>
      <c r="E5224">
        <f t="shared" si="162"/>
        <v>0.99888999999999994</v>
      </c>
      <c r="F5224" s="1">
        <f t="shared" si="163"/>
        <v>41197</v>
      </c>
      <c r="G5224" cm="1">
        <f t="array" ref="G5224">PRODUCT( _xlfn._xlws.FILTER($E:$E, ($C:$C=C5224)*($F:$F=F5224)) ) - 1</f>
        <v>4.7826416237588543E-3</v>
      </c>
    </row>
    <row r="5225" spans="1:7" x14ac:dyDescent="0.2">
      <c r="A5225" s="1">
        <v>41204</v>
      </c>
      <c r="B5225">
        <v>2</v>
      </c>
      <c r="C5225" t="s">
        <v>15</v>
      </c>
      <c r="D5225">
        <v>-1.4125E-2</v>
      </c>
      <c r="E5225">
        <f t="shared" si="162"/>
        <v>0.98587499999999995</v>
      </c>
      <c r="F5225" s="1">
        <f t="shared" si="163"/>
        <v>41204</v>
      </c>
      <c r="G5225" cm="1">
        <f t="array" ref="G5225">PRODUCT( _xlfn._xlws.FILTER($E:$E, ($C:$C=C5225)*($F:$F=F5225)) ) - 1</f>
        <v>4.7615588019604971E-3</v>
      </c>
    </row>
    <row r="5226" spans="1:7" x14ac:dyDescent="0.2">
      <c r="A5226" s="1">
        <v>41205</v>
      </c>
      <c r="B5226">
        <v>2</v>
      </c>
      <c r="C5226" t="s">
        <v>15</v>
      </c>
      <c r="D5226">
        <v>-3.5409999999999999E-3</v>
      </c>
      <c r="E5226">
        <f t="shared" si="162"/>
        <v>0.99645899999999998</v>
      </c>
      <c r="F5226" s="1">
        <f t="shared" si="163"/>
        <v>41204</v>
      </c>
      <c r="G5226" cm="1">
        <f t="array" ref="G5226">PRODUCT( _xlfn._xlws.FILTER($E:$E, ($C:$C=C5226)*($F:$F=F5226)) ) - 1</f>
        <v>4.7615588019604971E-3</v>
      </c>
    </row>
    <row r="5227" spans="1:7" x14ac:dyDescent="0.2">
      <c r="A5227" s="1">
        <v>41206</v>
      </c>
      <c r="B5227">
        <v>2</v>
      </c>
      <c r="C5227" t="s">
        <v>15</v>
      </c>
      <c r="D5227">
        <v>6.9470000000000001E-3</v>
      </c>
      <c r="E5227">
        <f t="shared" si="162"/>
        <v>1.006947</v>
      </c>
      <c r="F5227" s="1">
        <f t="shared" si="163"/>
        <v>41204</v>
      </c>
      <c r="G5227" cm="1">
        <f t="array" ref="G5227">PRODUCT( _xlfn._xlws.FILTER($E:$E, ($C:$C=C5227)*($F:$F=F5227)) ) - 1</f>
        <v>4.7615588019604971E-3</v>
      </c>
    </row>
    <row r="5228" spans="1:7" x14ac:dyDescent="0.2">
      <c r="A5228" s="1">
        <v>41207</v>
      </c>
      <c r="B5228">
        <v>2</v>
      </c>
      <c r="C5228" t="s">
        <v>15</v>
      </c>
      <c r="D5228">
        <v>1.444E-3</v>
      </c>
      <c r="E5228">
        <f t="shared" si="162"/>
        <v>1.001444</v>
      </c>
      <c r="F5228" s="1">
        <f t="shared" si="163"/>
        <v>41204</v>
      </c>
      <c r="G5228" cm="1">
        <f t="array" ref="G5228">PRODUCT( _xlfn._xlws.FILTER($E:$E, ($C:$C=C5228)*($F:$F=F5228)) ) - 1</f>
        <v>4.7615588019604971E-3</v>
      </c>
    </row>
    <row r="5229" spans="1:7" x14ac:dyDescent="0.2">
      <c r="A5229" s="1">
        <v>41208</v>
      </c>
      <c r="B5229">
        <v>2</v>
      </c>
      <c r="C5229" t="s">
        <v>15</v>
      </c>
      <c r="D5229">
        <v>1.4258E-2</v>
      </c>
      <c r="E5229">
        <f t="shared" si="162"/>
        <v>1.0142580000000001</v>
      </c>
      <c r="F5229" s="1">
        <f t="shared" si="163"/>
        <v>41204</v>
      </c>
      <c r="G5229" cm="1">
        <f t="array" ref="G5229">PRODUCT( _xlfn._xlws.FILTER($E:$E, ($C:$C=C5229)*($F:$F=F5229)) ) - 1</f>
        <v>4.7615588019604971E-3</v>
      </c>
    </row>
    <row r="5230" spans="1:7" x14ac:dyDescent="0.2">
      <c r="A5230" s="1">
        <v>41211</v>
      </c>
      <c r="B5230">
        <v>2</v>
      </c>
      <c r="C5230" t="s">
        <v>15</v>
      </c>
      <c r="D5230">
        <v>4.581E-3</v>
      </c>
      <c r="E5230">
        <f t="shared" si="162"/>
        <v>1.0045809999999999</v>
      </c>
      <c r="F5230" s="1">
        <f t="shared" si="163"/>
        <v>41211</v>
      </c>
      <c r="G5230" cm="1">
        <f t="array" ref="G5230">PRODUCT( _xlfn._xlws.FILTER($E:$E, ($C:$C=C5230)*($F:$F=F5230)) ) - 1</f>
        <v>2.0218247068466422E-2</v>
      </c>
    </row>
    <row r="5231" spans="1:7" x14ac:dyDescent="0.2">
      <c r="A5231" s="1">
        <v>41212</v>
      </c>
      <c r="B5231">
        <v>2</v>
      </c>
      <c r="C5231" t="s">
        <v>15</v>
      </c>
      <c r="D5231">
        <v>1.3207999999999999E-2</v>
      </c>
      <c r="E5231">
        <f t="shared" si="162"/>
        <v>1.0132080000000001</v>
      </c>
      <c r="F5231" s="1">
        <f t="shared" si="163"/>
        <v>41211</v>
      </c>
      <c r="G5231" cm="1">
        <f t="array" ref="G5231">PRODUCT( _xlfn._xlws.FILTER($E:$E, ($C:$C=C5231)*($F:$F=F5231)) ) - 1</f>
        <v>2.0218247068466422E-2</v>
      </c>
    </row>
    <row r="5232" spans="1:7" x14ac:dyDescent="0.2">
      <c r="A5232" s="1">
        <v>41213</v>
      </c>
      <c r="B5232">
        <v>2</v>
      </c>
      <c r="C5232" t="s">
        <v>15</v>
      </c>
      <c r="D5232">
        <v>6.2069999999999998E-3</v>
      </c>
      <c r="E5232">
        <f t="shared" si="162"/>
        <v>1.0062070000000001</v>
      </c>
      <c r="F5232" s="1">
        <f t="shared" si="163"/>
        <v>41211</v>
      </c>
      <c r="G5232" cm="1">
        <f t="array" ref="G5232">PRODUCT( _xlfn._xlws.FILTER($E:$E, ($C:$C=C5232)*($F:$F=F5232)) ) - 1</f>
        <v>2.0218247068466422E-2</v>
      </c>
    </row>
    <row r="5233" spans="1:7" x14ac:dyDescent="0.2">
      <c r="A5233" s="1">
        <v>41214</v>
      </c>
      <c r="B5233">
        <v>2</v>
      </c>
      <c r="C5233" t="s">
        <v>15</v>
      </c>
      <c r="D5233">
        <v>3.7009999999999999E-3</v>
      </c>
      <c r="E5233">
        <f t="shared" si="162"/>
        <v>1.003701</v>
      </c>
      <c r="F5233" s="1">
        <f t="shared" si="163"/>
        <v>41211</v>
      </c>
      <c r="G5233" cm="1">
        <f t="array" ref="G5233">PRODUCT( _xlfn._xlws.FILTER($E:$E, ($C:$C=C5233)*($F:$F=F5233)) ) - 1</f>
        <v>2.0218247068466422E-2</v>
      </c>
    </row>
    <row r="5234" spans="1:7" x14ac:dyDescent="0.2">
      <c r="A5234" s="1">
        <v>41215</v>
      </c>
      <c r="B5234">
        <v>2</v>
      </c>
      <c r="C5234" t="s">
        <v>15</v>
      </c>
      <c r="D5234">
        <v>-7.5290000000000001E-3</v>
      </c>
      <c r="E5234">
        <f t="shared" si="162"/>
        <v>0.99247099999999999</v>
      </c>
      <c r="F5234" s="1">
        <f t="shared" si="163"/>
        <v>41211</v>
      </c>
      <c r="G5234" cm="1">
        <f t="array" ref="G5234">PRODUCT( _xlfn._xlws.FILTER($E:$E, ($C:$C=C5234)*($F:$F=F5234)) ) - 1</f>
        <v>2.0218247068466422E-2</v>
      </c>
    </row>
    <row r="5235" spans="1:7" x14ac:dyDescent="0.2">
      <c r="A5235" s="1">
        <v>41218</v>
      </c>
      <c r="B5235">
        <v>2</v>
      </c>
      <c r="C5235" t="s">
        <v>15</v>
      </c>
      <c r="D5235">
        <v>-2.9420000000000002E-3</v>
      </c>
      <c r="E5235">
        <f t="shared" si="162"/>
        <v>0.997058</v>
      </c>
      <c r="F5235" s="1">
        <f t="shared" si="163"/>
        <v>41218</v>
      </c>
      <c r="G5235" cm="1">
        <f t="array" ref="G5235">PRODUCT( _xlfn._xlws.FILTER($E:$E, ($C:$C=C5235)*($F:$F=F5235)) ) - 1</f>
        <v>-1.5490006787377553E-3</v>
      </c>
    </row>
    <row r="5236" spans="1:7" x14ac:dyDescent="0.2">
      <c r="A5236" s="1">
        <v>41219</v>
      </c>
      <c r="B5236">
        <v>2</v>
      </c>
      <c r="C5236" t="s">
        <v>15</v>
      </c>
      <c r="D5236">
        <v>-7.143E-3</v>
      </c>
      <c r="E5236">
        <f t="shared" si="162"/>
        <v>0.99285699999999999</v>
      </c>
      <c r="F5236" s="1">
        <f t="shared" si="163"/>
        <v>41218</v>
      </c>
      <c r="G5236" cm="1">
        <f t="array" ref="G5236">PRODUCT( _xlfn._xlws.FILTER($E:$E, ($C:$C=C5236)*($F:$F=F5236)) ) - 1</f>
        <v>-1.5490006787377553E-3</v>
      </c>
    </row>
    <row r="5237" spans="1:7" x14ac:dyDescent="0.2">
      <c r="A5237" s="1">
        <v>41220</v>
      </c>
      <c r="B5237">
        <v>2</v>
      </c>
      <c r="C5237" t="s">
        <v>15</v>
      </c>
      <c r="D5237">
        <v>-1.0166E-2</v>
      </c>
      <c r="E5237">
        <f t="shared" si="162"/>
        <v>0.98983399999999999</v>
      </c>
      <c r="F5237" s="1">
        <f t="shared" si="163"/>
        <v>41218</v>
      </c>
      <c r="G5237" cm="1">
        <f t="array" ref="G5237">PRODUCT( _xlfn._xlws.FILTER($E:$E, ($C:$C=C5237)*($F:$F=F5237)) ) - 1</f>
        <v>-1.5490006787377553E-3</v>
      </c>
    </row>
    <row r="5238" spans="1:7" x14ac:dyDescent="0.2">
      <c r="A5238" s="1">
        <v>41221</v>
      </c>
      <c r="B5238">
        <v>2</v>
      </c>
      <c r="C5238" t="s">
        <v>15</v>
      </c>
      <c r="D5238">
        <v>3.7919999999999998E-3</v>
      </c>
      <c r="E5238">
        <f t="shared" si="162"/>
        <v>1.003792</v>
      </c>
      <c r="F5238" s="1">
        <f t="shared" si="163"/>
        <v>41218</v>
      </c>
      <c r="G5238" cm="1">
        <f t="array" ref="G5238">PRODUCT( _xlfn._xlws.FILTER($E:$E, ($C:$C=C5238)*($F:$F=F5238)) ) - 1</f>
        <v>-1.5490006787377553E-3</v>
      </c>
    </row>
    <row r="5239" spans="1:7" x14ac:dyDescent="0.2">
      <c r="A5239" s="1">
        <v>41222</v>
      </c>
      <c r="B5239">
        <v>2</v>
      </c>
      <c r="C5239" t="s">
        <v>15</v>
      </c>
      <c r="D5239">
        <v>1.5110999999999999E-2</v>
      </c>
      <c r="E5239">
        <f t="shared" si="162"/>
        <v>1.0151110000000001</v>
      </c>
      <c r="F5239" s="1">
        <f t="shared" si="163"/>
        <v>41218</v>
      </c>
      <c r="G5239" cm="1">
        <f t="array" ref="G5239">PRODUCT( _xlfn._xlws.FILTER($E:$E, ($C:$C=C5239)*($F:$F=F5239)) ) - 1</f>
        <v>-1.5490006787377553E-3</v>
      </c>
    </row>
    <row r="5240" spans="1:7" x14ac:dyDescent="0.2">
      <c r="A5240" s="1">
        <v>41225</v>
      </c>
      <c r="B5240">
        <v>2</v>
      </c>
      <c r="C5240" t="s">
        <v>15</v>
      </c>
      <c r="D5240">
        <v>9.4590000000000004E-3</v>
      </c>
      <c r="E5240">
        <f t="shared" si="162"/>
        <v>1.0094590000000001</v>
      </c>
      <c r="F5240" s="1">
        <f t="shared" si="163"/>
        <v>41225</v>
      </c>
      <c r="G5240" cm="1">
        <f t="array" ref="G5240">PRODUCT( _xlfn._xlws.FILTER($E:$E, ($C:$C=C5240)*($F:$F=F5240)) ) - 1</f>
        <v>-2.6205395887820782E-2</v>
      </c>
    </row>
    <row r="5241" spans="1:7" x14ac:dyDescent="0.2">
      <c r="A5241" s="1">
        <v>41226</v>
      </c>
      <c r="B5241">
        <v>2</v>
      </c>
      <c r="C5241" t="s">
        <v>15</v>
      </c>
      <c r="D5241">
        <v>7.6810000000000003E-3</v>
      </c>
      <c r="E5241">
        <f t="shared" si="162"/>
        <v>1.007681</v>
      </c>
      <c r="F5241" s="1">
        <f t="shared" si="163"/>
        <v>41225</v>
      </c>
      <c r="G5241" cm="1">
        <f t="array" ref="G5241">PRODUCT( _xlfn._xlws.FILTER($E:$E, ($C:$C=C5241)*($F:$F=F5241)) ) - 1</f>
        <v>-2.6205395887820782E-2</v>
      </c>
    </row>
    <row r="5242" spans="1:7" x14ac:dyDescent="0.2">
      <c r="A5242" s="1">
        <v>41227</v>
      </c>
      <c r="B5242">
        <v>2</v>
      </c>
      <c r="C5242" t="s">
        <v>15</v>
      </c>
      <c r="D5242">
        <v>-2.2866000000000001E-2</v>
      </c>
      <c r="E5242">
        <f t="shared" si="162"/>
        <v>0.97713399999999995</v>
      </c>
      <c r="F5242" s="1">
        <f t="shared" si="163"/>
        <v>41225</v>
      </c>
      <c r="G5242" cm="1">
        <f t="array" ref="G5242">PRODUCT( _xlfn._xlws.FILTER($E:$E, ($C:$C=C5242)*($F:$F=F5242)) ) - 1</f>
        <v>-2.6205395887820782E-2</v>
      </c>
    </row>
    <row r="5243" spans="1:7" x14ac:dyDescent="0.2">
      <c r="A5243" s="1">
        <v>41228</v>
      </c>
      <c r="B5243">
        <v>2</v>
      </c>
      <c r="C5243" t="s">
        <v>15</v>
      </c>
      <c r="D5243">
        <v>-1.6225E-2</v>
      </c>
      <c r="E5243">
        <f t="shared" si="162"/>
        <v>0.98377499999999996</v>
      </c>
      <c r="F5243" s="1">
        <f t="shared" si="163"/>
        <v>41225</v>
      </c>
      <c r="G5243" cm="1">
        <f t="array" ref="G5243">PRODUCT( _xlfn._xlws.FILTER($E:$E, ($C:$C=C5243)*($F:$F=F5243)) ) - 1</f>
        <v>-2.6205395887820782E-2</v>
      </c>
    </row>
    <row r="5244" spans="1:7" x14ac:dyDescent="0.2">
      <c r="A5244" s="1">
        <v>41229</v>
      </c>
      <c r="B5244">
        <v>2</v>
      </c>
      <c r="C5244" t="s">
        <v>15</v>
      </c>
      <c r="D5244">
        <v>-4.1229999999999999E-3</v>
      </c>
      <c r="E5244">
        <f t="shared" si="162"/>
        <v>0.99587700000000001</v>
      </c>
      <c r="F5244" s="1">
        <f t="shared" si="163"/>
        <v>41225</v>
      </c>
      <c r="G5244" cm="1">
        <f t="array" ref="G5244">PRODUCT( _xlfn._xlws.FILTER($E:$E, ($C:$C=C5244)*($F:$F=F5244)) ) - 1</f>
        <v>-2.6205395887820782E-2</v>
      </c>
    </row>
    <row r="5245" spans="1:7" x14ac:dyDescent="0.2">
      <c r="A5245" s="1">
        <v>41232</v>
      </c>
      <c r="B5245">
        <v>2</v>
      </c>
      <c r="C5245" t="s">
        <v>15</v>
      </c>
      <c r="D5245">
        <v>1.7038000000000001E-2</v>
      </c>
      <c r="E5245">
        <f t="shared" si="162"/>
        <v>1.0170380000000001</v>
      </c>
      <c r="F5245" s="1">
        <f t="shared" si="163"/>
        <v>41232</v>
      </c>
      <c r="G5245" cm="1">
        <f t="array" ref="G5245">PRODUCT( _xlfn._xlws.FILTER($E:$E, ($C:$C=C5245)*($F:$F=F5245)) ) - 1</f>
        <v>3.4712600445855779E-2</v>
      </c>
    </row>
    <row r="5246" spans="1:7" x14ac:dyDescent="0.2">
      <c r="A5246" s="1">
        <v>41233</v>
      </c>
      <c r="B5246">
        <v>2</v>
      </c>
      <c r="C5246" t="s">
        <v>15</v>
      </c>
      <c r="D5246">
        <v>-1.5659999999999999E-3</v>
      </c>
      <c r="E5246">
        <f t="shared" si="162"/>
        <v>0.99843400000000004</v>
      </c>
      <c r="F5246" s="1">
        <f t="shared" si="163"/>
        <v>41232</v>
      </c>
      <c r="G5246" cm="1">
        <f t="array" ref="G5246">PRODUCT( _xlfn._xlws.FILTER($E:$E, ($C:$C=C5246)*($F:$F=F5246)) ) - 1</f>
        <v>3.4712600445855779E-2</v>
      </c>
    </row>
    <row r="5247" spans="1:7" x14ac:dyDescent="0.2">
      <c r="A5247" s="1">
        <v>41234</v>
      </c>
      <c r="B5247">
        <v>2</v>
      </c>
      <c r="C5247" t="s">
        <v>15</v>
      </c>
      <c r="D5247">
        <v>7.5269999999999998E-3</v>
      </c>
      <c r="E5247">
        <f t="shared" si="162"/>
        <v>1.0075270000000001</v>
      </c>
      <c r="F5247" s="1">
        <f t="shared" si="163"/>
        <v>41232</v>
      </c>
      <c r="G5247" cm="1">
        <f t="array" ref="G5247">PRODUCT( _xlfn._xlws.FILTER($E:$E, ($C:$C=C5247)*($F:$F=F5247)) ) - 1</f>
        <v>3.4712600445855779E-2</v>
      </c>
    </row>
    <row r="5248" spans="1:7" x14ac:dyDescent="0.2">
      <c r="A5248" s="1">
        <v>41235</v>
      </c>
      <c r="B5248">
        <v>2</v>
      </c>
      <c r="C5248" t="s">
        <v>15</v>
      </c>
      <c r="D5248">
        <v>6.8479999999999999E-3</v>
      </c>
      <c r="E5248">
        <f t="shared" si="162"/>
        <v>1.006848</v>
      </c>
      <c r="F5248" s="1">
        <f t="shared" si="163"/>
        <v>41232</v>
      </c>
      <c r="G5248" cm="1">
        <f t="array" ref="G5248">PRODUCT( _xlfn._xlws.FILTER($E:$E, ($C:$C=C5248)*($F:$F=F5248)) ) - 1</f>
        <v>3.4712600445855779E-2</v>
      </c>
    </row>
    <row r="5249" spans="1:7" x14ac:dyDescent="0.2">
      <c r="A5249" s="1">
        <v>41236</v>
      </c>
      <c r="B5249">
        <v>2</v>
      </c>
      <c r="C5249" t="s">
        <v>15</v>
      </c>
      <c r="D5249">
        <v>4.483E-3</v>
      </c>
      <c r="E5249">
        <f t="shared" si="162"/>
        <v>1.004483</v>
      </c>
      <c r="F5249" s="1">
        <f t="shared" si="163"/>
        <v>41232</v>
      </c>
      <c r="G5249" cm="1">
        <f t="array" ref="G5249">PRODUCT( _xlfn._xlws.FILTER($E:$E, ($C:$C=C5249)*($F:$F=F5249)) ) - 1</f>
        <v>3.4712600445855779E-2</v>
      </c>
    </row>
    <row r="5250" spans="1:7" x14ac:dyDescent="0.2">
      <c r="A5250" s="1">
        <v>41239</v>
      </c>
      <c r="B5250">
        <v>2</v>
      </c>
      <c r="C5250" t="s">
        <v>15</v>
      </c>
      <c r="D5250">
        <v>1.8469999999999999E-3</v>
      </c>
      <c r="E5250">
        <f t="shared" si="162"/>
        <v>1.0018469999999999</v>
      </c>
      <c r="F5250" s="1">
        <f t="shared" si="163"/>
        <v>41239</v>
      </c>
      <c r="G5250" cm="1">
        <f t="array" ref="G5250">PRODUCT( _xlfn._xlws.FILTER($E:$E, ($C:$C=C5250)*($F:$F=F5250)) ) - 1</f>
        <v>-2.1544139599221079E-3</v>
      </c>
    </row>
    <row r="5251" spans="1:7" x14ac:dyDescent="0.2">
      <c r="A5251" s="1">
        <v>41240</v>
      </c>
      <c r="B5251">
        <v>2</v>
      </c>
      <c r="C5251" t="s">
        <v>15</v>
      </c>
      <c r="D5251">
        <v>-1.536E-3</v>
      </c>
      <c r="E5251">
        <f t="shared" si="162"/>
        <v>0.99846400000000002</v>
      </c>
      <c r="F5251" s="1">
        <f t="shared" si="163"/>
        <v>41239</v>
      </c>
      <c r="G5251" cm="1">
        <f t="array" ref="G5251">PRODUCT( _xlfn._xlws.FILTER($E:$E, ($C:$C=C5251)*($F:$F=F5251)) ) - 1</f>
        <v>-2.1544139599221079E-3</v>
      </c>
    </row>
    <row r="5252" spans="1:7" x14ac:dyDescent="0.2">
      <c r="A5252" s="1">
        <v>41241</v>
      </c>
      <c r="B5252">
        <v>2</v>
      </c>
      <c r="C5252" t="s">
        <v>15</v>
      </c>
      <c r="D5252">
        <v>-9.5390000000000006E-3</v>
      </c>
      <c r="E5252">
        <f t="shared" ref="E5252:E5315" si="164">D5252+1</f>
        <v>0.99046100000000004</v>
      </c>
      <c r="F5252" s="1">
        <f t="shared" ref="F5252:F5315" si="165">A5252 - (WEEKDAY(A5252, 2) - 1)</f>
        <v>41239</v>
      </c>
      <c r="G5252" cm="1">
        <f t="array" ref="G5252">PRODUCT( _xlfn._xlws.FILTER($E:$E, ($C:$C=C5252)*($F:$F=F5252)) ) - 1</f>
        <v>-2.1544139599221079E-3</v>
      </c>
    </row>
    <row r="5253" spans="1:7" x14ac:dyDescent="0.2">
      <c r="A5253" s="1">
        <v>41242</v>
      </c>
      <c r="B5253">
        <v>2</v>
      </c>
      <c r="C5253" t="s">
        <v>15</v>
      </c>
      <c r="D5253">
        <v>2.9510000000000001E-3</v>
      </c>
      <c r="E5253">
        <f t="shared" si="164"/>
        <v>1.0029509999999999</v>
      </c>
      <c r="F5253" s="1">
        <f t="shared" si="165"/>
        <v>41239</v>
      </c>
      <c r="G5253" cm="1">
        <f t="array" ref="G5253">PRODUCT( _xlfn._xlws.FILTER($E:$E, ($C:$C=C5253)*($F:$F=F5253)) ) - 1</f>
        <v>-2.1544139599221079E-3</v>
      </c>
    </row>
    <row r="5254" spans="1:7" x14ac:dyDescent="0.2">
      <c r="A5254" s="1">
        <v>41243</v>
      </c>
      <c r="B5254">
        <v>2</v>
      </c>
      <c r="C5254" t="s">
        <v>15</v>
      </c>
      <c r="D5254">
        <v>4.182E-3</v>
      </c>
      <c r="E5254">
        <f t="shared" si="164"/>
        <v>1.0041819999999999</v>
      </c>
      <c r="F5254" s="1">
        <f t="shared" si="165"/>
        <v>41239</v>
      </c>
      <c r="G5254" cm="1">
        <f t="array" ref="G5254">PRODUCT( _xlfn._xlws.FILTER($E:$E, ($C:$C=C5254)*($F:$F=F5254)) ) - 1</f>
        <v>-2.1544139599221079E-3</v>
      </c>
    </row>
    <row r="5255" spans="1:7" x14ac:dyDescent="0.2">
      <c r="A5255" s="1">
        <v>41246</v>
      </c>
      <c r="B5255">
        <v>2</v>
      </c>
      <c r="C5255" t="s">
        <v>15</v>
      </c>
      <c r="D5255">
        <v>-4.6299999999999998E-4</v>
      </c>
      <c r="E5255">
        <f t="shared" si="164"/>
        <v>0.99953700000000001</v>
      </c>
      <c r="F5255" s="1">
        <f t="shared" si="165"/>
        <v>41246</v>
      </c>
      <c r="G5255" cm="1">
        <f t="array" ref="G5255">PRODUCT( _xlfn._xlws.FILTER($E:$E, ($C:$C=C5255)*($F:$F=F5255)) ) - 1</f>
        <v>9.2545862687520852E-4</v>
      </c>
    </row>
    <row r="5256" spans="1:7" x14ac:dyDescent="0.2">
      <c r="A5256" s="1">
        <v>41247</v>
      </c>
      <c r="B5256">
        <v>2</v>
      </c>
      <c r="C5256" t="s">
        <v>15</v>
      </c>
      <c r="D5256">
        <v>-7.0980000000000001E-3</v>
      </c>
      <c r="E5256">
        <f t="shared" si="164"/>
        <v>0.99290199999999995</v>
      </c>
      <c r="F5256" s="1">
        <f t="shared" si="165"/>
        <v>41246</v>
      </c>
      <c r="G5256" cm="1">
        <f t="array" ref="G5256">PRODUCT( _xlfn._xlws.FILTER($E:$E, ($C:$C=C5256)*($F:$F=F5256)) ) - 1</f>
        <v>9.2545862687520852E-4</v>
      </c>
    </row>
    <row r="5257" spans="1:7" x14ac:dyDescent="0.2">
      <c r="A5257" s="1">
        <v>41248</v>
      </c>
      <c r="B5257">
        <v>2</v>
      </c>
      <c r="C5257" t="s">
        <v>15</v>
      </c>
      <c r="D5257">
        <v>1.2588E-2</v>
      </c>
      <c r="E5257">
        <f t="shared" si="164"/>
        <v>1.012588</v>
      </c>
      <c r="F5257" s="1">
        <f t="shared" si="165"/>
        <v>41246</v>
      </c>
      <c r="G5257" cm="1">
        <f t="array" ref="G5257">PRODUCT( _xlfn._xlws.FILTER($E:$E, ($C:$C=C5257)*($F:$F=F5257)) ) - 1</f>
        <v>9.2545862687520852E-4</v>
      </c>
    </row>
    <row r="5258" spans="1:7" x14ac:dyDescent="0.2">
      <c r="A5258" s="1">
        <v>41249</v>
      </c>
      <c r="B5258">
        <v>2</v>
      </c>
      <c r="C5258" t="s">
        <v>15</v>
      </c>
      <c r="D5258">
        <v>-3.9899999999999996E-3</v>
      </c>
      <c r="E5258">
        <f t="shared" si="164"/>
        <v>0.99600999999999995</v>
      </c>
      <c r="F5258" s="1">
        <f t="shared" si="165"/>
        <v>41246</v>
      </c>
      <c r="G5258" cm="1">
        <f t="array" ref="G5258">PRODUCT( _xlfn._xlws.FILTER($E:$E, ($C:$C=C5258)*($F:$F=F5258)) ) - 1</f>
        <v>9.2545862687520852E-4</v>
      </c>
    </row>
    <row r="5259" spans="1:7" x14ac:dyDescent="0.2">
      <c r="A5259" s="1">
        <v>41250</v>
      </c>
      <c r="B5259">
        <v>2</v>
      </c>
      <c r="C5259" t="s">
        <v>15</v>
      </c>
      <c r="D5259">
        <v>0</v>
      </c>
      <c r="E5259">
        <f t="shared" si="164"/>
        <v>1</v>
      </c>
      <c r="F5259" s="1">
        <f t="shared" si="165"/>
        <v>41246</v>
      </c>
      <c r="G5259" cm="1">
        <f t="array" ref="G5259">PRODUCT( _xlfn._xlws.FILTER($E:$E, ($C:$C=C5259)*($F:$F=F5259)) ) - 1</f>
        <v>9.2545862687520852E-4</v>
      </c>
    </row>
    <row r="5260" spans="1:7" x14ac:dyDescent="0.2">
      <c r="A5260" s="1">
        <v>41253</v>
      </c>
      <c r="B5260">
        <v>2</v>
      </c>
      <c r="C5260" t="s">
        <v>15</v>
      </c>
      <c r="D5260">
        <v>-1.0889999999999999E-3</v>
      </c>
      <c r="E5260">
        <f t="shared" si="164"/>
        <v>0.99891099999999999</v>
      </c>
      <c r="F5260" s="1">
        <f t="shared" si="165"/>
        <v>41253</v>
      </c>
      <c r="G5260" cm="1">
        <f t="array" ref="G5260">PRODUCT( _xlfn._xlws.FILTER($E:$E, ($C:$C=C5260)*($F:$F=F5260)) ) - 1</f>
        <v>1.6184919270554765E-2</v>
      </c>
    </row>
    <row r="5261" spans="1:7" x14ac:dyDescent="0.2">
      <c r="A5261" s="1">
        <v>41254</v>
      </c>
      <c r="B5261">
        <v>2</v>
      </c>
      <c r="C5261" t="s">
        <v>15</v>
      </c>
      <c r="D5261">
        <v>3.1159999999999998E-3</v>
      </c>
      <c r="E5261">
        <f t="shared" si="164"/>
        <v>1.0031159999999999</v>
      </c>
      <c r="F5261" s="1">
        <f t="shared" si="165"/>
        <v>41253</v>
      </c>
      <c r="G5261" cm="1">
        <f t="array" ref="G5261">PRODUCT( _xlfn._xlws.FILTER($E:$E, ($C:$C=C5261)*($F:$F=F5261)) ) - 1</f>
        <v>1.6184919270554765E-2</v>
      </c>
    </row>
    <row r="5262" spans="1:7" x14ac:dyDescent="0.2">
      <c r="A5262" s="1">
        <v>41255</v>
      </c>
      <c r="B5262">
        <v>2</v>
      </c>
      <c r="C5262" t="s">
        <v>15</v>
      </c>
      <c r="D5262">
        <v>1.1648E-2</v>
      </c>
      <c r="E5262">
        <f t="shared" si="164"/>
        <v>1.0116480000000001</v>
      </c>
      <c r="F5262" s="1">
        <f t="shared" si="165"/>
        <v>41253</v>
      </c>
      <c r="G5262" cm="1">
        <f t="array" ref="G5262">PRODUCT( _xlfn._xlws.FILTER($E:$E, ($C:$C=C5262)*($F:$F=F5262)) ) - 1</f>
        <v>1.6184919270554765E-2</v>
      </c>
    </row>
    <row r="5263" spans="1:7" x14ac:dyDescent="0.2">
      <c r="A5263" s="1">
        <v>41256</v>
      </c>
      <c r="B5263">
        <v>2</v>
      </c>
      <c r="C5263" t="s">
        <v>15</v>
      </c>
      <c r="D5263">
        <v>1.2128E-2</v>
      </c>
      <c r="E5263">
        <f t="shared" si="164"/>
        <v>1.0121279999999999</v>
      </c>
      <c r="F5263" s="1">
        <f t="shared" si="165"/>
        <v>41253</v>
      </c>
      <c r="G5263" cm="1">
        <f t="array" ref="G5263">PRODUCT( _xlfn._xlws.FILTER($E:$E, ($C:$C=C5263)*($F:$F=F5263)) ) - 1</f>
        <v>1.6184919270554765E-2</v>
      </c>
    </row>
    <row r="5264" spans="1:7" x14ac:dyDescent="0.2">
      <c r="A5264" s="1">
        <v>41257</v>
      </c>
      <c r="B5264">
        <v>2</v>
      </c>
      <c r="C5264" t="s">
        <v>15</v>
      </c>
      <c r="D5264">
        <v>-9.5560000000000003E-3</v>
      </c>
      <c r="E5264">
        <f t="shared" si="164"/>
        <v>0.99044399999999999</v>
      </c>
      <c r="F5264" s="1">
        <f t="shared" si="165"/>
        <v>41253</v>
      </c>
      <c r="G5264" cm="1">
        <f t="array" ref="G5264">PRODUCT( _xlfn._xlws.FILTER($E:$E, ($C:$C=C5264)*($F:$F=F5264)) ) - 1</f>
        <v>1.6184919270554765E-2</v>
      </c>
    </row>
    <row r="5265" spans="1:7" x14ac:dyDescent="0.2">
      <c r="A5265" s="1">
        <v>41260</v>
      </c>
      <c r="B5265">
        <v>2</v>
      </c>
      <c r="C5265" t="s">
        <v>15</v>
      </c>
      <c r="D5265">
        <v>-4.1349999999999998E-3</v>
      </c>
      <c r="E5265">
        <f t="shared" si="164"/>
        <v>0.995865</v>
      </c>
      <c r="F5265" s="1">
        <f t="shared" si="165"/>
        <v>41260</v>
      </c>
      <c r="G5265" cm="1">
        <f t="array" ref="G5265">PRODUCT( _xlfn._xlws.FILTER($E:$E, ($C:$C=C5265)*($F:$F=F5265)) ) - 1</f>
        <v>3.3695743325026228E-3</v>
      </c>
    </row>
    <row r="5266" spans="1:7" x14ac:dyDescent="0.2">
      <c r="A5266" s="1">
        <v>41261</v>
      </c>
      <c r="B5266">
        <v>2</v>
      </c>
      <c r="C5266" t="s">
        <v>15</v>
      </c>
      <c r="D5266">
        <v>6.1499999999999999E-4</v>
      </c>
      <c r="E5266">
        <f t="shared" si="164"/>
        <v>1.000615</v>
      </c>
      <c r="F5266" s="1">
        <f t="shared" si="165"/>
        <v>41260</v>
      </c>
      <c r="G5266" cm="1">
        <f t="array" ref="G5266">PRODUCT( _xlfn._xlws.FILTER($E:$E, ($C:$C=C5266)*($F:$F=F5266)) ) - 1</f>
        <v>3.3695743325026228E-3</v>
      </c>
    </row>
    <row r="5267" spans="1:7" x14ac:dyDescent="0.2">
      <c r="A5267" s="1">
        <v>41262</v>
      </c>
      <c r="B5267">
        <v>2</v>
      </c>
      <c r="C5267" t="s">
        <v>15</v>
      </c>
      <c r="D5267">
        <v>5.0720000000000001E-3</v>
      </c>
      <c r="E5267">
        <f t="shared" si="164"/>
        <v>1.005072</v>
      </c>
      <c r="F5267" s="1">
        <f t="shared" si="165"/>
        <v>41260</v>
      </c>
      <c r="G5267" cm="1">
        <f t="array" ref="G5267">PRODUCT( _xlfn._xlws.FILTER($E:$E, ($C:$C=C5267)*($F:$F=F5267)) ) - 1</f>
        <v>3.3695743325026228E-3</v>
      </c>
    </row>
    <row r="5268" spans="1:7" x14ac:dyDescent="0.2">
      <c r="A5268" s="1">
        <v>41263</v>
      </c>
      <c r="B5268">
        <v>2</v>
      </c>
      <c r="C5268" t="s">
        <v>15</v>
      </c>
      <c r="D5268">
        <v>-7.339E-3</v>
      </c>
      <c r="E5268">
        <f t="shared" si="164"/>
        <v>0.99266100000000002</v>
      </c>
      <c r="F5268" s="1">
        <f t="shared" si="165"/>
        <v>41260</v>
      </c>
      <c r="G5268" cm="1">
        <f t="array" ref="G5268">PRODUCT( _xlfn._xlws.FILTER($E:$E, ($C:$C=C5268)*($F:$F=F5268)) ) - 1</f>
        <v>3.3695743325026228E-3</v>
      </c>
    </row>
    <row r="5269" spans="1:7" x14ac:dyDescent="0.2">
      <c r="A5269" s="1">
        <v>41264</v>
      </c>
      <c r="B5269">
        <v>2</v>
      </c>
      <c r="C5269" t="s">
        <v>15</v>
      </c>
      <c r="D5269">
        <v>9.2420000000000002E-3</v>
      </c>
      <c r="E5269">
        <f t="shared" si="164"/>
        <v>1.009242</v>
      </c>
      <c r="F5269" s="1">
        <f t="shared" si="165"/>
        <v>41260</v>
      </c>
      <c r="G5269" cm="1">
        <f t="array" ref="G5269">PRODUCT( _xlfn._xlws.FILTER($E:$E, ($C:$C=C5269)*($F:$F=F5269)) ) - 1</f>
        <v>3.3695743325026228E-3</v>
      </c>
    </row>
    <row r="5270" spans="1:7" x14ac:dyDescent="0.2">
      <c r="A5270" s="1">
        <v>41267</v>
      </c>
      <c r="B5270">
        <v>2</v>
      </c>
      <c r="C5270" t="s">
        <v>15</v>
      </c>
      <c r="D5270">
        <v>1.0679999999999999E-3</v>
      </c>
      <c r="E5270">
        <f t="shared" si="164"/>
        <v>1.0010680000000001</v>
      </c>
      <c r="F5270" s="1">
        <f t="shared" si="165"/>
        <v>41267</v>
      </c>
      <c r="G5270" cm="1">
        <f t="array" ref="G5270">PRODUCT( _xlfn._xlws.FILTER($E:$E, ($C:$C=C5270)*($F:$F=F5270)) ) - 1</f>
        <v>-1.221442515999982E-3</v>
      </c>
    </row>
    <row r="5271" spans="1:7" x14ac:dyDescent="0.2">
      <c r="A5271" s="1">
        <v>41270</v>
      </c>
      <c r="B5271">
        <v>2</v>
      </c>
      <c r="C5271" t="s">
        <v>15</v>
      </c>
      <c r="D5271">
        <v>0</v>
      </c>
      <c r="E5271">
        <f t="shared" si="164"/>
        <v>1</v>
      </c>
      <c r="F5271" s="1">
        <f t="shared" si="165"/>
        <v>41267</v>
      </c>
      <c r="G5271" cm="1">
        <f t="array" ref="G5271">PRODUCT( _xlfn._xlws.FILTER($E:$E, ($C:$C=C5271)*($F:$F=F5271)) ) - 1</f>
        <v>-1.221442515999982E-3</v>
      </c>
    </row>
    <row r="5272" spans="1:7" x14ac:dyDescent="0.2">
      <c r="A5272" s="1">
        <v>41271</v>
      </c>
      <c r="B5272">
        <v>2</v>
      </c>
      <c r="C5272" t="s">
        <v>15</v>
      </c>
      <c r="D5272">
        <v>-2.287E-3</v>
      </c>
      <c r="E5272">
        <f t="shared" si="164"/>
        <v>0.99771299999999996</v>
      </c>
      <c r="F5272" s="1">
        <f t="shared" si="165"/>
        <v>41267</v>
      </c>
      <c r="G5272" cm="1">
        <f t="array" ref="G5272">PRODUCT( _xlfn._xlws.FILTER($E:$E, ($C:$C=C5272)*($F:$F=F5272)) ) - 1</f>
        <v>-1.221442515999982E-3</v>
      </c>
    </row>
    <row r="5273" spans="1:7" x14ac:dyDescent="0.2">
      <c r="A5273" s="1">
        <v>41274</v>
      </c>
      <c r="B5273">
        <v>2</v>
      </c>
      <c r="C5273" t="s">
        <v>15</v>
      </c>
      <c r="D5273">
        <v>-5.1960000000000001E-3</v>
      </c>
      <c r="E5273">
        <f t="shared" si="164"/>
        <v>0.99480400000000002</v>
      </c>
      <c r="F5273" s="1">
        <f t="shared" si="165"/>
        <v>41274</v>
      </c>
      <c r="G5273" cm="1">
        <f t="array" ref="G5273">PRODUCT( _xlfn._xlws.FILTER($E:$E, ($C:$C=C5273)*($F:$F=F5273)) ) - 1</f>
        <v>-3.8205290528876557E-3</v>
      </c>
    </row>
    <row r="5274" spans="1:7" x14ac:dyDescent="0.2">
      <c r="A5274" s="1">
        <v>41276</v>
      </c>
      <c r="B5274">
        <v>2</v>
      </c>
      <c r="C5274" t="s">
        <v>15</v>
      </c>
      <c r="D5274">
        <v>1.536E-3</v>
      </c>
      <c r="E5274">
        <f t="shared" si="164"/>
        <v>1.001536</v>
      </c>
      <c r="F5274" s="1">
        <f t="shared" si="165"/>
        <v>41274</v>
      </c>
      <c r="G5274" cm="1">
        <f t="array" ref="G5274">PRODUCT( _xlfn._xlws.FILTER($E:$E, ($C:$C=C5274)*($F:$F=F5274)) ) - 1</f>
        <v>-3.8205290528876557E-3</v>
      </c>
    </row>
    <row r="5275" spans="1:7" x14ac:dyDescent="0.2">
      <c r="A5275" s="1">
        <v>41277</v>
      </c>
      <c r="B5275">
        <v>2</v>
      </c>
      <c r="C5275" t="s">
        <v>15</v>
      </c>
      <c r="D5275">
        <v>-1.8400000000000001E-3</v>
      </c>
      <c r="E5275">
        <f t="shared" si="164"/>
        <v>0.99816000000000005</v>
      </c>
      <c r="F5275" s="1">
        <f t="shared" si="165"/>
        <v>41274</v>
      </c>
      <c r="G5275" cm="1">
        <f t="array" ref="G5275">PRODUCT( _xlfn._xlws.FILTER($E:$E, ($C:$C=C5275)*($F:$F=F5275)) ) - 1</f>
        <v>-3.8205290528876557E-3</v>
      </c>
    </row>
    <row r="5276" spans="1:7" x14ac:dyDescent="0.2">
      <c r="A5276" s="1">
        <v>41278</v>
      </c>
      <c r="B5276">
        <v>2</v>
      </c>
      <c r="C5276" t="s">
        <v>15</v>
      </c>
      <c r="D5276">
        <v>1.6900000000000001E-3</v>
      </c>
      <c r="E5276">
        <f t="shared" si="164"/>
        <v>1.00169</v>
      </c>
      <c r="F5276" s="1">
        <f t="shared" si="165"/>
        <v>41274</v>
      </c>
      <c r="G5276" cm="1">
        <f t="array" ref="G5276">PRODUCT( _xlfn._xlws.FILTER($E:$E, ($C:$C=C5276)*($F:$F=F5276)) ) - 1</f>
        <v>-3.8205290528876557E-3</v>
      </c>
    </row>
    <row r="5277" spans="1:7" x14ac:dyDescent="0.2">
      <c r="A5277" s="1">
        <v>41281</v>
      </c>
      <c r="B5277">
        <v>2</v>
      </c>
      <c r="C5277" t="s">
        <v>15</v>
      </c>
      <c r="D5277">
        <v>-1.2118E-2</v>
      </c>
      <c r="E5277">
        <f t="shared" si="164"/>
        <v>0.98788200000000004</v>
      </c>
      <c r="F5277" s="1">
        <f t="shared" si="165"/>
        <v>41281</v>
      </c>
      <c r="G5277" cm="1">
        <f t="array" ref="G5277">PRODUCT( _xlfn._xlws.FILTER($E:$E, ($C:$C=C5277)*($F:$F=F5277)) ) - 1</f>
        <v>-3.0678138089020868E-3</v>
      </c>
    </row>
    <row r="5278" spans="1:7" x14ac:dyDescent="0.2">
      <c r="A5278" s="1">
        <v>41282</v>
      </c>
      <c r="B5278">
        <v>2</v>
      </c>
      <c r="C5278" t="s">
        <v>15</v>
      </c>
      <c r="D5278">
        <v>0</v>
      </c>
      <c r="E5278">
        <f t="shared" si="164"/>
        <v>1</v>
      </c>
      <c r="F5278" s="1">
        <f t="shared" si="165"/>
        <v>41281</v>
      </c>
      <c r="G5278" cm="1">
        <f t="array" ref="G5278">PRODUCT( _xlfn._xlws.FILTER($E:$E, ($C:$C=C5278)*($F:$F=F5278)) ) - 1</f>
        <v>-3.0678138089020868E-3</v>
      </c>
    </row>
    <row r="5279" spans="1:7" x14ac:dyDescent="0.2">
      <c r="A5279" s="1">
        <v>41283</v>
      </c>
      <c r="B5279">
        <v>2</v>
      </c>
      <c r="C5279" t="s">
        <v>15</v>
      </c>
      <c r="D5279">
        <v>-5.4349999999999997E-3</v>
      </c>
      <c r="E5279">
        <f t="shared" si="164"/>
        <v>0.99456500000000003</v>
      </c>
      <c r="F5279" s="1">
        <f t="shared" si="165"/>
        <v>41281</v>
      </c>
      <c r="G5279" cm="1">
        <f t="array" ref="G5279">PRODUCT( _xlfn._xlws.FILTER($E:$E, ($C:$C=C5279)*($F:$F=F5279)) ) - 1</f>
        <v>-3.0678138089020868E-3</v>
      </c>
    </row>
    <row r="5280" spans="1:7" x14ac:dyDescent="0.2">
      <c r="A5280" s="1">
        <v>41284</v>
      </c>
      <c r="B5280">
        <v>2</v>
      </c>
      <c r="C5280" t="s">
        <v>15</v>
      </c>
      <c r="D5280">
        <v>1.2959E-2</v>
      </c>
      <c r="E5280">
        <f t="shared" si="164"/>
        <v>1.0129589999999999</v>
      </c>
      <c r="F5280" s="1">
        <f t="shared" si="165"/>
        <v>41281</v>
      </c>
      <c r="G5280" cm="1">
        <f t="array" ref="G5280">PRODUCT( _xlfn._xlws.FILTER($E:$E, ($C:$C=C5280)*($F:$F=F5280)) ) - 1</f>
        <v>-3.0678138089020868E-3</v>
      </c>
    </row>
    <row r="5281" spans="1:7" x14ac:dyDescent="0.2">
      <c r="A5281" s="1">
        <v>41285</v>
      </c>
      <c r="B5281">
        <v>2</v>
      </c>
      <c r="C5281" t="s">
        <v>15</v>
      </c>
      <c r="D5281">
        <v>1.6949999999999999E-3</v>
      </c>
      <c r="E5281">
        <f t="shared" si="164"/>
        <v>1.001695</v>
      </c>
      <c r="F5281" s="1">
        <f t="shared" si="165"/>
        <v>41281</v>
      </c>
      <c r="G5281" cm="1">
        <f t="array" ref="G5281">PRODUCT( _xlfn._xlws.FILTER($E:$E, ($C:$C=C5281)*($F:$F=F5281)) ) - 1</f>
        <v>-3.0678138089020868E-3</v>
      </c>
    </row>
    <row r="5282" spans="1:7" x14ac:dyDescent="0.2">
      <c r="A5282" s="1">
        <v>41288</v>
      </c>
      <c r="B5282">
        <v>2</v>
      </c>
      <c r="C5282" t="s">
        <v>15</v>
      </c>
      <c r="D5282">
        <v>-2.3080000000000002E-3</v>
      </c>
      <c r="E5282">
        <f t="shared" si="164"/>
        <v>0.99769200000000002</v>
      </c>
      <c r="F5282" s="1">
        <f t="shared" si="165"/>
        <v>41288</v>
      </c>
      <c r="G5282" cm="1">
        <f t="array" ref="G5282">PRODUCT( _xlfn._xlws.FILTER($E:$E, ($C:$C=C5282)*($F:$F=F5282)) ) - 1</f>
        <v>9.2323917184535809E-3</v>
      </c>
    </row>
    <row r="5283" spans="1:7" x14ac:dyDescent="0.2">
      <c r="A5283" s="1">
        <v>41289</v>
      </c>
      <c r="B5283">
        <v>2</v>
      </c>
      <c r="C5283" t="s">
        <v>15</v>
      </c>
      <c r="D5283">
        <v>1.851E-3</v>
      </c>
      <c r="E5283">
        <f t="shared" si="164"/>
        <v>1.001851</v>
      </c>
      <c r="F5283" s="1">
        <f t="shared" si="165"/>
        <v>41288</v>
      </c>
      <c r="G5283" cm="1">
        <f t="array" ref="G5283">PRODUCT( _xlfn._xlws.FILTER($E:$E, ($C:$C=C5283)*($F:$F=F5283)) ) - 1</f>
        <v>9.2323917184535809E-3</v>
      </c>
    </row>
    <row r="5284" spans="1:7" x14ac:dyDescent="0.2">
      <c r="A5284" s="1">
        <v>41290</v>
      </c>
      <c r="B5284">
        <v>2</v>
      </c>
      <c r="C5284" t="s">
        <v>15</v>
      </c>
      <c r="D5284">
        <v>-1.078E-3</v>
      </c>
      <c r="E5284">
        <f t="shared" si="164"/>
        <v>0.99892199999999998</v>
      </c>
      <c r="F5284" s="1">
        <f t="shared" si="165"/>
        <v>41288</v>
      </c>
      <c r="G5284" cm="1">
        <f t="array" ref="G5284">PRODUCT( _xlfn._xlws.FILTER($E:$E, ($C:$C=C5284)*($F:$F=F5284)) ) - 1</f>
        <v>9.2323917184535809E-3</v>
      </c>
    </row>
    <row r="5285" spans="1:7" x14ac:dyDescent="0.2">
      <c r="A5285" s="1">
        <v>41291</v>
      </c>
      <c r="B5285">
        <v>2</v>
      </c>
      <c r="C5285" t="s">
        <v>15</v>
      </c>
      <c r="D5285">
        <v>1.2329999999999999E-3</v>
      </c>
      <c r="E5285">
        <f t="shared" si="164"/>
        <v>1.001233</v>
      </c>
      <c r="F5285" s="1">
        <f t="shared" si="165"/>
        <v>41288</v>
      </c>
      <c r="G5285" cm="1">
        <f t="array" ref="G5285">PRODUCT( _xlfn._xlws.FILTER($E:$E, ($C:$C=C5285)*($F:$F=F5285)) ) - 1</f>
        <v>9.2323917184535809E-3</v>
      </c>
    </row>
    <row r="5286" spans="1:7" x14ac:dyDescent="0.2">
      <c r="A5286" s="1">
        <v>41292</v>
      </c>
      <c r="B5286">
        <v>2</v>
      </c>
      <c r="C5286" t="s">
        <v>15</v>
      </c>
      <c r="D5286">
        <v>9.5429999999999994E-3</v>
      </c>
      <c r="E5286">
        <f t="shared" si="164"/>
        <v>1.0095430000000001</v>
      </c>
      <c r="F5286" s="1">
        <f t="shared" si="165"/>
        <v>41288</v>
      </c>
      <c r="G5286" cm="1">
        <f t="array" ref="G5286">PRODUCT( _xlfn._xlws.FILTER($E:$E, ($C:$C=C5286)*($F:$F=F5286)) ) - 1</f>
        <v>9.2323917184535809E-3</v>
      </c>
    </row>
    <row r="5287" spans="1:7" x14ac:dyDescent="0.2">
      <c r="A5287" s="1">
        <v>41295</v>
      </c>
      <c r="B5287">
        <v>2</v>
      </c>
      <c r="C5287" t="s">
        <v>15</v>
      </c>
      <c r="D5287">
        <v>0</v>
      </c>
      <c r="E5287">
        <f t="shared" si="164"/>
        <v>1</v>
      </c>
      <c r="F5287" s="1">
        <f t="shared" si="165"/>
        <v>41295</v>
      </c>
      <c r="G5287" cm="1">
        <f t="array" ref="G5287">PRODUCT( _xlfn._xlws.FILTER($E:$E, ($C:$C=C5287)*($F:$F=F5287)) ) - 1</f>
        <v>-8.5382209723017244E-3</v>
      </c>
    </row>
    <row r="5288" spans="1:7" x14ac:dyDescent="0.2">
      <c r="A5288" s="1">
        <v>41296</v>
      </c>
      <c r="B5288">
        <v>2</v>
      </c>
      <c r="C5288" t="s">
        <v>15</v>
      </c>
      <c r="D5288">
        <v>-1.5703999999999999E-2</v>
      </c>
      <c r="E5288">
        <f t="shared" si="164"/>
        <v>0.98429599999999995</v>
      </c>
      <c r="F5288" s="1">
        <f t="shared" si="165"/>
        <v>41295</v>
      </c>
      <c r="G5288" cm="1">
        <f t="array" ref="G5288">PRODUCT( _xlfn._xlws.FILTER($E:$E, ($C:$C=C5288)*($F:$F=F5288)) ) - 1</f>
        <v>-8.5382209723017244E-3</v>
      </c>
    </row>
    <row r="5289" spans="1:7" x14ac:dyDescent="0.2">
      <c r="A5289" s="1">
        <v>41297</v>
      </c>
      <c r="B5289">
        <v>2</v>
      </c>
      <c r="C5289" t="s">
        <v>15</v>
      </c>
      <c r="D5289">
        <v>1.3940000000000001E-3</v>
      </c>
      <c r="E5289">
        <f t="shared" si="164"/>
        <v>1.0013939999999999</v>
      </c>
      <c r="F5289" s="1">
        <f t="shared" si="165"/>
        <v>41295</v>
      </c>
      <c r="G5289" cm="1">
        <f t="array" ref="G5289">PRODUCT( _xlfn._xlws.FILTER($E:$E, ($C:$C=C5289)*($F:$F=F5289)) ) - 1</f>
        <v>-8.5382209723017244E-3</v>
      </c>
    </row>
    <row r="5290" spans="1:7" x14ac:dyDescent="0.2">
      <c r="A5290" s="1">
        <v>41298</v>
      </c>
      <c r="B5290">
        <v>2</v>
      </c>
      <c r="C5290" t="s">
        <v>15</v>
      </c>
      <c r="D5290">
        <v>1.686E-2</v>
      </c>
      <c r="E5290">
        <f t="shared" si="164"/>
        <v>1.0168600000000001</v>
      </c>
      <c r="F5290" s="1">
        <f t="shared" si="165"/>
        <v>41295</v>
      </c>
      <c r="G5290" cm="1">
        <f t="array" ref="G5290">PRODUCT( _xlfn._xlws.FILTER($E:$E, ($C:$C=C5290)*($F:$F=F5290)) ) - 1</f>
        <v>-8.5382209723017244E-3</v>
      </c>
    </row>
    <row r="5291" spans="1:7" x14ac:dyDescent="0.2">
      <c r="A5291" s="1">
        <v>41299</v>
      </c>
      <c r="B5291">
        <v>2</v>
      </c>
      <c r="C5291" t="s">
        <v>15</v>
      </c>
      <c r="D5291">
        <v>-1.0800000000000001E-2</v>
      </c>
      <c r="E5291">
        <f t="shared" si="164"/>
        <v>0.98919999999999997</v>
      </c>
      <c r="F5291" s="1">
        <f t="shared" si="165"/>
        <v>41295</v>
      </c>
      <c r="G5291" cm="1">
        <f t="array" ref="G5291">PRODUCT( _xlfn._xlws.FILTER($E:$E, ($C:$C=C5291)*($F:$F=F5291)) ) - 1</f>
        <v>-8.5382209723017244E-3</v>
      </c>
    </row>
    <row r="5292" spans="1:7" x14ac:dyDescent="0.2">
      <c r="A5292" s="1">
        <v>41302</v>
      </c>
      <c r="B5292">
        <v>2</v>
      </c>
      <c r="C5292" t="s">
        <v>15</v>
      </c>
      <c r="D5292">
        <v>1.0149E-2</v>
      </c>
      <c r="E5292">
        <f t="shared" si="164"/>
        <v>1.010149</v>
      </c>
      <c r="F5292" s="1">
        <f t="shared" si="165"/>
        <v>41302</v>
      </c>
      <c r="G5292" cm="1">
        <f t="array" ref="G5292">PRODUCT( _xlfn._xlws.FILTER($E:$E, ($C:$C=C5292)*($F:$F=F5292)) ) - 1</f>
        <v>3.8905620271875385E-2</v>
      </c>
    </row>
    <row r="5293" spans="1:7" x14ac:dyDescent="0.2">
      <c r="A5293" s="1">
        <v>41303</v>
      </c>
      <c r="B5293">
        <v>2</v>
      </c>
      <c r="C5293" t="s">
        <v>15</v>
      </c>
      <c r="D5293">
        <v>1.2635E-2</v>
      </c>
      <c r="E5293">
        <f t="shared" si="164"/>
        <v>1.012635</v>
      </c>
      <c r="F5293" s="1">
        <f t="shared" si="165"/>
        <v>41302</v>
      </c>
      <c r="G5293" cm="1">
        <f t="array" ref="G5293">PRODUCT( _xlfn._xlws.FILTER($E:$E, ($C:$C=C5293)*($F:$F=F5293)) ) - 1</f>
        <v>3.8905620271875385E-2</v>
      </c>
    </row>
    <row r="5294" spans="1:7" x14ac:dyDescent="0.2">
      <c r="A5294" s="1">
        <v>41304</v>
      </c>
      <c r="B5294">
        <v>2</v>
      </c>
      <c r="C5294" t="s">
        <v>15</v>
      </c>
      <c r="D5294">
        <v>-4.0590000000000001E-3</v>
      </c>
      <c r="E5294">
        <f t="shared" si="164"/>
        <v>0.99594099999999997</v>
      </c>
      <c r="F5294" s="1">
        <f t="shared" si="165"/>
        <v>41302</v>
      </c>
      <c r="G5294" cm="1">
        <f t="array" ref="G5294">PRODUCT( _xlfn._xlws.FILTER($E:$E, ($C:$C=C5294)*($F:$F=F5294)) ) - 1</f>
        <v>3.8905620271875385E-2</v>
      </c>
    </row>
    <row r="5295" spans="1:7" x14ac:dyDescent="0.2">
      <c r="A5295" s="1">
        <v>41305</v>
      </c>
      <c r="B5295">
        <v>2</v>
      </c>
      <c r="C5295" t="s">
        <v>15</v>
      </c>
      <c r="D5295">
        <v>1.7208000000000001E-2</v>
      </c>
      <c r="E5295">
        <f t="shared" si="164"/>
        <v>1.0172080000000001</v>
      </c>
      <c r="F5295" s="1">
        <f t="shared" si="165"/>
        <v>41302</v>
      </c>
      <c r="G5295" cm="1">
        <f t="array" ref="G5295">PRODUCT( _xlfn._xlws.FILTER($E:$E, ($C:$C=C5295)*($F:$F=F5295)) ) - 1</f>
        <v>3.8905620271875385E-2</v>
      </c>
    </row>
    <row r="5296" spans="1:7" x14ac:dyDescent="0.2">
      <c r="A5296" s="1">
        <v>41306</v>
      </c>
      <c r="B5296">
        <v>2</v>
      </c>
      <c r="C5296" t="s">
        <v>15</v>
      </c>
      <c r="D5296">
        <v>2.5230000000000001E-3</v>
      </c>
      <c r="E5296">
        <f t="shared" si="164"/>
        <v>1.0025230000000001</v>
      </c>
      <c r="F5296" s="1">
        <f t="shared" si="165"/>
        <v>41302</v>
      </c>
      <c r="G5296" cm="1">
        <f t="array" ref="G5296">PRODUCT( _xlfn._xlws.FILTER($E:$E, ($C:$C=C5296)*($F:$F=F5296)) ) - 1</f>
        <v>3.8905620271875385E-2</v>
      </c>
    </row>
    <row r="5297" spans="1:7" x14ac:dyDescent="0.2">
      <c r="A5297" s="1">
        <v>41309</v>
      </c>
      <c r="B5297">
        <v>2</v>
      </c>
      <c r="C5297" t="s">
        <v>15</v>
      </c>
      <c r="D5297">
        <v>-1.0213E-2</v>
      </c>
      <c r="E5297">
        <f t="shared" si="164"/>
        <v>0.98978699999999997</v>
      </c>
      <c r="F5297" s="1">
        <f t="shared" si="165"/>
        <v>41309</v>
      </c>
      <c r="G5297" cm="1">
        <f t="array" ref="G5297">PRODUCT( _xlfn._xlws.FILTER($E:$E, ($C:$C=C5297)*($F:$F=F5297)) ) - 1</f>
        <v>-2.308994800257691E-2</v>
      </c>
    </row>
    <row r="5298" spans="1:7" x14ac:dyDescent="0.2">
      <c r="A5298" s="1">
        <v>41310</v>
      </c>
      <c r="B5298">
        <v>2</v>
      </c>
      <c r="C5298" t="s">
        <v>15</v>
      </c>
      <c r="D5298">
        <v>-5.9800000000000001E-4</v>
      </c>
      <c r="E5298">
        <f t="shared" si="164"/>
        <v>0.99940200000000001</v>
      </c>
      <c r="F5298" s="1">
        <f t="shared" si="165"/>
        <v>41309</v>
      </c>
      <c r="G5298" cm="1">
        <f t="array" ref="G5298">PRODUCT( _xlfn._xlws.FILTER($E:$E, ($C:$C=C5298)*($F:$F=F5298)) ) - 1</f>
        <v>-2.308994800257691E-2</v>
      </c>
    </row>
    <row r="5299" spans="1:7" x14ac:dyDescent="0.2">
      <c r="A5299" s="1">
        <v>41311</v>
      </c>
      <c r="B5299">
        <v>2</v>
      </c>
      <c r="C5299" t="s">
        <v>15</v>
      </c>
      <c r="D5299">
        <v>1.0474000000000001E-2</v>
      </c>
      <c r="E5299">
        <f t="shared" si="164"/>
        <v>1.0104740000000001</v>
      </c>
      <c r="F5299" s="1">
        <f t="shared" si="165"/>
        <v>41309</v>
      </c>
      <c r="G5299" cm="1">
        <f t="array" ref="G5299">PRODUCT( _xlfn._xlws.FILTER($E:$E, ($C:$C=C5299)*($F:$F=F5299)) ) - 1</f>
        <v>-2.308994800257691E-2</v>
      </c>
    </row>
    <row r="5300" spans="1:7" x14ac:dyDescent="0.2">
      <c r="A5300" s="1">
        <v>41312</v>
      </c>
      <c r="B5300">
        <v>2</v>
      </c>
      <c r="C5300" t="s">
        <v>15</v>
      </c>
      <c r="D5300">
        <v>-7.7000000000000002E-3</v>
      </c>
      <c r="E5300">
        <f t="shared" si="164"/>
        <v>0.99229999999999996</v>
      </c>
      <c r="F5300" s="1">
        <f t="shared" si="165"/>
        <v>41309</v>
      </c>
      <c r="G5300" cm="1">
        <f t="array" ref="G5300">PRODUCT( _xlfn._xlws.FILTER($E:$E, ($C:$C=C5300)*($F:$F=F5300)) ) - 1</f>
        <v>-2.308994800257691E-2</v>
      </c>
    </row>
    <row r="5301" spans="1:7" x14ac:dyDescent="0.2">
      <c r="A5301" s="1">
        <v>41313</v>
      </c>
      <c r="B5301">
        <v>2</v>
      </c>
      <c r="C5301" t="s">
        <v>15</v>
      </c>
      <c r="D5301">
        <v>-1.5072E-2</v>
      </c>
      <c r="E5301">
        <f t="shared" si="164"/>
        <v>0.98492800000000003</v>
      </c>
      <c r="F5301" s="1">
        <f t="shared" si="165"/>
        <v>41309</v>
      </c>
      <c r="G5301" cm="1">
        <f t="array" ref="G5301">PRODUCT( _xlfn._xlws.FILTER($E:$E, ($C:$C=C5301)*($F:$F=F5301)) ) - 1</f>
        <v>-2.308994800257691E-2</v>
      </c>
    </row>
    <row r="5302" spans="1:7" x14ac:dyDescent="0.2">
      <c r="A5302" s="1">
        <v>41316</v>
      </c>
      <c r="B5302">
        <v>2</v>
      </c>
      <c r="C5302" t="s">
        <v>15</v>
      </c>
      <c r="D5302">
        <v>7.5760000000000003E-3</v>
      </c>
      <c r="E5302">
        <f t="shared" si="164"/>
        <v>1.007576</v>
      </c>
      <c r="F5302" s="1">
        <f t="shared" si="165"/>
        <v>41316</v>
      </c>
      <c r="G5302" cm="1">
        <f t="array" ref="G5302">PRODUCT( _xlfn._xlws.FILTER($E:$E, ($C:$C=C5302)*($F:$F=F5302)) ) - 1</f>
        <v>2.742467376206581E-2</v>
      </c>
    </row>
    <row r="5303" spans="1:7" x14ac:dyDescent="0.2">
      <c r="A5303" s="1">
        <v>41317</v>
      </c>
      <c r="B5303">
        <v>2</v>
      </c>
      <c r="C5303" t="s">
        <v>15</v>
      </c>
      <c r="D5303">
        <v>4.6620000000000003E-3</v>
      </c>
      <c r="E5303">
        <f t="shared" si="164"/>
        <v>1.0046619999999999</v>
      </c>
      <c r="F5303" s="1">
        <f t="shared" si="165"/>
        <v>41316</v>
      </c>
      <c r="G5303" cm="1">
        <f t="array" ref="G5303">PRODUCT( _xlfn._xlws.FILTER($E:$E, ($C:$C=C5303)*($F:$F=F5303)) ) - 1</f>
        <v>2.742467376206581E-2</v>
      </c>
    </row>
    <row r="5304" spans="1:7" x14ac:dyDescent="0.2">
      <c r="A5304" s="1">
        <v>41318</v>
      </c>
      <c r="B5304">
        <v>2</v>
      </c>
      <c r="C5304" t="s">
        <v>15</v>
      </c>
      <c r="D5304">
        <v>1.3470000000000001E-3</v>
      </c>
      <c r="E5304">
        <f t="shared" si="164"/>
        <v>1.001347</v>
      </c>
      <c r="F5304" s="1">
        <f t="shared" si="165"/>
        <v>41316</v>
      </c>
      <c r="G5304" cm="1">
        <f t="array" ref="G5304">PRODUCT( _xlfn._xlws.FILTER($E:$E, ($C:$C=C5304)*($F:$F=F5304)) ) - 1</f>
        <v>2.742467376206581E-2</v>
      </c>
    </row>
    <row r="5305" spans="1:7" x14ac:dyDescent="0.2">
      <c r="A5305" s="1">
        <v>41319</v>
      </c>
      <c r="B5305">
        <v>2</v>
      </c>
      <c r="C5305" t="s">
        <v>15</v>
      </c>
      <c r="D5305">
        <v>-1.794E-3</v>
      </c>
      <c r="E5305">
        <f t="shared" si="164"/>
        <v>0.99820600000000004</v>
      </c>
      <c r="F5305" s="1">
        <f t="shared" si="165"/>
        <v>41316</v>
      </c>
      <c r="G5305" cm="1">
        <f t="array" ref="G5305">PRODUCT( _xlfn._xlws.FILTER($E:$E, ($C:$C=C5305)*($F:$F=F5305)) ) - 1</f>
        <v>2.742467376206581E-2</v>
      </c>
    </row>
    <row r="5306" spans="1:7" x14ac:dyDescent="0.2">
      <c r="A5306" s="1">
        <v>41320</v>
      </c>
      <c r="B5306">
        <v>2</v>
      </c>
      <c r="C5306" t="s">
        <v>15</v>
      </c>
      <c r="D5306">
        <v>1.5424E-2</v>
      </c>
      <c r="E5306">
        <f t="shared" si="164"/>
        <v>1.0154240000000001</v>
      </c>
      <c r="F5306" s="1">
        <f t="shared" si="165"/>
        <v>41316</v>
      </c>
      <c r="G5306" cm="1">
        <f t="array" ref="G5306">PRODUCT( _xlfn._xlws.FILTER($E:$E, ($C:$C=C5306)*($F:$F=F5306)) ) - 1</f>
        <v>2.742467376206581E-2</v>
      </c>
    </row>
    <row r="5307" spans="1:7" x14ac:dyDescent="0.2">
      <c r="A5307" s="1">
        <v>41324</v>
      </c>
      <c r="B5307">
        <v>2</v>
      </c>
      <c r="C5307" t="s">
        <v>15</v>
      </c>
      <c r="D5307">
        <v>2.2268E-2</v>
      </c>
      <c r="E5307">
        <f t="shared" si="164"/>
        <v>1.022268</v>
      </c>
      <c r="F5307" s="1">
        <f t="shared" si="165"/>
        <v>41323</v>
      </c>
      <c r="G5307" cm="1">
        <f t="array" ref="G5307">PRODUCT( _xlfn._xlws.FILTER($E:$E, ($C:$C=C5307)*($F:$F=F5307)) ) - 1</f>
        <v>2.4775385762118907E-2</v>
      </c>
    </row>
    <row r="5308" spans="1:7" x14ac:dyDescent="0.2">
      <c r="A5308" s="1">
        <v>41325</v>
      </c>
      <c r="B5308">
        <v>2</v>
      </c>
      <c r="C5308" t="s">
        <v>15</v>
      </c>
      <c r="D5308">
        <v>-1.3272000000000001E-2</v>
      </c>
      <c r="E5308">
        <f t="shared" si="164"/>
        <v>0.98672800000000005</v>
      </c>
      <c r="F5308" s="1">
        <f t="shared" si="165"/>
        <v>41323</v>
      </c>
      <c r="G5308" cm="1">
        <f t="array" ref="G5308">PRODUCT( _xlfn._xlws.FILTER($E:$E, ($C:$C=C5308)*($F:$F=F5308)) ) - 1</f>
        <v>2.4775385762118907E-2</v>
      </c>
    </row>
    <row r="5309" spans="1:7" x14ac:dyDescent="0.2">
      <c r="A5309" s="1">
        <v>41326</v>
      </c>
      <c r="B5309">
        <v>2</v>
      </c>
      <c r="C5309" t="s">
        <v>15</v>
      </c>
      <c r="D5309">
        <v>1.5789999999999998E-2</v>
      </c>
      <c r="E5309">
        <f t="shared" si="164"/>
        <v>1.01579</v>
      </c>
      <c r="F5309" s="1">
        <f t="shared" si="165"/>
        <v>41323</v>
      </c>
      <c r="G5309" cm="1">
        <f t="array" ref="G5309">PRODUCT( _xlfn._xlws.FILTER($E:$E, ($C:$C=C5309)*($F:$F=F5309)) ) - 1</f>
        <v>2.4775385762118907E-2</v>
      </c>
    </row>
    <row r="5310" spans="1:7" x14ac:dyDescent="0.2">
      <c r="A5310" s="1">
        <v>41327</v>
      </c>
      <c r="B5310">
        <v>2</v>
      </c>
      <c r="C5310" t="s">
        <v>15</v>
      </c>
      <c r="D5310">
        <v>1.44E-4</v>
      </c>
      <c r="E5310">
        <f t="shared" si="164"/>
        <v>1.0001439999999999</v>
      </c>
      <c r="F5310" s="1">
        <f t="shared" si="165"/>
        <v>41323</v>
      </c>
      <c r="G5310" cm="1">
        <f t="array" ref="G5310">PRODUCT( _xlfn._xlws.FILTER($E:$E, ($C:$C=C5310)*($F:$F=F5310)) ) - 1</f>
        <v>2.4775385762118907E-2</v>
      </c>
    </row>
    <row r="5311" spans="1:7" x14ac:dyDescent="0.2">
      <c r="A5311" s="1">
        <v>41330</v>
      </c>
      <c r="B5311">
        <v>2</v>
      </c>
      <c r="C5311" t="s">
        <v>15</v>
      </c>
      <c r="D5311">
        <v>-3.741E-3</v>
      </c>
      <c r="E5311">
        <f t="shared" si="164"/>
        <v>0.99625900000000001</v>
      </c>
      <c r="F5311" s="1">
        <f t="shared" si="165"/>
        <v>41330</v>
      </c>
      <c r="G5311" cm="1">
        <f t="array" ref="G5311">PRODUCT( _xlfn._xlws.FILTER($E:$E, ($C:$C=C5311)*($F:$F=F5311)) ) - 1</f>
        <v>1.9859463511634701E-2</v>
      </c>
    </row>
    <row r="5312" spans="1:7" x14ac:dyDescent="0.2">
      <c r="A5312" s="1">
        <v>41331</v>
      </c>
      <c r="B5312">
        <v>2</v>
      </c>
      <c r="C5312" t="s">
        <v>15</v>
      </c>
      <c r="D5312">
        <v>-1.44E-4</v>
      </c>
      <c r="E5312">
        <f t="shared" si="164"/>
        <v>0.99985599999999997</v>
      </c>
      <c r="F5312" s="1">
        <f t="shared" si="165"/>
        <v>41330</v>
      </c>
      <c r="G5312" cm="1">
        <f t="array" ref="G5312">PRODUCT( _xlfn._xlws.FILTER($E:$E, ($C:$C=C5312)*($F:$F=F5312)) ) - 1</f>
        <v>1.9859463511634701E-2</v>
      </c>
    </row>
    <row r="5313" spans="1:7" x14ac:dyDescent="0.2">
      <c r="A5313" s="1">
        <v>41332</v>
      </c>
      <c r="B5313">
        <v>2</v>
      </c>
      <c r="C5313" t="s">
        <v>15</v>
      </c>
      <c r="D5313">
        <v>2.0225E-2</v>
      </c>
      <c r="E5313">
        <f t="shared" si="164"/>
        <v>1.0202249999999999</v>
      </c>
      <c r="F5313" s="1">
        <f t="shared" si="165"/>
        <v>41330</v>
      </c>
      <c r="G5313" cm="1">
        <f t="array" ref="G5313">PRODUCT( _xlfn._xlws.FILTER($E:$E, ($C:$C=C5313)*($F:$F=F5313)) ) - 1</f>
        <v>1.9859463511634701E-2</v>
      </c>
    </row>
    <row r="5314" spans="1:7" x14ac:dyDescent="0.2">
      <c r="A5314" s="1">
        <v>41333</v>
      </c>
      <c r="B5314">
        <v>2</v>
      </c>
      <c r="C5314" t="s">
        <v>15</v>
      </c>
      <c r="D5314">
        <v>3.823E-3</v>
      </c>
      <c r="E5314">
        <f t="shared" si="164"/>
        <v>1.0038229999999999</v>
      </c>
      <c r="F5314" s="1">
        <f t="shared" si="165"/>
        <v>41330</v>
      </c>
      <c r="G5314" cm="1">
        <f t="array" ref="G5314">PRODUCT( _xlfn._xlws.FILTER($E:$E, ($C:$C=C5314)*($F:$F=F5314)) ) - 1</f>
        <v>1.9859463511634701E-2</v>
      </c>
    </row>
    <row r="5315" spans="1:7" x14ac:dyDescent="0.2">
      <c r="A5315" s="1">
        <v>41334</v>
      </c>
      <c r="B5315">
        <v>2</v>
      </c>
      <c r="C5315" t="s">
        <v>15</v>
      </c>
      <c r="D5315">
        <v>-2.8200000000000002E-4</v>
      </c>
      <c r="E5315">
        <f t="shared" si="164"/>
        <v>0.999718</v>
      </c>
      <c r="F5315" s="1">
        <f t="shared" si="165"/>
        <v>41330</v>
      </c>
      <c r="G5315" cm="1">
        <f t="array" ref="G5315">PRODUCT( _xlfn._xlws.FILTER($E:$E, ($C:$C=C5315)*($F:$F=F5315)) ) - 1</f>
        <v>1.9859463511634701E-2</v>
      </c>
    </row>
    <row r="5316" spans="1:7" x14ac:dyDescent="0.2">
      <c r="A5316" s="1">
        <v>41337</v>
      </c>
      <c r="B5316">
        <v>2</v>
      </c>
      <c r="C5316" t="s">
        <v>15</v>
      </c>
      <c r="D5316">
        <v>2.5400000000000002E-3</v>
      </c>
      <c r="E5316">
        <f t="shared" ref="E5316:E5379" si="166">D5316+1</f>
        <v>1.00254</v>
      </c>
      <c r="F5316" s="1">
        <f t="shared" ref="F5316:F5379" si="167">A5316 - (WEEKDAY(A5316, 2) - 1)</f>
        <v>41337</v>
      </c>
      <c r="G5316" cm="1">
        <f t="array" ref="G5316">PRODUCT( _xlfn._xlws.FILTER($E:$E, ($C:$C=C5316)*($F:$F=F5316)) ) - 1</f>
        <v>-6.4817739702897059E-3</v>
      </c>
    </row>
    <row r="5317" spans="1:7" x14ac:dyDescent="0.2">
      <c r="A5317" s="1">
        <v>41338</v>
      </c>
      <c r="B5317">
        <v>2</v>
      </c>
      <c r="C5317" t="s">
        <v>15</v>
      </c>
      <c r="D5317">
        <v>5.9109999999999996E-3</v>
      </c>
      <c r="E5317">
        <f t="shared" si="166"/>
        <v>1.005911</v>
      </c>
      <c r="F5317" s="1">
        <f t="shared" si="167"/>
        <v>41337</v>
      </c>
      <c r="G5317" cm="1">
        <f t="array" ref="G5317">PRODUCT( _xlfn._xlws.FILTER($E:$E, ($C:$C=C5317)*($F:$F=F5317)) ) - 1</f>
        <v>-6.4817739702897059E-3</v>
      </c>
    </row>
    <row r="5318" spans="1:7" x14ac:dyDescent="0.2">
      <c r="A5318" s="1">
        <v>41339</v>
      </c>
      <c r="B5318">
        <v>2</v>
      </c>
      <c r="C5318" t="s">
        <v>15</v>
      </c>
      <c r="D5318">
        <v>-8.3900000000000001E-4</v>
      </c>
      <c r="E5318">
        <f t="shared" si="166"/>
        <v>0.99916099999999997</v>
      </c>
      <c r="F5318" s="1">
        <f t="shared" si="167"/>
        <v>41337</v>
      </c>
      <c r="G5318" cm="1">
        <f t="array" ref="G5318">PRODUCT( _xlfn._xlws.FILTER($E:$E, ($C:$C=C5318)*($F:$F=F5318)) ) - 1</f>
        <v>-6.4817739702897059E-3</v>
      </c>
    </row>
    <row r="5319" spans="1:7" x14ac:dyDescent="0.2">
      <c r="A5319" s="1">
        <v>41340</v>
      </c>
      <c r="B5319">
        <v>2</v>
      </c>
      <c r="C5319" t="s">
        <v>15</v>
      </c>
      <c r="D5319">
        <v>-1.4984000000000001E-2</v>
      </c>
      <c r="E5319">
        <f t="shared" si="166"/>
        <v>0.985016</v>
      </c>
      <c r="F5319" s="1">
        <f t="shared" si="167"/>
        <v>41337</v>
      </c>
      <c r="G5319" cm="1">
        <f t="array" ref="G5319">PRODUCT( _xlfn._xlws.FILTER($E:$E, ($C:$C=C5319)*($F:$F=F5319)) ) - 1</f>
        <v>-6.4817739702897059E-3</v>
      </c>
    </row>
    <row r="5320" spans="1:7" x14ac:dyDescent="0.2">
      <c r="A5320" s="1">
        <v>41341</v>
      </c>
      <c r="B5320">
        <v>2</v>
      </c>
      <c r="C5320" t="s">
        <v>15</v>
      </c>
      <c r="D5320">
        <v>1.0039999999999999E-3</v>
      </c>
      <c r="E5320">
        <f t="shared" si="166"/>
        <v>1.001004</v>
      </c>
      <c r="F5320" s="1">
        <f t="shared" si="167"/>
        <v>41337</v>
      </c>
      <c r="G5320" cm="1">
        <f t="array" ref="G5320">PRODUCT( _xlfn._xlws.FILTER($E:$E, ($C:$C=C5320)*($F:$F=F5320)) ) - 1</f>
        <v>-6.4817739702897059E-3</v>
      </c>
    </row>
    <row r="5321" spans="1:7" x14ac:dyDescent="0.2">
      <c r="A5321" s="1">
        <v>41344</v>
      </c>
      <c r="B5321">
        <v>2</v>
      </c>
      <c r="C5321" t="s">
        <v>15</v>
      </c>
      <c r="D5321">
        <v>-9.0299999999999998E-3</v>
      </c>
      <c r="E5321">
        <f t="shared" si="166"/>
        <v>0.99097000000000002</v>
      </c>
      <c r="F5321" s="1">
        <f t="shared" si="167"/>
        <v>41344</v>
      </c>
      <c r="G5321" cm="1">
        <f t="array" ref="G5321">PRODUCT( _xlfn._xlws.FILTER($E:$E, ($C:$C=C5321)*($F:$F=F5321)) ) - 1</f>
        <v>-2.5801429224576733E-3</v>
      </c>
    </row>
    <row r="5322" spans="1:7" x14ac:dyDescent="0.2">
      <c r="A5322" s="1">
        <v>41345</v>
      </c>
      <c r="B5322">
        <v>2</v>
      </c>
      <c r="C5322" t="s">
        <v>15</v>
      </c>
      <c r="D5322">
        <v>8.6799999999999996E-4</v>
      </c>
      <c r="E5322">
        <f t="shared" si="166"/>
        <v>1.0008680000000001</v>
      </c>
      <c r="F5322" s="1">
        <f t="shared" si="167"/>
        <v>41344</v>
      </c>
      <c r="G5322" cm="1">
        <f t="array" ref="G5322">PRODUCT( _xlfn._xlws.FILTER($E:$E, ($C:$C=C5322)*($F:$F=F5322)) ) - 1</f>
        <v>-2.5801429224576733E-3</v>
      </c>
    </row>
    <row r="5323" spans="1:7" x14ac:dyDescent="0.2">
      <c r="A5323" s="1">
        <v>41346</v>
      </c>
      <c r="B5323">
        <v>2</v>
      </c>
      <c r="C5323" t="s">
        <v>15</v>
      </c>
      <c r="D5323">
        <v>-1.1416000000000001E-2</v>
      </c>
      <c r="E5323">
        <f t="shared" si="166"/>
        <v>0.98858400000000002</v>
      </c>
      <c r="F5323" s="1">
        <f t="shared" si="167"/>
        <v>41344</v>
      </c>
      <c r="G5323" cm="1">
        <f t="array" ref="G5323">PRODUCT( _xlfn._xlws.FILTER($E:$E, ($C:$C=C5323)*($F:$F=F5323)) ) - 1</f>
        <v>-2.5801429224576733E-3</v>
      </c>
    </row>
    <row r="5324" spans="1:7" x14ac:dyDescent="0.2">
      <c r="A5324" s="1">
        <v>41347</v>
      </c>
      <c r="B5324">
        <v>2</v>
      </c>
      <c r="C5324" t="s">
        <v>15</v>
      </c>
      <c r="D5324">
        <v>4.8240000000000002E-3</v>
      </c>
      <c r="E5324">
        <f t="shared" si="166"/>
        <v>1.0048239999999999</v>
      </c>
      <c r="F5324" s="1">
        <f t="shared" si="167"/>
        <v>41344</v>
      </c>
      <c r="G5324" cm="1">
        <f t="array" ref="G5324">PRODUCT( _xlfn._xlws.FILTER($E:$E, ($C:$C=C5324)*($F:$F=F5324)) ) - 1</f>
        <v>-2.5801429224576733E-3</v>
      </c>
    </row>
    <row r="5325" spans="1:7" x14ac:dyDescent="0.2">
      <c r="A5325" s="1">
        <v>41348</v>
      </c>
      <c r="B5325">
        <v>2</v>
      </c>
      <c r="C5325" t="s">
        <v>15</v>
      </c>
      <c r="D5325">
        <v>1.2364999999999999E-2</v>
      </c>
      <c r="E5325">
        <f t="shared" si="166"/>
        <v>1.012365</v>
      </c>
      <c r="F5325" s="1">
        <f t="shared" si="167"/>
        <v>41344</v>
      </c>
      <c r="G5325" cm="1">
        <f t="array" ref="G5325">PRODUCT( _xlfn._xlws.FILTER($E:$E, ($C:$C=C5325)*($F:$F=F5325)) ) - 1</f>
        <v>-2.5801429224576733E-3</v>
      </c>
    </row>
    <row r="5326" spans="1:7" x14ac:dyDescent="0.2">
      <c r="A5326" s="1">
        <v>41351</v>
      </c>
      <c r="B5326">
        <v>2</v>
      </c>
      <c r="C5326" t="s">
        <v>15</v>
      </c>
      <c r="D5326">
        <v>-2.5860000000000002E-3</v>
      </c>
      <c r="E5326">
        <f t="shared" si="166"/>
        <v>0.99741400000000002</v>
      </c>
      <c r="F5326" s="1">
        <f t="shared" si="167"/>
        <v>41351</v>
      </c>
      <c r="G5326" cm="1">
        <f t="array" ref="G5326">PRODUCT( _xlfn._xlws.FILTER($E:$E, ($C:$C=C5326)*($F:$F=F5326)) ) - 1</f>
        <v>1.1491468113729031E-3</v>
      </c>
    </row>
    <row r="5327" spans="1:7" x14ac:dyDescent="0.2">
      <c r="A5327" s="1">
        <v>41352</v>
      </c>
      <c r="B5327">
        <v>2</v>
      </c>
      <c r="C5327" t="s">
        <v>15</v>
      </c>
      <c r="D5327">
        <v>2.4489999999999998E-3</v>
      </c>
      <c r="E5327">
        <f t="shared" si="166"/>
        <v>1.0024489999999999</v>
      </c>
      <c r="F5327" s="1">
        <f t="shared" si="167"/>
        <v>41351</v>
      </c>
      <c r="G5327" cm="1">
        <f t="array" ref="G5327">PRODUCT( _xlfn._xlws.FILTER($E:$E, ($C:$C=C5327)*($F:$F=F5327)) ) - 1</f>
        <v>1.1491468113729031E-3</v>
      </c>
    </row>
    <row r="5328" spans="1:7" x14ac:dyDescent="0.2">
      <c r="A5328" s="1">
        <v>41353</v>
      </c>
      <c r="B5328">
        <v>2</v>
      </c>
      <c r="C5328" t="s">
        <v>15</v>
      </c>
      <c r="D5328">
        <v>5.8919999999999997E-3</v>
      </c>
      <c r="E5328">
        <f t="shared" si="166"/>
        <v>1.005892</v>
      </c>
      <c r="F5328" s="1">
        <f t="shared" si="167"/>
        <v>41351</v>
      </c>
      <c r="G5328" cm="1">
        <f t="array" ref="G5328">PRODUCT( _xlfn._xlws.FILTER($E:$E, ($C:$C=C5328)*($F:$F=F5328)) ) - 1</f>
        <v>1.1491468113729031E-3</v>
      </c>
    </row>
    <row r="5329" spans="1:7" x14ac:dyDescent="0.2">
      <c r="A5329" s="1">
        <v>41354</v>
      </c>
      <c r="B5329">
        <v>2</v>
      </c>
      <c r="C5329" t="s">
        <v>15</v>
      </c>
      <c r="D5329">
        <v>-4.8580000000000003E-3</v>
      </c>
      <c r="E5329">
        <f t="shared" si="166"/>
        <v>0.99514199999999997</v>
      </c>
      <c r="F5329" s="1">
        <f t="shared" si="167"/>
        <v>41351</v>
      </c>
      <c r="G5329" cm="1">
        <f t="array" ref="G5329">PRODUCT( _xlfn._xlws.FILTER($E:$E, ($C:$C=C5329)*($F:$F=F5329)) ) - 1</f>
        <v>1.1491468113729031E-3</v>
      </c>
    </row>
    <row r="5330" spans="1:7" x14ac:dyDescent="0.2">
      <c r="A5330" s="1">
        <v>41355</v>
      </c>
      <c r="B5330">
        <v>2</v>
      </c>
      <c r="C5330" t="s">
        <v>15</v>
      </c>
      <c r="D5330">
        <v>2.8699999999999998E-4</v>
      </c>
      <c r="E5330">
        <f t="shared" si="166"/>
        <v>1.0002869999999999</v>
      </c>
      <c r="F5330" s="1">
        <f t="shared" si="167"/>
        <v>41351</v>
      </c>
      <c r="G5330" cm="1">
        <f t="array" ref="G5330">PRODUCT( _xlfn._xlws.FILTER($E:$E, ($C:$C=C5330)*($F:$F=F5330)) ) - 1</f>
        <v>1.1491468113729031E-3</v>
      </c>
    </row>
    <row r="5331" spans="1:7" x14ac:dyDescent="0.2">
      <c r="A5331" s="1">
        <v>41358</v>
      </c>
      <c r="B5331">
        <v>2</v>
      </c>
      <c r="C5331" t="s">
        <v>15</v>
      </c>
      <c r="D5331">
        <v>-5.1669999999999997E-3</v>
      </c>
      <c r="E5331">
        <f t="shared" si="166"/>
        <v>0.99483299999999997</v>
      </c>
      <c r="F5331" s="1">
        <f t="shared" si="167"/>
        <v>41358</v>
      </c>
      <c r="G5331" cm="1">
        <f t="array" ref="G5331">PRODUCT( _xlfn._xlws.FILTER($E:$E, ($C:$C=C5331)*($F:$F=F5331)) ) - 1</f>
        <v>7.0336039539939943E-3</v>
      </c>
    </row>
    <row r="5332" spans="1:7" x14ac:dyDescent="0.2">
      <c r="A5332" s="1">
        <v>41359</v>
      </c>
      <c r="B5332">
        <v>2</v>
      </c>
      <c r="C5332" t="s">
        <v>15</v>
      </c>
      <c r="D5332">
        <v>4.4730000000000004E-3</v>
      </c>
      <c r="E5332">
        <f t="shared" si="166"/>
        <v>1.0044729999999999</v>
      </c>
      <c r="F5332" s="1">
        <f t="shared" si="167"/>
        <v>41358</v>
      </c>
      <c r="G5332" cm="1">
        <f t="array" ref="G5332">PRODUCT( _xlfn._xlws.FILTER($E:$E, ($C:$C=C5332)*($F:$F=F5332)) ) - 1</f>
        <v>7.0336039539939943E-3</v>
      </c>
    </row>
    <row r="5333" spans="1:7" x14ac:dyDescent="0.2">
      <c r="A5333" s="1">
        <v>41360</v>
      </c>
      <c r="B5333">
        <v>2</v>
      </c>
      <c r="C5333" t="s">
        <v>15</v>
      </c>
      <c r="D5333">
        <v>-6.8950000000000001E-3</v>
      </c>
      <c r="E5333">
        <f t="shared" si="166"/>
        <v>0.99310500000000002</v>
      </c>
      <c r="F5333" s="1">
        <f t="shared" si="167"/>
        <v>41358</v>
      </c>
      <c r="G5333" cm="1">
        <f t="array" ref="G5333">PRODUCT( _xlfn._xlws.FILTER($E:$E, ($C:$C=C5333)*($F:$F=F5333)) ) - 1</f>
        <v>7.0336039539939943E-3</v>
      </c>
    </row>
    <row r="5334" spans="1:7" x14ac:dyDescent="0.2">
      <c r="A5334" s="1">
        <v>41361</v>
      </c>
      <c r="B5334">
        <v>2</v>
      </c>
      <c r="C5334" t="s">
        <v>15</v>
      </c>
      <c r="D5334">
        <v>1.4753E-2</v>
      </c>
      <c r="E5334">
        <f t="shared" si="166"/>
        <v>1.014753</v>
      </c>
      <c r="F5334" s="1">
        <f t="shared" si="167"/>
        <v>41358</v>
      </c>
      <c r="G5334" cm="1">
        <f t="array" ref="G5334">PRODUCT( _xlfn._xlws.FILTER($E:$E, ($C:$C=C5334)*($F:$F=F5334)) ) - 1</f>
        <v>7.0336039539939943E-3</v>
      </c>
    </row>
    <row r="5335" spans="1:7" x14ac:dyDescent="0.2">
      <c r="A5335" s="1">
        <v>41365</v>
      </c>
      <c r="B5335">
        <v>2</v>
      </c>
      <c r="C5335" t="s">
        <v>15</v>
      </c>
      <c r="D5335">
        <v>-5.4159999999999998E-3</v>
      </c>
      <c r="E5335">
        <f t="shared" si="166"/>
        <v>0.99458400000000002</v>
      </c>
      <c r="F5335" s="1">
        <f t="shared" si="167"/>
        <v>41365</v>
      </c>
      <c r="G5335" cm="1">
        <f t="array" ref="G5335">PRODUCT( _xlfn._xlws.FILTER($E:$E, ($C:$C=C5335)*($F:$F=F5335)) ) - 1</f>
        <v>-1.82440528404334E-2</v>
      </c>
    </row>
    <row r="5336" spans="1:7" x14ac:dyDescent="0.2">
      <c r="A5336" s="1">
        <v>41366</v>
      </c>
      <c r="B5336">
        <v>2</v>
      </c>
      <c r="C5336" t="s">
        <v>15</v>
      </c>
      <c r="D5336">
        <v>4.7289999999999997E-3</v>
      </c>
      <c r="E5336">
        <f t="shared" si="166"/>
        <v>1.004729</v>
      </c>
      <c r="F5336" s="1">
        <f t="shared" si="167"/>
        <v>41365</v>
      </c>
      <c r="G5336" cm="1">
        <f t="array" ref="G5336">PRODUCT( _xlfn._xlws.FILTER($E:$E, ($C:$C=C5336)*($F:$F=F5336)) ) - 1</f>
        <v>-1.82440528404334E-2</v>
      </c>
    </row>
    <row r="5337" spans="1:7" x14ac:dyDescent="0.2">
      <c r="A5337" s="1">
        <v>41367</v>
      </c>
      <c r="B5337">
        <v>2</v>
      </c>
      <c r="C5337" t="s">
        <v>15</v>
      </c>
      <c r="D5337">
        <v>-1.1410999999999999E-2</v>
      </c>
      <c r="E5337">
        <f t="shared" si="166"/>
        <v>0.98858900000000005</v>
      </c>
      <c r="F5337" s="1">
        <f t="shared" si="167"/>
        <v>41365</v>
      </c>
      <c r="G5337" cm="1">
        <f t="array" ref="G5337">PRODUCT( _xlfn._xlws.FILTER($E:$E, ($C:$C=C5337)*($F:$F=F5337)) ) - 1</f>
        <v>-1.82440528404334E-2</v>
      </c>
    </row>
    <row r="5338" spans="1:7" x14ac:dyDescent="0.2">
      <c r="A5338" s="1">
        <v>41368</v>
      </c>
      <c r="B5338">
        <v>2</v>
      </c>
      <c r="C5338" t="s">
        <v>15</v>
      </c>
      <c r="D5338">
        <v>1.299E-3</v>
      </c>
      <c r="E5338">
        <f t="shared" si="166"/>
        <v>1.0012989999999999</v>
      </c>
      <c r="F5338" s="1">
        <f t="shared" si="167"/>
        <v>41365</v>
      </c>
      <c r="G5338" cm="1">
        <f t="array" ref="G5338">PRODUCT( _xlfn._xlws.FILTER($E:$E, ($C:$C=C5338)*($F:$F=F5338)) ) - 1</f>
        <v>-1.82440528404334E-2</v>
      </c>
    </row>
    <row r="5339" spans="1:7" x14ac:dyDescent="0.2">
      <c r="A5339" s="1">
        <v>41369</v>
      </c>
      <c r="B5339">
        <v>2</v>
      </c>
      <c r="C5339" t="s">
        <v>15</v>
      </c>
      <c r="D5339">
        <v>-7.4929999999999997E-3</v>
      </c>
      <c r="E5339">
        <f t="shared" si="166"/>
        <v>0.99250700000000003</v>
      </c>
      <c r="F5339" s="1">
        <f t="shared" si="167"/>
        <v>41365</v>
      </c>
      <c r="G5339" cm="1">
        <f t="array" ref="G5339">PRODUCT( _xlfn._xlws.FILTER($E:$E, ($C:$C=C5339)*($F:$F=F5339)) ) - 1</f>
        <v>-1.82440528404334E-2</v>
      </c>
    </row>
    <row r="5340" spans="1:7" x14ac:dyDescent="0.2">
      <c r="A5340" s="1">
        <v>41372</v>
      </c>
      <c r="B5340">
        <v>2</v>
      </c>
      <c r="C5340" t="s">
        <v>15</v>
      </c>
      <c r="D5340">
        <v>1.7420000000000001E-3</v>
      </c>
      <c r="E5340">
        <f t="shared" si="166"/>
        <v>1.0017419999999999</v>
      </c>
      <c r="F5340" s="1">
        <f t="shared" si="167"/>
        <v>41372</v>
      </c>
      <c r="G5340" cm="1">
        <f t="array" ref="G5340">PRODUCT( _xlfn._xlws.FILTER($E:$E, ($C:$C=C5340)*($F:$F=F5340)) ) - 1</f>
        <v>1.9164320960840975E-2</v>
      </c>
    </row>
    <row r="5341" spans="1:7" x14ac:dyDescent="0.2">
      <c r="A5341" s="1">
        <v>41373</v>
      </c>
      <c r="B5341">
        <v>2</v>
      </c>
      <c r="C5341" t="s">
        <v>15</v>
      </c>
      <c r="D5341">
        <v>0</v>
      </c>
      <c r="E5341">
        <f t="shared" si="166"/>
        <v>1</v>
      </c>
      <c r="F5341" s="1">
        <f t="shared" si="167"/>
        <v>41372</v>
      </c>
      <c r="G5341" cm="1">
        <f t="array" ref="G5341">PRODUCT( _xlfn._xlws.FILTER($E:$E, ($C:$C=C5341)*($F:$F=F5341)) ) - 1</f>
        <v>1.9164320960840975E-2</v>
      </c>
    </row>
    <row r="5342" spans="1:7" x14ac:dyDescent="0.2">
      <c r="A5342" s="1">
        <v>41374</v>
      </c>
      <c r="B5342">
        <v>2</v>
      </c>
      <c r="C5342" t="s">
        <v>15</v>
      </c>
      <c r="D5342">
        <v>1.1015E-2</v>
      </c>
      <c r="E5342">
        <f t="shared" si="166"/>
        <v>1.011015</v>
      </c>
      <c r="F5342" s="1">
        <f t="shared" si="167"/>
        <v>41372</v>
      </c>
      <c r="G5342" cm="1">
        <f t="array" ref="G5342">PRODUCT( _xlfn._xlws.FILTER($E:$E, ($C:$C=C5342)*($F:$F=F5342)) ) - 1</f>
        <v>1.9164320960840975E-2</v>
      </c>
    </row>
    <row r="5343" spans="1:7" x14ac:dyDescent="0.2">
      <c r="A5343" s="1">
        <v>41375</v>
      </c>
      <c r="B5343">
        <v>2</v>
      </c>
      <c r="C5343" t="s">
        <v>15</v>
      </c>
      <c r="D5343">
        <v>-1.5770000000000001E-3</v>
      </c>
      <c r="E5343">
        <f t="shared" si="166"/>
        <v>0.99842299999999995</v>
      </c>
      <c r="F5343" s="1">
        <f t="shared" si="167"/>
        <v>41372</v>
      </c>
      <c r="G5343" cm="1">
        <f t="array" ref="G5343">PRODUCT( _xlfn._xlws.FILTER($E:$E, ($C:$C=C5343)*($F:$F=F5343)) ) - 1</f>
        <v>1.9164320960840975E-2</v>
      </c>
    </row>
    <row r="5344" spans="1:7" x14ac:dyDescent="0.2">
      <c r="A5344" s="1">
        <v>41376</v>
      </c>
      <c r="B5344">
        <v>2</v>
      </c>
      <c r="C5344" t="s">
        <v>15</v>
      </c>
      <c r="D5344">
        <v>7.8969999999999995E-3</v>
      </c>
      <c r="E5344">
        <f t="shared" si="166"/>
        <v>1.007897</v>
      </c>
      <c r="F5344" s="1">
        <f t="shared" si="167"/>
        <v>41372</v>
      </c>
      <c r="G5344" cm="1">
        <f t="array" ref="G5344">PRODUCT( _xlfn._xlws.FILTER($E:$E, ($C:$C=C5344)*($F:$F=F5344)) ) - 1</f>
        <v>1.9164320960840975E-2</v>
      </c>
    </row>
    <row r="5345" spans="1:7" x14ac:dyDescent="0.2">
      <c r="A5345" s="1">
        <v>41379</v>
      </c>
      <c r="B5345">
        <v>2</v>
      </c>
      <c r="C5345" t="s">
        <v>15</v>
      </c>
      <c r="D5345">
        <v>-1.9940000000000001E-3</v>
      </c>
      <c r="E5345">
        <f t="shared" si="166"/>
        <v>0.99800599999999995</v>
      </c>
      <c r="F5345" s="1">
        <f t="shared" si="167"/>
        <v>41379</v>
      </c>
      <c r="G5345" cm="1">
        <f t="array" ref="G5345">PRODUCT( _xlfn._xlws.FILTER($E:$E, ($C:$C=C5345)*($F:$F=F5345)) ) - 1</f>
        <v>3.2763966321798454E-2</v>
      </c>
    </row>
    <row r="5346" spans="1:7" x14ac:dyDescent="0.2">
      <c r="A5346" s="1">
        <v>41380</v>
      </c>
      <c r="B5346">
        <v>2</v>
      </c>
      <c r="C5346" t="s">
        <v>15</v>
      </c>
      <c r="D5346">
        <v>7.1370000000000001E-3</v>
      </c>
      <c r="E5346">
        <f t="shared" si="166"/>
        <v>1.0071369999999999</v>
      </c>
      <c r="F5346" s="1">
        <f t="shared" si="167"/>
        <v>41379</v>
      </c>
      <c r="G5346" cm="1">
        <f t="array" ref="G5346">PRODUCT( _xlfn._xlws.FILTER($E:$E, ($C:$C=C5346)*($F:$F=F5346)) ) - 1</f>
        <v>3.2763966321798454E-2</v>
      </c>
    </row>
    <row r="5347" spans="1:7" x14ac:dyDescent="0.2">
      <c r="A5347" s="1">
        <v>41381</v>
      </c>
      <c r="B5347">
        <v>2</v>
      </c>
      <c r="C5347" t="s">
        <v>15</v>
      </c>
      <c r="D5347">
        <v>5.1019999999999998E-3</v>
      </c>
      <c r="E5347">
        <f t="shared" si="166"/>
        <v>1.0051019999999999</v>
      </c>
      <c r="F5347" s="1">
        <f t="shared" si="167"/>
        <v>41379</v>
      </c>
      <c r="G5347" cm="1">
        <f t="array" ref="G5347">PRODUCT( _xlfn._xlws.FILTER($E:$E, ($C:$C=C5347)*($F:$F=F5347)) ) - 1</f>
        <v>3.2763966321798454E-2</v>
      </c>
    </row>
    <row r="5348" spans="1:7" x14ac:dyDescent="0.2">
      <c r="A5348" s="1">
        <v>41382</v>
      </c>
      <c r="B5348">
        <v>2</v>
      </c>
      <c r="C5348" t="s">
        <v>15</v>
      </c>
      <c r="D5348">
        <v>9.5879999999999993E-3</v>
      </c>
      <c r="E5348">
        <f t="shared" si="166"/>
        <v>1.0095879999999999</v>
      </c>
      <c r="F5348" s="1">
        <f t="shared" si="167"/>
        <v>41379</v>
      </c>
      <c r="G5348" cm="1">
        <f t="array" ref="G5348">PRODUCT( _xlfn._xlws.FILTER($E:$E, ($C:$C=C5348)*($F:$F=F5348)) ) - 1</f>
        <v>3.2763966321798454E-2</v>
      </c>
    </row>
    <row r="5349" spans="1:7" x14ac:dyDescent="0.2">
      <c r="A5349" s="1">
        <v>41383</v>
      </c>
      <c r="B5349">
        <v>2</v>
      </c>
      <c r="C5349" t="s">
        <v>15</v>
      </c>
      <c r="D5349">
        <v>1.257E-2</v>
      </c>
      <c r="E5349">
        <f t="shared" si="166"/>
        <v>1.01257</v>
      </c>
      <c r="F5349" s="1">
        <f t="shared" si="167"/>
        <v>41379</v>
      </c>
      <c r="G5349" cm="1">
        <f t="array" ref="G5349">PRODUCT( _xlfn._xlws.FILTER($E:$E, ($C:$C=C5349)*($F:$F=F5349)) ) - 1</f>
        <v>3.2763966321798454E-2</v>
      </c>
    </row>
    <row r="5350" spans="1:7" x14ac:dyDescent="0.2">
      <c r="A5350" s="1">
        <v>41386</v>
      </c>
      <c r="B5350">
        <v>2</v>
      </c>
      <c r="C5350" t="s">
        <v>15</v>
      </c>
      <c r="D5350">
        <v>-2.7590000000000002E-3</v>
      </c>
      <c r="E5350">
        <f t="shared" si="166"/>
        <v>0.99724100000000004</v>
      </c>
      <c r="F5350" s="1">
        <f t="shared" si="167"/>
        <v>41386</v>
      </c>
      <c r="G5350" cm="1">
        <f t="array" ref="G5350">PRODUCT( _xlfn._xlws.FILTER($E:$E, ($C:$C=C5350)*($F:$F=F5350)) ) - 1</f>
        <v>-1.6828352255864321E-2</v>
      </c>
    </row>
    <row r="5351" spans="1:7" x14ac:dyDescent="0.2">
      <c r="A5351" s="1">
        <v>41387</v>
      </c>
      <c r="B5351">
        <v>2</v>
      </c>
      <c r="C5351" t="s">
        <v>15</v>
      </c>
      <c r="D5351">
        <v>0</v>
      </c>
      <c r="E5351">
        <f t="shared" si="166"/>
        <v>1</v>
      </c>
      <c r="F5351" s="1">
        <f t="shared" si="167"/>
        <v>41386</v>
      </c>
      <c r="G5351" cm="1">
        <f t="array" ref="G5351">PRODUCT( _xlfn._xlws.FILTER($E:$E, ($C:$C=C5351)*($F:$F=F5351)) ) - 1</f>
        <v>-1.6828352255864321E-2</v>
      </c>
    </row>
    <row r="5352" spans="1:7" x14ac:dyDescent="0.2">
      <c r="A5352" s="1">
        <v>41388</v>
      </c>
      <c r="B5352">
        <v>2</v>
      </c>
      <c r="C5352" t="s">
        <v>15</v>
      </c>
      <c r="D5352">
        <v>-4.4260000000000002E-3</v>
      </c>
      <c r="E5352">
        <f t="shared" si="166"/>
        <v>0.99557399999999996</v>
      </c>
      <c r="F5352" s="1">
        <f t="shared" si="167"/>
        <v>41386</v>
      </c>
      <c r="G5352" cm="1">
        <f t="array" ref="G5352">PRODUCT( _xlfn._xlws.FILTER($E:$E, ($C:$C=C5352)*($F:$F=F5352)) ) - 1</f>
        <v>-1.6828352255864321E-2</v>
      </c>
    </row>
    <row r="5353" spans="1:7" x14ac:dyDescent="0.2">
      <c r="A5353" s="1">
        <v>41389</v>
      </c>
      <c r="B5353">
        <v>2</v>
      </c>
      <c r="C5353" t="s">
        <v>15</v>
      </c>
      <c r="D5353">
        <v>-8.3359999999999997E-3</v>
      </c>
      <c r="E5353">
        <f t="shared" si="166"/>
        <v>0.99166399999999999</v>
      </c>
      <c r="F5353" s="1">
        <f t="shared" si="167"/>
        <v>41386</v>
      </c>
      <c r="G5353" cm="1">
        <f t="array" ref="G5353">PRODUCT( _xlfn._xlws.FILTER($E:$E, ($C:$C=C5353)*($F:$F=F5353)) ) - 1</f>
        <v>-1.6828352255864321E-2</v>
      </c>
    </row>
    <row r="5354" spans="1:7" x14ac:dyDescent="0.2">
      <c r="A5354" s="1">
        <v>41390</v>
      </c>
      <c r="B5354">
        <v>2</v>
      </c>
      <c r="C5354" t="s">
        <v>15</v>
      </c>
      <c r="D5354">
        <v>-1.4009999999999999E-3</v>
      </c>
      <c r="E5354">
        <f t="shared" si="166"/>
        <v>0.99859900000000001</v>
      </c>
      <c r="F5354" s="1">
        <f t="shared" si="167"/>
        <v>41386</v>
      </c>
      <c r="G5354" cm="1">
        <f t="array" ref="G5354">PRODUCT( _xlfn._xlws.FILTER($E:$E, ($C:$C=C5354)*($F:$F=F5354)) ) - 1</f>
        <v>-1.6828352255864321E-2</v>
      </c>
    </row>
    <row r="5355" spans="1:7" x14ac:dyDescent="0.2">
      <c r="A5355" s="1">
        <v>41393</v>
      </c>
      <c r="B5355">
        <v>2</v>
      </c>
      <c r="C5355" t="s">
        <v>15</v>
      </c>
      <c r="D5355">
        <v>8.4169999999999991E-3</v>
      </c>
      <c r="E5355">
        <f t="shared" si="166"/>
        <v>1.0084169999999999</v>
      </c>
      <c r="F5355" s="1">
        <f t="shared" si="167"/>
        <v>41393</v>
      </c>
      <c r="G5355" cm="1">
        <f t="array" ref="G5355">PRODUCT( _xlfn._xlws.FILTER($E:$E, ($C:$C=C5355)*($F:$F=F5355)) ) - 1</f>
        <v>1.3186889530635071E-2</v>
      </c>
    </row>
    <row r="5356" spans="1:7" x14ac:dyDescent="0.2">
      <c r="A5356" s="1">
        <v>41394</v>
      </c>
      <c r="B5356">
        <v>2</v>
      </c>
      <c r="C5356" t="s">
        <v>15</v>
      </c>
      <c r="D5356">
        <v>8.626E-3</v>
      </c>
      <c r="E5356">
        <f t="shared" si="166"/>
        <v>1.008626</v>
      </c>
      <c r="F5356" s="1">
        <f t="shared" si="167"/>
        <v>41393</v>
      </c>
      <c r="G5356" cm="1">
        <f t="array" ref="G5356">PRODUCT( _xlfn._xlws.FILTER($E:$E, ($C:$C=C5356)*($F:$F=F5356)) ) - 1</f>
        <v>1.3186889530635071E-2</v>
      </c>
    </row>
    <row r="5357" spans="1:7" x14ac:dyDescent="0.2">
      <c r="A5357" s="1">
        <v>41395</v>
      </c>
      <c r="B5357">
        <v>2</v>
      </c>
      <c r="C5357" t="s">
        <v>15</v>
      </c>
      <c r="D5357">
        <v>-4.1380000000000002E-3</v>
      </c>
      <c r="E5357">
        <f t="shared" si="166"/>
        <v>0.99586200000000002</v>
      </c>
      <c r="F5357" s="1">
        <f t="shared" si="167"/>
        <v>41393</v>
      </c>
      <c r="G5357" cm="1">
        <f t="array" ref="G5357">PRODUCT( _xlfn._xlws.FILTER($E:$E, ($C:$C=C5357)*($F:$F=F5357)) ) - 1</f>
        <v>1.3186889530635071E-2</v>
      </c>
    </row>
    <row r="5358" spans="1:7" x14ac:dyDescent="0.2">
      <c r="A5358" s="1">
        <v>41396</v>
      </c>
      <c r="B5358">
        <v>2</v>
      </c>
      <c r="C5358" t="s">
        <v>15</v>
      </c>
      <c r="D5358">
        <v>8.3100000000000003E-4</v>
      </c>
      <c r="E5358">
        <f t="shared" si="166"/>
        <v>1.000831</v>
      </c>
      <c r="F5358" s="1">
        <f t="shared" si="167"/>
        <v>41393</v>
      </c>
      <c r="G5358" cm="1">
        <f t="array" ref="G5358">PRODUCT( _xlfn._xlws.FILTER($E:$E, ($C:$C=C5358)*($F:$F=F5358)) ) - 1</f>
        <v>1.3186889530635071E-2</v>
      </c>
    </row>
    <row r="5359" spans="1:7" x14ac:dyDescent="0.2">
      <c r="A5359" s="1">
        <v>41397</v>
      </c>
      <c r="B5359">
        <v>2</v>
      </c>
      <c r="C5359" t="s">
        <v>15</v>
      </c>
      <c r="D5359">
        <v>-5.5400000000000002E-4</v>
      </c>
      <c r="E5359">
        <f t="shared" si="166"/>
        <v>0.99944599999999995</v>
      </c>
      <c r="F5359" s="1">
        <f t="shared" si="167"/>
        <v>41393</v>
      </c>
      <c r="G5359" cm="1">
        <f t="array" ref="G5359">PRODUCT( _xlfn._xlws.FILTER($E:$E, ($C:$C=C5359)*($F:$F=F5359)) ) - 1</f>
        <v>1.3186889530635071E-2</v>
      </c>
    </row>
    <row r="5360" spans="1:7" x14ac:dyDescent="0.2">
      <c r="A5360" s="1">
        <v>41400</v>
      </c>
      <c r="B5360">
        <v>2</v>
      </c>
      <c r="C5360" t="s">
        <v>15</v>
      </c>
      <c r="D5360">
        <v>2.4919999999999999E-3</v>
      </c>
      <c r="E5360">
        <f t="shared" si="166"/>
        <v>1.0024919999999999</v>
      </c>
      <c r="F5360" s="1">
        <f t="shared" si="167"/>
        <v>41400</v>
      </c>
      <c r="G5360" cm="1">
        <f t="array" ref="G5360">PRODUCT( _xlfn._xlws.FILTER($E:$E, ($C:$C=C5360)*($F:$F=F5360)) ) - 1</f>
        <v>3.8768623776314959E-2</v>
      </c>
    </row>
    <row r="5361" spans="1:7" x14ac:dyDescent="0.2">
      <c r="A5361" s="1">
        <v>41401</v>
      </c>
      <c r="B5361">
        <v>2</v>
      </c>
      <c r="C5361" t="s">
        <v>15</v>
      </c>
      <c r="D5361">
        <v>-1.934E-3</v>
      </c>
      <c r="E5361">
        <f t="shared" si="166"/>
        <v>0.99806600000000001</v>
      </c>
      <c r="F5361" s="1">
        <f t="shared" si="167"/>
        <v>41400</v>
      </c>
      <c r="G5361" cm="1">
        <f t="array" ref="G5361">PRODUCT( _xlfn._xlws.FILTER($E:$E, ($C:$C=C5361)*($F:$F=F5361)) ) - 1</f>
        <v>3.8768623776314959E-2</v>
      </c>
    </row>
    <row r="5362" spans="1:7" x14ac:dyDescent="0.2">
      <c r="A5362" s="1">
        <v>41402</v>
      </c>
      <c r="B5362">
        <v>2</v>
      </c>
      <c r="C5362" t="s">
        <v>15</v>
      </c>
      <c r="D5362">
        <v>1.5775999999999998E-2</v>
      </c>
      <c r="E5362">
        <f t="shared" si="166"/>
        <v>1.015776</v>
      </c>
      <c r="F5362" s="1">
        <f t="shared" si="167"/>
        <v>41400</v>
      </c>
      <c r="G5362" cm="1">
        <f t="array" ref="G5362">PRODUCT( _xlfn._xlws.FILTER($E:$E, ($C:$C=C5362)*($F:$F=F5362)) ) - 1</f>
        <v>3.8768623776314959E-2</v>
      </c>
    </row>
    <row r="5363" spans="1:7" x14ac:dyDescent="0.2">
      <c r="A5363" s="1">
        <v>41403</v>
      </c>
      <c r="B5363">
        <v>2</v>
      </c>
      <c r="C5363" t="s">
        <v>15</v>
      </c>
      <c r="D5363">
        <v>1.2806E-2</v>
      </c>
      <c r="E5363">
        <f t="shared" si="166"/>
        <v>1.0128060000000001</v>
      </c>
      <c r="F5363" s="1">
        <f t="shared" si="167"/>
        <v>41400</v>
      </c>
      <c r="G5363" cm="1">
        <f t="array" ref="G5363">PRODUCT( _xlfn._xlws.FILTER($E:$E, ($C:$C=C5363)*($F:$F=F5363)) ) - 1</f>
        <v>3.8768623776314959E-2</v>
      </c>
    </row>
    <row r="5364" spans="1:7" x14ac:dyDescent="0.2">
      <c r="A5364" s="1">
        <v>41404</v>
      </c>
      <c r="B5364">
        <v>2</v>
      </c>
      <c r="C5364" t="s">
        <v>15</v>
      </c>
      <c r="D5364">
        <v>9.1470000000000006E-3</v>
      </c>
      <c r="E5364">
        <f t="shared" si="166"/>
        <v>1.009147</v>
      </c>
      <c r="F5364" s="1">
        <f t="shared" si="167"/>
        <v>41400</v>
      </c>
      <c r="G5364" cm="1">
        <f t="array" ref="G5364">PRODUCT( _xlfn._xlws.FILTER($E:$E, ($C:$C=C5364)*($F:$F=F5364)) ) - 1</f>
        <v>3.8768623776314959E-2</v>
      </c>
    </row>
    <row r="5365" spans="1:7" x14ac:dyDescent="0.2">
      <c r="A5365" s="1">
        <v>41407</v>
      </c>
      <c r="B5365">
        <v>2</v>
      </c>
      <c r="C5365" t="s">
        <v>15</v>
      </c>
      <c r="D5365">
        <v>-1.5989999999999999E-3</v>
      </c>
      <c r="E5365">
        <f t="shared" si="166"/>
        <v>0.99840099999999998</v>
      </c>
      <c r="F5365" s="1">
        <f t="shared" si="167"/>
        <v>41407</v>
      </c>
      <c r="G5365" cm="1">
        <f t="array" ref="G5365">PRODUCT( _xlfn._xlws.FILTER($E:$E, ($C:$C=C5365)*($F:$F=F5365)) ) - 1</f>
        <v>-3.1988773965585526E-3</v>
      </c>
    </row>
    <row r="5366" spans="1:7" x14ac:dyDescent="0.2">
      <c r="A5366" s="1">
        <v>41408</v>
      </c>
      <c r="B5366">
        <v>2</v>
      </c>
      <c r="C5366" t="s">
        <v>15</v>
      </c>
      <c r="D5366">
        <v>1.335E-3</v>
      </c>
      <c r="E5366">
        <f t="shared" si="166"/>
        <v>1.0013350000000001</v>
      </c>
      <c r="F5366" s="1">
        <f t="shared" si="167"/>
        <v>41407</v>
      </c>
      <c r="G5366" cm="1">
        <f t="array" ref="G5366">PRODUCT( _xlfn._xlws.FILTER($E:$E, ($C:$C=C5366)*($F:$F=F5366)) ) - 1</f>
        <v>-3.1988773965585526E-3</v>
      </c>
    </row>
    <row r="5367" spans="1:7" x14ac:dyDescent="0.2">
      <c r="A5367" s="1">
        <v>41409</v>
      </c>
      <c r="B5367">
        <v>2</v>
      </c>
      <c r="C5367" t="s">
        <v>15</v>
      </c>
      <c r="D5367">
        <v>-1.4666999999999999E-2</v>
      </c>
      <c r="E5367">
        <f t="shared" si="166"/>
        <v>0.98533300000000001</v>
      </c>
      <c r="F5367" s="1">
        <f t="shared" si="167"/>
        <v>41407</v>
      </c>
      <c r="G5367" cm="1">
        <f t="array" ref="G5367">PRODUCT( _xlfn._xlws.FILTER($E:$E, ($C:$C=C5367)*($F:$F=F5367)) ) - 1</f>
        <v>-3.1988773965585526E-3</v>
      </c>
    </row>
    <row r="5368" spans="1:7" x14ac:dyDescent="0.2">
      <c r="A5368" s="1">
        <v>41410</v>
      </c>
      <c r="B5368">
        <v>2</v>
      </c>
      <c r="C5368" t="s">
        <v>15</v>
      </c>
      <c r="D5368">
        <v>1.0555E-2</v>
      </c>
      <c r="E5368">
        <f t="shared" si="166"/>
        <v>1.0105550000000001</v>
      </c>
      <c r="F5368" s="1">
        <f t="shared" si="167"/>
        <v>41407</v>
      </c>
      <c r="G5368" cm="1">
        <f t="array" ref="G5368">PRODUCT( _xlfn._xlws.FILTER($E:$E, ($C:$C=C5368)*($F:$F=F5368)) ) - 1</f>
        <v>-3.1988773965585526E-3</v>
      </c>
    </row>
    <row r="5369" spans="1:7" x14ac:dyDescent="0.2">
      <c r="A5369" s="1">
        <v>41411</v>
      </c>
      <c r="B5369">
        <v>2</v>
      </c>
      <c r="C5369" t="s">
        <v>15</v>
      </c>
      <c r="D5369">
        <v>1.3389999999999999E-3</v>
      </c>
      <c r="E5369">
        <f t="shared" si="166"/>
        <v>1.001339</v>
      </c>
      <c r="F5369" s="1">
        <f t="shared" si="167"/>
        <v>41407</v>
      </c>
      <c r="G5369" cm="1">
        <f t="array" ref="G5369">PRODUCT( _xlfn._xlws.FILTER($E:$E, ($C:$C=C5369)*($F:$F=F5369)) ) - 1</f>
        <v>-3.1988773965585526E-3</v>
      </c>
    </row>
    <row r="5370" spans="1:7" x14ac:dyDescent="0.2">
      <c r="A5370" s="1">
        <v>41415</v>
      </c>
      <c r="B5370">
        <v>2</v>
      </c>
      <c r="C5370" t="s">
        <v>15</v>
      </c>
      <c r="D5370">
        <v>4.8139999999999997E-3</v>
      </c>
      <c r="E5370">
        <f t="shared" si="166"/>
        <v>1.0048140000000001</v>
      </c>
      <c r="F5370" s="1">
        <f t="shared" si="167"/>
        <v>41414</v>
      </c>
      <c r="G5370" cm="1">
        <f t="array" ref="G5370">PRODUCT( _xlfn._xlws.FILTER($E:$E, ($C:$C=C5370)*($F:$F=F5370)) ) - 1</f>
        <v>-5.6160121850653555E-3</v>
      </c>
    </row>
    <row r="5371" spans="1:7" x14ac:dyDescent="0.2">
      <c r="A5371" s="1">
        <v>41416</v>
      </c>
      <c r="B5371">
        <v>2</v>
      </c>
      <c r="C5371" t="s">
        <v>15</v>
      </c>
      <c r="D5371">
        <v>3.1939999999999998E-3</v>
      </c>
      <c r="E5371">
        <f t="shared" si="166"/>
        <v>1.0031939999999999</v>
      </c>
      <c r="F5371" s="1">
        <f t="shared" si="167"/>
        <v>41414</v>
      </c>
      <c r="G5371" cm="1">
        <f t="array" ref="G5371">PRODUCT( _xlfn._xlws.FILTER($E:$E, ($C:$C=C5371)*($F:$F=F5371)) ) - 1</f>
        <v>-5.6160121850653555E-3</v>
      </c>
    </row>
    <row r="5372" spans="1:7" x14ac:dyDescent="0.2">
      <c r="A5372" s="1">
        <v>41417</v>
      </c>
      <c r="B5372">
        <v>2</v>
      </c>
      <c r="C5372" t="s">
        <v>15</v>
      </c>
      <c r="D5372">
        <v>-1.0878000000000001E-2</v>
      </c>
      <c r="E5372">
        <f t="shared" si="166"/>
        <v>0.98912199999999995</v>
      </c>
      <c r="F5372" s="1">
        <f t="shared" si="167"/>
        <v>41414</v>
      </c>
      <c r="G5372" cm="1">
        <f t="array" ref="G5372">PRODUCT( _xlfn._xlws.FILTER($E:$E, ($C:$C=C5372)*($F:$F=F5372)) ) - 1</f>
        <v>-5.6160121850653555E-3</v>
      </c>
    </row>
    <row r="5373" spans="1:7" x14ac:dyDescent="0.2">
      <c r="A5373" s="1">
        <v>41418</v>
      </c>
      <c r="B5373">
        <v>2</v>
      </c>
      <c r="C5373" t="s">
        <v>15</v>
      </c>
      <c r="D5373">
        <v>-2.6819999999999999E-3</v>
      </c>
      <c r="E5373">
        <f t="shared" si="166"/>
        <v>0.99731800000000004</v>
      </c>
      <c r="F5373" s="1">
        <f t="shared" si="167"/>
        <v>41414</v>
      </c>
      <c r="G5373" cm="1">
        <f t="array" ref="G5373">PRODUCT( _xlfn._xlws.FILTER($E:$E, ($C:$C=C5373)*($F:$F=F5373)) ) - 1</f>
        <v>-5.6160121850653555E-3</v>
      </c>
    </row>
    <row r="5374" spans="1:7" x14ac:dyDescent="0.2">
      <c r="A5374" s="1">
        <v>41421</v>
      </c>
      <c r="B5374">
        <v>2</v>
      </c>
      <c r="C5374" t="s">
        <v>15</v>
      </c>
      <c r="D5374">
        <v>2.6900000000000001E-3</v>
      </c>
      <c r="E5374">
        <f t="shared" si="166"/>
        <v>1.0026900000000001</v>
      </c>
      <c r="F5374" s="1">
        <f t="shared" si="167"/>
        <v>41421</v>
      </c>
      <c r="G5374" cm="1">
        <f t="array" ref="G5374">PRODUCT( _xlfn._xlws.FILTER($E:$E, ($C:$C=C5374)*($F:$F=F5374)) ) - 1</f>
        <v>-2.8778508174634121E-2</v>
      </c>
    </row>
    <row r="5375" spans="1:7" x14ac:dyDescent="0.2">
      <c r="A5375" s="1">
        <v>41422</v>
      </c>
      <c r="B5375">
        <v>2</v>
      </c>
      <c r="C5375" t="s">
        <v>15</v>
      </c>
      <c r="D5375">
        <v>-2.6819999999999999E-3</v>
      </c>
      <c r="E5375">
        <f t="shared" si="166"/>
        <v>0.99731800000000004</v>
      </c>
      <c r="F5375" s="1">
        <f t="shared" si="167"/>
        <v>41421</v>
      </c>
      <c r="G5375" cm="1">
        <f t="array" ref="G5375">PRODUCT( _xlfn._xlws.FILTER($E:$E, ($C:$C=C5375)*($F:$F=F5375)) ) - 1</f>
        <v>-2.8778508174634121E-2</v>
      </c>
    </row>
    <row r="5376" spans="1:7" x14ac:dyDescent="0.2">
      <c r="A5376" s="1">
        <v>41423</v>
      </c>
      <c r="B5376">
        <v>2</v>
      </c>
      <c r="C5376" t="s">
        <v>15</v>
      </c>
      <c r="D5376">
        <v>-2.421E-3</v>
      </c>
      <c r="E5376">
        <f t="shared" si="166"/>
        <v>0.99757899999999999</v>
      </c>
      <c r="F5376" s="1">
        <f t="shared" si="167"/>
        <v>41421</v>
      </c>
      <c r="G5376" cm="1">
        <f t="array" ref="G5376">PRODUCT( _xlfn._xlws.FILTER($E:$E, ($C:$C=C5376)*($F:$F=F5376)) ) - 1</f>
        <v>-2.8778508174634121E-2</v>
      </c>
    </row>
    <row r="5377" spans="1:7" x14ac:dyDescent="0.2">
      <c r="A5377" s="1">
        <v>41424</v>
      </c>
      <c r="B5377">
        <v>2</v>
      </c>
      <c r="C5377" t="s">
        <v>15</v>
      </c>
      <c r="D5377">
        <v>-1.8064E-2</v>
      </c>
      <c r="E5377">
        <f t="shared" si="166"/>
        <v>0.98193600000000003</v>
      </c>
      <c r="F5377" s="1">
        <f t="shared" si="167"/>
        <v>41421</v>
      </c>
      <c r="G5377" cm="1">
        <f t="array" ref="G5377">PRODUCT( _xlfn._xlws.FILTER($E:$E, ($C:$C=C5377)*($F:$F=F5377)) ) - 1</f>
        <v>-2.8778508174634121E-2</v>
      </c>
    </row>
    <row r="5378" spans="1:7" x14ac:dyDescent="0.2">
      <c r="A5378" s="1">
        <v>41425</v>
      </c>
      <c r="B5378">
        <v>2</v>
      </c>
      <c r="C5378" t="s">
        <v>15</v>
      </c>
      <c r="D5378">
        <v>-8.5120000000000005E-3</v>
      </c>
      <c r="E5378">
        <f t="shared" si="166"/>
        <v>0.99148800000000004</v>
      </c>
      <c r="F5378" s="1">
        <f t="shared" si="167"/>
        <v>41421</v>
      </c>
      <c r="G5378" cm="1">
        <f t="array" ref="G5378">PRODUCT( _xlfn._xlws.FILTER($E:$E, ($C:$C=C5378)*($F:$F=F5378)) ) - 1</f>
        <v>-2.8778508174634121E-2</v>
      </c>
    </row>
    <row r="5379" spans="1:7" x14ac:dyDescent="0.2">
      <c r="A5379" s="1">
        <v>41428</v>
      </c>
      <c r="B5379">
        <v>2</v>
      </c>
      <c r="C5379" t="s">
        <v>15</v>
      </c>
      <c r="D5379">
        <v>-8.8620000000000001E-3</v>
      </c>
      <c r="E5379">
        <f t="shared" si="166"/>
        <v>0.99113799999999996</v>
      </c>
      <c r="F5379" s="1">
        <f t="shared" si="167"/>
        <v>41428</v>
      </c>
      <c r="G5379" cm="1">
        <f t="array" ref="G5379">PRODUCT( _xlfn._xlws.FILTER($E:$E, ($C:$C=C5379)*($F:$F=F5379)) ) - 1</f>
        <v>-3.0524234325119748E-2</v>
      </c>
    </row>
    <row r="5380" spans="1:7" x14ac:dyDescent="0.2">
      <c r="A5380" s="1">
        <v>41429</v>
      </c>
      <c r="B5380">
        <v>2</v>
      </c>
      <c r="C5380" t="s">
        <v>15</v>
      </c>
      <c r="D5380">
        <v>5.5900000000000004E-4</v>
      </c>
      <c r="E5380">
        <f t="shared" ref="E5380:E5443" si="168">D5380+1</f>
        <v>1.000559</v>
      </c>
      <c r="F5380" s="1">
        <f t="shared" ref="F5380:F5443" si="169">A5380 - (WEEKDAY(A5380, 2) - 1)</f>
        <v>41428</v>
      </c>
      <c r="G5380" cm="1">
        <f t="array" ref="G5380">PRODUCT( _xlfn._xlws.FILTER($E:$E, ($C:$C=C5380)*($F:$F=F5380)) ) - 1</f>
        <v>-3.0524234325119748E-2</v>
      </c>
    </row>
    <row r="5381" spans="1:7" x14ac:dyDescent="0.2">
      <c r="A5381" s="1">
        <v>41430</v>
      </c>
      <c r="B5381">
        <v>2</v>
      </c>
      <c r="C5381" t="s">
        <v>15</v>
      </c>
      <c r="D5381">
        <v>-1.8151E-2</v>
      </c>
      <c r="E5381">
        <f t="shared" si="168"/>
        <v>0.98184899999999997</v>
      </c>
      <c r="F5381" s="1">
        <f t="shared" si="169"/>
        <v>41428</v>
      </c>
      <c r="G5381" cm="1">
        <f t="array" ref="G5381">PRODUCT( _xlfn._xlws.FILTER($E:$E, ($C:$C=C5381)*($F:$F=F5381)) ) - 1</f>
        <v>-3.0524234325119748E-2</v>
      </c>
    </row>
    <row r="5382" spans="1:7" x14ac:dyDescent="0.2">
      <c r="A5382" s="1">
        <v>41431</v>
      </c>
      <c r="B5382">
        <v>2</v>
      </c>
      <c r="C5382" t="s">
        <v>15</v>
      </c>
      <c r="D5382">
        <v>2.2750000000000001E-3</v>
      </c>
      <c r="E5382">
        <f t="shared" si="168"/>
        <v>1.002275</v>
      </c>
      <c r="F5382" s="1">
        <f t="shared" si="169"/>
        <v>41428</v>
      </c>
      <c r="G5382" cm="1">
        <f t="array" ref="G5382">PRODUCT( _xlfn._xlws.FILTER($E:$E, ($C:$C=C5382)*($F:$F=F5382)) ) - 1</f>
        <v>-3.0524234325119748E-2</v>
      </c>
    </row>
    <row r="5383" spans="1:7" x14ac:dyDescent="0.2">
      <c r="A5383" s="1">
        <v>41432</v>
      </c>
      <c r="B5383">
        <v>2</v>
      </c>
      <c r="C5383" t="s">
        <v>15</v>
      </c>
      <c r="D5383">
        <v>-6.5900000000000004E-3</v>
      </c>
      <c r="E5383">
        <f t="shared" si="168"/>
        <v>0.99341000000000002</v>
      </c>
      <c r="F5383" s="1">
        <f t="shared" si="169"/>
        <v>41428</v>
      </c>
      <c r="G5383" cm="1">
        <f t="array" ref="G5383">PRODUCT( _xlfn._xlws.FILTER($E:$E, ($C:$C=C5383)*($F:$F=F5383)) ) - 1</f>
        <v>-3.0524234325119748E-2</v>
      </c>
    </row>
    <row r="5384" spans="1:7" x14ac:dyDescent="0.2">
      <c r="A5384" s="1">
        <v>41435</v>
      </c>
      <c r="B5384">
        <v>2</v>
      </c>
      <c r="C5384" t="s">
        <v>15</v>
      </c>
      <c r="D5384">
        <v>1.1540000000000001E-3</v>
      </c>
      <c r="E5384">
        <f t="shared" si="168"/>
        <v>1.0011540000000001</v>
      </c>
      <c r="F5384" s="1">
        <f t="shared" si="169"/>
        <v>41435</v>
      </c>
      <c r="G5384" cm="1">
        <f t="array" ref="G5384">PRODUCT( _xlfn._xlws.FILTER($E:$E, ($C:$C=C5384)*($F:$F=F5384)) ) - 1</f>
        <v>1.442214754663107E-3</v>
      </c>
    </row>
    <row r="5385" spans="1:7" x14ac:dyDescent="0.2">
      <c r="A5385" s="1">
        <v>41436</v>
      </c>
      <c r="B5385">
        <v>2</v>
      </c>
      <c r="C5385" t="s">
        <v>15</v>
      </c>
      <c r="D5385">
        <v>-1.2965000000000001E-2</v>
      </c>
      <c r="E5385">
        <f t="shared" si="168"/>
        <v>0.987035</v>
      </c>
      <c r="F5385" s="1">
        <f t="shared" si="169"/>
        <v>41435</v>
      </c>
      <c r="G5385" cm="1">
        <f t="array" ref="G5385">PRODUCT( _xlfn._xlws.FILTER($E:$E, ($C:$C=C5385)*($F:$F=F5385)) ) - 1</f>
        <v>1.442214754663107E-3</v>
      </c>
    </row>
    <row r="5386" spans="1:7" x14ac:dyDescent="0.2">
      <c r="A5386" s="1">
        <v>41437</v>
      </c>
      <c r="B5386">
        <v>2</v>
      </c>
      <c r="C5386" t="s">
        <v>15</v>
      </c>
      <c r="D5386">
        <v>-1.7221E-2</v>
      </c>
      <c r="E5386">
        <f t="shared" si="168"/>
        <v>0.98277899999999996</v>
      </c>
      <c r="F5386" s="1">
        <f t="shared" si="169"/>
        <v>41435</v>
      </c>
      <c r="G5386" cm="1">
        <f t="array" ref="G5386">PRODUCT( _xlfn._xlws.FILTER($E:$E, ($C:$C=C5386)*($F:$F=F5386)) ) - 1</f>
        <v>1.442214754663107E-3</v>
      </c>
    </row>
    <row r="5387" spans="1:7" x14ac:dyDescent="0.2">
      <c r="A5387" s="1">
        <v>41438</v>
      </c>
      <c r="B5387">
        <v>2</v>
      </c>
      <c r="C5387" t="s">
        <v>15</v>
      </c>
      <c r="D5387">
        <v>3.1185000000000001E-2</v>
      </c>
      <c r="E5387">
        <f t="shared" si="168"/>
        <v>1.031185</v>
      </c>
      <c r="F5387" s="1">
        <f t="shared" si="169"/>
        <v>41435</v>
      </c>
      <c r="G5387" cm="1">
        <f t="array" ref="G5387">PRODUCT( _xlfn._xlws.FILTER($E:$E, ($C:$C=C5387)*($F:$F=F5387)) ) - 1</f>
        <v>1.442214754663107E-3</v>
      </c>
    </row>
    <row r="5388" spans="1:7" x14ac:dyDescent="0.2">
      <c r="A5388" s="1">
        <v>41439</v>
      </c>
      <c r="B5388">
        <v>2</v>
      </c>
      <c r="C5388" t="s">
        <v>15</v>
      </c>
      <c r="D5388">
        <v>0</v>
      </c>
      <c r="E5388">
        <f t="shared" si="168"/>
        <v>1</v>
      </c>
      <c r="F5388" s="1">
        <f t="shared" si="169"/>
        <v>41435</v>
      </c>
      <c r="G5388" cm="1">
        <f t="array" ref="G5388">PRODUCT( _xlfn._xlws.FILTER($E:$E, ($C:$C=C5388)*($F:$F=F5388)) ) - 1</f>
        <v>1.442214754663107E-3</v>
      </c>
    </row>
    <row r="5389" spans="1:7" x14ac:dyDescent="0.2">
      <c r="A5389" s="1">
        <v>41442</v>
      </c>
      <c r="B5389">
        <v>2</v>
      </c>
      <c r="C5389" t="s">
        <v>15</v>
      </c>
      <c r="D5389">
        <v>6.0480000000000004E-3</v>
      </c>
      <c r="E5389">
        <f t="shared" si="168"/>
        <v>1.0060480000000001</v>
      </c>
      <c r="F5389" s="1">
        <f t="shared" si="169"/>
        <v>41442</v>
      </c>
      <c r="G5389" cm="1">
        <f t="array" ref="G5389">PRODUCT( _xlfn._xlws.FILTER($E:$E, ($C:$C=C5389)*($F:$F=F5389)) ) - 1</f>
        <v>-3.3986150410545646E-2</v>
      </c>
    </row>
    <row r="5390" spans="1:7" x14ac:dyDescent="0.2">
      <c r="A5390" s="1">
        <v>41443</v>
      </c>
      <c r="B5390">
        <v>2</v>
      </c>
      <c r="C5390" t="s">
        <v>15</v>
      </c>
      <c r="D5390">
        <v>1.4600999999999999E-2</v>
      </c>
      <c r="E5390">
        <f t="shared" si="168"/>
        <v>1.0146010000000001</v>
      </c>
      <c r="F5390" s="1">
        <f t="shared" si="169"/>
        <v>41442</v>
      </c>
      <c r="G5390" cm="1">
        <f t="array" ref="G5390">PRODUCT( _xlfn._xlws.FILTER($E:$E, ($C:$C=C5390)*($F:$F=F5390)) ) - 1</f>
        <v>-3.3986150410545646E-2</v>
      </c>
    </row>
    <row r="5391" spans="1:7" x14ac:dyDescent="0.2">
      <c r="A5391" s="1">
        <v>41444</v>
      </c>
      <c r="B5391">
        <v>2</v>
      </c>
      <c r="C5391" t="s">
        <v>15</v>
      </c>
      <c r="D5391">
        <v>-3.0755999999999999E-2</v>
      </c>
      <c r="E5391">
        <f t="shared" si="168"/>
        <v>0.96924399999999999</v>
      </c>
      <c r="F5391" s="1">
        <f t="shared" si="169"/>
        <v>41442</v>
      </c>
      <c r="G5391" cm="1">
        <f t="array" ref="G5391">PRODUCT( _xlfn._xlws.FILTER($E:$E, ($C:$C=C5391)*($F:$F=F5391)) ) - 1</f>
        <v>-3.3986150410545646E-2</v>
      </c>
    </row>
    <row r="5392" spans="1:7" x14ac:dyDescent="0.2">
      <c r="A5392" s="1">
        <v>41445</v>
      </c>
      <c r="B5392">
        <v>2</v>
      </c>
      <c r="C5392" t="s">
        <v>15</v>
      </c>
      <c r="D5392">
        <v>-2.5909999999999999E-2</v>
      </c>
      <c r="E5392">
        <f t="shared" si="168"/>
        <v>0.97409000000000001</v>
      </c>
      <c r="F5392" s="1">
        <f t="shared" si="169"/>
        <v>41442</v>
      </c>
      <c r="G5392" cm="1">
        <f t="array" ref="G5392">PRODUCT( _xlfn._xlws.FILTER($E:$E, ($C:$C=C5392)*($F:$F=F5392)) ) - 1</f>
        <v>-3.3986150410545646E-2</v>
      </c>
    </row>
    <row r="5393" spans="1:7" x14ac:dyDescent="0.2">
      <c r="A5393" s="1">
        <v>41446</v>
      </c>
      <c r="B5393">
        <v>2</v>
      </c>
      <c r="C5393" t="s">
        <v>15</v>
      </c>
      <c r="D5393">
        <v>2.3909999999999999E-3</v>
      </c>
      <c r="E5393">
        <f t="shared" si="168"/>
        <v>1.002391</v>
      </c>
      <c r="F5393" s="1">
        <f t="shared" si="169"/>
        <v>41442</v>
      </c>
      <c r="G5393" cm="1">
        <f t="array" ref="G5393">PRODUCT( _xlfn._xlws.FILTER($E:$E, ($C:$C=C5393)*($F:$F=F5393)) ) - 1</f>
        <v>-3.3986150410545646E-2</v>
      </c>
    </row>
    <row r="5394" spans="1:7" x14ac:dyDescent="0.2">
      <c r="A5394" s="1">
        <v>41449</v>
      </c>
      <c r="B5394">
        <v>2</v>
      </c>
      <c r="C5394" t="s">
        <v>15</v>
      </c>
      <c r="D5394">
        <v>-1.4907999999999999E-2</v>
      </c>
      <c r="E5394">
        <f t="shared" si="168"/>
        <v>0.98509199999999997</v>
      </c>
      <c r="F5394" s="1">
        <f t="shared" si="169"/>
        <v>41449</v>
      </c>
      <c r="G5394" cm="1">
        <f t="array" ref="G5394">PRODUCT( _xlfn._xlws.FILTER($E:$E, ($C:$C=C5394)*($F:$F=F5394)) ) - 1</f>
        <v>-8.4676155779668805E-2</v>
      </c>
    </row>
    <row r="5395" spans="1:7" x14ac:dyDescent="0.2">
      <c r="A5395" s="1">
        <v>41450</v>
      </c>
      <c r="B5395">
        <v>2</v>
      </c>
      <c r="C5395" t="s">
        <v>15</v>
      </c>
      <c r="D5395">
        <v>9.9880000000000004E-3</v>
      </c>
      <c r="E5395">
        <f t="shared" si="168"/>
        <v>1.0099880000000001</v>
      </c>
      <c r="F5395" s="1">
        <f t="shared" si="169"/>
        <v>41449</v>
      </c>
      <c r="G5395" cm="1">
        <f t="array" ref="G5395">PRODUCT( _xlfn._xlws.FILTER($E:$E, ($C:$C=C5395)*($F:$F=F5395)) ) - 1</f>
        <v>-8.4676155779668805E-2</v>
      </c>
    </row>
    <row r="5396" spans="1:7" x14ac:dyDescent="0.2">
      <c r="A5396" s="1">
        <v>41451</v>
      </c>
      <c r="B5396">
        <v>2</v>
      </c>
      <c r="C5396" t="s">
        <v>15</v>
      </c>
      <c r="D5396">
        <v>-8.0012E-2</v>
      </c>
      <c r="E5396">
        <f t="shared" si="168"/>
        <v>0.91998800000000003</v>
      </c>
      <c r="F5396" s="1">
        <f t="shared" si="169"/>
        <v>41449</v>
      </c>
      <c r="G5396" cm="1">
        <f t="array" ref="G5396">PRODUCT( _xlfn._xlws.FILTER($E:$E, ($C:$C=C5396)*($F:$F=F5396)) ) - 1</f>
        <v>-8.4676155779668805E-2</v>
      </c>
    </row>
    <row r="5397" spans="1:7" x14ac:dyDescent="0.2">
      <c r="A5397" s="1">
        <v>41452</v>
      </c>
      <c r="B5397">
        <v>2</v>
      </c>
      <c r="C5397" t="s">
        <v>15</v>
      </c>
      <c r="D5397">
        <v>-2.8665E-2</v>
      </c>
      <c r="E5397">
        <f t="shared" si="168"/>
        <v>0.97133499999999995</v>
      </c>
      <c r="F5397" s="1">
        <f t="shared" si="169"/>
        <v>41449</v>
      </c>
      <c r="G5397" cm="1">
        <f t="array" ref="G5397">PRODUCT( _xlfn._xlws.FILTER($E:$E, ($C:$C=C5397)*($F:$F=F5397)) ) - 1</f>
        <v>-8.4676155779668805E-2</v>
      </c>
    </row>
    <row r="5398" spans="1:7" x14ac:dyDescent="0.2">
      <c r="A5398" s="1">
        <v>41453</v>
      </c>
      <c r="B5398">
        <v>2</v>
      </c>
      <c r="C5398" t="s">
        <v>15</v>
      </c>
      <c r="D5398">
        <v>2.9510000000000002E-2</v>
      </c>
      <c r="E5398">
        <f t="shared" si="168"/>
        <v>1.0295099999999999</v>
      </c>
      <c r="F5398" s="1">
        <f t="shared" si="169"/>
        <v>41449</v>
      </c>
      <c r="G5398" cm="1">
        <f t="array" ref="G5398">PRODUCT( _xlfn._xlws.FILTER($E:$E, ($C:$C=C5398)*($F:$F=F5398)) ) - 1</f>
        <v>-8.4676155779668805E-2</v>
      </c>
    </row>
    <row r="5399" spans="1:7" x14ac:dyDescent="0.2">
      <c r="A5399" s="1">
        <v>41457</v>
      </c>
      <c r="B5399">
        <v>2</v>
      </c>
      <c r="C5399" t="s">
        <v>15</v>
      </c>
      <c r="D5399">
        <v>3.1269999999999999E-2</v>
      </c>
      <c r="E5399">
        <f t="shared" si="168"/>
        <v>1.0312699999999999</v>
      </c>
      <c r="F5399" s="1">
        <f t="shared" si="169"/>
        <v>41456</v>
      </c>
      <c r="G5399" cm="1">
        <f t="array" ref="G5399">PRODUCT( _xlfn._xlws.FILTER($E:$E, ($C:$C=C5399)*($F:$F=F5399)) ) - 1</f>
        <v>2.4755289038034922E-2</v>
      </c>
    </row>
    <row r="5400" spans="1:7" x14ac:dyDescent="0.2">
      <c r="A5400" s="1">
        <v>41458</v>
      </c>
      <c r="B5400">
        <v>2</v>
      </c>
      <c r="C5400" t="s">
        <v>15</v>
      </c>
      <c r="D5400">
        <v>6.3199999999999997E-4</v>
      </c>
      <c r="E5400">
        <f t="shared" si="168"/>
        <v>1.000632</v>
      </c>
      <c r="F5400" s="1">
        <f t="shared" si="169"/>
        <v>41456</v>
      </c>
      <c r="G5400" cm="1">
        <f t="array" ref="G5400">PRODUCT( _xlfn._xlws.FILTER($E:$E, ($C:$C=C5400)*($F:$F=F5400)) ) - 1</f>
        <v>2.4755289038034922E-2</v>
      </c>
    </row>
    <row r="5401" spans="1:7" x14ac:dyDescent="0.2">
      <c r="A5401" s="1">
        <v>41459</v>
      </c>
      <c r="B5401">
        <v>2</v>
      </c>
      <c r="C5401" t="s">
        <v>15</v>
      </c>
      <c r="D5401">
        <v>-5.6820000000000004E-3</v>
      </c>
      <c r="E5401">
        <f t="shared" si="168"/>
        <v>0.99431800000000004</v>
      </c>
      <c r="F5401" s="1">
        <f t="shared" si="169"/>
        <v>41456</v>
      </c>
      <c r="G5401" cm="1">
        <f t="array" ref="G5401">PRODUCT( _xlfn._xlws.FILTER($E:$E, ($C:$C=C5401)*($F:$F=F5401)) ) - 1</f>
        <v>2.4755289038034922E-2</v>
      </c>
    </row>
    <row r="5402" spans="1:7" x14ac:dyDescent="0.2">
      <c r="A5402" s="1">
        <v>41460</v>
      </c>
      <c r="B5402">
        <v>2</v>
      </c>
      <c r="C5402" t="s">
        <v>15</v>
      </c>
      <c r="D5402">
        <v>-1.2700000000000001E-3</v>
      </c>
      <c r="E5402">
        <f t="shared" si="168"/>
        <v>0.99873000000000001</v>
      </c>
      <c r="F5402" s="1">
        <f t="shared" si="169"/>
        <v>41456</v>
      </c>
      <c r="G5402" cm="1">
        <f t="array" ref="G5402">PRODUCT( _xlfn._xlws.FILTER($E:$E, ($C:$C=C5402)*($F:$F=F5402)) ) - 1</f>
        <v>2.4755289038034922E-2</v>
      </c>
    </row>
    <row r="5403" spans="1:7" x14ac:dyDescent="0.2">
      <c r="A5403" s="1">
        <v>41463</v>
      </c>
      <c r="B5403">
        <v>2</v>
      </c>
      <c r="C5403" t="s">
        <v>15</v>
      </c>
      <c r="D5403">
        <v>1.0172E-2</v>
      </c>
      <c r="E5403">
        <f t="shared" si="168"/>
        <v>1.0101720000000001</v>
      </c>
      <c r="F5403" s="1">
        <f t="shared" si="169"/>
        <v>41463</v>
      </c>
      <c r="G5403" cm="1">
        <f t="array" ref="G5403">PRODUCT( _xlfn._xlws.FILTER($E:$E, ($C:$C=C5403)*($F:$F=F5403)) ) - 1</f>
        <v>1.0808098519829112E-2</v>
      </c>
    </row>
    <row r="5404" spans="1:7" x14ac:dyDescent="0.2">
      <c r="A5404" s="1">
        <v>41464</v>
      </c>
      <c r="B5404">
        <v>2</v>
      </c>
      <c r="C5404" t="s">
        <v>15</v>
      </c>
      <c r="D5404">
        <v>-1.8879999999999999E-3</v>
      </c>
      <c r="E5404">
        <f t="shared" si="168"/>
        <v>0.998112</v>
      </c>
      <c r="F5404" s="1">
        <f t="shared" si="169"/>
        <v>41463</v>
      </c>
      <c r="G5404" cm="1">
        <f t="array" ref="G5404">PRODUCT( _xlfn._xlws.FILTER($E:$E, ($C:$C=C5404)*($F:$F=F5404)) ) - 1</f>
        <v>1.0808098519829112E-2</v>
      </c>
    </row>
    <row r="5405" spans="1:7" x14ac:dyDescent="0.2">
      <c r="A5405" s="1">
        <v>41465</v>
      </c>
      <c r="B5405">
        <v>2</v>
      </c>
      <c r="C5405" t="s">
        <v>15</v>
      </c>
      <c r="D5405">
        <v>-8.8269999999999998E-3</v>
      </c>
      <c r="E5405">
        <f t="shared" si="168"/>
        <v>0.99117299999999997</v>
      </c>
      <c r="F5405" s="1">
        <f t="shared" si="169"/>
        <v>41463</v>
      </c>
      <c r="G5405" cm="1">
        <f t="array" ref="G5405">PRODUCT( _xlfn._xlws.FILTER($E:$E, ($C:$C=C5405)*($F:$F=F5405)) ) - 1</f>
        <v>1.0808098519829112E-2</v>
      </c>
    </row>
    <row r="5406" spans="1:7" x14ac:dyDescent="0.2">
      <c r="A5406" s="1">
        <v>41466</v>
      </c>
      <c r="B5406">
        <v>2</v>
      </c>
      <c r="C5406" t="s">
        <v>15</v>
      </c>
      <c r="D5406">
        <v>9.8600000000000007E-3</v>
      </c>
      <c r="E5406">
        <f t="shared" si="168"/>
        <v>1.00986</v>
      </c>
      <c r="F5406" s="1">
        <f t="shared" si="169"/>
        <v>41463</v>
      </c>
      <c r="G5406" cm="1">
        <f t="array" ref="G5406">PRODUCT( _xlfn._xlws.FILTER($E:$E, ($C:$C=C5406)*($F:$F=F5406)) ) - 1</f>
        <v>1.0808098519829112E-2</v>
      </c>
    </row>
    <row r="5407" spans="1:7" x14ac:dyDescent="0.2">
      <c r="A5407" s="1">
        <v>41467</v>
      </c>
      <c r="B5407">
        <v>2</v>
      </c>
      <c r="C5407" t="s">
        <v>15</v>
      </c>
      <c r="D5407">
        <v>1.575E-3</v>
      </c>
      <c r="E5407">
        <f t="shared" si="168"/>
        <v>1.0015750000000001</v>
      </c>
      <c r="F5407" s="1">
        <f t="shared" si="169"/>
        <v>41463</v>
      </c>
      <c r="G5407" cm="1">
        <f t="array" ref="G5407">PRODUCT( _xlfn._xlws.FILTER($E:$E, ($C:$C=C5407)*($F:$F=F5407)) ) - 1</f>
        <v>1.0808098519829112E-2</v>
      </c>
    </row>
    <row r="5408" spans="1:7" x14ac:dyDescent="0.2">
      <c r="A5408" s="1">
        <v>41470</v>
      </c>
      <c r="B5408">
        <v>2</v>
      </c>
      <c r="C5408" t="s">
        <v>15</v>
      </c>
      <c r="D5408">
        <v>0</v>
      </c>
      <c r="E5408">
        <f t="shared" si="168"/>
        <v>1</v>
      </c>
      <c r="F5408" s="1">
        <f t="shared" si="169"/>
        <v>41470</v>
      </c>
      <c r="G5408" cm="1">
        <f t="array" ref="G5408">PRODUCT( _xlfn._xlws.FILTER($E:$E, ($C:$C=C5408)*($F:$F=F5408)) ) - 1</f>
        <v>-5.66018792168832E-3</v>
      </c>
    </row>
    <row r="5409" spans="1:7" x14ac:dyDescent="0.2">
      <c r="A5409" s="1">
        <v>41471</v>
      </c>
      <c r="B5409">
        <v>2</v>
      </c>
      <c r="C5409" t="s">
        <v>15</v>
      </c>
      <c r="D5409">
        <v>6.29E-4</v>
      </c>
      <c r="E5409">
        <f t="shared" si="168"/>
        <v>1.000629</v>
      </c>
      <c r="F5409" s="1">
        <f t="shared" si="169"/>
        <v>41470</v>
      </c>
      <c r="G5409" cm="1">
        <f t="array" ref="G5409">PRODUCT( _xlfn._xlws.FILTER($E:$E, ($C:$C=C5409)*($F:$F=F5409)) ) - 1</f>
        <v>-5.66018792168832E-3</v>
      </c>
    </row>
    <row r="5410" spans="1:7" x14ac:dyDescent="0.2">
      <c r="A5410" s="1">
        <v>41472</v>
      </c>
      <c r="B5410">
        <v>2</v>
      </c>
      <c r="C5410" t="s">
        <v>15</v>
      </c>
      <c r="D5410">
        <v>3.1399999999999999E-4</v>
      </c>
      <c r="E5410">
        <f t="shared" si="168"/>
        <v>1.0003139999999999</v>
      </c>
      <c r="F5410" s="1">
        <f t="shared" si="169"/>
        <v>41470</v>
      </c>
      <c r="G5410" cm="1">
        <f t="array" ref="G5410">PRODUCT( _xlfn._xlws.FILTER($E:$E, ($C:$C=C5410)*($F:$F=F5410)) ) - 1</f>
        <v>-5.66018792168832E-3</v>
      </c>
    </row>
    <row r="5411" spans="1:7" x14ac:dyDescent="0.2">
      <c r="A5411" s="1">
        <v>41473</v>
      </c>
      <c r="B5411">
        <v>2</v>
      </c>
      <c r="C5411" t="s">
        <v>15</v>
      </c>
      <c r="D5411">
        <v>-7.5399999999999998E-3</v>
      </c>
      <c r="E5411">
        <f t="shared" si="168"/>
        <v>0.99246000000000001</v>
      </c>
      <c r="F5411" s="1">
        <f t="shared" si="169"/>
        <v>41470</v>
      </c>
      <c r="G5411" cm="1">
        <f t="array" ref="G5411">PRODUCT( _xlfn._xlws.FILTER($E:$E, ($C:$C=C5411)*($F:$F=F5411)) ) - 1</f>
        <v>-5.66018792168832E-3</v>
      </c>
    </row>
    <row r="5412" spans="1:7" x14ac:dyDescent="0.2">
      <c r="A5412" s="1">
        <v>41474</v>
      </c>
      <c r="B5412">
        <v>2</v>
      </c>
      <c r="C5412" t="s">
        <v>15</v>
      </c>
      <c r="D5412">
        <v>9.5E-4</v>
      </c>
      <c r="E5412">
        <f t="shared" si="168"/>
        <v>1.00095</v>
      </c>
      <c r="F5412" s="1">
        <f t="shared" si="169"/>
        <v>41470</v>
      </c>
      <c r="G5412" cm="1">
        <f t="array" ref="G5412">PRODUCT( _xlfn._xlws.FILTER($E:$E, ($C:$C=C5412)*($F:$F=F5412)) ) - 1</f>
        <v>-5.66018792168832E-3</v>
      </c>
    </row>
    <row r="5413" spans="1:7" x14ac:dyDescent="0.2">
      <c r="A5413" s="1">
        <v>41477</v>
      </c>
      <c r="B5413">
        <v>2</v>
      </c>
      <c r="C5413" t="s">
        <v>15</v>
      </c>
      <c r="D5413">
        <v>-3.0676999999999999E-2</v>
      </c>
      <c r="E5413">
        <f t="shared" si="168"/>
        <v>0.96932300000000005</v>
      </c>
      <c r="F5413" s="1">
        <f t="shared" si="169"/>
        <v>41477</v>
      </c>
      <c r="G5413" cm="1">
        <f t="array" ref="G5413">PRODUCT( _xlfn._xlws.FILTER($E:$E, ($C:$C=C5413)*($F:$F=F5413)) ) - 1</f>
        <v>-6.9572015875781767E-3</v>
      </c>
    </row>
    <row r="5414" spans="1:7" x14ac:dyDescent="0.2">
      <c r="A5414" s="1">
        <v>41478</v>
      </c>
      <c r="B5414">
        <v>2</v>
      </c>
      <c r="C5414" t="s">
        <v>15</v>
      </c>
      <c r="D5414">
        <v>5.8729999999999997E-3</v>
      </c>
      <c r="E5414">
        <f t="shared" si="168"/>
        <v>1.005873</v>
      </c>
      <c r="F5414" s="1">
        <f t="shared" si="169"/>
        <v>41477</v>
      </c>
      <c r="G5414" cm="1">
        <f t="array" ref="G5414">PRODUCT( _xlfn._xlws.FILTER($E:$E, ($C:$C=C5414)*($F:$F=F5414)) ) - 1</f>
        <v>-6.9572015875781767E-3</v>
      </c>
    </row>
    <row r="5415" spans="1:7" x14ac:dyDescent="0.2">
      <c r="A5415" s="1">
        <v>41479</v>
      </c>
      <c r="B5415">
        <v>2</v>
      </c>
      <c r="C5415" t="s">
        <v>15</v>
      </c>
      <c r="D5415">
        <v>6.1630000000000001E-3</v>
      </c>
      <c r="E5415">
        <f t="shared" si="168"/>
        <v>1.0061629999999999</v>
      </c>
      <c r="F5415" s="1">
        <f t="shared" si="169"/>
        <v>41477</v>
      </c>
      <c r="G5415" cm="1">
        <f t="array" ref="G5415">PRODUCT( _xlfn._xlws.FILTER($E:$E, ($C:$C=C5415)*($F:$F=F5415)) ) - 1</f>
        <v>-6.9572015875781767E-3</v>
      </c>
    </row>
    <row r="5416" spans="1:7" x14ac:dyDescent="0.2">
      <c r="A5416" s="1">
        <v>41480</v>
      </c>
      <c r="B5416">
        <v>2</v>
      </c>
      <c r="C5416" t="s">
        <v>15</v>
      </c>
      <c r="D5416">
        <v>5.1580000000000003E-3</v>
      </c>
      <c r="E5416">
        <f t="shared" si="168"/>
        <v>1.005158</v>
      </c>
      <c r="F5416" s="1">
        <f t="shared" si="169"/>
        <v>41477</v>
      </c>
      <c r="G5416" cm="1">
        <f t="array" ref="G5416">PRODUCT( _xlfn._xlws.FILTER($E:$E, ($C:$C=C5416)*($F:$F=F5416)) ) - 1</f>
        <v>-6.9572015875781767E-3</v>
      </c>
    </row>
    <row r="5417" spans="1:7" x14ac:dyDescent="0.2">
      <c r="A5417" s="1">
        <v>41481</v>
      </c>
      <c r="B5417">
        <v>2</v>
      </c>
      <c r="C5417" t="s">
        <v>15</v>
      </c>
      <c r="D5417">
        <v>7.0559999999999998E-3</v>
      </c>
      <c r="E5417">
        <f t="shared" si="168"/>
        <v>1.007056</v>
      </c>
      <c r="F5417" s="1">
        <f t="shared" si="169"/>
        <v>41477</v>
      </c>
      <c r="G5417" cm="1">
        <f t="array" ref="G5417">PRODUCT( _xlfn._xlws.FILTER($E:$E, ($C:$C=C5417)*($F:$F=F5417)) ) - 1</f>
        <v>-6.9572015875781767E-3</v>
      </c>
    </row>
    <row r="5418" spans="1:7" x14ac:dyDescent="0.2">
      <c r="A5418" s="1">
        <v>41484</v>
      </c>
      <c r="B5418">
        <v>2</v>
      </c>
      <c r="C5418" t="s">
        <v>15</v>
      </c>
      <c r="D5418">
        <v>1.7516E-2</v>
      </c>
      <c r="E5418">
        <f t="shared" si="168"/>
        <v>1.0175160000000001</v>
      </c>
      <c r="F5418" s="1">
        <f t="shared" si="169"/>
        <v>41484</v>
      </c>
      <c r="G5418" cm="1">
        <f t="array" ref="G5418">PRODUCT( _xlfn._xlws.FILTER($E:$E, ($C:$C=C5418)*($F:$F=F5418)) ) - 1</f>
        <v>6.3787716421215279E-4</v>
      </c>
    </row>
    <row r="5419" spans="1:7" x14ac:dyDescent="0.2">
      <c r="A5419" s="1">
        <v>41485</v>
      </c>
      <c r="B5419">
        <v>2</v>
      </c>
      <c r="C5419" t="s">
        <v>15</v>
      </c>
      <c r="D5419">
        <v>-4.6950000000000004E-3</v>
      </c>
      <c r="E5419">
        <f t="shared" si="168"/>
        <v>0.995305</v>
      </c>
      <c r="F5419" s="1">
        <f t="shared" si="169"/>
        <v>41484</v>
      </c>
      <c r="G5419" cm="1">
        <f t="array" ref="G5419">PRODUCT( _xlfn._xlws.FILTER($E:$E, ($C:$C=C5419)*($F:$F=F5419)) ) - 1</f>
        <v>6.3787716421215279E-4</v>
      </c>
    </row>
    <row r="5420" spans="1:7" x14ac:dyDescent="0.2">
      <c r="A5420" s="1">
        <v>41486</v>
      </c>
      <c r="B5420">
        <v>2</v>
      </c>
      <c r="C5420" t="s">
        <v>15</v>
      </c>
      <c r="D5420">
        <v>-1.8553E-2</v>
      </c>
      <c r="E5420">
        <f t="shared" si="168"/>
        <v>0.98144699999999996</v>
      </c>
      <c r="F5420" s="1">
        <f t="shared" si="169"/>
        <v>41484</v>
      </c>
      <c r="G5420" cm="1">
        <f t="array" ref="G5420">PRODUCT( _xlfn._xlws.FILTER($E:$E, ($C:$C=C5420)*($F:$F=F5420)) ) - 1</f>
        <v>6.3787716421215279E-4</v>
      </c>
    </row>
    <row r="5421" spans="1:7" x14ac:dyDescent="0.2">
      <c r="A5421" s="1">
        <v>41487</v>
      </c>
      <c r="B5421">
        <v>2</v>
      </c>
      <c r="C5421" t="s">
        <v>15</v>
      </c>
      <c r="D5421">
        <v>5.1269999999999996E-3</v>
      </c>
      <c r="E5421">
        <f t="shared" si="168"/>
        <v>1.0051270000000001</v>
      </c>
      <c r="F5421" s="1">
        <f t="shared" si="169"/>
        <v>41484</v>
      </c>
      <c r="G5421" cm="1">
        <f t="array" ref="G5421">PRODUCT( _xlfn._xlws.FILTER($E:$E, ($C:$C=C5421)*($F:$F=F5421)) ) - 1</f>
        <v>6.3787716421215279E-4</v>
      </c>
    </row>
    <row r="5422" spans="1:7" x14ac:dyDescent="0.2">
      <c r="A5422" s="1">
        <v>41488</v>
      </c>
      <c r="B5422">
        <v>2</v>
      </c>
      <c r="C5422" t="s">
        <v>15</v>
      </c>
      <c r="D5422">
        <v>1.5939999999999999E-3</v>
      </c>
      <c r="E5422">
        <f t="shared" si="168"/>
        <v>1.0015940000000001</v>
      </c>
      <c r="F5422" s="1">
        <f t="shared" si="169"/>
        <v>41484</v>
      </c>
      <c r="G5422" cm="1">
        <f t="array" ref="G5422">PRODUCT( _xlfn._xlws.FILTER($E:$E, ($C:$C=C5422)*($F:$F=F5422)) ) - 1</f>
        <v>6.3787716421215279E-4</v>
      </c>
    </row>
    <row r="5423" spans="1:7" x14ac:dyDescent="0.2">
      <c r="A5423" s="1">
        <v>41492</v>
      </c>
      <c r="B5423">
        <v>2</v>
      </c>
      <c r="C5423" t="s">
        <v>15</v>
      </c>
      <c r="D5423">
        <v>-3.1830000000000001E-3</v>
      </c>
      <c r="E5423">
        <f t="shared" si="168"/>
        <v>0.99681699999999995</v>
      </c>
      <c r="F5423" s="1">
        <f t="shared" si="169"/>
        <v>41491</v>
      </c>
      <c r="G5423" cm="1">
        <f t="array" ref="G5423">PRODUCT( _xlfn._xlws.FILTER($E:$E, ($C:$C=C5423)*($F:$F=F5423)) ) - 1</f>
        <v>-1.5914386372540279E-2</v>
      </c>
    </row>
    <row r="5424" spans="1:7" x14ac:dyDescent="0.2">
      <c r="A5424" s="1">
        <v>41493</v>
      </c>
      <c r="B5424">
        <v>2</v>
      </c>
      <c r="C5424" t="s">
        <v>15</v>
      </c>
      <c r="D5424">
        <v>-6.3860000000000002E-3</v>
      </c>
      <c r="E5424">
        <f t="shared" si="168"/>
        <v>0.993614</v>
      </c>
      <c r="F5424" s="1">
        <f t="shared" si="169"/>
        <v>41491</v>
      </c>
      <c r="G5424" cm="1">
        <f t="array" ref="G5424">PRODUCT( _xlfn._xlws.FILTER($E:$E, ($C:$C=C5424)*($F:$F=F5424)) ) - 1</f>
        <v>-1.5914386372540279E-2</v>
      </c>
    </row>
    <row r="5425" spans="1:7" x14ac:dyDescent="0.2">
      <c r="A5425" s="1">
        <v>41494</v>
      </c>
      <c r="B5425">
        <v>2</v>
      </c>
      <c r="C5425" t="s">
        <v>15</v>
      </c>
      <c r="D5425">
        <v>-1.5746E-2</v>
      </c>
      <c r="E5425">
        <f t="shared" si="168"/>
        <v>0.98425399999999996</v>
      </c>
      <c r="F5425" s="1">
        <f t="shared" si="169"/>
        <v>41491</v>
      </c>
      <c r="G5425" cm="1">
        <f t="array" ref="G5425">PRODUCT( _xlfn._xlws.FILTER($E:$E, ($C:$C=C5425)*($F:$F=F5425)) ) - 1</f>
        <v>-1.5914386372540279E-2</v>
      </c>
    </row>
    <row r="5426" spans="1:7" x14ac:dyDescent="0.2">
      <c r="A5426" s="1">
        <v>41495</v>
      </c>
      <c r="B5426">
        <v>2</v>
      </c>
      <c r="C5426" t="s">
        <v>15</v>
      </c>
      <c r="D5426">
        <v>9.4680000000000007E-3</v>
      </c>
      <c r="E5426">
        <f t="shared" si="168"/>
        <v>1.009468</v>
      </c>
      <c r="F5426" s="1">
        <f t="shared" si="169"/>
        <v>41491</v>
      </c>
      <c r="G5426" cm="1">
        <f t="array" ref="G5426">PRODUCT( _xlfn._xlws.FILTER($E:$E, ($C:$C=C5426)*($F:$F=F5426)) ) - 1</f>
        <v>-1.5914386372540279E-2</v>
      </c>
    </row>
    <row r="5427" spans="1:7" x14ac:dyDescent="0.2">
      <c r="A5427" s="1">
        <v>41498</v>
      </c>
      <c r="B5427">
        <v>2</v>
      </c>
      <c r="C5427" t="s">
        <v>15</v>
      </c>
      <c r="D5427">
        <v>-2.264E-3</v>
      </c>
      <c r="E5427">
        <f t="shared" si="168"/>
        <v>0.99773599999999996</v>
      </c>
      <c r="F5427" s="1">
        <f t="shared" si="169"/>
        <v>41498</v>
      </c>
      <c r="G5427" cm="1">
        <f t="array" ref="G5427">PRODUCT( _xlfn._xlws.FILTER($E:$E, ($C:$C=C5427)*($F:$F=F5427)) ) - 1</f>
        <v>3.3958952234660167E-2</v>
      </c>
    </row>
    <row r="5428" spans="1:7" x14ac:dyDescent="0.2">
      <c r="A5428" s="1">
        <v>41499</v>
      </c>
      <c r="B5428">
        <v>2</v>
      </c>
      <c r="C5428" t="s">
        <v>15</v>
      </c>
      <c r="D5428">
        <v>1.1021E-2</v>
      </c>
      <c r="E5428">
        <f t="shared" si="168"/>
        <v>1.0110209999999999</v>
      </c>
      <c r="F5428" s="1">
        <f t="shared" si="169"/>
        <v>41498</v>
      </c>
      <c r="G5428" cm="1">
        <f t="array" ref="G5428">PRODUCT( _xlfn._xlws.FILTER($E:$E, ($C:$C=C5428)*($F:$F=F5428)) ) - 1</f>
        <v>3.3958952234660167E-2</v>
      </c>
    </row>
    <row r="5429" spans="1:7" x14ac:dyDescent="0.2">
      <c r="A5429" s="1">
        <v>41500</v>
      </c>
      <c r="B5429">
        <v>2</v>
      </c>
      <c r="C5429" t="s">
        <v>15</v>
      </c>
      <c r="D5429">
        <v>-1.4107E-2</v>
      </c>
      <c r="E5429">
        <f t="shared" si="168"/>
        <v>0.98589300000000002</v>
      </c>
      <c r="F5429" s="1">
        <f t="shared" si="169"/>
        <v>41498</v>
      </c>
      <c r="G5429" cm="1">
        <f t="array" ref="G5429">PRODUCT( _xlfn._xlws.FILTER($E:$E, ($C:$C=C5429)*($F:$F=F5429)) ) - 1</f>
        <v>3.3958952234660167E-2</v>
      </c>
    </row>
    <row r="5430" spans="1:7" x14ac:dyDescent="0.2">
      <c r="A5430" s="1">
        <v>41501</v>
      </c>
      <c r="B5430">
        <v>2</v>
      </c>
      <c r="C5430" t="s">
        <v>15</v>
      </c>
      <c r="D5430">
        <v>4.7480000000000001E-2</v>
      </c>
      <c r="E5430">
        <f t="shared" si="168"/>
        <v>1.04748</v>
      </c>
      <c r="F5430" s="1">
        <f t="shared" si="169"/>
        <v>41498</v>
      </c>
      <c r="G5430" cm="1">
        <f t="array" ref="G5430">PRODUCT( _xlfn._xlws.FILTER($E:$E, ($C:$C=C5430)*($F:$F=F5430)) ) - 1</f>
        <v>3.3958952234660167E-2</v>
      </c>
    </row>
    <row r="5431" spans="1:7" x14ac:dyDescent="0.2">
      <c r="A5431" s="1">
        <v>41502</v>
      </c>
      <c r="B5431">
        <v>2</v>
      </c>
      <c r="C5431" t="s">
        <v>15</v>
      </c>
      <c r="D5431">
        <v>-7.4510000000000002E-3</v>
      </c>
      <c r="E5431">
        <f t="shared" si="168"/>
        <v>0.99254900000000001</v>
      </c>
      <c r="F5431" s="1">
        <f t="shared" si="169"/>
        <v>41498</v>
      </c>
      <c r="G5431" cm="1">
        <f t="array" ref="G5431">PRODUCT( _xlfn._xlws.FILTER($E:$E, ($C:$C=C5431)*($F:$F=F5431)) ) - 1</f>
        <v>3.3958952234660167E-2</v>
      </c>
    </row>
    <row r="5432" spans="1:7" x14ac:dyDescent="0.2">
      <c r="A5432" s="1">
        <v>41505</v>
      </c>
      <c r="B5432">
        <v>2</v>
      </c>
      <c r="C5432" t="s">
        <v>15</v>
      </c>
      <c r="D5432">
        <v>-3.441E-3</v>
      </c>
      <c r="E5432">
        <f t="shared" si="168"/>
        <v>0.99655899999999997</v>
      </c>
      <c r="F5432" s="1">
        <f t="shared" si="169"/>
        <v>41505</v>
      </c>
      <c r="G5432" cm="1">
        <f t="array" ref="G5432">PRODUCT( _xlfn._xlws.FILTER($E:$E, ($C:$C=C5432)*($F:$F=F5432)) ) - 1</f>
        <v>-5.0051793177684489E-3</v>
      </c>
    </row>
    <row r="5433" spans="1:7" x14ac:dyDescent="0.2">
      <c r="A5433" s="1">
        <v>41506</v>
      </c>
      <c r="B5433">
        <v>2</v>
      </c>
      <c r="C5433" t="s">
        <v>15</v>
      </c>
      <c r="D5433">
        <v>-3.1399999999999999E-4</v>
      </c>
      <c r="E5433">
        <f t="shared" si="168"/>
        <v>0.99968599999999996</v>
      </c>
      <c r="F5433" s="1">
        <f t="shared" si="169"/>
        <v>41505</v>
      </c>
      <c r="G5433" cm="1">
        <f t="array" ref="G5433">PRODUCT( _xlfn._xlws.FILTER($E:$E, ($C:$C=C5433)*($F:$F=F5433)) ) - 1</f>
        <v>-5.0051793177684489E-3</v>
      </c>
    </row>
    <row r="5434" spans="1:7" x14ac:dyDescent="0.2">
      <c r="A5434" s="1">
        <v>41507</v>
      </c>
      <c r="B5434">
        <v>2</v>
      </c>
      <c r="C5434" t="s">
        <v>15</v>
      </c>
      <c r="D5434">
        <v>-2.5119999999999999E-3</v>
      </c>
      <c r="E5434">
        <f t="shared" si="168"/>
        <v>0.99748800000000004</v>
      </c>
      <c r="F5434" s="1">
        <f t="shared" si="169"/>
        <v>41505</v>
      </c>
      <c r="G5434" cm="1">
        <f t="array" ref="G5434">PRODUCT( _xlfn._xlws.FILTER($E:$E, ($C:$C=C5434)*($F:$F=F5434)) ) - 1</f>
        <v>-5.0051793177684489E-3</v>
      </c>
    </row>
    <row r="5435" spans="1:7" x14ac:dyDescent="0.2">
      <c r="A5435" s="1">
        <v>41508</v>
      </c>
      <c r="B5435">
        <v>2</v>
      </c>
      <c r="C5435" t="s">
        <v>15</v>
      </c>
      <c r="D5435">
        <v>4.4070000000000003E-3</v>
      </c>
      <c r="E5435">
        <f t="shared" si="168"/>
        <v>1.004407</v>
      </c>
      <c r="F5435" s="1">
        <f t="shared" si="169"/>
        <v>41505</v>
      </c>
      <c r="G5435" cm="1">
        <f t="array" ref="G5435">PRODUCT( _xlfn._xlws.FILTER($E:$E, ($C:$C=C5435)*($F:$F=F5435)) ) - 1</f>
        <v>-5.0051793177684489E-3</v>
      </c>
    </row>
    <row r="5436" spans="1:7" x14ac:dyDescent="0.2">
      <c r="A5436" s="1">
        <v>41509</v>
      </c>
      <c r="B5436">
        <v>2</v>
      </c>
      <c r="C5436" t="s">
        <v>15</v>
      </c>
      <c r="D5436">
        <v>-3.1340000000000001E-3</v>
      </c>
      <c r="E5436">
        <f t="shared" si="168"/>
        <v>0.99686600000000003</v>
      </c>
      <c r="F5436" s="1">
        <f t="shared" si="169"/>
        <v>41505</v>
      </c>
      <c r="G5436" cm="1">
        <f t="array" ref="G5436">PRODUCT( _xlfn._xlws.FILTER($E:$E, ($C:$C=C5436)*($F:$F=F5436)) ) - 1</f>
        <v>-5.0051793177684489E-3</v>
      </c>
    </row>
    <row r="5437" spans="1:7" x14ac:dyDescent="0.2">
      <c r="A5437" s="1">
        <v>41512</v>
      </c>
      <c r="B5437">
        <v>2</v>
      </c>
      <c r="C5437" t="s">
        <v>15</v>
      </c>
      <c r="D5437">
        <v>-6.2870000000000001E-3</v>
      </c>
      <c r="E5437">
        <f t="shared" si="168"/>
        <v>0.99371299999999996</v>
      </c>
      <c r="F5437" s="1">
        <f t="shared" si="169"/>
        <v>41512</v>
      </c>
      <c r="G5437" cm="1">
        <f t="array" ref="G5437">PRODUCT( _xlfn._xlws.FILTER($E:$E, ($C:$C=C5437)*($F:$F=F5437)) ) - 1</f>
        <v>1.6033389500378359E-2</v>
      </c>
    </row>
    <row r="5438" spans="1:7" x14ac:dyDescent="0.2">
      <c r="A5438" s="1">
        <v>41513</v>
      </c>
      <c r="B5438">
        <v>2</v>
      </c>
      <c r="C5438" t="s">
        <v>15</v>
      </c>
      <c r="D5438">
        <v>1.2338E-2</v>
      </c>
      <c r="E5438">
        <f t="shared" si="168"/>
        <v>1.012338</v>
      </c>
      <c r="F5438" s="1">
        <f t="shared" si="169"/>
        <v>41512</v>
      </c>
      <c r="G5438" cm="1">
        <f t="array" ref="G5438">PRODUCT( _xlfn._xlws.FILTER($E:$E, ($C:$C=C5438)*($F:$F=F5438)) ) - 1</f>
        <v>1.6033389500378359E-2</v>
      </c>
    </row>
    <row r="5439" spans="1:7" x14ac:dyDescent="0.2">
      <c r="A5439" s="1">
        <v>41514</v>
      </c>
      <c r="B5439">
        <v>2</v>
      </c>
      <c r="C5439" t="s">
        <v>15</v>
      </c>
      <c r="D5439">
        <v>8.7500000000000008E-3</v>
      </c>
      <c r="E5439">
        <f t="shared" si="168"/>
        <v>1.00875</v>
      </c>
      <c r="F5439" s="1">
        <f t="shared" si="169"/>
        <v>41512</v>
      </c>
      <c r="G5439" cm="1">
        <f t="array" ref="G5439">PRODUCT( _xlfn._xlws.FILTER($E:$E, ($C:$C=C5439)*($F:$F=F5439)) ) - 1</f>
        <v>1.6033389500378359E-2</v>
      </c>
    </row>
    <row r="5440" spans="1:7" x14ac:dyDescent="0.2">
      <c r="A5440" s="1">
        <v>41515</v>
      </c>
      <c r="B5440">
        <v>2</v>
      </c>
      <c r="C5440" t="s">
        <v>15</v>
      </c>
      <c r="D5440">
        <v>2.5402999999999998E-2</v>
      </c>
      <c r="E5440">
        <f t="shared" si="168"/>
        <v>1.0254030000000001</v>
      </c>
      <c r="F5440" s="1">
        <f t="shared" si="169"/>
        <v>41512</v>
      </c>
      <c r="G5440" cm="1">
        <f t="array" ref="G5440">PRODUCT( _xlfn._xlws.FILTER($E:$E, ($C:$C=C5440)*($F:$F=F5440)) ) - 1</f>
        <v>1.6033389500378359E-2</v>
      </c>
    </row>
    <row r="5441" spans="1:7" x14ac:dyDescent="0.2">
      <c r="A5441" s="1">
        <v>41516</v>
      </c>
      <c r="B5441">
        <v>2</v>
      </c>
      <c r="C5441" t="s">
        <v>15</v>
      </c>
      <c r="D5441">
        <v>-2.3564999999999999E-2</v>
      </c>
      <c r="E5441">
        <f t="shared" si="168"/>
        <v>0.97643500000000005</v>
      </c>
      <c r="F5441" s="1">
        <f t="shared" si="169"/>
        <v>41512</v>
      </c>
      <c r="G5441" cm="1">
        <f t="array" ref="G5441">PRODUCT( _xlfn._xlws.FILTER($E:$E, ($C:$C=C5441)*($F:$F=F5441)) ) - 1</f>
        <v>1.6033389500378359E-2</v>
      </c>
    </row>
    <row r="5442" spans="1:7" x14ac:dyDescent="0.2">
      <c r="A5442" s="1">
        <v>41520</v>
      </c>
      <c r="B5442">
        <v>2</v>
      </c>
      <c r="C5442" t="s">
        <v>15</v>
      </c>
      <c r="D5442">
        <v>6.7450999999999997E-2</v>
      </c>
      <c r="E5442">
        <f t="shared" si="168"/>
        <v>1.0674509999999999</v>
      </c>
      <c r="F5442" s="1">
        <f t="shared" si="169"/>
        <v>41519</v>
      </c>
      <c r="G5442" cm="1">
        <f t="array" ref="G5442">PRODUCT( _xlfn._xlws.FILTER($E:$E, ($C:$C=C5442)*($F:$F=F5442)) ) - 1</f>
        <v>4.1152140785553959E-2</v>
      </c>
    </row>
    <row r="5443" spans="1:7" x14ac:dyDescent="0.2">
      <c r="A5443" s="1">
        <v>41521</v>
      </c>
      <c r="B5443">
        <v>2</v>
      </c>
      <c r="C5443" t="s">
        <v>15</v>
      </c>
      <c r="D5443">
        <v>-7.2459999999999998E-3</v>
      </c>
      <c r="E5443">
        <f t="shared" si="168"/>
        <v>0.99275400000000003</v>
      </c>
      <c r="F5443" s="1">
        <f t="shared" si="169"/>
        <v>41519</v>
      </c>
      <c r="G5443" cm="1">
        <f t="array" ref="G5443">PRODUCT( _xlfn._xlws.FILTER($E:$E, ($C:$C=C5443)*($F:$F=F5443)) ) - 1</f>
        <v>4.1152140785553959E-2</v>
      </c>
    </row>
    <row r="5444" spans="1:7" x14ac:dyDescent="0.2">
      <c r="A5444" s="1">
        <v>41522</v>
      </c>
      <c r="B5444">
        <v>2</v>
      </c>
      <c r="C5444" t="s">
        <v>15</v>
      </c>
      <c r="D5444">
        <v>0</v>
      </c>
      <c r="E5444">
        <f t="shared" ref="E5444:E5507" si="170">D5444+1</f>
        <v>1</v>
      </c>
      <c r="F5444" s="1">
        <f t="shared" ref="F5444:F5507" si="171">A5444 - (WEEKDAY(A5444, 2) - 1)</f>
        <v>41519</v>
      </c>
      <c r="G5444" cm="1">
        <f t="array" ref="G5444">PRODUCT( _xlfn._xlws.FILTER($E:$E, ($C:$C=C5444)*($F:$F=F5444)) ) - 1</f>
        <v>4.1152140785553959E-2</v>
      </c>
    </row>
    <row r="5445" spans="1:7" x14ac:dyDescent="0.2">
      <c r="A5445" s="1">
        <v>41523</v>
      </c>
      <c r="B5445">
        <v>2</v>
      </c>
      <c r="C5445" t="s">
        <v>15</v>
      </c>
      <c r="D5445">
        <v>-1.7517999999999999E-2</v>
      </c>
      <c r="E5445">
        <f t="shared" si="170"/>
        <v>0.98248199999999997</v>
      </c>
      <c r="F5445" s="1">
        <f t="shared" si="171"/>
        <v>41519</v>
      </c>
      <c r="G5445" cm="1">
        <f t="array" ref="G5445">PRODUCT( _xlfn._xlws.FILTER($E:$E, ($C:$C=C5445)*($F:$F=F5445)) ) - 1</f>
        <v>4.1152140785553959E-2</v>
      </c>
    </row>
    <row r="5446" spans="1:7" x14ac:dyDescent="0.2">
      <c r="A5446" s="1">
        <v>41526</v>
      </c>
      <c r="B5446">
        <v>2</v>
      </c>
      <c r="C5446" t="s">
        <v>15</v>
      </c>
      <c r="D5446">
        <v>-3.3019999999999998E-3</v>
      </c>
      <c r="E5446">
        <f t="shared" si="170"/>
        <v>0.99669799999999997</v>
      </c>
      <c r="F5446" s="1">
        <f t="shared" si="171"/>
        <v>41526</v>
      </c>
      <c r="G5446" cm="1">
        <f t="array" ref="G5446">PRODUCT( _xlfn._xlws.FILTER($E:$E, ($C:$C=C5446)*($F:$F=F5446)) ) - 1</f>
        <v>3.3027217946386411E-3</v>
      </c>
    </row>
    <row r="5447" spans="1:7" x14ac:dyDescent="0.2">
      <c r="A5447" s="1">
        <v>41527</v>
      </c>
      <c r="B5447">
        <v>2</v>
      </c>
      <c r="C5447" t="s">
        <v>15</v>
      </c>
      <c r="D5447">
        <v>6.0239999999999998E-3</v>
      </c>
      <c r="E5447">
        <f t="shared" si="170"/>
        <v>1.006024</v>
      </c>
      <c r="F5447" s="1">
        <f t="shared" si="171"/>
        <v>41526</v>
      </c>
      <c r="G5447" cm="1">
        <f t="array" ref="G5447">PRODUCT( _xlfn._xlws.FILTER($E:$E, ($C:$C=C5447)*($F:$F=F5447)) ) - 1</f>
        <v>3.3027217946386411E-3</v>
      </c>
    </row>
    <row r="5448" spans="1:7" x14ac:dyDescent="0.2">
      <c r="A5448" s="1">
        <v>41528</v>
      </c>
      <c r="B5448">
        <v>2</v>
      </c>
      <c r="C5448" t="s">
        <v>15</v>
      </c>
      <c r="D5448">
        <v>2.0960000000000002E-3</v>
      </c>
      <c r="E5448">
        <f t="shared" si="170"/>
        <v>1.0020960000000001</v>
      </c>
      <c r="F5448" s="1">
        <f t="shared" si="171"/>
        <v>41526</v>
      </c>
      <c r="G5448" cm="1">
        <f t="array" ref="G5448">PRODUCT( _xlfn._xlws.FILTER($E:$E, ($C:$C=C5448)*($F:$F=F5448)) ) - 1</f>
        <v>3.3027217946386411E-3</v>
      </c>
    </row>
    <row r="5449" spans="1:7" x14ac:dyDescent="0.2">
      <c r="A5449" s="1">
        <v>41529</v>
      </c>
      <c r="B5449">
        <v>2</v>
      </c>
      <c r="C5449" t="s">
        <v>15</v>
      </c>
      <c r="D5449">
        <v>-9.5610000000000001E-3</v>
      </c>
      <c r="E5449">
        <f t="shared" si="170"/>
        <v>0.99043899999999996</v>
      </c>
      <c r="F5449" s="1">
        <f t="shared" si="171"/>
        <v>41526</v>
      </c>
      <c r="G5449" cm="1">
        <f t="array" ref="G5449">PRODUCT( _xlfn._xlws.FILTER($E:$E, ($C:$C=C5449)*($F:$F=F5449)) ) - 1</f>
        <v>3.3027217946386411E-3</v>
      </c>
    </row>
    <row r="5450" spans="1:7" x14ac:dyDescent="0.2">
      <c r="A5450" s="1">
        <v>41530</v>
      </c>
      <c r="B5450">
        <v>2</v>
      </c>
      <c r="C5450" t="s">
        <v>15</v>
      </c>
      <c r="D5450">
        <v>8.1449999999999995E-3</v>
      </c>
      <c r="E5450">
        <f t="shared" si="170"/>
        <v>1.0081450000000001</v>
      </c>
      <c r="F5450" s="1">
        <f t="shared" si="171"/>
        <v>41526</v>
      </c>
      <c r="G5450" cm="1">
        <f t="array" ref="G5450">PRODUCT( _xlfn._xlws.FILTER($E:$E, ($C:$C=C5450)*($F:$F=F5450)) ) - 1</f>
        <v>3.3027217946386411E-3</v>
      </c>
    </row>
    <row r="5451" spans="1:7" x14ac:dyDescent="0.2">
      <c r="A5451" s="1">
        <v>41533</v>
      </c>
      <c r="B5451">
        <v>2</v>
      </c>
      <c r="C5451" t="s">
        <v>15</v>
      </c>
      <c r="D5451">
        <v>8.9800000000000004E-4</v>
      </c>
      <c r="E5451">
        <f t="shared" si="170"/>
        <v>1.0008980000000001</v>
      </c>
      <c r="F5451" s="1">
        <f t="shared" si="171"/>
        <v>41533</v>
      </c>
      <c r="G5451" cm="1">
        <f t="array" ref="G5451">PRODUCT( _xlfn._xlws.FILTER($E:$E, ($C:$C=C5451)*($F:$F=F5451)) ) - 1</f>
        <v>3.4710962236350174E-2</v>
      </c>
    </row>
    <row r="5452" spans="1:7" x14ac:dyDescent="0.2">
      <c r="A5452" s="1">
        <v>41534</v>
      </c>
      <c r="B5452">
        <v>2</v>
      </c>
      <c r="C5452" t="s">
        <v>15</v>
      </c>
      <c r="D5452">
        <v>8.6700000000000006E-3</v>
      </c>
      <c r="E5452">
        <f t="shared" si="170"/>
        <v>1.00867</v>
      </c>
      <c r="F5452" s="1">
        <f t="shared" si="171"/>
        <v>41533</v>
      </c>
      <c r="G5452" cm="1">
        <f t="array" ref="G5452">PRODUCT( _xlfn._xlws.FILTER($E:$E, ($C:$C=C5452)*($F:$F=F5452)) ) - 1</f>
        <v>3.4710962236350174E-2</v>
      </c>
    </row>
    <row r="5453" spans="1:7" x14ac:dyDescent="0.2">
      <c r="A5453" s="1">
        <v>41535</v>
      </c>
      <c r="B5453">
        <v>2</v>
      </c>
      <c r="C5453" t="s">
        <v>15</v>
      </c>
      <c r="D5453">
        <v>3.8530000000000001E-3</v>
      </c>
      <c r="E5453">
        <f t="shared" si="170"/>
        <v>1.0038530000000001</v>
      </c>
      <c r="F5453" s="1">
        <f t="shared" si="171"/>
        <v>41533</v>
      </c>
      <c r="G5453" cm="1">
        <f t="array" ref="G5453">PRODUCT( _xlfn._xlws.FILTER($E:$E, ($C:$C=C5453)*($F:$F=F5453)) ) - 1</f>
        <v>3.4710962236350174E-2</v>
      </c>
    </row>
    <row r="5454" spans="1:7" x14ac:dyDescent="0.2">
      <c r="A5454" s="1">
        <v>41536</v>
      </c>
      <c r="B5454">
        <v>2</v>
      </c>
      <c r="C5454" t="s">
        <v>15</v>
      </c>
      <c r="D5454">
        <v>2.0962999999999999E-2</v>
      </c>
      <c r="E5454">
        <f t="shared" si="170"/>
        <v>1.0209630000000001</v>
      </c>
      <c r="F5454" s="1">
        <f t="shared" si="171"/>
        <v>41533</v>
      </c>
      <c r="G5454" cm="1">
        <f t="array" ref="G5454">PRODUCT( _xlfn._xlws.FILTER($E:$E, ($C:$C=C5454)*($F:$F=F5454)) ) - 1</f>
        <v>3.4710962236350174E-2</v>
      </c>
    </row>
    <row r="5455" spans="1:7" x14ac:dyDescent="0.2">
      <c r="A5455" s="1">
        <v>41537</v>
      </c>
      <c r="B5455">
        <v>2</v>
      </c>
      <c r="C5455" t="s">
        <v>15</v>
      </c>
      <c r="D5455">
        <v>0</v>
      </c>
      <c r="E5455">
        <f t="shared" si="170"/>
        <v>1</v>
      </c>
      <c r="F5455" s="1">
        <f t="shared" si="171"/>
        <v>41533</v>
      </c>
      <c r="G5455" cm="1">
        <f t="array" ref="G5455">PRODUCT( _xlfn._xlws.FILTER($E:$E, ($C:$C=C5455)*($F:$F=F5455)) ) - 1</f>
        <v>3.4710962236350174E-2</v>
      </c>
    </row>
    <row r="5456" spans="1:7" x14ac:dyDescent="0.2">
      <c r="A5456" s="1">
        <v>41540</v>
      </c>
      <c r="B5456">
        <v>2</v>
      </c>
      <c r="C5456" t="s">
        <v>15</v>
      </c>
      <c r="D5456">
        <v>2.487E-2</v>
      </c>
      <c r="E5456">
        <f t="shared" si="170"/>
        <v>1.0248699999999999</v>
      </c>
      <c r="F5456" s="1">
        <f t="shared" si="171"/>
        <v>41540</v>
      </c>
      <c r="G5456" cm="1">
        <f t="array" ref="G5456">PRODUCT( _xlfn._xlws.FILTER($E:$E, ($C:$C=C5456)*($F:$F=F5456)) ) - 1</f>
        <v>-1.7359689470743955E-3</v>
      </c>
    </row>
    <row r="5457" spans="1:7" x14ac:dyDescent="0.2">
      <c r="A5457" s="1">
        <v>41541</v>
      </c>
      <c r="B5457">
        <v>2</v>
      </c>
      <c r="C5457" t="s">
        <v>15</v>
      </c>
      <c r="D5457">
        <v>3.3860000000000001E-3</v>
      </c>
      <c r="E5457">
        <f t="shared" si="170"/>
        <v>1.0033859999999999</v>
      </c>
      <c r="F5457" s="1">
        <f t="shared" si="171"/>
        <v>41540</v>
      </c>
      <c r="G5457" cm="1">
        <f t="array" ref="G5457">PRODUCT( _xlfn._xlws.FILTER($E:$E, ($C:$C=C5457)*($F:$F=F5457)) ) - 1</f>
        <v>-1.7359689470743955E-3</v>
      </c>
    </row>
    <row r="5458" spans="1:7" x14ac:dyDescent="0.2">
      <c r="A5458" s="1">
        <v>41542</v>
      </c>
      <c r="B5458">
        <v>2</v>
      </c>
      <c r="C5458" t="s">
        <v>15</v>
      </c>
      <c r="D5458">
        <v>-2.1935E-2</v>
      </c>
      <c r="E5458">
        <f t="shared" si="170"/>
        <v>0.97806499999999996</v>
      </c>
      <c r="F5458" s="1">
        <f t="shared" si="171"/>
        <v>41540</v>
      </c>
      <c r="G5458" cm="1">
        <f t="array" ref="G5458">PRODUCT( _xlfn._xlws.FILTER($E:$E, ($C:$C=C5458)*($F:$F=F5458)) ) - 1</f>
        <v>-1.7359689470743955E-3</v>
      </c>
    </row>
    <row r="5459" spans="1:7" x14ac:dyDescent="0.2">
      <c r="A5459" s="1">
        <v>41543</v>
      </c>
      <c r="B5459">
        <v>2</v>
      </c>
      <c r="C5459" t="s">
        <v>15</v>
      </c>
      <c r="D5459">
        <v>4.5999999999999999E-3</v>
      </c>
      <c r="E5459">
        <f t="shared" si="170"/>
        <v>1.0045999999999999</v>
      </c>
      <c r="F5459" s="1">
        <f t="shared" si="171"/>
        <v>41540</v>
      </c>
      <c r="G5459" cm="1">
        <f t="array" ref="G5459">PRODUCT( _xlfn._xlws.FILTER($E:$E, ($C:$C=C5459)*($F:$F=F5459)) ) - 1</f>
        <v>-1.7359689470743955E-3</v>
      </c>
    </row>
    <row r="5460" spans="1:7" x14ac:dyDescent="0.2">
      <c r="A5460" s="1">
        <v>41544</v>
      </c>
      <c r="B5460">
        <v>2</v>
      </c>
      <c r="C5460" t="s">
        <v>15</v>
      </c>
      <c r="D5460">
        <v>-1.2021E-2</v>
      </c>
      <c r="E5460">
        <f t="shared" si="170"/>
        <v>0.98797900000000005</v>
      </c>
      <c r="F5460" s="1">
        <f t="shared" si="171"/>
        <v>41540</v>
      </c>
      <c r="G5460" cm="1">
        <f t="array" ref="G5460">PRODUCT( _xlfn._xlws.FILTER($E:$E, ($C:$C=C5460)*($F:$F=F5460)) ) - 1</f>
        <v>-1.7359689470743955E-3</v>
      </c>
    </row>
    <row r="5461" spans="1:7" x14ac:dyDescent="0.2">
      <c r="A5461" s="1">
        <v>41547</v>
      </c>
      <c r="B5461">
        <v>2</v>
      </c>
      <c r="C5461" t="s">
        <v>15</v>
      </c>
      <c r="D5461">
        <v>-1.1008E-2</v>
      </c>
      <c r="E5461">
        <f t="shared" si="170"/>
        <v>0.98899199999999998</v>
      </c>
      <c r="F5461" s="1">
        <f t="shared" si="171"/>
        <v>41547</v>
      </c>
      <c r="G5461" cm="1">
        <f t="array" ref="G5461">PRODUCT( _xlfn._xlws.FILTER($E:$E, ($C:$C=C5461)*($F:$F=F5461)) ) - 1</f>
        <v>-2.1147823555187184E-2</v>
      </c>
    </row>
    <row r="5462" spans="1:7" x14ac:dyDescent="0.2">
      <c r="A5462" s="1">
        <v>41548</v>
      </c>
      <c r="B5462">
        <v>2</v>
      </c>
      <c r="C5462" t="s">
        <v>15</v>
      </c>
      <c r="D5462">
        <v>2.0500000000000002E-3</v>
      </c>
      <c r="E5462">
        <f t="shared" si="170"/>
        <v>1.0020500000000001</v>
      </c>
      <c r="F5462" s="1">
        <f t="shared" si="171"/>
        <v>41547</v>
      </c>
      <c r="G5462" cm="1">
        <f t="array" ref="G5462">PRODUCT( _xlfn._xlws.FILTER($E:$E, ($C:$C=C5462)*($F:$F=F5462)) ) - 1</f>
        <v>-2.1147823555187184E-2</v>
      </c>
    </row>
    <row r="5463" spans="1:7" x14ac:dyDescent="0.2">
      <c r="A5463" s="1">
        <v>41549</v>
      </c>
      <c r="B5463">
        <v>2</v>
      </c>
      <c r="C5463" t="s">
        <v>15</v>
      </c>
      <c r="D5463">
        <v>-9.0620000000000006E-3</v>
      </c>
      <c r="E5463">
        <f t="shared" si="170"/>
        <v>0.99093799999999999</v>
      </c>
      <c r="F5463" s="1">
        <f t="shared" si="171"/>
        <v>41547</v>
      </c>
      <c r="G5463" cm="1">
        <f t="array" ref="G5463">PRODUCT( _xlfn._xlws.FILTER($E:$E, ($C:$C=C5463)*($F:$F=F5463)) ) - 1</f>
        <v>-2.1147823555187184E-2</v>
      </c>
    </row>
    <row r="5464" spans="1:7" x14ac:dyDescent="0.2">
      <c r="A5464" s="1">
        <v>41550</v>
      </c>
      <c r="B5464">
        <v>2</v>
      </c>
      <c r="C5464" t="s">
        <v>15</v>
      </c>
      <c r="D5464">
        <v>-5.0150000000000004E-3</v>
      </c>
      <c r="E5464">
        <f t="shared" si="170"/>
        <v>0.99498500000000001</v>
      </c>
      <c r="F5464" s="1">
        <f t="shared" si="171"/>
        <v>41547</v>
      </c>
      <c r="G5464" cm="1">
        <f t="array" ref="G5464">PRODUCT( _xlfn._xlws.FILTER($E:$E, ($C:$C=C5464)*($F:$F=F5464)) ) - 1</f>
        <v>-2.1147823555187184E-2</v>
      </c>
    </row>
    <row r="5465" spans="1:7" x14ac:dyDescent="0.2">
      <c r="A5465" s="1">
        <v>41551</v>
      </c>
      <c r="B5465">
        <v>2</v>
      </c>
      <c r="C5465" t="s">
        <v>15</v>
      </c>
      <c r="D5465">
        <v>1.779E-3</v>
      </c>
      <c r="E5465">
        <f t="shared" si="170"/>
        <v>1.001779</v>
      </c>
      <c r="F5465" s="1">
        <f t="shared" si="171"/>
        <v>41547</v>
      </c>
      <c r="G5465" cm="1">
        <f t="array" ref="G5465">PRODUCT( _xlfn._xlws.FILTER($E:$E, ($C:$C=C5465)*($F:$F=F5465)) ) - 1</f>
        <v>-2.1147823555187184E-2</v>
      </c>
    </row>
    <row r="5466" spans="1:7" x14ac:dyDescent="0.2">
      <c r="A5466" s="1">
        <v>41554</v>
      </c>
      <c r="B5466">
        <v>2</v>
      </c>
      <c r="C5466" t="s">
        <v>15</v>
      </c>
      <c r="D5466">
        <v>-2.9599999999999998E-4</v>
      </c>
      <c r="E5466">
        <f t="shared" si="170"/>
        <v>0.99970400000000004</v>
      </c>
      <c r="F5466" s="1">
        <f t="shared" si="171"/>
        <v>41554</v>
      </c>
      <c r="G5466" cm="1">
        <f t="array" ref="G5466">PRODUCT( _xlfn._xlws.FILTER($E:$E, ($C:$C=C5466)*($F:$F=F5466)) ) - 1</f>
        <v>2.5156008938443941E-2</v>
      </c>
    </row>
    <row r="5467" spans="1:7" x14ac:dyDescent="0.2">
      <c r="A5467" s="1">
        <v>41555</v>
      </c>
      <c r="B5467">
        <v>2</v>
      </c>
      <c r="C5467" t="s">
        <v>15</v>
      </c>
      <c r="D5467">
        <v>4.4409999999999996E-3</v>
      </c>
      <c r="E5467">
        <f t="shared" si="170"/>
        <v>1.0044409999999999</v>
      </c>
      <c r="F5467" s="1">
        <f t="shared" si="171"/>
        <v>41554</v>
      </c>
      <c r="G5467" cm="1">
        <f t="array" ref="G5467">PRODUCT( _xlfn._xlws.FILTER($E:$E, ($C:$C=C5467)*($F:$F=F5467)) ) - 1</f>
        <v>2.5156008938443941E-2</v>
      </c>
    </row>
    <row r="5468" spans="1:7" x14ac:dyDescent="0.2">
      <c r="A5468" s="1">
        <v>41556</v>
      </c>
      <c r="B5468">
        <v>2</v>
      </c>
      <c r="C5468" t="s">
        <v>15</v>
      </c>
      <c r="D5468">
        <v>1.3557E-2</v>
      </c>
      <c r="E5468">
        <f t="shared" si="170"/>
        <v>1.013557</v>
      </c>
      <c r="F5468" s="1">
        <f t="shared" si="171"/>
        <v>41554</v>
      </c>
      <c r="G5468" cm="1">
        <f t="array" ref="G5468">PRODUCT( _xlfn._xlws.FILTER($E:$E, ($C:$C=C5468)*($F:$F=F5468)) ) - 1</f>
        <v>2.5156008938443941E-2</v>
      </c>
    </row>
    <row r="5469" spans="1:7" x14ac:dyDescent="0.2">
      <c r="A5469" s="1">
        <v>41557</v>
      </c>
      <c r="B5469">
        <v>2</v>
      </c>
      <c r="C5469" t="s">
        <v>15</v>
      </c>
      <c r="D5469">
        <v>1.5121000000000001E-2</v>
      </c>
      <c r="E5469">
        <f t="shared" si="170"/>
        <v>1.0151209999999999</v>
      </c>
      <c r="F5469" s="1">
        <f t="shared" si="171"/>
        <v>41554</v>
      </c>
      <c r="G5469" cm="1">
        <f t="array" ref="G5469">PRODUCT( _xlfn._xlws.FILTER($E:$E, ($C:$C=C5469)*($F:$F=F5469)) ) - 1</f>
        <v>2.5156008938443941E-2</v>
      </c>
    </row>
    <row r="5470" spans="1:7" x14ac:dyDescent="0.2">
      <c r="A5470" s="1">
        <v>41558</v>
      </c>
      <c r="B5470">
        <v>2</v>
      </c>
      <c r="C5470" t="s">
        <v>15</v>
      </c>
      <c r="D5470">
        <v>-7.7340000000000004E-3</v>
      </c>
      <c r="E5470">
        <f t="shared" si="170"/>
        <v>0.99226599999999998</v>
      </c>
      <c r="F5470" s="1">
        <f t="shared" si="171"/>
        <v>41554</v>
      </c>
      <c r="G5470" cm="1">
        <f t="array" ref="G5470">PRODUCT( _xlfn._xlws.FILTER($E:$E, ($C:$C=C5470)*($F:$F=F5470)) ) - 1</f>
        <v>2.5156008938443941E-2</v>
      </c>
    </row>
    <row r="5471" spans="1:7" x14ac:dyDescent="0.2">
      <c r="A5471" s="1">
        <v>41562</v>
      </c>
      <c r="B5471">
        <v>2</v>
      </c>
      <c r="C5471" t="s">
        <v>15</v>
      </c>
      <c r="D5471">
        <v>5.1960000000000001E-3</v>
      </c>
      <c r="E5471">
        <f t="shared" si="170"/>
        <v>1.005196</v>
      </c>
      <c r="F5471" s="1">
        <f t="shared" si="171"/>
        <v>41561</v>
      </c>
      <c r="G5471" cm="1">
        <f t="array" ref="G5471">PRODUCT( _xlfn._xlws.FILTER($E:$E, ($C:$C=C5471)*($F:$F=F5471)) ) - 1</f>
        <v>1.8765169615094557E-2</v>
      </c>
    </row>
    <row r="5472" spans="1:7" x14ac:dyDescent="0.2">
      <c r="A5472" s="1">
        <v>41563</v>
      </c>
      <c r="B5472">
        <v>2</v>
      </c>
      <c r="C5472" t="s">
        <v>15</v>
      </c>
      <c r="D5472">
        <v>-2.0100000000000001E-3</v>
      </c>
      <c r="E5472">
        <f t="shared" si="170"/>
        <v>0.99799000000000004</v>
      </c>
      <c r="F5472" s="1">
        <f t="shared" si="171"/>
        <v>41561</v>
      </c>
      <c r="G5472" cm="1">
        <f t="array" ref="G5472">PRODUCT( _xlfn._xlws.FILTER($E:$E, ($C:$C=C5472)*($F:$F=F5472)) ) - 1</f>
        <v>1.8765169615094557E-2</v>
      </c>
    </row>
    <row r="5473" spans="1:7" x14ac:dyDescent="0.2">
      <c r="A5473" s="1">
        <v>41564</v>
      </c>
      <c r="B5473">
        <v>2</v>
      </c>
      <c r="C5473" t="s">
        <v>15</v>
      </c>
      <c r="D5473">
        <v>-7.1939999999999999E-3</v>
      </c>
      <c r="E5473">
        <f t="shared" si="170"/>
        <v>0.99280599999999997</v>
      </c>
      <c r="F5473" s="1">
        <f t="shared" si="171"/>
        <v>41561</v>
      </c>
      <c r="G5473" cm="1">
        <f t="array" ref="G5473">PRODUCT( _xlfn._xlws.FILTER($E:$E, ($C:$C=C5473)*($F:$F=F5473)) ) - 1</f>
        <v>1.8765169615094557E-2</v>
      </c>
    </row>
    <row r="5474" spans="1:7" x14ac:dyDescent="0.2">
      <c r="A5474" s="1">
        <v>41565</v>
      </c>
      <c r="B5474">
        <v>2</v>
      </c>
      <c r="C5474" t="s">
        <v>15</v>
      </c>
      <c r="D5474">
        <v>2.2898999999999999E-2</v>
      </c>
      <c r="E5474">
        <f t="shared" si="170"/>
        <v>1.022899</v>
      </c>
      <c r="F5474" s="1">
        <f t="shared" si="171"/>
        <v>41561</v>
      </c>
      <c r="G5474" cm="1">
        <f t="array" ref="G5474">PRODUCT( _xlfn._xlws.FILTER($E:$E, ($C:$C=C5474)*($F:$F=F5474)) ) - 1</f>
        <v>1.8765169615094557E-2</v>
      </c>
    </row>
    <row r="5475" spans="1:7" x14ac:dyDescent="0.2">
      <c r="A5475" s="1">
        <v>41568</v>
      </c>
      <c r="B5475">
        <v>2</v>
      </c>
      <c r="C5475" t="s">
        <v>15</v>
      </c>
      <c r="D5475">
        <v>1.6999999999999999E-3</v>
      </c>
      <c r="E5475">
        <f t="shared" si="170"/>
        <v>1.0017</v>
      </c>
      <c r="F5475" s="1">
        <f t="shared" si="171"/>
        <v>41568</v>
      </c>
      <c r="G5475" cm="1">
        <f t="array" ref="G5475">PRODUCT( _xlfn._xlws.FILTER($E:$E, ($C:$C=C5475)*($F:$F=F5475)) ) - 1</f>
        <v>4.3921955493861686E-2</v>
      </c>
    </row>
    <row r="5476" spans="1:7" x14ac:dyDescent="0.2">
      <c r="A5476" s="1">
        <v>41569</v>
      </c>
      <c r="B5476">
        <v>2</v>
      </c>
      <c r="C5476" t="s">
        <v>15</v>
      </c>
      <c r="D5476">
        <v>1.1315E-2</v>
      </c>
      <c r="E5476">
        <f t="shared" si="170"/>
        <v>1.011315</v>
      </c>
      <c r="F5476" s="1">
        <f t="shared" si="171"/>
        <v>41568</v>
      </c>
      <c r="G5476" cm="1">
        <f t="array" ref="G5476">PRODUCT( _xlfn._xlws.FILTER($E:$E, ($C:$C=C5476)*($F:$F=F5476)) ) - 1</f>
        <v>4.3921955493861686E-2</v>
      </c>
    </row>
    <row r="5477" spans="1:7" x14ac:dyDescent="0.2">
      <c r="A5477" s="1">
        <v>41570</v>
      </c>
      <c r="B5477">
        <v>2</v>
      </c>
      <c r="C5477" t="s">
        <v>15</v>
      </c>
      <c r="D5477">
        <v>2.0140000000000002E-2</v>
      </c>
      <c r="E5477">
        <f t="shared" si="170"/>
        <v>1.02014</v>
      </c>
      <c r="F5477" s="1">
        <f t="shared" si="171"/>
        <v>41568</v>
      </c>
      <c r="G5477" cm="1">
        <f t="array" ref="G5477">PRODUCT( _xlfn._xlws.FILTER($E:$E, ($C:$C=C5477)*($F:$F=F5477)) ) - 1</f>
        <v>4.3921955493861686E-2</v>
      </c>
    </row>
    <row r="5478" spans="1:7" x14ac:dyDescent="0.2">
      <c r="A5478" s="1">
        <v>41571</v>
      </c>
      <c r="B5478">
        <v>2</v>
      </c>
      <c r="C5478" t="s">
        <v>15</v>
      </c>
      <c r="D5478">
        <v>-7.1289999999999999E-3</v>
      </c>
      <c r="E5478">
        <f t="shared" si="170"/>
        <v>0.99287099999999995</v>
      </c>
      <c r="F5478" s="1">
        <f t="shared" si="171"/>
        <v>41568</v>
      </c>
      <c r="G5478" cm="1">
        <f t="array" ref="G5478">PRODUCT( _xlfn._xlws.FILTER($E:$E, ($C:$C=C5478)*($F:$F=F5478)) ) - 1</f>
        <v>4.3921955493861686E-2</v>
      </c>
    </row>
    <row r="5479" spans="1:7" x14ac:dyDescent="0.2">
      <c r="A5479" s="1">
        <v>41572</v>
      </c>
      <c r="B5479">
        <v>2</v>
      </c>
      <c r="C5479" t="s">
        <v>15</v>
      </c>
      <c r="D5479">
        <v>1.7399000000000001E-2</v>
      </c>
      <c r="E5479">
        <f t="shared" si="170"/>
        <v>1.0173989999999999</v>
      </c>
      <c r="F5479" s="1">
        <f t="shared" si="171"/>
        <v>41568</v>
      </c>
      <c r="G5479" cm="1">
        <f t="array" ref="G5479">PRODUCT( _xlfn._xlws.FILTER($E:$E, ($C:$C=C5479)*($F:$F=F5479)) ) - 1</f>
        <v>4.3921955493861686E-2</v>
      </c>
    </row>
    <row r="5480" spans="1:7" x14ac:dyDescent="0.2">
      <c r="A5480" s="1">
        <v>41575</v>
      </c>
      <c r="B5480">
        <v>2</v>
      </c>
      <c r="C5480" t="s">
        <v>15</v>
      </c>
      <c r="D5480">
        <v>-8.4150000000000006E-3</v>
      </c>
      <c r="E5480">
        <f t="shared" si="170"/>
        <v>0.99158500000000005</v>
      </c>
      <c r="F5480" s="1">
        <f t="shared" si="171"/>
        <v>41575</v>
      </c>
      <c r="G5480" cm="1">
        <f t="array" ref="G5480">PRODUCT( _xlfn._xlws.FILTER($E:$E, ($C:$C=C5480)*($F:$F=F5480)) ) - 1</f>
        <v>-9.5002543337355805E-3</v>
      </c>
    </row>
    <row r="5481" spans="1:7" x14ac:dyDescent="0.2">
      <c r="A5481" s="1">
        <v>41576</v>
      </c>
      <c r="B5481">
        <v>2</v>
      </c>
      <c r="C5481" t="s">
        <v>15</v>
      </c>
      <c r="D5481">
        <v>1.369E-3</v>
      </c>
      <c r="E5481">
        <f t="shared" si="170"/>
        <v>1.001369</v>
      </c>
      <c r="F5481" s="1">
        <f t="shared" si="171"/>
        <v>41575</v>
      </c>
      <c r="G5481" cm="1">
        <f t="array" ref="G5481">PRODUCT( _xlfn._xlws.FILTER($E:$E, ($C:$C=C5481)*($F:$F=F5481)) ) - 1</f>
        <v>-9.5002543337355805E-3</v>
      </c>
    </row>
    <row r="5482" spans="1:7" x14ac:dyDescent="0.2">
      <c r="A5482" s="1">
        <v>41577</v>
      </c>
      <c r="B5482">
        <v>2</v>
      </c>
      <c r="C5482" t="s">
        <v>15</v>
      </c>
      <c r="D5482">
        <v>5.4699999999999996E-4</v>
      </c>
      <c r="E5482">
        <f t="shared" si="170"/>
        <v>1.0005470000000001</v>
      </c>
      <c r="F5482" s="1">
        <f t="shared" si="171"/>
        <v>41575</v>
      </c>
      <c r="G5482" cm="1">
        <f t="array" ref="G5482">PRODUCT( _xlfn._xlws.FILTER($E:$E, ($C:$C=C5482)*($F:$F=F5482)) ) - 1</f>
        <v>-9.5002543337355805E-3</v>
      </c>
    </row>
    <row r="5483" spans="1:7" x14ac:dyDescent="0.2">
      <c r="A5483" s="1">
        <v>41578</v>
      </c>
      <c r="B5483">
        <v>2</v>
      </c>
      <c r="C5483" t="s">
        <v>15</v>
      </c>
      <c r="D5483">
        <v>-4.9179999999999996E-3</v>
      </c>
      <c r="E5483">
        <f t="shared" si="170"/>
        <v>0.99508200000000002</v>
      </c>
      <c r="F5483" s="1">
        <f t="shared" si="171"/>
        <v>41575</v>
      </c>
      <c r="G5483" cm="1">
        <f t="array" ref="G5483">PRODUCT( _xlfn._xlws.FILTER($E:$E, ($C:$C=C5483)*($F:$F=F5483)) ) - 1</f>
        <v>-9.5002543337355805E-3</v>
      </c>
    </row>
    <row r="5484" spans="1:7" x14ac:dyDescent="0.2">
      <c r="A5484" s="1">
        <v>41579</v>
      </c>
      <c r="B5484">
        <v>2</v>
      </c>
      <c r="C5484" t="s">
        <v>15</v>
      </c>
      <c r="D5484">
        <v>1.9220000000000001E-3</v>
      </c>
      <c r="E5484">
        <f t="shared" si="170"/>
        <v>1.001922</v>
      </c>
      <c r="F5484" s="1">
        <f t="shared" si="171"/>
        <v>41575</v>
      </c>
      <c r="G5484" cm="1">
        <f t="array" ref="G5484">PRODUCT( _xlfn._xlws.FILTER($E:$E, ($C:$C=C5484)*($F:$F=F5484)) ) - 1</f>
        <v>-9.5002543337355805E-3</v>
      </c>
    </row>
    <row r="5485" spans="1:7" x14ac:dyDescent="0.2">
      <c r="A5485" s="1">
        <v>41582</v>
      </c>
      <c r="B5485">
        <v>2</v>
      </c>
      <c r="C5485" t="s">
        <v>15</v>
      </c>
      <c r="D5485">
        <v>-7.1250000000000003E-3</v>
      </c>
      <c r="E5485">
        <f t="shared" si="170"/>
        <v>0.99287499999999995</v>
      </c>
      <c r="F5485" s="1">
        <f t="shared" si="171"/>
        <v>41582</v>
      </c>
      <c r="G5485" cm="1">
        <f t="array" ref="G5485">PRODUCT( _xlfn._xlws.FILTER($E:$E, ($C:$C=C5485)*($F:$F=F5485)) ) - 1</f>
        <v>1.123514328966535E-2</v>
      </c>
    </row>
    <row r="5486" spans="1:7" x14ac:dyDescent="0.2">
      <c r="A5486" s="1">
        <v>41583</v>
      </c>
      <c r="B5486">
        <v>2</v>
      </c>
      <c r="C5486" t="s">
        <v>15</v>
      </c>
      <c r="D5486">
        <v>2.2079999999999999E-3</v>
      </c>
      <c r="E5486">
        <f t="shared" si="170"/>
        <v>1.002208</v>
      </c>
      <c r="F5486" s="1">
        <f t="shared" si="171"/>
        <v>41582</v>
      </c>
      <c r="G5486" cm="1">
        <f t="array" ref="G5486">PRODUCT( _xlfn._xlws.FILTER($E:$E, ($C:$C=C5486)*($F:$F=F5486)) ) - 1</f>
        <v>1.123514328966535E-2</v>
      </c>
    </row>
    <row r="5487" spans="1:7" x14ac:dyDescent="0.2">
      <c r="A5487" s="1">
        <v>41584</v>
      </c>
      <c r="B5487">
        <v>2</v>
      </c>
      <c r="C5487" t="s">
        <v>15</v>
      </c>
      <c r="D5487">
        <v>-4.4070000000000003E-3</v>
      </c>
      <c r="E5487">
        <f t="shared" si="170"/>
        <v>0.99559299999999995</v>
      </c>
      <c r="F5487" s="1">
        <f t="shared" si="171"/>
        <v>41582</v>
      </c>
      <c r="G5487" cm="1">
        <f t="array" ref="G5487">PRODUCT( _xlfn._xlws.FILTER($E:$E, ($C:$C=C5487)*($F:$F=F5487)) ) - 1</f>
        <v>1.123514328966535E-2</v>
      </c>
    </row>
    <row r="5488" spans="1:7" x14ac:dyDescent="0.2">
      <c r="A5488" s="1">
        <v>41585</v>
      </c>
      <c r="B5488">
        <v>2</v>
      </c>
      <c r="C5488" t="s">
        <v>15</v>
      </c>
      <c r="D5488">
        <v>3.5959999999999998E-3</v>
      </c>
      <c r="E5488">
        <f t="shared" si="170"/>
        <v>1.0035959999999999</v>
      </c>
      <c r="F5488" s="1">
        <f t="shared" si="171"/>
        <v>41582</v>
      </c>
      <c r="G5488" cm="1">
        <f t="array" ref="G5488">PRODUCT( _xlfn._xlws.FILTER($E:$E, ($C:$C=C5488)*($F:$F=F5488)) ) - 1</f>
        <v>1.123514328966535E-2</v>
      </c>
    </row>
    <row r="5489" spans="1:7" x14ac:dyDescent="0.2">
      <c r="A5489" s="1">
        <v>41586</v>
      </c>
      <c r="B5489">
        <v>2</v>
      </c>
      <c r="C5489" t="s">
        <v>15</v>
      </c>
      <c r="D5489">
        <v>1.7089E-2</v>
      </c>
      <c r="E5489">
        <f t="shared" si="170"/>
        <v>1.0170889999999999</v>
      </c>
      <c r="F5489" s="1">
        <f t="shared" si="171"/>
        <v>41582</v>
      </c>
      <c r="G5489" cm="1">
        <f t="array" ref="G5489">PRODUCT( _xlfn._xlws.FILTER($E:$E, ($C:$C=C5489)*($F:$F=F5489)) ) - 1</f>
        <v>1.123514328966535E-2</v>
      </c>
    </row>
    <row r="5490" spans="1:7" x14ac:dyDescent="0.2">
      <c r="A5490" s="1">
        <v>41589</v>
      </c>
      <c r="B5490">
        <v>2</v>
      </c>
      <c r="C5490" t="s">
        <v>15</v>
      </c>
      <c r="D5490">
        <v>-4.065E-3</v>
      </c>
      <c r="E5490">
        <f t="shared" si="170"/>
        <v>0.99593500000000001</v>
      </c>
      <c r="F5490" s="1">
        <f t="shared" si="171"/>
        <v>41589</v>
      </c>
      <c r="G5490" cm="1">
        <f t="array" ref="G5490">PRODUCT( _xlfn._xlws.FILTER($E:$E, ($C:$C=C5490)*($F:$F=F5490)) ) - 1</f>
        <v>1.4906266157787895E-2</v>
      </c>
    </row>
    <row r="5491" spans="1:7" x14ac:dyDescent="0.2">
      <c r="A5491" s="1">
        <v>41590</v>
      </c>
      <c r="B5491">
        <v>2</v>
      </c>
      <c r="C5491" t="s">
        <v>15</v>
      </c>
      <c r="D5491">
        <v>1.3878E-2</v>
      </c>
      <c r="E5491">
        <f t="shared" si="170"/>
        <v>1.0138780000000001</v>
      </c>
      <c r="F5491" s="1">
        <f t="shared" si="171"/>
        <v>41589</v>
      </c>
      <c r="G5491" cm="1">
        <f t="array" ref="G5491">PRODUCT( _xlfn._xlws.FILTER($E:$E, ($C:$C=C5491)*($F:$F=F5491)) ) - 1</f>
        <v>1.4906266157787895E-2</v>
      </c>
    </row>
    <row r="5492" spans="1:7" x14ac:dyDescent="0.2">
      <c r="A5492" s="1">
        <v>41591</v>
      </c>
      <c r="B5492">
        <v>2</v>
      </c>
      <c r="C5492" t="s">
        <v>15</v>
      </c>
      <c r="D5492">
        <v>-6.1729999999999997E-3</v>
      </c>
      <c r="E5492">
        <f t="shared" si="170"/>
        <v>0.99382700000000002</v>
      </c>
      <c r="F5492" s="1">
        <f t="shared" si="171"/>
        <v>41589</v>
      </c>
      <c r="G5492" cm="1">
        <f t="array" ref="G5492">PRODUCT( _xlfn._xlws.FILTER($E:$E, ($C:$C=C5492)*($F:$F=F5492)) ) - 1</f>
        <v>1.4906266157787895E-2</v>
      </c>
    </row>
    <row r="5493" spans="1:7" x14ac:dyDescent="0.2">
      <c r="A5493" s="1">
        <v>41592</v>
      </c>
      <c r="B5493">
        <v>2</v>
      </c>
      <c r="C5493" t="s">
        <v>15</v>
      </c>
      <c r="D5493">
        <v>-1.89E-3</v>
      </c>
      <c r="E5493">
        <f t="shared" si="170"/>
        <v>0.99811000000000005</v>
      </c>
      <c r="F5493" s="1">
        <f t="shared" si="171"/>
        <v>41589</v>
      </c>
      <c r="G5493" cm="1">
        <f t="array" ref="G5493">PRODUCT( _xlfn._xlws.FILTER($E:$E, ($C:$C=C5493)*($F:$F=F5493)) ) - 1</f>
        <v>1.4906266157787895E-2</v>
      </c>
    </row>
    <row r="5494" spans="1:7" x14ac:dyDescent="0.2">
      <c r="A5494" s="1">
        <v>41593</v>
      </c>
      <c r="B5494">
        <v>2</v>
      </c>
      <c r="C5494" t="s">
        <v>15</v>
      </c>
      <c r="D5494">
        <v>1.3258000000000001E-2</v>
      </c>
      <c r="E5494">
        <f t="shared" si="170"/>
        <v>1.013258</v>
      </c>
      <c r="F5494" s="1">
        <f t="shared" si="171"/>
        <v>41589</v>
      </c>
      <c r="G5494" cm="1">
        <f t="array" ref="G5494">PRODUCT( _xlfn._xlws.FILTER($E:$E, ($C:$C=C5494)*($F:$F=F5494)) ) - 1</f>
        <v>1.4906266157787895E-2</v>
      </c>
    </row>
    <row r="5495" spans="1:7" x14ac:dyDescent="0.2">
      <c r="A5495" s="1">
        <v>41596</v>
      </c>
      <c r="B5495">
        <v>2</v>
      </c>
      <c r="C5495" t="s">
        <v>15</v>
      </c>
      <c r="D5495">
        <v>-2.1359999999999999E-3</v>
      </c>
      <c r="E5495">
        <f t="shared" si="170"/>
        <v>0.99786399999999997</v>
      </c>
      <c r="F5495" s="1">
        <f t="shared" si="171"/>
        <v>41596</v>
      </c>
      <c r="G5495" cm="1">
        <f t="array" ref="G5495">PRODUCT( _xlfn._xlws.FILTER($E:$E, ($C:$C=C5495)*($F:$F=F5495)) ) - 1</f>
        <v>-1.2282062181335096E-2</v>
      </c>
    </row>
    <row r="5496" spans="1:7" x14ac:dyDescent="0.2">
      <c r="A5496" s="1">
        <v>41597</v>
      </c>
      <c r="B5496">
        <v>2</v>
      </c>
      <c r="C5496" t="s">
        <v>15</v>
      </c>
      <c r="D5496">
        <v>-9.0980000000000002E-3</v>
      </c>
      <c r="E5496">
        <f t="shared" si="170"/>
        <v>0.99090199999999995</v>
      </c>
      <c r="F5496" s="1">
        <f t="shared" si="171"/>
        <v>41596</v>
      </c>
      <c r="G5496" cm="1">
        <f t="array" ref="G5496">PRODUCT( _xlfn._xlws.FILTER($E:$E, ($C:$C=C5496)*($F:$F=F5496)) ) - 1</f>
        <v>-1.2282062181335096E-2</v>
      </c>
    </row>
    <row r="5497" spans="1:7" x14ac:dyDescent="0.2">
      <c r="A5497" s="1">
        <v>41598</v>
      </c>
      <c r="B5497">
        <v>2</v>
      </c>
      <c r="C5497" t="s">
        <v>15</v>
      </c>
      <c r="D5497">
        <v>1.08E-3</v>
      </c>
      <c r="E5497">
        <f t="shared" si="170"/>
        <v>1.00108</v>
      </c>
      <c r="F5497" s="1">
        <f t="shared" si="171"/>
        <v>41596</v>
      </c>
      <c r="G5497" cm="1">
        <f t="array" ref="G5497">PRODUCT( _xlfn._xlws.FILTER($E:$E, ($C:$C=C5497)*($F:$F=F5497)) ) - 1</f>
        <v>-1.2282062181335096E-2</v>
      </c>
    </row>
    <row r="5498" spans="1:7" x14ac:dyDescent="0.2">
      <c r="A5498" s="1">
        <v>41599</v>
      </c>
      <c r="B5498">
        <v>2</v>
      </c>
      <c r="C5498" t="s">
        <v>15</v>
      </c>
      <c r="D5498">
        <v>7.2839999999999997E-3</v>
      </c>
      <c r="E5498">
        <f t="shared" si="170"/>
        <v>1.0072840000000001</v>
      </c>
      <c r="F5498" s="1">
        <f t="shared" si="171"/>
        <v>41596</v>
      </c>
      <c r="G5498" cm="1">
        <f t="array" ref="G5498">PRODUCT( _xlfn._xlws.FILTER($E:$E, ($C:$C=C5498)*($F:$F=F5498)) ) - 1</f>
        <v>-1.2282062181335096E-2</v>
      </c>
    </row>
    <row r="5499" spans="1:7" x14ac:dyDescent="0.2">
      <c r="A5499" s="1">
        <v>41600</v>
      </c>
      <c r="B5499">
        <v>2</v>
      </c>
      <c r="C5499" t="s">
        <v>15</v>
      </c>
      <c r="D5499">
        <v>-9.3729999999999994E-3</v>
      </c>
      <c r="E5499">
        <f t="shared" si="170"/>
        <v>0.99062700000000004</v>
      </c>
      <c r="F5499" s="1">
        <f t="shared" si="171"/>
        <v>41596</v>
      </c>
      <c r="G5499" cm="1">
        <f t="array" ref="G5499">PRODUCT( _xlfn._xlws.FILTER($E:$E, ($C:$C=C5499)*($F:$F=F5499)) ) - 1</f>
        <v>-1.2282062181335096E-2</v>
      </c>
    </row>
    <row r="5500" spans="1:7" x14ac:dyDescent="0.2">
      <c r="A5500" s="1">
        <v>41603</v>
      </c>
      <c r="B5500">
        <v>2</v>
      </c>
      <c r="C5500" t="s">
        <v>15</v>
      </c>
      <c r="D5500">
        <v>1.4869E-2</v>
      </c>
      <c r="E5500">
        <f t="shared" si="170"/>
        <v>1.014869</v>
      </c>
      <c r="F5500" s="1">
        <f t="shared" si="171"/>
        <v>41603</v>
      </c>
      <c r="G5500" cm="1">
        <f t="array" ref="G5500">PRODUCT( _xlfn._xlws.FILTER($E:$E, ($C:$C=C5500)*($F:$F=F5500)) ) - 1</f>
        <v>1.5410253046892919E-2</v>
      </c>
    </row>
    <row r="5501" spans="1:7" x14ac:dyDescent="0.2">
      <c r="A5501" s="1">
        <v>41604</v>
      </c>
      <c r="B5501">
        <v>2</v>
      </c>
      <c r="C5501" t="s">
        <v>15</v>
      </c>
      <c r="D5501">
        <v>-8.2579999999999997E-3</v>
      </c>
      <c r="E5501">
        <f t="shared" si="170"/>
        <v>0.99174200000000001</v>
      </c>
      <c r="F5501" s="1">
        <f t="shared" si="171"/>
        <v>41603</v>
      </c>
      <c r="G5501" cm="1">
        <f t="array" ref="G5501">PRODUCT( _xlfn._xlws.FILTER($E:$E, ($C:$C=C5501)*($F:$F=F5501)) ) - 1</f>
        <v>1.5410253046892919E-2</v>
      </c>
    </row>
    <row r="5502" spans="1:7" x14ac:dyDescent="0.2">
      <c r="A5502" s="1">
        <v>41605</v>
      </c>
      <c r="B5502">
        <v>2</v>
      </c>
      <c r="C5502" t="s">
        <v>15</v>
      </c>
      <c r="D5502">
        <v>4.2979999999999997E-3</v>
      </c>
      <c r="E5502">
        <f t="shared" si="170"/>
        <v>1.0042979999999999</v>
      </c>
      <c r="F5502" s="1">
        <f t="shared" si="171"/>
        <v>41603</v>
      </c>
      <c r="G5502" cm="1">
        <f t="array" ref="G5502">PRODUCT( _xlfn._xlws.FILTER($E:$E, ($C:$C=C5502)*($F:$F=F5502)) ) - 1</f>
        <v>1.5410253046892919E-2</v>
      </c>
    </row>
    <row r="5503" spans="1:7" x14ac:dyDescent="0.2">
      <c r="A5503" s="1">
        <v>41606</v>
      </c>
      <c r="B5503">
        <v>2</v>
      </c>
      <c r="C5503" t="s">
        <v>15</v>
      </c>
      <c r="D5503">
        <v>-1.07E-3</v>
      </c>
      <c r="E5503">
        <f t="shared" si="170"/>
        <v>0.99892999999999998</v>
      </c>
      <c r="F5503" s="1">
        <f t="shared" si="171"/>
        <v>41603</v>
      </c>
      <c r="G5503" cm="1">
        <f t="array" ref="G5503">PRODUCT( _xlfn._xlws.FILTER($E:$E, ($C:$C=C5503)*($F:$F=F5503)) ) - 1</f>
        <v>1.5410253046892919E-2</v>
      </c>
    </row>
    <row r="5504" spans="1:7" x14ac:dyDescent="0.2">
      <c r="A5504" s="1">
        <v>41607</v>
      </c>
      <c r="B5504">
        <v>2</v>
      </c>
      <c r="C5504" t="s">
        <v>15</v>
      </c>
      <c r="D5504">
        <v>5.6230000000000004E-3</v>
      </c>
      <c r="E5504">
        <f t="shared" si="170"/>
        <v>1.0056229999999999</v>
      </c>
      <c r="F5504" s="1">
        <f t="shared" si="171"/>
        <v>41603</v>
      </c>
      <c r="G5504" cm="1">
        <f t="array" ref="G5504">PRODUCT( _xlfn._xlws.FILTER($E:$E, ($C:$C=C5504)*($F:$F=F5504)) ) - 1</f>
        <v>1.5410253046892919E-2</v>
      </c>
    </row>
    <row r="5505" spans="1:7" x14ac:dyDescent="0.2">
      <c r="A5505" s="1">
        <v>41610</v>
      </c>
      <c r="B5505">
        <v>2</v>
      </c>
      <c r="C5505" t="s">
        <v>15</v>
      </c>
      <c r="D5505">
        <v>-4.5259999999999996E-3</v>
      </c>
      <c r="E5505">
        <f t="shared" si="170"/>
        <v>0.99547399999999997</v>
      </c>
      <c r="F5505" s="1">
        <f t="shared" si="171"/>
        <v>41610</v>
      </c>
      <c r="G5505" cm="1">
        <f t="array" ref="G5505">PRODUCT( _xlfn._xlws.FILTER($E:$E, ($C:$C=C5505)*($F:$F=F5505)) ) - 1</f>
        <v>-2.3429340348934957E-2</v>
      </c>
    </row>
    <row r="5506" spans="1:7" x14ac:dyDescent="0.2">
      <c r="A5506" s="1">
        <v>41611</v>
      </c>
      <c r="B5506">
        <v>2</v>
      </c>
      <c r="C5506" t="s">
        <v>15</v>
      </c>
      <c r="D5506">
        <v>8.0199999999999998E-4</v>
      </c>
      <c r="E5506">
        <f t="shared" si="170"/>
        <v>1.000802</v>
      </c>
      <c r="F5506" s="1">
        <f t="shared" si="171"/>
        <v>41610</v>
      </c>
      <c r="G5506" cm="1">
        <f t="array" ref="G5506">PRODUCT( _xlfn._xlws.FILTER($E:$E, ($C:$C=C5506)*($F:$F=F5506)) ) - 1</f>
        <v>-2.3429340348934957E-2</v>
      </c>
    </row>
    <row r="5507" spans="1:7" x14ac:dyDescent="0.2">
      <c r="A5507" s="1">
        <v>41612</v>
      </c>
      <c r="B5507">
        <v>2</v>
      </c>
      <c r="C5507" t="s">
        <v>15</v>
      </c>
      <c r="D5507">
        <v>-2.1380000000000001E-3</v>
      </c>
      <c r="E5507">
        <f t="shared" si="170"/>
        <v>0.99786200000000003</v>
      </c>
      <c r="F5507" s="1">
        <f t="shared" si="171"/>
        <v>41610</v>
      </c>
      <c r="G5507" cm="1">
        <f t="array" ref="G5507">PRODUCT( _xlfn._xlws.FILTER($E:$E, ($C:$C=C5507)*($F:$F=F5507)) ) - 1</f>
        <v>-2.3429340348934957E-2</v>
      </c>
    </row>
    <row r="5508" spans="1:7" x14ac:dyDescent="0.2">
      <c r="A5508" s="1">
        <v>41613</v>
      </c>
      <c r="B5508">
        <v>2</v>
      </c>
      <c r="C5508" t="s">
        <v>15</v>
      </c>
      <c r="D5508">
        <v>-1.6872000000000002E-2</v>
      </c>
      <c r="E5508">
        <f t="shared" ref="E5508:E5571" si="172">D5508+1</f>
        <v>0.983128</v>
      </c>
      <c r="F5508" s="1">
        <f t="shared" ref="F5508:F5571" si="173">A5508 - (WEEKDAY(A5508, 2) - 1)</f>
        <v>41610</v>
      </c>
      <c r="G5508" cm="1">
        <f t="array" ref="G5508">PRODUCT( _xlfn._xlws.FILTER($E:$E, ($C:$C=C5508)*($F:$F=F5508)) ) - 1</f>
        <v>-2.3429340348934957E-2</v>
      </c>
    </row>
    <row r="5509" spans="1:7" x14ac:dyDescent="0.2">
      <c r="A5509" s="1">
        <v>41614</v>
      </c>
      <c r="B5509">
        <v>2</v>
      </c>
      <c r="C5509" t="s">
        <v>15</v>
      </c>
      <c r="D5509">
        <v>-8.1700000000000002E-4</v>
      </c>
      <c r="E5509">
        <f t="shared" si="172"/>
        <v>0.99918300000000004</v>
      </c>
      <c r="F5509" s="1">
        <f t="shared" si="173"/>
        <v>41610</v>
      </c>
      <c r="G5509" cm="1">
        <f t="array" ref="G5509">PRODUCT( _xlfn._xlws.FILTER($E:$E, ($C:$C=C5509)*($F:$F=F5509)) ) - 1</f>
        <v>-2.3429340348934957E-2</v>
      </c>
    </row>
    <row r="5510" spans="1:7" x14ac:dyDescent="0.2">
      <c r="A5510" s="1">
        <v>41617</v>
      </c>
      <c r="B5510">
        <v>2</v>
      </c>
      <c r="C5510" t="s">
        <v>15</v>
      </c>
      <c r="D5510">
        <v>9.5420000000000001E-3</v>
      </c>
      <c r="E5510">
        <f t="shared" si="172"/>
        <v>1.0095419999999999</v>
      </c>
      <c r="F5510" s="1">
        <f t="shared" si="173"/>
        <v>41617</v>
      </c>
      <c r="G5510" cm="1">
        <f t="array" ref="G5510">PRODUCT( _xlfn._xlws.FILTER($E:$E, ($C:$C=C5510)*($F:$F=F5510)) ) - 1</f>
        <v>-6.1495713620642878E-3</v>
      </c>
    </row>
    <row r="5511" spans="1:7" x14ac:dyDescent="0.2">
      <c r="A5511" s="1">
        <v>41618</v>
      </c>
      <c r="B5511">
        <v>2</v>
      </c>
      <c r="C5511" t="s">
        <v>15</v>
      </c>
      <c r="D5511">
        <v>2.7269999999999998E-3</v>
      </c>
      <c r="E5511">
        <f t="shared" si="172"/>
        <v>1.0027269999999999</v>
      </c>
      <c r="F5511" s="1">
        <f t="shared" si="173"/>
        <v>41617</v>
      </c>
      <c r="G5511" cm="1">
        <f t="array" ref="G5511">PRODUCT( _xlfn._xlws.FILTER($E:$E, ($C:$C=C5511)*($F:$F=F5511)) ) - 1</f>
        <v>-6.1495713620642878E-3</v>
      </c>
    </row>
    <row r="5512" spans="1:7" x14ac:dyDescent="0.2">
      <c r="A5512" s="1">
        <v>41619</v>
      </c>
      <c r="B5512">
        <v>2</v>
      </c>
      <c r="C5512" t="s">
        <v>15</v>
      </c>
      <c r="D5512">
        <v>-4.895E-3</v>
      </c>
      <c r="E5512">
        <f t="shared" si="172"/>
        <v>0.99510500000000002</v>
      </c>
      <c r="F5512" s="1">
        <f t="shared" si="173"/>
        <v>41617</v>
      </c>
      <c r="G5512" cm="1">
        <f t="array" ref="G5512">PRODUCT( _xlfn._xlws.FILTER($E:$E, ($C:$C=C5512)*($F:$F=F5512)) ) - 1</f>
        <v>-6.1495713620642878E-3</v>
      </c>
    </row>
    <row r="5513" spans="1:7" x14ac:dyDescent="0.2">
      <c r="A5513" s="1">
        <v>41620</v>
      </c>
      <c r="B5513">
        <v>2</v>
      </c>
      <c r="C5513" t="s">
        <v>15</v>
      </c>
      <c r="D5513">
        <v>-4.9189999999999998E-3</v>
      </c>
      <c r="E5513">
        <f t="shared" si="172"/>
        <v>0.99508099999999999</v>
      </c>
      <c r="F5513" s="1">
        <f t="shared" si="173"/>
        <v>41617</v>
      </c>
      <c r="G5513" cm="1">
        <f t="array" ref="G5513">PRODUCT( _xlfn._xlws.FILTER($E:$E, ($C:$C=C5513)*($F:$F=F5513)) ) - 1</f>
        <v>-6.1495713620642878E-3</v>
      </c>
    </row>
    <row r="5514" spans="1:7" x14ac:dyDescent="0.2">
      <c r="A5514" s="1">
        <v>41621</v>
      </c>
      <c r="B5514">
        <v>2</v>
      </c>
      <c r="C5514" t="s">
        <v>15</v>
      </c>
      <c r="D5514">
        <v>-8.5140000000000007E-3</v>
      </c>
      <c r="E5514">
        <f t="shared" si="172"/>
        <v>0.99148599999999998</v>
      </c>
      <c r="F5514" s="1">
        <f t="shared" si="173"/>
        <v>41617</v>
      </c>
      <c r="G5514" cm="1">
        <f t="array" ref="G5514">PRODUCT( _xlfn._xlws.FILTER($E:$E, ($C:$C=C5514)*($F:$F=F5514)) ) - 1</f>
        <v>-6.1495713620642878E-3</v>
      </c>
    </row>
    <row r="5515" spans="1:7" x14ac:dyDescent="0.2">
      <c r="A5515" s="1">
        <v>41624</v>
      </c>
      <c r="B5515">
        <v>2</v>
      </c>
      <c r="C5515" t="s">
        <v>15</v>
      </c>
      <c r="D5515">
        <v>-6.9249999999999997E-3</v>
      </c>
      <c r="E5515">
        <f t="shared" si="172"/>
        <v>0.99307500000000004</v>
      </c>
      <c r="F5515" s="1">
        <f t="shared" si="173"/>
        <v>41624</v>
      </c>
      <c r="G5515" cm="1">
        <f t="array" ref="G5515">PRODUCT( _xlfn._xlws.FILTER($E:$E, ($C:$C=C5515)*($F:$F=F5515)) ) - 1</f>
        <v>-1.0803087861780969E-2</v>
      </c>
    </row>
    <row r="5516" spans="1:7" x14ac:dyDescent="0.2">
      <c r="A5516" s="1">
        <v>41625</v>
      </c>
      <c r="B5516">
        <v>2</v>
      </c>
      <c r="C5516" t="s">
        <v>15</v>
      </c>
      <c r="D5516">
        <v>4.7419999999999997E-3</v>
      </c>
      <c r="E5516">
        <f t="shared" si="172"/>
        <v>1.004742</v>
      </c>
      <c r="F5516" s="1">
        <f t="shared" si="173"/>
        <v>41624</v>
      </c>
      <c r="G5516" cm="1">
        <f t="array" ref="G5516">PRODUCT( _xlfn._xlws.FILTER($E:$E, ($C:$C=C5516)*($F:$F=F5516)) ) - 1</f>
        <v>-1.0803087861780969E-2</v>
      </c>
    </row>
    <row r="5517" spans="1:7" x14ac:dyDescent="0.2">
      <c r="A5517" s="1">
        <v>41626</v>
      </c>
      <c r="B5517">
        <v>2</v>
      </c>
      <c r="C5517" t="s">
        <v>15</v>
      </c>
      <c r="D5517">
        <v>1.166E-2</v>
      </c>
      <c r="E5517">
        <f t="shared" si="172"/>
        <v>1.01166</v>
      </c>
      <c r="F5517" s="1">
        <f t="shared" si="173"/>
        <v>41624</v>
      </c>
      <c r="G5517" cm="1">
        <f t="array" ref="G5517">PRODUCT( _xlfn._xlws.FILTER($E:$E, ($C:$C=C5517)*($F:$F=F5517)) ) - 1</f>
        <v>-1.0803087861780969E-2</v>
      </c>
    </row>
    <row r="5518" spans="1:7" x14ac:dyDescent="0.2">
      <c r="A5518" s="1">
        <v>41627</v>
      </c>
      <c r="B5518">
        <v>2</v>
      </c>
      <c r="C5518" t="s">
        <v>15</v>
      </c>
      <c r="D5518">
        <v>-5.4879999999999998E-3</v>
      </c>
      <c r="E5518">
        <f t="shared" si="172"/>
        <v>0.99451199999999995</v>
      </c>
      <c r="F5518" s="1">
        <f t="shared" si="173"/>
        <v>41624</v>
      </c>
      <c r="G5518" cm="1">
        <f t="array" ref="G5518">PRODUCT( _xlfn._xlws.FILTER($E:$E, ($C:$C=C5518)*($F:$F=F5518)) ) - 1</f>
        <v>-1.0803087861780969E-2</v>
      </c>
    </row>
    <row r="5519" spans="1:7" x14ac:dyDescent="0.2">
      <c r="A5519" s="1">
        <v>41628</v>
      </c>
      <c r="B5519">
        <v>2</v>
      </c>
      <c r="C5519" t="s">
        <v>15</v>
      </c>
      <c r="D5519">
        <v>-1.4625000000000001E-2</v>
      </c>
      <c r="E5519">
        <f t="shared" si="172"/>
        <v>0.985375</v>
      </c>
      <c r="F5519" s="1">
        <f t="shared" si="173"/>
        <v>41624</v>
      </c>
      <c r="G5519" cm="1">
        <f t="array" ref="G5519">PRODUCT( _xlfn._xlws.FILTER($E:$E, ($C:$C=C5519)*($F:$F=F5519)) ) - 1</f>
        <v>-1.0803087861780969E-2</v>
      </c>
    </row>
    <row r="5520" spans="1:7" x14ac:dyDescent="0.2">
      <c r="A5520" s="1">
        <v>41631</v>
      </c>
      <c r="B5520">
        <v>2</v>
      </c>
      <c r="C5520" t="s">
        <v>15</v>
      </c>
      <c r="D5520">
        <v>1.5122E-2</v>
      </c>
      <c r="E5520">
        <f t="shared" si="172"/>
        <v>1.0151220000000001</v>
      </c>
      <c r="F5520" s="1">
        <f t="shared" si="173"/>
        <v>41631</v>
      </c>
      <c r="G5520" cm="1">
        <f t="array" ref="G5520">PRODUCT( _xlfn._xlws.FILTER($E:$E, ($C:$C=C5520)*($F:$F=F5520)) ) - 1</f>
        <v>2.7443100432459344E-2</v>
      </c>
    </row>
    <row r="5521" spans="1:7" x14ac:dyDescent="0.2">
      <c r="A5521" s="1">
        <v>41632</v>
      </c>
      <c r="B5521">
        <v>2</v>
      </c>
      <c r="C5521" t="s">
        <v>15</v>
      </c>
      <c r="D5521">
        <v>3.5860000000000002E-3</v>
      </c>
      <c r="E5521">
        <f t="shared" si="172"/>
        <v>1.0035860000000001</v>
      </c>
      <c r="F5521" s="1">
        <f t="shared" si="173"/>
        <v>41631</v>
      </c>
      <c r="G5521" cm="1">
        <f t="array" ref="G5521">PRODUCT( _xlfn._xlws.FILTER($E:$E, ($C:$C=C5521)*($F:$F=F5521)) ) - 1</f>
        <v>2.7443100432459344E-2</v>
      </c>
    </row>
    <row r="5522" spans="1:7" x14ac:dyDescent="0.2">
      <c r="A5522" s="1">
        <v>41635</v>
      </c>
      <c r="B5522">
        <v>2</v>
      </c>
      <c r="C5522" t="s">
        <v>15</v>
      </c>
      <c r="D5522">
        <v>8.5210000000000008E-3</v>
      </c>
      <c r="E5522">
        <f t="shared" si="172"/>
        <v>1.008521</v>
      </c>
      <c r="F5522" s="1">
        <f t="shared" si="173"/>
        <v>41631</v>
      </c>
      <c r="G5522" cm="1">
        <f t="array" ref="G5522">PRODUCT( _xlfn._xlws.FILTER($E:$E, ($C:$C=C5522)*($F:$F=F5522)) ) - 1</f>
        <v>2.7443100432459344E-2</v>
      </c>
    </row>
    <row r="5523" spans="1:7" x14ac:dyDescent="0.2">
      <c r="A5523" s="1">
        <v>41638</v>
      </c>
      <c r="B5523">
        <v>2</v>
      </c>
      <c r="C5523" t="s">
        <v>15</v>
      </c>
      <c r="D5523">
        <v>1.3630000000000001E-3</v>
      </c>
      <c r="E5523">
        <f t="shared" si="172"/>
        <v>1.001363</v>
      </c>
      <c r="F5523" s="1">
        <f t="shared" si="173"/>
        <v>41638</v>
      </c>
      <c r="G5523" cm="1">
        <f t="array" ref="G5523">PRODUCT( _xlfn._xlws.FILTER($E:$E, ($C:$C=C5523)*($F:$F=F5523)) ) - 1</f>
        <v>2.453175301876831E-3</v>
      </c>
    </row>
    <row r="5524" spans="1:7" x14ac:dyDescent="0.2">
      <c r="A5524" s="1">
        <v>41639</v>
      </c>
      <c r="B5524">
        <v>2</v>
      </c>
      <c r="C5524" t="s">
        <v>15</v>
      </c>
      <c r="D5524">
        <v>-4.8989999999999997E-3</v>
      </c>
      <c r="E5524">
        <f t="shared" si="172"/>
        <v>0.99510100000000001</v>
      </c>
      <c r="F5524" s="1">
        <f t="shared" si="173"/>
        <v>41638</v>
      </c>
      <c r="G5524" cm="1">
        <f t="array" ref="G5524">PRODUCT( _xlfn._xlws.FILTER($E:$E, ($C:$C=C5524)*($F:$F=F5524)) ) - 1</f>
        <v>2.453175301876831E-3</v>
      </c>
    </row>
    <row r="5525" spans="1:7" x14ac:dyDescent="0.2">
      <c r="A5525" s="1">
        <v>41641</v>
      </c>
      <c r="B5525">
        <v>2</v>
      </c>
      <c r="C5525" t="s">
        <v>15</v>
      </c>
      <c r="D5525">
        <v>1.6410000000000001E-3</v>
      </c>
      <c r="E5525">
        <f t="shared" si="172"/>
        <v>1.001641</v>
      </c>
      <c r="F5525" s="1">
        <f t="shared" si="173"/>
        <v>41638</v>
      </c>
      <c r="G5525" cm="1">
        <f t="array" ref="G5525">PRODUCT( _xlfn._xlws.FILTER($E:$E, ($C:$C=C5525)*($F:$F=F5525)) ) - 1</f>
        <v>2.453175301876831E-3</v>
      </c>
    </row>
    <row r="5526" spans="1:7" x14ac:dyDescent="0.2">
      <c r="A5526" s="1">
        <v>41642</v>
      </c>
      <c r="B5526">
        <v>2</v>
      </c>
      <c r="C5526" t="s">
        <v>15</v>
      </c>
      <c r="D5526">
        <v>4.3689999999999996E-3</v>
      </c>
      <c r="E5526">
        <f t="shared" si="172"/>
        <v>1.0043690000000001</v>
      </c>
      <c r="F5526" s="1">
        <f t="shared" si="173"/>
        <v>41638</v>
      </c>
      <c r="G5526" cm="1">
        <f t="array" ref="G5526">PRODUCT( _xlfn._xlws.FILTER($E:$E, ($C:$C=C5526)*($F:$F=F5526)) ) - 1</f>
        <v>2.453175301876831E-3</v>
      </c>
    </row>
    <row r="5527" spans="1:7" x14ac:dyDescent="0.2">
      <c r="A5527" s="1">
        <v>41645</v>
      </c>
      <c r="B5527">
        <v>2</v>
      </c>
      <c r="C5527" t="s">
        <v>15</v>
      </c>
      <c r="D5527">
        <v>-1.1691E-2</v>
      </c>
      <c r="E5527">
        <f t="shared" si="172"/>
        <v>0.98830899999999999</v>
      </c>
      <c r="F5527" s="1">
        <f t="shared" si="173"/>
        <v>41645</v>
      </c>
      <c r="G5527" cm="1">
        <f t="array" ref="G5527">PRODUCT( _xlfn._xlws.FILTER($E:$E, ($C:$C=C5527)*($F:$F=F5527)) ) - 1</f>
        <v>-5.4374928498353015E-3</v>
      </c>
    </row>
    <row r="5528" spans="1:7" x14ac:dyDescent="0.2">
      <c r="A5528" s="1">
        <v>41646</v>
      </c>
      <c r="B5528">
        <v>2</v>
      </c>
      <c r="C5528" t="s">
        <v>15</v>
      </c>
      <c r="D5528">
        <v>1.3205E-2</v>
      </c>
      <c r="E5528">
        <f t="shared" si="172"/>
        <v>1.0132049999999999</v>
      </c>
      <c r="F5528" s="1">
        <f t="shared" si="173"/>
        <v>41645</v>
      </c>
      <c r="G5528" cm="1">
        <f t="array" ref="G5528">PRODUCT( _xlfn._xlws.FILTER($E:$E, ($C:$C=C5528)*($F:$F=F5528)) ) - 1</f>
        <v>-5.4374928498353015E-3</v>
      </c>
    </row>
    <row r="5529" spans="1:7" x14ac:dyDescent="0.2">
      <c r="A5529" s="1">
        <v>41647</v>
      </c>
      <c r="B5529">
        <v>2</v>
      </c>
      <c r="C5529" t="s">
        <v>15</v>
      </c>
      <c r="D5529">
        <v>-6.2449999999999997E-3</v>
      </c>
      <c r="E5529">
        <f t="shared" si="172"/>
        <v>0.99375500000000005</v>
      </c>
      <c r="F5529" s="1">
        <f t="shared" si="173"/>
        <v>41645</v>
      </c>
      <c r="G5529" cm="1">
        <f t="array" ref="G5529">PRODUCT( _xlfn._xlws.FILTER($E:$E, ($C:$C=C5529)*($F:$F=F5529)) ) - 1</f>
        <v>-5.4374928498353015E-3</v>
      </c>
    </row>
    <row r="5530" spans="1:7" x14ac:dyDescent="0.2">
      <c r="A5530" s="1">
        <v>41648</v>
      </c>
      <c r="B5530">
        <v>2</v>
      </c>
      <c r="C5530" t="s">
        <v>15</v>
      </c>
      <c r="D5530">
        <v>-8.7430000000000008E-3</v>
      </c>
      <c r="E5530">
        <f t="shared" si="172"/>
        <v>0.99125700000000005</v>
      </c>
      <c r="F5530" s="1">
        <f t="shared" si="173"/>
        <v>41645</v>
      </c>
      <c r="G5530" cm="1">
        <f t="array" ref="G5530">PRODUCT( _xlfn._xlws.FILTER($E:$E, ($C:$C=C5530)*($F:$F=F5530)) ) - 1</f>
        <v>-5.4374928498353015E-3</v>
      </c>
    </row>
    <row r="5531" spans="1:7" x14ac:dyDescent="0.2">
      <c r="A5531" s="1">
        <v>41649</v>
      </c>
      <c r="B5531">
        <v>2</v>
      </c>
      <c r="C5531" t="s">
        <v>15</v>
      </c>
      <c r="D5531">
        <v>8.2690000000000003E-3</v>
      </c>
      <c r="E5531">
        <f t="shared" si="172"/>
        <v>1.0082690000000001</v>
      </c>
      <c r="F5531" s="1">
        <f t="shared" si="173"/>
        <v>41645</v>
      </c>
      <c r="G5531" cm="1">
        <f t="array" ref="G5531">PRODUCT( _xlfn._xlws.FILTER($E:$E, ($C:$C=C5531)*($F:$F=F5531)) ) - 1</f>
        <v>-5.4374928498353015E-3</v>
      </c>
    </row>
    <row r="5532" spans="1:7" x14ac:dyDescent="0.2">
      <c r="A5532" s="1">
        <v>41652</v>
      </c>
      <c r="B5532">
        <v>2</v>
      </c>
      <c r="C5532" t="s">
        <v>15</v>
      </c>
      <c r="D5532">
        <v>6.2880000000000002E-3</v>
      </c>
      <c r="E5532">
        <f t="shared" si="172"/>
        <v>1.0062880000000001</v>
      </c>
      <c r="F5532" s="1">
        <f t="shared" si="173"/>
        <v>41652</v>
      </c>
      <c r="G5532" cm="1">
        <f t="array" ref="G5532">PRODUCT( _xlfn._xlws.FILTER($E:$E, ($C:$C=C5532)*($F:$F=F5532)) ) - 1</f>
        <v>2.1597424621160766E-2</v>
      </c>
    </row>
    <row r="5533" spans="1:7" x14ac:dyDescent="0.2">
      <c r="A5533" s="1">
        <v>41653</v>
      </c>
      <c r="B5533">
        <v>2</v>
      </c>
      <c r="C5533" t="s">
        <v>15</v>
      </c>
      <c r="D5533">
        <v>5.9769999999999997E-3</v>
      </c>
      <c r="E5533">
        <f t="shared" si="172"/>
        <v>1.0059769999999999</v>
      </c>
      <c r="F5533" s="1">
        <f t="shared" si="173"/>
        <v>41652</v>
      </c>
      <c r="G5533" cm="1">
        <f t="array" ref="G5533">PRODUCT( _xlfn._xlws.FILTER($E:$E, ($C:$C=C5533)*($F:$F=F5533)) ) - 1</f>
        <v>2.1597424621160766E-2</v>
      </c>
    </row>
    <row r="5534" spans="1:7" x14ac:dyDescent="0.2">
      <c r="A5534" s="1">
        <v>41654</v>
      </c>
      <c r="B5534">
        <v>2</v>
      </c>
      <c r="C5534" t="s">
        <v>15</v>
      </c>
      <c r="D5534">
        <v>4.8609999999999999E-3</v>
      </c>
      <c r="E5534">
        <f t="shared" si="172"/>
        <v>1.004861</v>
      </c>
      <c r="F5534" s="1">
        <f t="shared" si="173"/>
        <v>41652</v>
      </c>
      <c r="G5534" cm="1">
        <f t="array" ref="G5534">PRODUCT( _xlfn._xlws.FILTER($E:$E, ($C:$C=C5534)*($F:$F=F5534)) ) - 1</f>
        <v>2.1597424621160766E-2</v>
      </c>
    </row>
    <row r="5535" spans="1:7" x14ac:dyDescent="0.2">
      <c r="A5535" s="1">
        <v>41655</v>
      </c>
      <c r="B5535">
        <v>2</v>
      </c>
      <c r="C5535" t="s">
        <v>15</v>
      </c>
      <c r="D5535">
        <v>7.7939999999999997E-3</v>
      </c>
      <c r="E5535">
        <f t="shared" si="172"/>
        <v>1.0077940000000001</v>
      </c>
      <c r="F5535" s="1">
        <f t="shared" si="173"/>
        <v>41652</v>
      </c>
      <c r="G5535" cm="1">
        <f t="array" ref="G5535">PRODUCT( _xlfn._xlws.FILTER($E:$E, ($C:$C=C5535)*($F:$F=F5535)) ) - 1</f>
        <v>2.1597424621160766E-2</v>
      </c>
    </row>
    <row r="5536" spans="1:7" x14ac:dyDescent="0.2">
      <c r="A5536" s="1">
        <v>41656</v>
      </c>
      <c r="B5536">
        <v>2</v>
      </c>
      <c r="C5536" t="s">
        <v>15</v>
      </c>
      <c r="D5536">
        <v>-3.467E-3</v>
      </c>
      <c r="E5536">
        <f t="shared" si="172"/>
        <v>0.996533</v>
      </c>
      <c r="F5536" s="1">
        <f t="shared" si="173"/>
        <v>41652</v>
      </c>
      <c r="G5536" cm="1">
        <f t="array" ref="G5536">PRODUCT( _xlfn._xlws.FILTER($E:$E, ($C:$C=C5536)*($F:$F=F5536)) ) - 1</f>
        <v>2.1597424621160766E-2</v>
      </c>
    </row>
    <row r="5537" spans="1:7" x14ac:dyDescent="0.2">
      <c r="A5537" s="1">
        <v>41659</v>
      </c>
      <c r="B5537">
        <v>2</v>
      </c>
      <c r="C5537" t="s">
        <v>15</v>
      </c>
      <c r="D5537">
        <v>5.084E-3</v>
      </c>
      <c r="E5537">
        <f t="shared" si="172"/>
        <v>1.0050840000000001</v>
      </c>
      <c r="F5537" s="1">
        <f t="shared" si="173"/>
        <v>41659</v>
      </c>
      <c r="G5537" cm="1">
        <f t="array" ref="G5537">PRODUCT( _xlfn._xlws.FILTER($E:$E, ($C:$C=C5537)*($F:$F=F5537)) ) - 1</f>
        <v>-1.7394612735722625E-2</v>
      </c>
    </row>
    <row r="5538" spans="1:7" x14ac:dyDescent="0.2">
      <c r="A5538" s="1">
        <v>41660</v>
      </c>
      <c r="B5538">
        <v>2</v>
      </c>
      <c r="C5538" t="s">
        <v>15</v>
      </c>
      <c r="D5538">
        <v>-4.2599999999999999E-3</v>
      </c>
      <c r="E5538">
        <f t="shared" si="172"/>
        <v>0.99573999999999996</v>
      </c>
      <c r="F5538" s="1">
        <f t="shared" si="173"/>
        <v>41659</v>
      </c>
      <c r="G5538" cm="1">
        <f t="array" ref="G5538">PRODUCT( _xlfn._xlws.FILTER($E:$E, ($C:$C=C5538)*($F:$F=F5538)) ) - 1</f>
        <v>-1.7394612735722625E-2</v>
      </c>
    </row>
    <row r="5539" spans="1:7" x14ac:dyDescent="0.2">
      <c r="A5539" s="1">
        <v>41661</v>
      </c>
      <c r="B5539">
        <v>2</v>
      </c>
      <c r="C5539" t="s">
        <v>15</v>
      </c>
      <c r="D5539">
        <v>-4.5459999999999997E-3</v>
      </c>
      <c r="E5539">
        <f t="shared" si="172"/>
        <v>0.99545399999999995</v>
      </c>
      <c r="F5539" s="1">
        <f t="shared" si="173"/>
        <v>41659</v>
      </c>
      <c r="G5539" cm="1">
        <f t="array" ref="G5539">PRODUCT( _xlfn._xlws.FILTER($E:$E, ($C:$C=C5539)*($F:$F=F5539)) ) - 1</f>
        <v>-1.7394612735722625E-2</v>
      </c>
    </row>
    <row r="5540" spans="1:7" x14ac:dyDescent="0.2">
      <c r="A5540" s="1">
        <v>41662</v>
      </c>
      <c r="B5540">
        <v>2</v>
      </c>
      <c r="C5540" t="s">
        <v>15</v>
      </c>
      <c r="D5540">
        <v>5.3700000000000004E-4</v>
      </c>
      <c r="E5540">
        <f t="shared" si="172"/>
        <v>1.000537</v>
      </c>
      <c r="F5540" s="1">
        <f t="shared" si="173"/>
        <v>41659</v>
      </c>
      <c r="G5540" cm="1">
        <f t="array" ref="G5540">PRODUCT( _xlfn._xlws.FILTER($E:$E, ($C:$C=C5540)*($F:$F=F5540)) ) - 1</f>
        <v>-1.7394612735722625E-2</v>
      </c>
    </row>
    <row r="5541" spans="1:7" x14ac:dyDescent="0.2">
      <c r="A5541" s="1">
        <v>41663</v>
      </c>
      <c r="B5541">
        <v>2</v>
      </c>
      <c r="C5541" t="s">
        <v>15</v>
      </c>
      <c r="D5541">
        <v>-1.4227999999999999E-2</v>
      </c>
      <c r="E5541">
        <f t="shared" si="172"/>
        <v>0.98577199999999998</v>
      </c>
      <c r="F5541" s="1">
        <f t="shared" si="173"/>
        <v>41659</v>
      </c>
      <c r="G5541" cm="1">
        <f t="array" ref="G5541">PRODUCT( _xlfn._xlws.FILTER($E:$E, ($C:$C=C5541)*($F:$F=F5541)) ) - 1</f>
        <v>-1.7394612735722625E-2</v>
      </c>
    </row>
    <row r="5542" spans="1:7" x14ac:dyDescent="0.2">
      <c r="A5542" s="1">
        <v>41666</v>
      </c>
      <c r="B5542">
        <v>2</v>
      </c>
      <c r="C5542" t="s">
        <v>15</v>
      </c>
      <c r="D5542">
        <v>7.6249999999999998E-3</v>
      </c>
      <c r="E5542">
        <f t="shared" si="172"/>
        <v>1.007625</v>
      </c>
      <c r="F5542" s="1">
        <f t="shared" si="173"/>
        <v>41666</v>
      </c>
      <c r="G5542" cm="1">
        <f t="array" ref="G5542">PRODUCT( _xlfn._xlws.FILTER($E:$E, ($C:$C=C5542)*($F:$F=F5542)) ) - 1</f>
        <v>6.0185619142224089E-2</v>
      </c>
    </row>
    <row r="5543" spans="1:7" x14ac:dyDescent="0.2">
      <c r="A5543" s="1">
        <v>41667</v>
      </c>
      <c r="B5543">
        <v>2</v>
      </c>
      <c r="C5543" t="s">
        <v>15</v>
      </c>
      <c r="D5543">
        <v>1.6487000000000002E-2</v>
      </c>
      <c r="E5543">
        <f t="shared" si="172"/>
        <v>1.0164869999999999</v>
      </c>
      <c r="F5543" s="1">
        <f t="shared" si="173"/>
        <v>41666</v>
      </c>
      <c r="G5543" cm="1">
        <f t="array" ref="G5543">PRODUCT( _xlfn._xlws.FILTER($E:$E, ($C:$C=C5543)*($F:$F=F5543)) ) - 1</f>
        <v>6.0185619142224089E-2</v>
      </c>
    </row>
    <row r="5544" spans="1:7" x14ac:dyDescent="0.2">
      <c r="A5544" s="1">
        <v>41668</v>
      </c>
      <c r="B5544">
        <v>2</v>
      </c>
      <c r="C5544" t="s">
        <v>15</v>
      </c>
      <c r="D5544">
        <v>-3.9880000000000002E-3</v>
      </c>
      <c r="E5544">
        <f t="shared" si="172"/>
        <v>0.99601200000000001</v>
      </c>
      <c r="F5544" s="1">
        <f t="shared" si="173"/>
        <v>41666</v>
      </c>
      <c r="G5544" cm="1">
        <f t="array" ref="G5544">PRODUCT( _xlfn._xlws.FILTER($E:$E, ($C:$C=C5544)*($F:$F=F5544)) ) - 1</f>
        <v>6.0185619142224089E-2</v>
      </c>
    </row>
    <row r="5545" spans="1:7" x14ac:dyDescent="0.2">
      <c r="A5545" s="1">
        <v>41669</v>
      </c>
      <c r="B5545">
        <v>2</v>
      </c>
      <c r="C5545" t="s">
        <v>15</v>
      </c>
      <c r="D5545">
        <v>3.3101999999999999E-2</v>
      </c>
      <c r="E5545">
        <f t="shared" si="172"/>
        <v>1.033102</v>
      </c>
      <c r="F5545" s="1">
        <f t="shared" si="173"/>
        <v>41666</v>
      </c>
      <c r="G5545" cm="1">
        <f t="array" ref="G5545">PRODUCT( _xlfn._xlws.FILTER($E:$E, ($C:$C=C5545)*($F:$F=F5545)) ) - 1</f>
        <v>6.0185619142224089E-2</v>
      </c>
    </row>
    <row r="5546" spans="1:7" x14ac:dyDescent="0.2">
      <c r="A5546" s="1">
        <v>41670</v>
      </c>
      <c r="B5546">
        <v>2</v>
      </c>
      <c r="C5546" t="s">
        <v>15</v>
      </c>
      <c r="D5546">
        <v>5.9430000000000004E-3</v>
      </c>
      <c r="E5546">
        <f t="shared" si="172"/>
        <v>1.005943</v>
      </c>
      <c r="F5546" s="1">
        <f t="shared" si="173"/>
        <v>41666</v>
      </c>
      <c r="G5546" cm="1">
        <f t="array" ref="G5546">PRODUCT( _xlfn._xlws.FILTER($E:$E, ($C:$C=C5546)*($F:$F=F5546)) ) - 1</f>
        <v>6.0185619142224089E-2</v>
      </c>
    </row>
    <row r="5547" spans="1:7" x14ac:dyDescent="0.2">
      <c r="A5547" s="1">
        <v>41673</v>
      </c>
      <c r="B5547">
        <v>2</v>
      </c>
      <c r="C5547" t="s">
        <v>15</v>
      </c>
      <c r="D5547">
        <v>-1.2586999999999999E-2</v>
      </c>
      <c r="E5547">
        <f t="shared" si="172"/>
        <v>0.98741299999999999</v>
      </c>
      <c r="F5547" s="1">
        <f t="shared" si="173"/>
        <v>41673</v>
      </c>
      <c r="G5547" cm="1">
        <f t="array" ref="G5547">PRODUCT( _xlfn._xlws.FILTER($E:$E, ($C:$C=C5547)*($F:$F=F5547)) ) - 1</f>
        <v>-3.6732705772079211E-2</v>
      </c>
    </row>
    <row r="5548" spans="1:7" x14ac:dyDescent="0.2">
      <c r="A5548" s="1">
        <v>41674</v>
      </c>
      <c r="B5548">
        <v>2</v>
      </c>
      <c r="C5548" t="s">
        <v>15</v>
      </c>
      <c r="D5548">
        <v>-1.873E-2</v>
      </c>
      <c r="E5548">
        <f t="shared" si="172"/>
        <v>0.98126999999999998</v>
      </c>
      <c r="F5548" s="1">
        <f t="shared" si="173"/>
        <v>41673</v>
      </c>
      <c r="G5548" cm="1">
        <f t="array" ref="G5548">PRODUCT( _xlfn._xlws.FILTER($E:$E, ($C:$C=C5548)*($F:$F=F5548)) ) - 1</f>
        <v>-3.6732705772079211E-2</v>
      </c>
    </row>
    <row r="5549" spans="1:7" x14ac:dyDescent="0.2">
      <c r="A5549" s="1">
        <v>41675</v>
      </c>
      <c r="B5549">
        <v>2</v>
      </c>
      <c r="C5549" t="s">
        <v>15</v>
      </c>
      <c r="D5549">
        <v>-1.7763000000000001E-2</v>
      </c>
      <c r="E5549">
        <f t="shared" si="172"/>
        <v>0.98223700000000003</v>
      </c>
      <c r="F5549" s="1">
        <f t="shared" si="173"/>
        <v>41673</v>
      </c>
      <c r="G5549" cm="1">
        <f t="array" ref="G5549">PRODUCT( _xlfn._xlws.FILTER($E:$E, ($C:$C=C5549)*($F:$F=F5549)) ) - 1</f>
        <v>-3.6732705772079211E-2</v>
      </c>
    </row>
    <row r="5550" spans="1:7" x14ac:dyDescent="0.2">
      <c r="A5550" s="1">
        <v>41676</v>
      </c>
      <c r="B5550">
        <v>2</v>
      </c>
      <c r="C5550" t="s">
        <v>15</v>
      </c>
      <c r="D5550">
        <v>1.2146000000000001E-2</v>
      </c>
      <c r="E5550">
        <f t="shared" si="172"/>
        <v>1.012146</v>
      </c>
      <c r="F5550" s="1">
        <f t="shared" si="173"/>
        <v>41673</v>
      </c>
      <c r="G5550" cm="1">
        <f t="array" ref="G5550">PRODUCT( _xlfn._xlws.FILTER($E:$E, ($C:$C=C5550)*($F:$F=F5550)) ) - 1</f>
        <v>-3.6732705772079211E-2</v>
      </c>
    </row>
    <row r="5551" spans="1:7" x14ac:dyDescent="0.2">
      <c r="A5551" s="1">
        <v>41677</v>
      </c>
      <c r="B5551">
        <v>2</v>
      </c>
      <c r="C5551" t="s">
        <v>15</v>
      </c>
      <c r="D5551">
        <v>0</v>
      </c>
      <c r="E5551">
        <f t="shared" si="172"/>
        <v>1</v>
      </c>
      <c r="F5551" s="1">
        <f t="shared" si="173"/>
        <v>41673</v>
      </c>
      <c r="G5551" cm="1">
        <f t="array" ref="G5551">PRODUCT( _xlfn._xlws.FILTER($E:$E, ($C:$C=C5551)*($F:$F=F5551)) ) - 1</f>
        <v>-3.6732705772079211E-2</v>
      </c>
    </row>
    <row r="5552" spans="1:7" x14ac:dyDescent="0.2">
      <c r="A5552" s="1">
        <v>41680</v>
      </c>
      <c r="B5552">
        <v>2</v>
      </c>
      <c r="C5552" t="s">
        <v>15</v>
      </c>
      <c r="D5552">
        <v>-4.267E-3</v>
      </c>
      <c r="E5552">
        <f t="shared" si="172"/>
        <v>0.99573299999999998</v>
      </c>
      <c r="F5552" s="1">
        <f t="shared" si="173"/>
        <v>41680</v>
      </c>
      <c r="G5552" cm="1">
        <f t="array" ref="G5552">PRODUCT( _xlfn._xlws.FILTER($E:$E, ($C:$C=C5552)*($F:$F=F5552)) ) - 1</f>
        <v>8.7996865938215763E-3</v>
      </c>
    </row>
    <row r="5553" spans="1:7" x14ac:dyDescent="0.2">
      <c r="A5553" s="1">
        <v>41681</v>
      </c>
      <c r="B5553">
        <v>2</v>
      </c>
      <c r="C5553" t="s">
        <v>15</v>
      </c>
      <c r="D5553">
        <v>-1.0709999999999999E-3</v>
      </c>
      <c r="E5553">
        <f t="shared" si="172"/>
        <v>0.99892899999999996</v>
      </c>
      <c r="F5553" s="1">
        <f t="shared" si="173"/>
        <v>41680</v>
      </c>
      <c r="G5553" cm="1">
        <f t="array" ref="G5553">PRODUCT( _xlfn._xlws.FILTER($E:$E, ($C:$C=C5553)*($F:$F=F5553)) ) - 1</f>
        <v>8.7996865938215763E-3</v>
      </c>
    </row>
    <row r="5554" spans="1:7" x14ac:dyDescent="0.2">
      <c r="A5554" s="1">
        <v>41682</v>
      </c>
      <c r="B5554">
        <v>2</v>
      </c>
      <c r="C5554" t="s">
        <v>15</v>
      </c>
      <c r="D5554">
        <v>-6.4339999999999996E-3</v>
      </c>
      <c r="E5554">
        <f t="shared" si="172"/>
        <v>0.99356599999999995</v>
      </c>
      <c r="F5554" s="1">
        <f t="shared" si="173"/>
        <v>41680</v>
      </c>
      <c r="G5554" cm="1">
        <f t="array" ref="G5554">PRODUCT( _xlfn._xlws.FILTER($E:$E, ($C:$C=C5554)*($F:$F=F5554)) ) - 1</f>
        <v>8.7996865938215763E-3</v>
      </c>
    </row>
    <row r="5555" spans="1:7" x14ac:dyDescent="0.2">
      <c r="A5555" s="1">
        <v>41683</v>
      </c>
      <c r="B5555">
        <v>2</v>
      </c>
      <c r="C5555" t="s">
        <v>15</v>
      </c>
      <c r="D5555">
        <v>7.2849999999999998E-3</v>
      </c>
      <c r="E5555">
        <f t="shared" si="172"/>
        <v>1.007285</v>
      </c>
      <c r="F5555" s="1">
        <f t="shared" si="173"/>
        <v>41680</v>
      </c>
      <c r="G5555" cm="1">
        <f t="array" ref="G5555">PRODUCT( _xlfn._xlws.FILTER($E:$E, ($C:$C=C5555)*($F:$F=F5555)) ) - 1</f>
        <v>8.7996865938215763E-3</v>
      </c>
    </row>
    <row r="5556" spans="1:7" x14ac:dyDescent="0.2">
      <c r="A5556" s="1">
        <v>41684</v>
      </c>
      <c r="B5556">
        <v>2</v>
      </c>
      <c r="C5556" t="s">
        <v>15</v>
      </c>
      <c r="D5556">
        <v>1.3394E-2</v>
      </c>
      <c r="E5556">
        <f t="shared" si="172"/>
        <v>1.0133939999999999</v>
      </c>
      <c r="F5556" s="1">
        <f t="shared" si="173"/>
        <v>41680</v>
      </c>
      <c r="G5556" cm="1">
        <f t="array" ref="G5556">PRODUCT( _xlfn._xlws.FILTER($E:$E, ($C:$C=C5556)*($F:$F=F5556)) ) - 1</f>
        <v>8.7996865938215763E-3</v>
      </c>
    </row>
    <row r="5557" spans="1:7" x14ac:dyDescent="0.2">
      <c r="A5557" s="1">
        <v>41688</v>
      </c>
      <c r="B5557">
        <v>2</v>
      </c>
      <c r="C5557" t="s">
        <v>15</v>
      </c>
      <c r="D5557">
        <v>2.643E-3</v>
      </c>
      <c r="E5557">
        <f t="shared" si="172"/>
        <v>1.002643</v>
      </c>
      <c r="F5557" s="1">
        <f t="shared" si="173"/>
        <v>41687</v>
      </c>
      <c r="G5557" cm="1">
        <f t="array" ref="G5557">PRODUCT( _xlfn._xlws.FILTER($E:$E, ($C:$C=C5557)*($F:$F=F5557)) ) - 1</f>
        <v>2.5112447492415146E-2</v>
      </c>
    </row>
    <row r="5558" spans="1:7" x14ac:dyDescent="0.2">
      <c r="A5558" s="1">
        <v>41689</v>
      </c>
      <c r="B5558">
        <v>2</v>
      </c>
      <c r="C5558" t="s">
        <v>15</v>
      </c>
      <c r="D5558">
        <v>-1.8450000000000001E-3</v>
      </c>
      <c r="E5558">
        <f t="shared" si="172"/>
        <v>0.99815500000000001</v>
      </c>
      <c r="F5558" s="1">
        <f t="shared" si="173"/>
        <v>41687</v>
      </c>
      <c r="G5558" cm="1">
        <f t="array" ref="G5558">PRODUCT( _xlfn._xlws.FILTER($E:$E, ($C:$C=C5558)*($F:$F=F5558)) ) - 1</f>
        <v>2.5112447492415146E-2</v>
      </c>
    </row>
    <row r="5559" spans="1:7" x14ac:dyDescent="0.2">
      <c r="A5559" s="1">
        <v>41690</v>
      </c>
      <c r="B5559">
        <v>2</v>
      </c>
      <c r="C5559" t="s">
        <v>15</v>
      </c>
      <c r="D5559">
        <v>2.6410000000000001E-3</v>
      </c>
      <c r="E5559">
        <f t="shared" si="172"/>
        <v>1.0026409999999999</v>
      </c>
      <c r="F5559" s="1">
        <f t="shared" si="173"/>
        <v>41687</v>
      </c>
      <c r="G5559" cm="1">
        <f t="array" ref="G5559">PRODUCT( _xlfn._xlws.FILTER($E:$E, ($C:$C=C5559)*($F:$F=F5559)) ) - 1</f>
        <v>2.5112447492415146E-2</v>
      </c>
    </row>
    <row r="5560" spans="1:7" x14ac:dyDescent="0.2">
      <c r="A5560" s="1">
        <v>41691</v>
      </c>
      <c r="B5560">
        <v>2</v>
      </c>
      <c r="C5560" t="s">
        <v>15</v>
      </c>
      <c r="D5560">
        <v>2.1602E-2</v>
      </c>
      <c r="E5560">
        <f t="shared" si="172"/>
        <v>1.0216019999999999</v>
      </c>
      <c r="F5560" s="1">
        <f t="shared" si="173"/>
        <v>41687</v>
      </c>
      <c r="G5560" cm="1">
        <f t="array" ref="G5560">PRODUCT( _xlfn._xlws.FILTER($E:$E, ($C:$C=C5560)*($F:$F=F5560)) ) - 1</f>
        <v>2.5112447492415146E-2</v>
      </c>
    </row>
    <row r="5561" spans="1:7" x14ac:dyDescent="0.2">
      <c r="A5561" s="1">
        <v>41694</v>
      </c>
      <c r="B5561">
        <v>2</v>
      </c>
      <c r="C5561" t="s">
        <v>15</v>
      </c>
      <c r="D5561">
        <v>1.2893E-2</v>
      </c>
      <c r="E5561">
        <f t="shared" si="172"/>
        <v>1.012893</v>
      </c>
      <c r="F5561" s="1">
        <f t="shared" si="173"/>
        <v>41694</v>
      </c>
      <c r="G5561" cm="1">
        <f t="array" ref="G5561">PRODUCT( _xlfn._xlws.FILTER($E:$E, ($C:$C=C5561)*($F:$F=F5561)) ) - 1</f>
        <v>1.1604170960629157E-2</v>
      </c>
    </row>
    <row r="5562" spans="1:7" x14ac:dyDescent="0.2">
      <c r="A5562" s="1">
        <v>41695</v>
      </c>
      <c r="B5562">
        <v>2</v>
      </c>
      <c r="C5562" t="s">
        <v>15</v>
      </c>
      <c r="D5562">
        <v>-1.0947E-2</v>
      </c>
      <c r="E5562">
        <f t="shared" si="172"/>
        <v>0.98905299999999996</v>
      </c>
      <c r="F5562" s="1">
        <f t="shared" si="173"/>
        <v>41694</v>
      </c>
      <c r="G5562" cm="1">
        <f t="array" ref="G5562">PRODUCT( _xlfn._xlws.FILTER($E:$E, ($C:$C=C5562)*($F:$F=F5562)) ) - 1</f>
        <v>1.1604170960629157E-2</v>
      </c>
    </row>
    <row r="5563" spans="1:7" x14ac:dyDescent="0.2">
      <c r="A5563" s="1">
        <v>41696</v>
      </c>
      <c r="B5563">
        <v>2</v>
      </c>
      <c r="C5563" t="s">
        <v>15</v>
      </c>
      <c r="D5563">
        <v>-6.4349999999999997E-3</v>
      </c>
      <c r="E5563">
        <f t="shared" si="172"/>
        <v>0.99356500000000003</v>
      </c>
      <c r="F5563" s="1">
        <f t="shared" si="173"/>
        <v>41694</v>
      </c>
      <c r="G5563" cm="1">
        <f t="array" ref="G5563">PRODUCT( _xlfn._xlws.FILTER($E:$E, ($C:$C=C5563)*($F:$F=F5563)) ) - 1</f>
        <v>1.1604170960629157E-2</v>
      </c>
    </row>
    <row r="5564" spans="1:7" x14ac:dyDescent="0.2">
      <c r="A5564" s="1">
        <v>41697</v>
      </c>
      <c r="B5564">
        <v>2</v>
      </c>
      <c r="C5564" t="s">
        <v>15</v>
      </c>
      <c r="D5564">
        <v>7.5129999999999997E-3</v>
      </c>
      <c r="E5564">
        <f t="shared" si="172"/>
        <v>1.0075130000000001</v>
      </c>
      <c r="F5564" s="1">
        <f t="shared" si="173"/>
        <v>41694</v>
      </c>
      <c r="G5564" cm="1">
        <f t="array" ref="G5564">PRODUCT( _xlfn._xlws.FILTER($E:$E, ($C:$C=C5564)*($F:$F=F5564)) ) - 1</f>
        <v>1.1604170960629157E-2</v>
      </c>
    </row>
    <row r="5565" spans="1:7" x14ac:dyDescent="0.2">
      <c r="A5565" s="1">
        <v>41698</v>
      </c>
      <c r="B5565">
        <v>2</v>
      </c>
      <c r="C5565" t="s">
        <v>15</v>
      </c>
      <c r="D5565">
        <v>8.7430000000000008E-3</v>
      </c>
      <c r="E5565">
        <f t="shared" si="172"/>
        <v>1.0087429999999999</v>
      </c>
      <c r="F5565" s="1">
        <f t="shared" si="173"/>
        <v>41694</v>
      </c>
      <c r="G5565" cm="1">
        <f t="array" ref="G5565">PRODUCT( _xlfn._xlws.FILTER($E:$E, ($C:$C=C5565)*($F:$F=F5565)) ) - 1</f>
        <v>1.1604170960629157E-2</v>
      </c>
    </row>
    <row r="5566" spans="1:7" x14ac:dyDescent="0.2">
      <c r="A5566" s="1">
        <v>41701</v>
      </c>
      <c r="B5566">
        <v>2</v>
      </c>
      <c r="C5566" t="s">
        <v>15</v>
      </c>
      <c r="D5566">
        <v>-2.5490000000000001E-3</v>
      </c>
      <c r="E5566">
        <f t="shared" si="172"/>
        <v>0.99745099999999998</v>
      </c>
      <c r="F5566" s="1">
        <f t="shared" si="173"/>
        <v>41701</v>
      </c>
      <c r="G5566" cm="1">
        <f t="array" ref="G5566">PRODUCT( _xlfn._xlws.FILTER($E:$E, ($C:$C=C5566)*($F:$F=F5566)) ) - 1</f>
        <v>-7.9022055411657188E-3</v>
      </c>
    </row>
    <row r="5567" spans="1:7" x14ac:dyDescent="0.2">
      <c r="A5567" s="1">
        <v>41702</v>
      </c>
      <c r="B5567">
        <v>2</v>
      </c>
      <c r="C5567" t="s">
        <v>15</v>
      </c>
      <c r="D5567">
        <v>-4.0889999999999998E-3</v>
      </c>
      <c r="E5567">
        <f t="shared" si="172"/>
        <v>0.99591099999999999</v>
      </c>
      <c r="F5567" s="1">
        <f t="shared" si="173"/>
        <v>41701</v>
      </c>
      <c r="G5567" cm="1">
        <f t="array" ref="G5567">PRODUCT( _xlfn._xlws.FILTER($E:$E, ($C:$C=C5567)*($F:$F=F5567)) ) - 1</f>
        <v>-7.9022055411657188E-3</v>
      </c>
    </row>
    <row r="5568" spans="1:7" x14ac:dyDescent="0.2">
      <c r="A5568" s="1">
        <v>41703</v>
      </c>
      <c r="B5568">
        <v>2</v>
      </c>
      <c r="C5568" t="s">
        <v>15</v>
      </c>
      <c r="D5568">
        <v>-7.6999999999999996E-4</v>
      </c>
      <c r="E5568">
        <f t="shared" si="172"/>
        <v>0.99922999999999995</v>
      </c>
      <c r="F5568" s="1">
        <f t="shared" si="173"/>
        <v>41701</v>
      </c>
      <c r="G5568" cm="1">
        <f t="array" ref="G5568">PRODUCT( _xlfn._xlws.FILTER($E:$E, ($C:$C=C5568)*($F:$F=F5568)) ) - 1</f>
        <v>-7.9022055411657188E-3</v>
      </c>
    </row>
    <row r="5569" spans="1:7" x14ac:dyDescent="0.2">
      <c r="A5569" s="1">
        <v>41704</v>
      </c>
      <c r="B5569">
        <v>2</v>
      </c>
      <c r="C5569" t="s">
        <v>15</v>
      </c>
      <c r="D5569">
        <v>5.1400000000000003E-4</v>
      </c>
      <c r="E5569">
        <f t="shared" si="172"/>
        <v>1.0005139999999999</v>
      </c>
      <c r="F5569" s="1">
        <f t="shared" si="173"/>
        <v>41701</v>
      </c>
      <c r="G5569" cm="1">
        <f t="array" ref="G5569">PRODUCT( _xlfn._xlws.FILTER($E:$E, ($C:$C=C5569)*($F:$F=F5569)) ) - 1</f>
        <v>-7.9022055411657188E-3</v>
      </c>
    </row>
    <row r="5570" spans="1:7" x14ac:dyDescent="0.2">
      <c r="A5570" s="1">
        <v>41705</v>
      </c>
      <c r="B5570">
        <v>2</v>
      </c>
      <c r="C5570" t="s">
        <v>15</v>
      </c>
      <c r="D5570">
        <v>-1.0269999999999999E-3</v>
      </c>
      <c r="E5570">
        <f t="shared" si="172"/>
        <v>0.998973</v>
      </c>
      <c r="F5570" s="1">
        <f t="shared" si="173"/>
        <v>41701</v>
      </c>
      <c r="G5570" cm="1">
        <f t="array" ref="G5570">PRODUCT( _xlfn._xlws.FILTER($E:$E, ($C:$C=C5570)*($F:$F=F5570)) ) - 1</f>
        <v>-7.9022055411657188E-3</v>
      </c>
    </row>
    <row r="5571" spans="1:7" x14ac:dyDescent="0.2">
      <c r="A5571" s="1">
        <v>41708</v>
      </c>
      <c r="B5571">
        <v>2</v>
      </c>
      <c r="C5571" t="s">
        <v>15</v>
      </c>
      <c r="D5571">
        <v>-1.815E-3</v>
      </c>
      <c r="E5571">
        <f t="shared" si="172"/>
        <v>0.99818499999999999</v>
      </c>
      <c r="F5571" s="1">
        <f t="shared" si="173"/>
        <v>41708</v>
      </c>
      <c r="G5571" cm="1">
        <f t="array" ref="G5571">PRODUCT( _xlfn._xlws.FILTER($E:$E, ($C:$C=C5571)*($F:$F=F5571)) ) - 1</f>
        <v>2.3349516512016777E-3</v>
      </c>
    </row>
    <row r="5572" spans="1:7" x14ac:dyDescent="0.2">
      <c r="A5572" s="1">
        <v>41709</v>
      </c>
      <c r="B5572">
        <v>2</v>
      </c>
      <c r="C5572" t="s">
        <v>15</v>
      </c>
      <c r="D5572">
        <v>2.598E-3</v>
      </c>
      <c r="E5572">
        <f t="shared" ref="E5572:E5635" si="174">D5572+1</f>
        <v>1.0025980000000001</v>
      </c>
      <c r="F5572" s="1">
        <f t="shared" ref="F5572:F5635" si="175">A5572 - (WEEKDAY(A5572, 2) - 1)</f>
        <v>41708</v>
      </c>
      <c r="G5572" cm="1">
        <f t="array" ref="G5572">PRODUCT( _xlfn._xlws.FILTER($E:$E, ($C:$C=C5572)*($F:$F=F5572)) ) - 1</f>
        <v>2.3349516512016777E-3</v>
      </c>
    </row>
    <row r="5573" spans="1:7" x14ac:dyDescent="0.2">
      <c r="A5573" s="1">
        <v>41710</v>
      </c>
      <c r="B5573">
        <v>2</v>
      </c>
      <c r="C5573" t="s">
        <v>15</v>
      </c>
      <c r="D5573">
        <v>1.0369999999999999E-3</v>
      </c>
      <c r="E5573">
        <f t="shared" si="174"/>
        <v>1.001037</v>
      </c>
      <c r="F5573" s="1">
        <f t="shared" si="175"/>
        <v>41708</v>
      </c>
      <c r="G5573" cm="1">
        <f t="array" ref="G5573">PRODUCT( _xlfn._xlws.FILTER($E:$E, ($C:$C=C5573)*($F:$F=F5573)) ) - 1</f>
        <v>2.3349516512016777E-3</v>
      </c>
    </row>
    <row r="5574" spans="1:7" x14ac:dyDescent="0.2">
      <c r="A5574" s="1">
        <v>41711</v>
      </c>
      <c r="B5574">
        <v>2</v>
      </c>
      <c r="C5574" t="s">
        <v>15</v>
      </c>
      <c r="D5574">
        <v>-6.2129999999999998E-3</v>
      </c>
      <c r="E5574">
        <f t="shared" si="174"/>
        <v>0.99378699999999998</v>
      </c>
      <c r="F5574" s="1">
        <f t="shared" si="175"/>
        <v>41708</v>
      </c>
      <c r="G5574" cm="1">
        <f t="array" ref="G5574">PRODUCT( _xlfn._xlws.FILTER($E:$E, ($C:$C=C5574)*($F:$F=F5574)) ) - 1</f>
        <v>2.3349516512016777E-3</v>
      </c>
    </row>
    <row r="5575" spans="1:7" x14ac:dyDescent="0.2">
      <c r="A5575" s="1">
        <v>41712</v>
      </c>
      <c r="B5575">
        <v>2</v>
      </c>
      <c r="C5575" t="s">
        <v>15</v>
      </c>
      <c r="D5575">
        <v>6.7730000000000004E-3</v>
      </c>
      <c r="E5575">
        <f t="shared" si="174"/>
        <v>1.0067729999999999</v>
      </c>
      <c r="F5575" s="1">
        <f t="shared" si="175"/>
        <v>41708</v>
      </c>
      <c r="G5575" cm="1">
        <f t="array" ref="G5575">PRODUCT( _xlfn._xlws.FILTER($E:$E, ($C:$C=C5575)*($F:$F=F5575)) ) - 1</f>
        <v>2.3349516512016777E-3</v>
      </c>
    </row>
    <row r="5576" spans="1:7" x14ac:dyDescent="0.2">
      <c r="A5576" s="1">
        <v>41715</v>
      </c>
      <c r="B5576">
        <v>2</v>
      </c>
      <c r="C5576" t="s">
        <v>15</v>
      </c>
      <c r="D5576">
        <v>-4.1399999999999996E-3</v>
      </c>
      <c r="E5576">
        <f t="shared" si="174"/>
        <v>0.99585999999999997</v>
      </c>
      <c r="F5576" s="1">
        <f t="shared" si="175"/>
        <v>41715</v>
      </c>
      <c r="G5576" cm="1">
        <f t="array" ref="G5576">PRODUCT( _xlfn._xlws.FILTER($E:$E, ($C:$C=C5576)*($F:$F=F5576)) ) - 1</f>
        <v>1.112494229912353E-2</v>
      </c>
    </row>
    <row r="5577" spans="1:7" x14ac:dyDescent="0.2">
      <c r="A5577" s="1">
        <v>41716</v>
      </c>
      <c r="B5577">
        <v>2</v>
      </c>
      <c r="C5577" t="s">
        <v>15</v>
      </c>
      <c r="D5577">
        <v>2.0004999999999998E-2</v>
      </c>
      <c r="E5577">
        <f t="shared" si="174"/>
        <v>1.0200050000000001</v>
      </c>
      <c r="F5577" s="1">
        <f t="shared" si="175"/>
        <v>41715</v>
      </c>
      <c r="G5577" cm="1">
        <f t="array" ref="G5577">PRODUCT( _xlfn._xlws.FILTER($E:$E, ($C:$C=C5577)*($F:$F=F5577)) ) - 1</f>
        <v>1.112494229912353E-2</v>
      </c>
    </row>
    <row r="5578" spans="1:7" x14ac:dyDescent="0.2">
      <c r="A5578" s="1">
        <v>41717</v>
      </c>
      <c r="B5578">
        <v>2</v>
      </c>
      <c r="C5578" t="s">
        <v>15</v>
      </c>
      <c r="D5578">
        <v>-1.5280000000000001E-3</v>
      </c>
      <c r="E5578">
        <f t="shared" si="174"/>
        <v>0.99847200000000003</v>
      </c>
      <c r="F5578" s="1">
        <f t="shared" si="175"/>
        <v>41715</v>
      </c>
      <c r="G5578" cm="1">
        <f t="array" ref="G5578">PRODUCT( _xlfn._xlws.FILTER($E:$E, ($C:$C=C5578)*($F:$F=F5578)) ) - 1</f>
        <v>1.112494229912353E-2</v>
      </c>
    </row>
    <row r="5579" spans="1:7" x14ac:dyDescent="0.2">
      <c r="A5579" s="1">
        <v>41718</v>
      </c>
      <c r="B5579">
        <v>2</v>
      </c>
      <c r="C5579" t="s">
        <v>15</v>
      </c>
      <c r="D5579">
        <v>-4.3369999999999997E-3</v>
      </c>
      <c r="E5579">
        <f t="shared" si="174"/>
        <v>0.99566299999999996</v>
      </c>
      <c r="F5579" s="1">
        <f t="shared" si="175"/>
        <v>41715</v>
      </c>
      <c r="G5579" cm="1">
        <f t="array" ref="G5579">PRODUCT( _xlfn._xlws.FILTER($E:$E, ($C:$C=C5579)*($F:$F=F5579)) ) - 1</f>
        <v>1.112494229912353E-2</v>
      </c>
    </row>
    <row r="5580" spans="1:7" x14ac:dyDescent="0.2">
      <c r="A5580" s="1">
        <v>41719</v>
      </c>
      <c r="B5580">
        <v>2</v>
      </c>
      <c r="C5580" t="s">
        <v>15</v>
      </c>
      <c r="D5580">
        <v>1.281E-3</v>
      </c>
      <c r="E5580">
        <f t="shared" si="174"/>
        <v>1.0012810000000001</v>
      </c>
      <c r="F5580" s="1">
        <f t="shared" si="175"/>
        <v>41715</v>
      </c>
      <c r="G5580" cm="1">
        <f t="array" ref="G5580">PRODUCT( _xlfn._xlws.FILTER($E:$E, ($C:$C=C5580)*($F:$F=F5580)) ) - 1</f>
        <v>1.112494229912353E-2</v>
      </c>
    </row>
    <row r="5581" spans="1:7" x14ac:dyDescent="0.2">
      <c r="A5581" s="1">
        <v>41722</v>
      </c>
      <c r="B5581">
        <v>2</v>
      </c>
      <c r="C5581" t="s">
        <v>15</v>
      </c>
      <c r="D5581">
        <v>6.3969999999999999E-3</v>
      </c>
      <c r="E5581">
        <f t="shared" si="174"/>
        <v>1.006397</v>
      </c>
      <c r="F5581" s="1">
        <f t="shared" si="175"/>
        <v>41722</v>
      </c>
      <c r="G5581" cm="1">
        <f t="array" ref="G5581">PRODUCT( _xlfn._xlws.FILTER($E:$E, ($C:$C=C5581)*($F:$F=F5581)) ) - 1</f>
        <v>3.2497129850300732E-2</v>
      </c>
    </row>
    <row r="5582" spans="1:7" x14ac:dyDescent="0.2">
      <c r="A5582" s="1">
        <v>41723</v>
      </c>
      <c r="B5582">
        <v>2</v>
      </c>
      <c r="C5582" t="s">
        <v>15</v>
      </c>
      <c r="D5582">
        <v>-1.0678999999999999E-2</v>
      </c>
      <c r="E5582">
        <f t="shared" si="174"/>
        <v>0.98932100000000001</v>
      </c>
      <c r="F5582" s="1">
        <f t="shared" si="175"/>
        <v>41722</v>
      </c>
      <c r="G5582" cm="1">
        <f t="array" ref="G5582">PRODUCT( _xlfn._xlws.FILTER($E:$E, ($C:$C=C5582)*($F:$F=F5582)) ) - 1</f>
        <v>3.2497129850300732E-2</v>
      </c>
    </row>
    <row r="5583" spans="1:7" x14ac:dyDescent="0.2">
      <c r="A5583" s="1">
        <v>41724</v>
      </c>
      <c r="B5583">
        <v>2</v>
      </c>
      <c r="C5583" t="s">
        <v>15</v>
      </c>
      <c r="D5583">
        <v>6.6819999999999996E-3</v>
      </c>
      <c r="E5583">
        <f t="shared" si="174"/>
        <v>1.0066820000000001</v>
      </c>
      <c r="F5583" s="1">
        <f t="shared" si="175"/>
        <v>41722</v>
      </c>
      <c r="G5583" cm="1">
        <f t="array" ref="G5583">PRODUCT( _xlfn._xlws.FILTER($E:$E, ($C:$C=C5583)*($F:$F=F5583)) ) - 1</f>
        <v>3.2497129850300732E-2</v>
      </c>
    </row>
    <row r="5584" spans="1:7" x14ac:dyDescent="0.2">
      <c r="A5584" s="1">
        <v>41725</v>
      </c>
      <c r="B5584">
        <v>2</v>
      </c>
      <c r="C5584" t="s">
        <v>15</v>
      </c>
      <c r="D5584">
        <v>1.5573E-2</v>
      </c>
      <c r="E5584">
        <f t="shared" si="174"/>
        <v>1.0155730000000001</v>
      </c>
      <c r="F5584" s="1">
        <f t="shared" si="175"/>
        <v>41722</v>
      </c>
      <c r="G5584" cm="1">
        <f t="array" ref="G5584">PRODUCT( _xlfn._xlws.FILTER($E:$E, ($C:$C=C5584)*($F:$F=F5584)) ) - 1</f>
        <v>3.2497129850300732E-2</v>
      </c>
    </row>
    <row r="5585" spans="1:7" x14ac:dyDescent="0.2">
      <c r="A5585" s="1">
        <v>41726</v>
      </c>
      <c r="B5585">
        <v>2</v>
      </c>
      <c r="C5585" t="s">
        <v>15</v>
      </c>
      <c r="D5585">
        <v>1.4329E-2</v>
      </c>
      <c r="E5585">
        <f t="shared" si="174"/>
        <v>1.014329</v>
      </c>
      <c r="F5585" s="1">
        <f t="shared" si="175"/>
        <v>41722</v>
      </c>
      <c r="G5585" cm="1">
        <f t="array" ref="G5585">PRODUCT( _xlfn._xlws.FILTER($E:$E, ($C:$C=C5585)*($F:$F=F5585)) ) - 1</f>
        <v>3.2497129850300732E-2</v>
      </c>
    </row>
    <row r="5586" spans="1:7" x14ac:dyDescent="0.2">
      <c r="A5586" s="1">
        <v>41729</v>
      </c>
      <c r="B5586">
        <v>2</v>
      </c>
      <c r="C5586" t="s">
        <v>15</v>
      </c>
      <c r="D5586">
        <v>-1.7843999999999999E-2</v>
      </c>
      <c r="E5586">
        <f t="shared" si="174"/>
        <v>0.98215600000000003</v>
      </c>
      <c r="F5586" s="1">
        <f t="shared" si="175"/>
        <v>41729</v>
      </c>
      <c r="G5586" cm="1">
        <f t="array" ref="G5586">PRODUCT( _xlfn._xlws.FILTER($E:$E, ($C:$C=C5586)*($F:$F=F5586)) ) - 1</f>
        <v>-4.5600735091597677E-2</v>
      </c>
    </row>
    <row r="5587" spans="1:7" x14ac:dyDescent="0.2">
      <c r="A5587" s="1">
        <v>41730</v>
      </c>
      <c r="B5587">
        <v>2</v>
      </c>
      <c r="C5587" t="s">
        <v>15</v>
      </c>
      <c r="D5587">
        <v>-3.2799999999999999E-3</v>
      </c>
      <c r="E5587">
        <f t="shared" si="174"/>
        <v>0.99672000000000005</v>
      </c>
      <c r="F5587" s="1">
        <f t="shared" si="175"/>
        <v>41729</v>
      </c>
      <c r="G5587" cm="1">
        <f t="array" ref="G5587">PRODUCT( _xlfn._xlws.FILTER($E:$E, ($C:$C=C5587)*($F:$F=F5587)) ) - 1</f>
        <v>-4.5600735091597677E-2</v>
      </c>
    </row>
    <row r="5588" spans="1:7" x14ac:dyDescent="0.2">
      <c r="A5588" s="1">
        <v>41731</v>
      </c>
      <c r="B5588">
        <v>2</v>
      </c>
      <c r="C5588" t="s">
        <v>15</v>
      </c>
      <c r="D5588">
        <v>-9.1140000000000006E-3</v>
      </c>
      <c r="E5588">
        <f t="shared" si="174"/>
        <v>0.99088600000000004</v>
      </c>
      <c r="F5588" s="1">
        <f t="shared" si="175"/>
        <v>41729</v>
      </c>
      <c r="G5588" cm="1">
        <f t="array" ref="G5588">PRODUCT( _xlfn._xlws.FILTER($E:$E, ($C:$C=C5588)*($F:$F=F5588)) ) - 1</f>
        <v>-4.5600735091597677E-2</v>
      </c>
    </row>
    <row r="5589" spans="1:7" x14ac:dyDescent="0.2">
      <c r="A5589" s="1">
        <v>41732</v>
      </c>
      <c r="B5589">
        <v>2</v>
      </c>
      <c r="C5589" t="s">
        <v>15</v>
      </c>
      <c r="D5589">
        <v>-2.6571000000000001E-2</v>
      </c>
      <c r="E5589">
        <f t="shared" si="174"/>
        <v>0.97342899999999999</v>
      </c>
      <c r="F5589" s="1">
        <f t="shared" si="175"/>
        <v>41729</v>
      </c>
      <c r="G5589" cm="1">
        <f t="array" ref="G5589">PRODUCT( _xlfn._xlws.FILTER($E:$E, ($C:$C=C5589)*($F:$F=F5589)) ) - 1</f>
        <v>-4.5600735091597677E-2</v>
      </c>
    </row>
    <row r="5590" spans="1:7" x14ac:dyDescent="0.2">
      <c r="A5590" s="1">
        <v>41733</v>
      </c>
      <c r="B5590">
        <v>2</v>
      </c>
      <c r="C5590" t="s">
        <v>15</v>
      </c>
      <c r="D5590">
        <v>1.0761E-2</v>
      </c>
      <c r="E5590">
        <f t="shared" si="174"/>
        <v>1.010761</v>
      </c>
      <c r="F5590" s="1">
        <f t="shared" si="175"/>
        <v>41729</v>
      </c>
      <c r="G5590" cm="1">
        <f t="array" ref="G5590">PRODUCT( _xlfn._xlws.FILTER($E:$E, ($C:$C=C5590)*($F:$F=F5590)) ) - 1</f>
        <v>-4.5600735091597677E-2</v>
      </c>
    </row>
    <row r="5591" spans="1:7" x14ac:dyDescent="0.2">
      <c r="A5591" s="1">
        <v>41736</v>
      </c>
      <c r="B5591">
        <v>2</v>
      </c>
      <c r="C5591" t="s">
        <v>15</v>
      </c>
      <c r="D5591">
        <v>7.2709999999999997E-3</v>
      </c>
      <c r="E5591">
        <f t="shared" si="174"/>
        <v>1.007271</v>
      </c>
      <c r="F5591" s="1">
        <f t="shared" si="175"/>
        <v>41736</v>
      </c>
      <c r="G5591" cm="1">
        <f t="array" ref="G5591">PRODUCT( _xlfn._xlws.FILTER($E:$E, ($C:$C=C5591)*($F:$F=F5591)) ) - 1</f>
        <v>-1.1944883910902315E-2</v>
      </c>
    </row>
    <row r="5592" spans="1:7" x14ac:dyDescent="0.2">
      <c r="A5592" s="1">
        <v>41737</v>
      </c>
      <c r="B5592">
        <v>2</v>
      </c>
      <c r="C5592" t="s">
        <v>15</v>
      </c>
      <c r="D5592">
        <v>5.672E-3</v>
      </c>
      <c r="E5592">
        <f t="shared" si="174"/>
        <v>1.0056719999999999</v>
      </c>
      <c r="F5592" s="1">
        <f t="shared" si="175"/>
        <v>41736</v>
      </c>
      <c r="G5592" cm="1">
        <f t="array" ref="G5592">PRODUCT( _xlfn._xlws.FILTER($E:$E, ($C:$C=C5592)*($F:$F=F5592)) ) - 1</f>
        <v>-1.1944883910902315E-2</v>
      </c>
    </row>
    <row r="5593" spans="1:7" x14ac:dyDescent="0.2">
      <c r="A5593" s="1">
        <v>41738</v>
      </c>
      <c r="B5593">
        <v>2</v>
      </c>
      <c r="C5593" t="s">
        <v>15</v>
      </c>
      <c r="D5593">
        <v>-4.8710000000000003E-3</v>
      </c>
      <c r="E5593">
        <f t="shared" si="174"/>
        <v>0.99512900000000004</v>
      </c>
      <c r="F5593" s="1">
        <f t="shared" si="175"/>
        <v>41736</v>
      </c>
      <c r="G5593" cm="1">
        <f t="array" ref="G5593">PRODUCT( _xlfn._xlws.FILTER($E:$E, ($C:$C=C5593)*($F:$F=F5593)) ) - 1</f>
        <v>-1.1944883910902315E-2</v>
      </c>
    </row>
    <row r="5594" spans="1:7" x14ac:dyDescent="0.2">
      <c r="A5594" s="1">
        <v>41739</v>
      </c>
      <c r="B5594">
        <v>2</v>
      </c>
      <c r="C5594" t="s">
        <v>15</v>
      </c>
      <c r="D5594">
        <v>-1.5713999999999999E-2</v>
      </c>
      <c r="E5594">
        <f t="shared" si="174"/>
        <v>0.98428599999999999</v>
      </c>
      <c r="F5594" s="1">
        <f t="shared" si="175"/>
        <v>41736</v>
      </c>
      <c r="G5594" cm="1">
        <f t="array" ref="G5594">PRODUCT( _xlfn._xlws.FILTER($E:$E, ($C:$C=C5594)*($F:$F=F5594)) ) - 1</f>
        <v>-1.1944883910902315E-2</v>
      </c>
    </row>
    <row r="5595" spans="1:7" x14ac:dyDescent="0.2">
      <c r="A5595" s="1">
        <v>41740</v>
      </c>
      <c r="B5595">
        <v>2</v>
      </c>
      <c r="C5595" t="s">
        <v>15</v>
      </c>
      <c r="D5595">
        <v>-4.1869999999999997E-3</v>
      </c>
      <c r="E5595">
        <f t="shared" si="174"/>
        <v>0.99581299999999995</v>
      </c>
      <c r="F5595" s="1">
        <f t="shared" si="175"/>
        <v>41736</v>
      </c>
      <c r="G5595" cm="1">
        <f t="array" ref="G5595">PRODUCT( _xlfn._xlws.FILTER($E:$E, ($C:$C=C5595)*($F:$F=F5595)) ) - 1</f>
        <v>-1.1944883910902315E-2</v>
      </c>
    </row>
    <row r="5596" spans="1:7" x14ac:dyDescent="0.2">
      <c r="A5596" s="1">
        <v>41743</v>
      </c>
      <c r="B5596">
        <v>2</v>
      </c>
      <c r="C5596" t="s">
        <v>15</v>
      </c>
      <c r="D5596">
        <v>-5.2560000000000003E-3</v>
      </c>
      <c r="E5596">
        <f t="shared" si="174"/>
        <v>0.99474399999999996</v>
      </c>
      <c r="F5596" s="1">
        <f t="shared" si="175"/>
        <v>41743</v>
      </c>
      <c r="G5596" cm="1">
        <f t="array" ref="G5596">PRODUCT( _xlfn._xlws.FILTER($E:$E, ($C:$C=C5596)*($F:$F=F5596)) ) - 1</f>
        <v>9.7243498586294663E-3</v>
      </c>
    </row>
    <row r="5597" spans="1:7" x14ac:dyDescent="0.2">
      <c r="A5597" s="1">
        <v>41744</v>
      </c>
      <c r="B5597">
        <v>2</v>
      </c>
      <c r="C5597" t="s">
        <v>15</v>
      </c>
      <c r="D5597">
        <v>9.5110000000000004E-3</v>
      </c>
      <c r="E5597">
        <f t="shared" si="174"/>
        <v>1.009511</v>
      </c>
      <c r="F5597" s="1">
        <f t="shared" si="175"/>
        <v>41743</v>
      </c>
      <c r="G5597" cm="1">
        <f t="array" ref="G5597">PRODUCT( _xlfn._xlws.FILTER($E:$E, ($C:$C=C5597)*($F:$F=F5597)) ) - 1</f>
        <v>9.7243498586294663E-3</v>
      </c>
    </row>
    <row r="5598" spans="1:7" x14ac:dyDescent="0.2">
      <c r="A5598" s="1">
        <v>41745</v>
      </c>
      <c r="B5598">
        <v>2</v>
      </c>
      <c r="C5598" t="s">
        <v>15</v>
      </c>
      <c r="D5598">
        <v>7.5900000000000004E-3</v>
      </c>
      <c r="E5598">
        <f t="shared" si="174"/>
        <v>1.00759</v>
      </c>
      <c r="F5598" s="1">
        <f t="shared" si="175"/>
        <v>41743</v>
      </c>
      <c r="G5598" cm="1">
        <f t="array" ref="G5598">PRODUCT( _xlfn._xlws.FILTER($E:$E, ($C:$C=C5598)*($F:$F=F5598)) ) - 1</f>
        <v>9.7243498586294663E-3</v>
      </c>
    </row>
    <row r="5599" spans="1:7" x14ac:dyDescent="0.2">
      <c r="A5599" s="1">
        <v>41746</v>
      </c>
      <c r="B5599">
        <v>2</v>
      </c>
      <c r="C5599" t="s">
        <v>15</v>
      </c>
      <c r="D5599">
        <v>-2.078E-3</v>
      </c>
      <c r="E5599">
        <f t="shared" si="174"/>
        <v>0.99792199999999998</v>
      </c>
      <c r="F5599" s="1">
        <f t="shared" si="175"/>
        <v>41743</v>
      </c>
      <c r="G5599" cm="1">
        <f t="array" ref="G5599">PRODUCT( _xlfn._xlws.FILTER($E:$E, ($C:$C=C5599)*($F:$F=F5599)) ) - 1</f>
        <v>9.7243498586294663E-3</v>
      </c>
    </row>
    <row r="5600" spans="1:7" x14ac:dyDescent="0.2">
      <c r="A5600" s="1">
        <v>41750</v>
      </c>
      <c r="B5600">
        <v>2</v>
      </c>
      <c r="C5600" t="s">
        <v>15</v>
      </c>
      <c r="D5600">
        <v>0</v>
      </c>
      <c r="E5600">
        <f t="shared" si="174"/>
        <v>1</v>
      </c>
      <c r="F5600" s="1">
        <f t="shared" si="175"/>
        <v>41750</v>
      </c>
      <c r="G5600" cm="1">
        <f t="array" ref="G5600">PRODUCT( _xlfn._xlws.FILTER($E:$E, ($C:$C=C5600)*($F:$F=F5600)) ) - 1</f>
        <v>-9.890187189116717E-3</v>
      </c>
    </row>
    <row r="5601" spans="1:7" x14ac:dyDescent="0.2">
      <c r="A5601" s="1">
        <v>41751</v>
      </c>
      <c r="B5601">
        <v>2</v>
      </c>
      <c r="C5601" t="s">
        <v>15</v>
      </c>
      <c r="D5601">
        <v>-3.6440000000000001E-3</v>
      </c>
      <c r="E5601">
        <f t="shared" si="174"/>
        <v>0.99635600000000002</v>
      </c>
      <c r="F5601" s="1">
        <f t="shared" si="175"/>
        <v>41750</v>
      </c>
      <c r="G5601" cm="1">
        <f t="array" ref="G5601">PRODUCT( _xlfn._xlws.FILTER($E:$E, ($C:$C=C5601)*($F:$F=F5601)) ) - 1</f>
        <v>-9.890187189116717E-3</v>
      </c>
    </row>
    <row r="5602" spans="1:7" x14ac:dyDescent="0.2">
      <c r="A5602" s="1">
        <v>41752</v>
      </c>
      <c r="B5602">
        <v>2</v>
      </c>
      <c r="C5602" t="s">
        <v>15</v>
      </c>
      <c r="D5602">
        <v>-3.6570000000000001E-3</v>
      </c>
      <c r="E5602">
        <f t="shared" si="174"/>
        <v>0.99634299999999998</v>
      </c>
      <c r="F5602" s="1">
        <f t="shared" si="175"/>
        <v>41750</v>
      </c>
      <c r="G5602" cm="1">
        <f t="array" ref="G5602">PRODUCT( _xlfn._xlws.FILTER($E:$E, ($C:$C=C5602)*($F:$F=F5602)) ) - 1</f>
        <v>-9.890187189116717E-3</v>
      </c>
    </row>
    <row r="5603" spans="1:7" x14ac:dyDescent="0.2">
      <c r="A5603" s="1">
        <v>41753</v>
      </c>
      <c r="B5603">
        <v>2</v>
      </c>
      <c r="C5603" t="s">
        <v>15</v>
      </c>
      <c r="D5603">
        <v>8.3899999999999999E-3</v>
      </c>
      <c r="E5603">
        <f t="shared" si="174"/>
        <v>1.0083899999999999</v>
      </c>
      <c r="F5603" s="1">
        <f t="shared" si="175"/>
        <v>41750</v>
      </c>
      <c r="G5603" cm="1">
        <f t="array" ref="G5603">PRODUCT( _xlfn._xlws.FILTER($E:$E, ($C:$C=C5603)*($F:$F=F5603)) ) - 1</f>
        <v>-9.890187189116717E-3</v>
      </c>
    </row>
    <row r="5604" spans="1:7" x14ac:dyDescent="0.2">
      <c r="A5604" s="1">
        <v>41754</v>
      </c>
      <c r="B5604">
        <v>2</v>
      </c>
      <c r="C5604" t="s">
        <v>15</v>
      </c>
      <c r="D5604">
        <v>-1.0919999999999999E-2</v>
      </c>
      <c r="E5604">
        <f t="shared" si="174"/>
        <v>0.98907999999999996</v>
      </c>
      <c r="F5604" s="1">
        <f t="shared" si="175"/>
        <v>41750</v>
      </c>
      <c r="G5604" cm="1">
        <f t="array" ref="G5604">PRODUCT( _xlfn._xlws.FILTER($E:$E, ($C:$C=C5604)*($F:$F=F5604)) ) - 1</f>
        <v>-9.890187189116717E-3</v>
      </c>
    </row>
    <row r="5605" spans="1:7" x14ac:dyDescent="0.2">
      <c r="A5605" s="1">
        <v>41757</v>
      </c>
      <c r="B5605">
        <v>2</v>
      </c>
      <c r="C5605" t="s">
        <v>15</v>
      </c>
      <c r="D5605">
        <v>6.3090000000000004E-3</v>
      </c>
      <c r="E5605">
        <f t="shared" si="174"/>
        <v>1.0063089999999999</v>
      </c>
      <c r="F5605" s="1">
        <f t="shared" si="175"/>
        <v>41757</v>
      </c>
      <c r="G5605" cm="1">
        <f t="array" ref="G5605">PRODUCT( _xlfn._xlws.FILTER($E:$E, ($C:$C=C5605)*($F:$F=F5605)) ) - 1</f>
        <v>1.7349416850359622E-2</v>
      </c>
    </row>
    <row r="5606" spans="1:7" x14ac:dyDescent="0.2">
      <c r="A5606" s="1">
        <v>41758</v>
      </c>
      <c r="B5606">
        <v>2</v>
      </c>
      <c r="C5606" t="s">
        <v>15</v>
      </c>
      <c r="D5606">
        <v>2.6120000000000002E-3</v>
      </c>
      <c r="E5606">
        <f t="shared" si="174"/>
        <v>1.0026120000000001</v>
      </c>
      <c r="F5606" s="1">
        <f t="shared" si="175"/>
        <v>41757</v>
      </c>
      <c r="G5606" cm="1">
        <f t="array" ref="G5606">PRODUCT( _xlfn._xlws.FILTER($E:$E, ($C:$C=C5606)*($F:$F=F5606)) ) - 1</f>
        <v>1.7349416850359622E-2</v>
      </c>
    </row>
    <row r="5607" spans="1:7" x14ac:dyDescent="0.2">
      <c r="A5607" s="1">
        <v>41759</v>
      </c>
      <c r="B5607">
        <v>2</v>
      </c>
      <c r="C5607" t="s">
        <v>15</v>
      </c>
      <c r="D5607">
        <v>6.2529999999999999E-3</v>
      </c>
      <c r="E5607">
        <f t="shared" si="174"/>
        <v>1.0062530000000001</v>
      </c>
      <c r="F5607" s="1">
        <f t="shared" si="175"/>
        <v>41757</v>
      </c>
      <c r="G5607" cm="1">
        <f t="array" ref="G5607">PRODUCT( _xlfn._xlws.FILTER($E:$E, ($C:$C=C5607)*($F:$F=F5607)) ) - 1</f>
        <v>1.7349416850359622E-2</v>
      </c>
    </row>
    <row r="5608" spans="1:7" x14ac:dyDescent="0.2">
      <c r="A5608" s="1">
        <v>41760</v>
      </c>
      <c r="B5608">
        <v>2</v>
      </c>
      <c r="C5608" t="s">
        <v>15</v>
      </c>
      <c r="D5608">
        <v>2.5900000000000001E-4</v>
      </c>
      <c r="E5608">
        <f t="shared" si="174"/>
        <v>1.000259</v>
      </c>
      <c r="F5608" s="1">
        <f t="shared" si="175"/>
        <v>41757</v>
      </c>
      <c r="G5608" cm="1">
        <f t="array" ref="G5608">PRODUCT( _xlfn._xlws.FILTER($E:$E, ($C:$C=C5608)*($F:$F=F5608)) ) - 1</f>
        <v>1.7349416850359622E-2</v>
      </c>
    </row>
    <row r="5609" spans="1:7" x14ac:dyDescent="0.2">
      <c r="A5609" s="1">
        <v>41761</v>
      </c>
      <c r="B5609">
        <v>2</v>
      </c>
      <c r="C5609" t="s">
        <v>15</v>
      </c>
      <c r="D5609">
        <v>1.812E-3</v>
      </c>
      <c r="E5609">
        <f t="shared" si="174"/>
        <v>1.0018119999999999</v>
      </c>
      <c r="F5609" s="1">
        <f t="shared" si="175"/>
        <v>41757</v>
      </c>
      <c r="G5609" cm="1">
        <f t="array" ref="G5609">PRODUCT( _xlfn._xlws.FILTER($E:$E, ($C:$C=C5609)*($F:$F=F5609)) ) - 1</f>
        <v>1.7349416850359622E-2</v>
      </c>
    </row>
    <row r="5610" spans="1:7" x14ac:dyDescent="0.2">
      <c r="A5610" s="1">
        <v>41764</v>
      </c>
      <c r="B5610">
        <v>2</v>
      </c>
      <c r="C5610" t="s">
        <v>15</v>
      </c>
      <c r="D5610">
        <v>2.5839999999999999E-3</v>
      </c>
      <c r="E5610">
        <f t="shared" si="174"/>
        <v>1.0025839999999999</v>
      </c>
      <c r="F5610" s="1">
        <f t="shared" si="175"/>
        <v>41764</v>
      </c>
      <c r="G5610" cm="1">
        <f t="array" ref="G5610">PRODUCT( _xlfn._xlws.FILTER($E:$E, ($C:$C=C5610)*($F:$F=F5610)) ) - 1</f>
        <v>2.5063594418428092E-2</v>
      </c>
    </row>
    <row r="5611" spans="1:7" x14ac:dyDescent="0.2">
      <c r="A5611" s="1">
        <v>41765</v>
      </c>
      <c r="B5611">
        <v>2</v>
      </c>
      <c r="C5611" t="s">
        <v>15</v>
      </c>
      <c r="D5611">
        <v>5.4120000000000001E-3</v>
      </c>
      <c r="E5611">
        <f t="shared" si="174"/>
        <v>1.005412</v>
      </c>
      <c r="F5611" s="1">
        <f t="shared" si="175"/>
        <v>41764</v>
      </c>
      <c r="G5611" cm="1">
        <f t="array" ref="G5611">PRODUCT( _xlfn._xlws.FILTER($E:$E, ($C:$C=C5611)*($F:$F=F5611)) ) - 1</f>
        <v>2.5063594418428092E-2</v>
      </c>
    </row>
    <row r="5612" spans="1:7" x14ac:dyDescent="0.2">
      <c r="A5612" s="1">
        <v>41766</v>
      </c>
      <c r="B5612">
        <v>2</v>
      </c>
      <c r="C5612" t="s">
        <v>15</v>
      </c>
      <c r="D5612">
        <v>1.1279000000000001E-2</v>
      </c>
      <c r="E5612">
        <f t="shared" si="174"/>
        <v>1.011279</v>
      </c>
      <c r="F5612" s="1">
        <f t="shared" si="175"/>
        <v>41764</v>
      </c>
      <c r="G5612" cm="1">
        <f t="array" ref="G5612">PRODUCT( _xlfn._xlws.FILTER($E:$E, ($C:$C=C5612)*($F:$F=F5612)) ) - 1</f>
        <v>2.5063594418428092E-2</v>
      </c>
    </row>
    <row r="5613" spans="1:7" x14ac:dyDescent="0.2">
      <c r="A5613" s="1">
        <v>41767</v>
      </c>
      <c r="B5613">
        <v>2</v>
      </c>
      <c r="C5613" t="s">
        <v>15</v>
      </c>
      <c r="D5613">
        <v>1.0139E-2</v>
      </c>
      <c r="E5613">
        <f t="shared" si="174"/>
        <v>1.0101389999999999</v>
      </c>
      <c r="F5613" s="1">
        <f t="shared" si="175"/>
        <v>41764</v>
      </c>
      <c r="G5613" cm="1">
        <f t="array" ref="G5613">PRODUCT( _xlfn._xlws.FILTER($E:$E, ($C:$C=C5613)*($F:$F=F5613)) ) - 1</f>
        <v>2.5063594418428092E-2</v>
      </c>
    </row>
    <row r="5614" spans="1:7" x14ac:dyDescent="0.2">
      <c r="A5614" s="1">
        <v>41768</v>
      </c>
      <c r="B5614">
        <v>2</v>
      </c>
      <c r="C5614" t="s">
        <v>15</v>
      </c>
      <c r="D5614">
        <v>-4.5170000000000002E-3</v>
      </c>
      <c r="E5614">
        <f t="shared" si="174"/>
        <v>0.99548300000000001</v>
      </c>
      <c r="F5614" s="1">
        <f t="shared" si="175"/>
        <v>41764</v>
      </c>
      <c r="G5614" cm="1">
        <f t="array" ref="G5614">PRODUCT( _xlfn._xlws.FILTER($E:$E, ($C:$C=C5614)*($F:$F=F5614)) ) - 1</f>
        <v>2.5063594418428092E-2</v>
      </c>
    </row>
    <row r="5615" spans="1:7" x14ac:dyDescent="0.2">
      <c r="A5615" s="1">
        <v>41771</v>
      </c>
      <c r="B5615">
        <v>2</v>
      </c>
      <c r="C5615" t="s">
        <v>15</v>
      </c>
      <c r="D5615">
        <v>8.319E-3</v>
      </c>
      <c r="E5615">
        <f t="shared" si="174"/>
        <v>1.008319</v>
      </c>
      <c r="F5615" s="1">
        <f t="shared" si="175"/>
        <v>41771</v>
      </c>
      <c r="G5615" cm="1">
        <f t="array" ref="G5615">PRODUCT( _xlfn._xlws.FILTER($E:$E, ($C:$C=C5615)*($F:$F=F5615)) ) - 1</f>
        <v>2.1427088944655948E-2</v>
      </c>
    </row>
    <row r="5616" spans="1:7" x14ac:dyDescent="0.2">
      <c r="A5616" s="1">
        <v>41772</v>
      </c>
      <c r="B5616">
        <v>2</v>
      </c>
      <c r="C5616" t="s">
        <v>15</v>
      </c>
      <c r="D5616">
        <v>6.4999999999999997E-3</v>
      </c>
      <c r="E5616">
        <f t="shared" si="174"/>
        <v>1.0065</v>
      </c>
      <c r="F5616" s="1">
        <f t="shared" si="175"/>
        <v>41771</v>
      </c>
      <c r="G5616" cm="1">
        <f t="array" ref="G5616">PRODUCT( _xlfn._xlws.FILTER($E:$E, ($C:$C=C5616)*($F:$F=F5616)) ) - 1</f>
        <v>2.1427088944655948E-2</v>
      </c>
    </row>
    <row r="5617" spans="1:7" x14ac:dyDescent="0.2">
      <c r="A5617" s="1">
        <v>41773</v>
      </c>
      <c r="B5617">
        <v>2</v>
      </c>
      <c r="C5617" t="s">
        <v>15</v>
      </c>
      <c r="D5617">
        <v>7.45E-4</v>
      </c>
      <c r="E5617">
        <f t="shared" si="174"/>
        <v>1.000745</v>
      </c>
      <c r="F5617" s="1">
        <f t="shared" si="175"/>
        <v>41771</v>
      </c>
      <c r="G5617" cm="1">
        <f t="array" ref="G5617">PRODUCT( _xlfn._xlws.FILTER($E:$E, ($C:$C=C5617)*($F:$F=F5617)) ) - 1</f>
        <v>2.1427088944655948E-2</v>
      </c>
    </row>
    <row r="5618" spans="1:7" x14ac:dyDescent="0.2">
      <c r="A5618" s="1">
        <v>41774</v>
      </c>
      <c r="B5618">
        <v>2</v>
      </c>
      <c r="C5618" t="s">
        <v>15</v>
      </c>
      <c r="D5618">
        <v>1.4396000000000001E-2</v>
      </c>
      <c r="E5618">
        <f t="shared" si="174"/>
        <v>1.0143960000000001</v>
      </c>
      <c r="F5618" s="1">
        <f t="shared" si="175"/>
        <v>41771</v>
      </c>
      <c r="G5618" cm="1">
        <f t="array" ref="G5618">PRODUCT( _xlfn._xlws.FILTER($E:$E, ($C:$C=C5618)*($F:$F=F5618)) ) - 1</f>
        <v>2.1427088944655948E-2</v>
      </c>
    </row>
    <row r="5619" spans="1:7" x14ac:dyDescent="0.2">
      <c r="A5619" s="1">
        <v>41775</v>
      </c>
      <c r="B5619">
        <v>2</v>
      </c>
      <c r="C5619" t="s">
        <v>15</v>
      </c>
      <c r="D5619">
        <v>-8.5640000000000004E-3</v>
      </c>
      <c r="E5619">
        <f t="shared" si="174"/>
        <v>0.99143599999999998</v>
      </c>
      <c r="F5619" s="1">
        <f t="shared" si="175"/>
        <v>41771</v>
      </c>
      <c r="G5619" cm="1">
        <f t="array" ref="G5619">PRODUCT( _xlfn._xlws.FILTER($E:$E, ($C:$C=C5619)*($F:$F=F5619)) ) - 1</f>
        <v>2.1427088944655948E-2</v>
      </c>
    </row>
    <row r="5620" spans="1:7" x14ac:dyDescent="0.2">
      <c r="A5620" s="1">
        <v>41779</v>
      </c>
      <c r="B5620">
        <v>2</v>
      </c>
      <c r="C5620" t="s">
        <v>15</v>
      </c>
      <c r="D5620">
        <v>-4.9399999999999997E-4</v>
      </c>
      <c r="E5620">
        <f t="shared" si="174"/>
        <v>0.99950600000000001</v>
      </c>
      <c r="F5620" s="1">
        <f t="shared" si="175"/>
        <v>41778</v>
      </c>
      <c r="G5620" cm="1">
        <f t="array" ref="G5620">PRODUCT( _xlfn._xlws.FILTER($E:$E, ($C:$C=C5620)*($F:$F=F5620)) ) - 1</f>
        <v>2.7640100261884459E-2</v>
      </c>
    </row>
    <row r="5621" spans="1:7" x14ac:dyDescent="0.2">
      <c r="A5621" s="1">
        <v>41780</v>
      </c>
      <c r="B5621">
        <v>2</v>
      </c>
      <c r="C5621" t="s">
        <v>15</v>
      </c>
      <c r="D5621">
        <v>2.0988E-2</v>
      </c>
      <c r="E5621">
        <f t="shared" si="174"/>
        <v>1.020988</v>
      </c>
      <c r="F5621" s="1">
        <f t="shared" si="175"/>
        <v>41778</v>
      </c>
      <c r="G5621" cm="1">
        <f t="array" ref="G5621">PRODUCT( _xlfn._xlws.FILTER($E:$E, ($C:$C=C5621)*($F:$F=F5621)) ) - 1</f>
        <v>2.7640100261884459E-2</v>
      </c>
    </row>
    <row r="5622" spans="1:7" x14ac:dyDescent="0.2">
      <c r="A5622" s="1">
        <v>41781</v>
      </c>
      <c r="B5622">
        <v>2</v>
      </c>
      <c r="C5622" t="s">
        <v>15</v>
      </c>
      <c r="D5622">
        <v>8.4639999999999993E-3</v>
      </c>
      <c r="E5622">
        <f t="shared" si="174"/>
        <v>1.008464</v>
      </c>
      <c r="F5622" s="1">
        <f t="shared" si="175"/>
        <v>41778</v>
      </c>
      <c r="G5622" cm="1">
        <f t="array" ref="G5622">PRODUCT( _xlfn._xlws.FILTER($E:$E, ($C:$C=C5622)*($F:$F=F5622)) ) - 1</f>
        <v>2.7640100261884459E-2</v>
      </c>
    </row>
    <row r="5623" spans="1:7" x14ac:dyDescent="0.2">
      <c r="A5623" s="1">
        <v>41782</v>
      </c>
      <c r="B5623">
        <v>2</v>
      </c>
      <c r="C5623" t="s">
        <v>15</v>
      </c>
      <c r="D5623">
        <v>-1.439E-3</v>
      </c>
      <c r="E5623">
        <f t="shared" si="174"/>
        <v>0.99856100000000003</v>
      </c>
      <c r="F5623" s="1">
        <f t="shared" si="175"/>
        <v>41778</v>
      </c>
      <c r="G5623" cm="1">
        <f t="array" ref="G5623">PRODUCT( _xlfn._xlws.FILTER($E:$E, ($C:$C=C5623)*($F:$F=F5623)) ) - 1</f>
        <v>2.7640100261884459E-2</v>
      </c>
    </row>
    <row r="5624" spans="1:7" x14ac:dyDescent="0.2">
      <c r="A5624" s="1">
        <v>41785</v>
      </c>
      <c r="B5624">
        <v>2</v>
      </c>
      <c r="C5624" t="s">
        <v>15</v>
      </c>
      <c r="D5624">
        <v>2.4020000000000001E-3</v>
      </c>
      <c r="E5624">
        <f t="shared" si="174"/>
        <v>1.002402</v>
      </c>
      <c r="F5624" s="1">
        <f t="shared" si="175"/>
        <v>41785</v>
      </c>
      <c r="G5624" cm="1">
        <f t="array" ref="G5624">PRODUCT( _xlfn._xlws.FILTER($E:$E, ($C:$C=C5624)*($F:$F=F5624)) ) - 1</f>
        <v>-1.6570204965024482E-2</v>
      </c>
    </row>
    <row r="5625" spans="1:7" x14ac:dyDescent="0.2">
      <c r="A5625" s="1">
        <v>41786</v>
      </c>
      <c r="B5625">
        <v>2</v>
      </c>
      <c r="C5625" t="s">
        <v>15</v>
      </c>
      <c r="D5625">
        <v>-8.8640000000000004E-3</v>
      </c>
      <c r="E5625">
        <f t="shared" si="174"/>
        <v>0.99113600000000002</v>
      </c>
      <c r="F5625" s="1">
        <f t="shared" si="175"/>
        <v>41785</v>
      </c>
      <c r="G5625" cm="1">
        <f t="array" ref="G5625">PRODUCT( _xlfn._xlws.FILTER($E:$E, ($C:$C=C5625)*($F:$F=F5625)) ) - 1</f>
        <v>-1.6570204965024482E-2</v>
      </c>
    </row>
    <row r="5626" spans="1:7" x14ac:dyDescent="0.2">
      <c r="A5626" s="1">
        <v>41787</v>
      </c>
      <c r="B5626">
        <v>2</v>
      </c>
      <c r="C5626" t="s">
        <v>15</v>
      </c>
      <c r="D5626">
        <v>-3.6259999999999999E-3</v>
      </c>
      <c r="E5626">
        <f t="shared" si="174"/>
        <v>0.99637399999999998</v>
      </c>
      <c r="F5626" s="1">
        <f t="shared" si="175"/>
        <v>41785</v>
      </c>
      <c r="G5626" cm="1">
        <f t="array" ref="G5626">PRODUCT( _xlfn._xlws.FILTER($E:$E, ($C:$C=C5626)*($F:$F=F5626)) ) - 1</f>
        <v>-1.6570204965024482E-2</v>
      </c>
    </row>
    <row r="5627" spans="1:7" x14ac:dyDescent="0.2">
      <c r="A5627" s="1">
        <v>41788</v>
      </c>
      <c r="B5627">
        <v>2</v>
      </c>
      <c r="C5627" t="s">
        <v>15</v>
      </c>
      <c r="D5627">
        <v>-5.3369999999999997E-3</v>
      </c>
      <c r="E5627">
        <f t="shared" si="174"/>
        <v>0.99466299999999996</v>
      </c>
      <c r="F5627" s="1">
        <f t="shared" si="175"/>
        <v>41785</v>
      </c>
      <c r="G5627" cm="1">
        <f t="array" ref="G5627">PRODUCT( _xlfn._xlws.FILTER($E:$E, ($C:$C=C5627)*($F:$F=F5627)) ) - 1</f>
        <v>-1.6570204965024482E-2</v>
      </c>
    </row>
    <row r="5628" spans="1:7" x14ac:dyDescent="0.2">
      <c r="A5628" s="1">
        <v>41789</v>
      </c>
      <c r="B5628">
        <v>2</v>
      </c>
      <c r="C5628" t="s">
        <v>15</v>
      </c>
      <c r="D5628">
        <v>-1.2199999999999999E-3</v>
      </c>
      <c r="E5628">
        <f t="shared" si="174"/>
        <v>0.99878</v>
      </c>
      <c r="F5628" s="1">
        <f t="shared" si="175"/>
        <v>41785</v>
      </c>
      <c r="G5628" cm="1">
        <f t="array" ref="G5628">PRODUCT( _xlfn._xlws.FILTER($E:$E, ($C:$C=C5628)*($F:$F=F5628)) ) - 1</f>
        <v>-1.6570204965024482E-2</v>
      </c>
    </row>
    <row r="5629" spans="1:7" x14ac:dyDescent="0.2">
      <c r="A5629" s="1">
        <v>41792</v>
      </c>
      <c r="B5629">
        <v>2</v>
      </c>
      <c r="C5629" t="s">
        <v>15</v>
      </c>
      <c r="D5629">
        <v>1.3675E-2</v>
      </c>
      <c r="E5629">
        <f t="shared" si="174"/>
        <v>1.0136750000000001</v>
      </c>
      <c r="F5629" s="1">
        <f t="shared" si="175"/>
        <v>41792</v>
      </c>
      <c r="G5629" cm="1">
        <f t="array" ref="G5629">PRODUCT( _xlfn._xlws.FILTER($E:$E, ($C:$C=C5629)*($F:$F=F5629)) ) - 1</f>
        <v>1.1964941321722655E-2</v>
      </c>
    </row>
    <row r="5630" spans="1:7" x14ac:dyDescent="0.2">
      <c r="A5630" s="1">
        <v>41793</v>
      </c>
      <c r="B5630">
        <v>2</v>
      </c>
      <c r="C5630" t="s">
        <v>15</v>
      </c>
      <c r="D5630">
        <v>1.0359E-2</v>
      </c>
      <c r="E5630">
        <f t="shared" si="174"/>
        <v>1.010359</v>
      </c>
      <c r="F5630" s="1">
        <f t="shared" si="175"/>
        <v>41792</v>
      </c>
      <c r="G5630" cm="1">
        <f t="array" ref="G5630">PRODUCT( _xlfn._xlws.FILTER($E:$E, ($C:$C=C5630)*($F:$F=F5630)) ) - 1</f>
        <v>1.1964941321722655E-2</v>
      </c>
    </row>
    <row r="5631" spans="1:7" x14ac:dyDescent="0.2">
      <c r="A5631" s="1">
        <v>41794</v>
      </c>
      <c r="B5631">
        <v>2</v>
      </c>
      <c r="C5631" t="s">
        <v>15</v>
      </c>
      <c r="D5631">
        <v>8.345E-3</v>
      </c>
      <c r="E5631">
        <f t="shared" si="174"/>
        <v>1.008345</v>
      </c>
      <c r="F5631" s="1">
        <f t="shared" si="175"/>
        <v>41792</v>
      </c>
      <c r="G5631" cm="1">
        <f t="array" ref="G5631">PRODUCT( _xlfn._xlws.FILTER($E:$E, ($C:$C=C5631)*($F:$F=F5631)) ) - 1</f>
        <v>1.1964941321722655E-2</v>
      </c>
    </row>
    <row r="5632" spans="1:7" x14ac:dyDescent="0.2">
      <c r="A5632" s="1">
        <v>41795</v>
      </c>
      <c r="B5632">
        <v>2</v>
      </c>
      <c r="C5632" t="s">
        <v>15</v>
      </c>
      <c r="D5632">
        <v>-9.2219999999999993E-3</v>
      </c>
      <c r="E5632">
        <f t="shared" si="174"/>
        <v>0.99077800000000005</v>
      </c>
      <c r="F5632" s="1">
        <f t="shared" si="175"/>
        <v>41792</v>
      </c>
      <c r="G5632" cm="1">
        <f t="array" ref="G5632">PRODUCT( _xlfn._xlws.FILTER($E:$E, ($C:$C=C5632)*($F:$F=F5632)) ) - 1</f>
        <v>1.1964941321722655E-2</v>
      </c>
    </row>
    <row r="5633" spans="1:7" x14ac:dyDescent="0.2">
      <c r="A5633" s="1">
        <v>41796</v>
      </c>
      <c r="B5633">
        <v>2</v>
      </c>
      <c r="C5633" t="s">
        <v>15</v>
      </c>
      <c r="D5633">
        <v>-1.0978999999999999E-2</v>
      </c>
      <c r="E5633">
        <f t="shared" si="174"/>
        <v>0.98902100000000004</v>
      </c>
      <c r="F5633" s="1">
        <f t="shared" si="175"/>
        <v>41792</v>
      </c>
      <c r="G5633" cm="1">
        <f t="array" ref="G5633">PRODUCT( _xlfn._xlws.FILTER($E:$E, ($C:$C=C5633)*($F:$F=F5633)) ) - 1</f>
        <v>1.1964941321722655E-2</v>
      </c>
    </row>
    <row r="5634" spans="1:7" x14ac:dyDescent="0.2">
      <c r="A5634" s="1">
        <v>41799</v>
      </c>
      <c r="B5634">
        <v>2</v>
      </c>
      <c r="C5634" t="s">
        <v>15</v>
      </c>
      <c r="D5634">
        <v>-1.4610000000000001E-3</v>
      </c>
      <c r="E5634">
        <f t="shared" si="174"/>
        <v>0.99853899999999995</v>
      </c>
      <c r="F5634" s="1">
        <f t="shared" si="175"/>
        <v>41799</v>
      </c>
      <c r="G5634" cm="1">
        <f t="array" ref="G5634">PRODUCT( _xlfn._xlws.FILTER($E:$E, ($C:$C=C5634)*($F:$F=F5634)) ) - 1</f>
        <v>7.7928359432617444E-3</v>
      </c>
    </row>
    <row r="5635" spans="1:7" x14ac:dyDescent="0.2">
      <c r="A5635" s="1">
        <v>41800</v>
      </c>
      <c r="B5635">
        <v>2</v>
      </c>
      <c r="C5635" t="s">
        <v>15</v>
      </c>
      <c r="D5635">
        <v>2.4390000000000002E-3</v>
      </c>
      <c r="E5635">
        <f t="shared" si="174"/>
        <v>1.0024390000000001</v>
      </c>
      <c r="F5635" s="1">
        <f t="shared" si="175"/>
        <v>41799</v>
      </c>
      <c r="G5635" cm="1">
        <f t="array" ref="G5635">PRODUCT( _xlfn._xlws.FILTER($E:$E, ($C:$C=C5635)*($F:$F=F5635)) ) - 1</f>
        <v>7.7928359432617444E-3</v>
      </c>
    </row>
    <row r="5636" spans="1:7" x14ac:dyDescent="0.2">
      <c r="A5636" s="1">
        <v>41801</v>
      </c>
      <c r="B5636">
        <v>2</v>
      </c>
      <c r="C5636" t="s">
        <v>15</v>
      </c>
      <c r="D5636">
        <v>-6.8129999999999996E-3</v>
      </c>
      <c r="E5636">
        <f t="shared" ref="E5636:E5699" si="176">D5636+1</f>
        <v>0.99318700000000004</v>
      </c>
      <c r="F5636" s="1">
        <f t="shared" ref="F5636:F5699" si="177">A5636 - (WEEKDAY(A5636, 2) - 1)</f>
        <v>41799</v>
      </c>
      <c r="G5636" cm="1">
        <f t="array" ref="G5636">PRODUCT( _xlfn._xlws.FILTER($E:$E, ($C:$C=C5636)*($F:$F=F5636)) ) - 1</f>
        <v>7.7928359432617444E-3</v>
      </c>
    </row>
    <row r="5637" spans="1:7" x14ac:dyDescent="0.2">
      <c r="A5637" s="1">
        <v>41802</v>
      </c>
      <c r="B5637">
        <v>2</v>
      </c>
      <c r="C5637" t="s">
        <v>15</v>
      </c>
      <c r="D5637">
        <v>6.1240000000000001E-3</v>
      </c>
      <c r="E5637">
        <f t="shared" si="176"/>
        <v>1.006124</v>
      </c>
      <c r="F5637" s="1">
        <f t="shared" si="177"/>
        <v>41799</v>
      </c>
      <c r="G5637" cm="1">
        <f t="array" ref="G5637">PRODUCT( _xlfn._xlws.FILTER($E:$E, ($C:$C=C5637)*($F:$F=F5637)) ) - 1</f>
        <v>7.7928359432617444E-3</v>
      </c>
    </row>
    <row r="5638" spans="1:7" x14ac:dyDescent="0.2">
      <c r="A5638" s="1">
        <v>41803</v>
      </c>
      <c r="B5638">
        <v>2</v>
      </c>
      <c r="C5638" t="s">
        <v>15</v>
      </c>
      <c r="D5638">
        <v>7.548E-3</v>
      </c>
      <c r="E5638">
        <f t="shared" si="176"/>
        <v>1.0075480000000001</v>
      </c>
      <c r="F5638" s="1">
        <f t="shared" si="177"/>
        <v>41799</v>
      </c>
      <c r="G5638" cm="1">
        <f t="array" ref="G5638">PRODUCT( _xlfn._xlws.FILTER($E:$E, ($C:$C=C5638)*($F:$F=F5638)) ) - 1</f>
        <v>7.7928359432617444E-3</v>
      </c>
    </row>
    <row r="5639" spans="1:7" x14ac:dyDescent="0.2">
      <c r="A5639" s="1">
        <v>41806</v>
      </c>
      <c r="B5639">
        <v>2</v>
      </c>
      <c r="C5639" t="s">
        <v>15</v>
      </c>
      <c r="D5639">
        <v>4.1079999999999997E-3</v>
      </c>
      <c r="E5639">
        <f t="shared" si="176"/>
        <v>1.004108</v>
      </c>
      <c r="F5639" s="1">
        <f t="shared" si="177"/>
        <v>41806</v>
      </c>
      <c r="G5639" cm="1">
        <f t="array" ref="G5639">PRODUCT( _xlfn._xlws.FILTER($E:$E, ($C:$C=C5639)*($F:$F=F5639)) ) - 1</f>
        <v>-2.8758432332780859E-2</v>
      </c>
    </row>
    <row r="5640" spans="1:7" x14ac:dyDescent="0.2">
      <c r="A5640" s="1">
        <v>41807</v>
      </c>
      <c r="B5640">
        <v>2</v>
      </c>
      <c r="C5640" t="s">
        <v>15</v>
      </c>
      <c r="D5640">
        <v>-7.4609999999999998E-3</v>
      </c>
      <c r="E5640">
        <f t="shared" si="176"/>
        <v>0.99253899999999995</v>
      </c>
      <c r="F5640" s="1">
        <f t="shared" si="177"/>
        <v>41806</v>
      </c>
      <c r="G5640" cm="1">
        <f t="array" ref="G5640">PRODUCT( _xlfn._xlws.FILTER($E:$E, ($C:$C=C5640)*($F:$F=F5640)) ) - 1</f>
        <v>-2.8758432332780859E-2</v>
      </c>
    </row>
    <row r="5641" spans="1:7" x14ac:dyDescent="0.2">
      <c r="A5641" s="1">
        <v>41808</v>
      </c>
      <c r="B5641">
        <v>2</v>
      </c>
      <c r="C5641" t="s">
        <v>15</v>
      </c>
      <c r="D5641">
        <v>4.1219999999999998E-3</v>
      </c>
      <c r="E5641">
        <f t="shared" si="176"/>
        <v>1.004122</v>
      </c>
      <c r="F5641" s="1">
        <f t="shared" si="177"/>
        <v>41806</v>
      </c>
      <c r="G5641" cm="1">
        <f t="array" ref="G5641">PRODUCT( _xlfn._xlws.FILTER($E:$E, ($C:$C=C5641)*($F:$F=F5641)) ) - 1</f>
        <v>-2.8758432332780859E-2</v>
      </c>
    </row>
    <row r="5642" spans="1:7" x14ac:dyDescent="0.2">
      <c r="A5642" s="1">
        <v>41809</v>
      </c>
      <c r="B5642">
        <v>2</v>
      </c>
      <c r="C5642" t="s">
        <v>15</v>
      </c>
      <c r="D5642">
        <v>-1.5696999999999999E-2</v>
      </c>
      <c r="E5642">
        <f t="shared" si="176"/>
        <v>0.98430300000000004</v>
      </c>
      <c r="F5642" s="1">
        <f t="shared" si="177"/>
        <v>41806</v>
      </c>
      <c r="G5642" cm="1">
        <f t="array" ref="G5642">PRODUCT( _xlfn._xlws.FILTER($E:$E, ($C:$C=C5642)*($F:$F=F5642)) ) - 1</f>
        <v>-2.8758432332780859E-2</v>
      </c>
    </row>
    <row r="5643" spans="1:7" x14ac:dyDescent="0.2">
      <c r="A5643" s="1">
        <v>41810</v>
      </c>
      <c r="B5643">
        <v>2</v>
      </c>
      <c r="C5643" t="s">
        <v>15</v>
      </c>
      <c r="D5643">
        <v>-1.3984E-2</v>
      </c>
      <c r="E5643">
        <f t="shared" si="176"/>
        <v>0.986016</v>
      </c>
      <c r="F5643" s="1">
        <f t="shared" si="177"/>
        <v>41806</v>
      </c>
      <c r="G5643" cm="1">
        <f t="array" ref="G5643">PRODUCT( _xlfn._xlws.FILTER($E:$E, ($C:$C=C5643)*($F:$F=F5643)) ) - 1</f>
        <v>-2.8758432332780859E-2</v>
      </c>
    </row>
    <row r="5644" spans="1:7" x14ac:dyDescent="0.2">
      <c r="A5644" s="1">
        <v>41813</v>
      </c>
      <c r="B5644">
        <v>2</v>
      </c>
      <c r="C5644" t="s">
        <v>15</v>
      </c>
      <c r="D5644">
        <v>-7.4650000000000003E-3</v>
      </c>
      <c r="E5644">
        <f t="shared" si="176"/>
        <v>0.99253499999999995</v>
      </c>
      <c r="F5644" s="1">
        <f t="shared" si="177"/>
        <v>41813</v>
      </c>
      <c r="G5644" cm="1">
        <f t="array" ref="G5644">PRODUCT( _xlfn._xlws.FILTER($E:$E, ($C:$C=C5644)*($F:$F=F5644)) ) - 1</f>
        <v>-5.4738499753047565E-3</v>
      </c>
    </row>
    <row r="5645" spans="1:7" x14ac:dyDescent="0.2">
      <c r="A5645" s="1">
        <v>41814</v>
      </c>
      <c r="B5645">
        <v>2</v>
      </c>
      <c r="C5645" t="s">
        <v>15</v>
      </c>
      <c r="D5645">
        <v>-7.2700000000000004E-3</v>
      </c>
      <c r="E5645">
        <f t="shared" si="176"/>
        <v>0.99273</v>
      </c>
      <c r="F5645" s="1">
        <f t="shared" si="177"/>
        <v>41813</v>
      </c>
      <c r="G5645" cm="1">
        <f t="array" ref="G5645">PRODUCT( _xlfn._xlws.FILTER($E:$E, ($C:$C=C5645)*($F:$F=F5645)) ) - 1</f>
        <v>-5.4738499753047565E-3</v>
      </c>
    </row>
    <row r="5646" spans="1:7" x14ac:dyDescent="0.2">
      <c r="A5646" s="1">
        <v>41815</v>
      </c>
      <c r="B5646">
        <v>2</v>
      </c>
      <c r="C5646" t="s">
        <v>15</v>
      </c>
      <c r="D5646">
        <v>-4.0400000000000002E-3</v>
      </c>
      <c r="E5646">
        <f t="shared" si="176"/>
        <v>0.99595999999999996</v>
      </c>
      <c r="F5646" s="1">
        <f t="shared" si="177"/>
        <v>41813</v>
      </c>
      <c r="G5646" cm="1">
        <f t="array" ref="G5646">PRODUCT( _xlfn._xlws.FILTER($E:$E, ($C:$C=C5646)*($F:$F=F5646)) ) - 1</f>
        <v>-5.4738499753047565E-3</v>
      </c>
    </row>
    <row r="5647" spans="1:7" x14ac:dyDescent="0.2">
      <c r="A5647" s="1">
        <v>41816</v>
      </c>
      <c r="B5647">
        <v>2</v>
      </c>
      <c r="C5647" t="s">
        <v>15</v>
      </c>
      <c r="D5647">
        <v>2.5399999999999999E-4</v>
      </c>
      <c r="E5647">
        <f t="shared" si="176"/>
        <v>1.000254</v>
      </c>
      <c r="F5647" s="1">
        <f t="shared" si="177"/>
        <v>41813</v>
      </c>
      <c r="G5647" cm="1">
        <f t="array" ref="G5647">PRODUCT( _xlfn._xlws.FILTER($E:$E, ($C:$C=C5647)*($F:$F=F5647)) ) - 1</f>
        <v>-5.4738499753047565E-3</v>
      </c>
    </row>
    <row r="5648" spans="1:7" x14ac:dyDescent="0.2">
      <c r="A5648" s="1">
        <v>41817</v>
      </c>
      <c r="B5648">
        <v>2</v>
      </c>
      <c r="C5648" t="s">
        <v>15</v>
      </c>
      <c r="D5648">
        <v>1.3181E-2</v>
      </c>
      <c r="E5648">
        <f t="shared" si="176"/>
        <v>1.0131810000000001</v>
      </c>
      <c r="F5648" s="1">
        <f t="shared" si="177"/>
        <v>41813</v>
      </c>
      <c r="G5648" cm="1">
        <f t="array" ref="G5648">PRODUCT( _xlfn._xlws.FILTER($E:$E, ($C:$C=C5648)*($F:$F=F5648)) ) - 1</f>
        <v>-5.4738499753047565E-3</v>
      </c>
    </row>
    <row r="5649" spans="1:7" x14ac:dyDescent="0.2">
      <c r="A5649" s="1">
        <v>41820</v>
      </c>
      <c r="B5649">
        <v>2</v>
      </c>
      <c r="C5649" t="s">
        <v>15</v>
      </c>
      <c r="D5649">
        <v>-5.0039999999999998E-3</v>
      </c>
      <c r="E5649">
        <f t="shared" si="176"/>
        <v>0.99499599999999999</v>
      </c>
      <c r="F5649" s="1">
        <f t="shared" si="177"/>
        <v>41820</v>
      </c>
      <c r="G5649" cm="1">
        <f t="array" ref="G5649">PRODUCT( _xlfn._xlws.FILTER($E:$E, ($C:$C=C5649)*($F:$F=F5649)) ) - 1</f>
        <v>-1.0008735958441095E-3</v>
      </c>
    </row>
    <row r="5650" spans="1:7" x14ac:dyDescent="0.2">
      <c r="A5650" s="1">
        <v>41822</v>
      </c>
      <c r="B5650">
        <v>2</v>
      </c>
      <c r="C5650" t="s">
        <v>15</v>
      </c>
      <c r="D5650">
        <v>-5.0289999999999996E-3</v>
      </c>
      <c r="E5650">
        <f t="shared" si="176"/>
        <v>0.99497100000000005</v>
      </c>
      <c r="F5650" s="1">
        <f t="shared" si="177"/>
        <v>41820</v>
      </c>
      <c r="G5650" cm="1">
        <f t="array" ref="G5650">PRODUCT( _xlfn._xlws.FILTER($E:$E, ($C:$C=C5650)*($F:$F=F5650)) ) - 1</f>
        <v>-1.0008735958441095E-3</v>
      </c>
    </row>
    <row r="5651" spans="1:7" x14ac:dyDescent="0.2">
      <c r="A5651" s="1">
        <v>41823</v>
      </c>
      <c r="B5651">
        <v>2</v>
      </c>
      <c r="C5651" t="s">
        <v>15</v>
      </c>
      <c r="D5651">
        <v>5.3070000000000001E-3</v>
      </c>
      <c r="E5651">
        <f t="shared" si="176"/>
        <v>1.005307</v>
      </c>
      <c r="F5651" s="1">
        <f t="shared" si="177"/>
        <v>41820</v>
      </c>
      <c r="G5651" cm="1">
        <f t="array" ref="G5651">PRODUCT( _xlfn._xlws.FILTER($E:$E, ($C:$C=C5651)*($F:$F=F5651)) ) - 1</f>
        <v>-1.0008735958441095E-3</v>
      </c>
    </row>
    <row r="5652" spans="1:7" x14ac:dyDescent="0.2">
      <c r="A5652" s="1">
        <v>41824</v>
      </c>
      <c r="B5652">
        <v>2</v>
      </c>
      <c r="C5652" t="s">
        <v>15</v>
      </c>
      <c r="D5652">
        <v>3.771E-3</v>
      </c>
      <c r="E5652">
        <f t="shared" si="176"/>
        <v>1.003771</v>
      </c>
      <c r="F5652" s="1">
        <f t="shared" si="177"/>
        <v>41820</v>
      </c>
      <c r="G5652" cm="1">
        <f t="array" ref="G5652">PRODUCT( _xlfn._xlws.FILTER($E:$E, ($C:$C=C5652)*($F:$F=F5652)) ) - 1</f>
        <v>-1.0008735958441095E-3</v>
      </c>
    </row>
    <row r="5653" spans="1:7" x14ac:dyDescent="0.2">
      <c r="A5653" s="1">
        <v>41827</v>
      </c>
      <c r="B5653">
        <v>2</v>
      </c>
      <c r="C5653" t="s">
        <v>15</v>
      </c>
      <c r="D5653">
        <v>-1.6278999999999998E-2</v>
      </c>
      <c r="E5653">
        <f t="shared" si="176"/>
        <v>0.98372099999999996</v>
      </c>
      <c r="F5653" s="1">
        <f t="shared" si="177"/>
        <v>41827</v>
      </c>
      <c r="G5653" cm="1">
        <f t="array" ref="G5653">PRODUCT( _xlfn._xlws.FILTER($E:$E, ($C:$C=C5653)*($F:$F=F5653)) ) - 1</f>
        <v>-2.3541379678841068E-2</v>
      </c>
    </row>
    <row r="5654" spans="1:7" x14ac:dyDescent="0.2">
      <c r="A5654" s="1">
        <v>41828</v>
      </c>
      <c r="B5654">
        <v>2</v>
      </c>
      <c r="C5654" t="s">
        <v>15</v>
      </c>
      <c r="D5654">
        <v>-2.0621E-2</v>
      </c>
      <c r="E5654">
        <f t="shared" si="176"/>
        <v>0.979379</v>
      </c>
      <c r="F5654" s="1">
        <f t="shared" si="177"/>
        <v>41827</v>
      </c>
      <c r="G5654" cm="1">
        <f t="array" ref="G5654">PRODUCT( _xlfn._xlws.FILTER($E:$E, ($C:$C=C5654)*($F:$F=F5654)) ) - 1</f>
        <v>-2.3541379678841068E-2</v>
      </c>
    </row>
    <row r="5655" spans="1:7" x14ac:dyDescent="0.2">
      <c r="A5655" s="1">
        <v>41829</v>
      </c>
      <c r="B5655">
        <v>2</v>
      </c>
      <c r="C5655" t="s">
        <v>15</v>
      </c>
      <c r="D5655">
        <v>1.8456E-2</v>
      </c>
      <c r="E5655">
        <f t="shared" si="176"/>
        <v>1.018456</v>
      </c>
      <c r="F5655" s="1">
        <f t="shared" si="177"/>
        <v>41827</v>
      </c>
      <c r="G5655" cm="1">
        <f t="array" ref="G5655">PRODUCT( _xlfn._xlws.FILTER($E:$E, ($C:$C=C5655)*($F:$F=F5655)) ) - 1</f>
        <v>-2.3541379678841068E-2</v>
      </c>
    </row>
    <row r="5656" spans="1:7" x14ac:dyDescent="0.2">
      <c r="A5656" s="1">
        <v>41830</v>
      </c>
      <c r="B5656">
        <v>2</v>
      </c>
      <c r="C5656" t="s">
        <v>15</v>
      </c>
      <c r="D5656">
        <v>-5.6150000000000002E-3</v>
      </c>
      <c r="E5656">
        <f t="shared" si="176"/>
        <v>0.99438499999999996</v>
      </c>
      <c r="F5656" s="1">
        <f t="shared" si="177"/>
        <v>41827</v>
      </c>
      <c r="G5656" cm="1">
        <f t="array" ref="G5656">PRODUCT( _xlfn._xlws.FILTER($E:$E, ($C:$C=C5656)*($F:$F=F5656)) ) - 1</f>
        <v>-2.3541379678841068E-2</v>
      </c>
    </row>
    <row r="5657" spans="1:7" x14ac:dyDescent="0.2">
      <c r="A5657" s="1">
        <v>41831</v>
      </c>
      <c r="B5657">
        <v>2</v>
      </c>
      <c r="C5657" t="s">
        <v>15</v>
      </c>
      <c r="D5657">
        <v>7.6999999999999996E-4</v>
      </c>
      <c r="E5657">
        <f t="shared" si="176"/>
        <v>1.0007699999999999</v>
      </c>
      <c r="F5657" s="1">
        <f t="shared" si="177"/>
        <v>41827</v>
      </c>
      <c r="G5657" cm="1">
        <f t="array" ref="G5657">PRODUCT( _xlfn._xlws.FILTER($E:$E, ($C:$C=C5657)*($F:$F=F5657)) ) - 1</f>
        <v>-2.3541379678841068E-2</v>
      </c>
    </row>
    <row r="5658" spans="1:7" x14ac:dyDescent="0.2">
      <c r="A5658" s="1">
        <v>41834</v>
      </c>
      <c r="B5658">
        <v>2</v>
      </c>
      <c r="C5658" t="s">
        <v>15</v>
      </c>
      <c r="D5658">
        <v>2.565E-3</v>
      </c>
      <c r="E5658">
        <f t="shared" si="176"/>
        <v>1.0025649999999999</v>
      </c>
      <c r="F5658" s="1">
        <f t="shared" si="177"/>
        <v>41834</v>
      </c>
      <c r="G5658" cm="1">
        <f t="array" ref="G5658">PRODUCT( _xlfn._xlws.FILTER($E:$E, ($C:$C=C5658)*($F:$F=F5658)) ) - 1</f>
        <v>-4.6164309013259075E-3</v>
      </c>
    </row>
    <row r="5659" spans="1:7" x14ac:dyDescent="0.2">
      <c r="A5659" s="1">
        <v>41835</v>
      </c>
      <c r="B5659">
        <v>2</v>
      </c>
      <c r="C5659" t="s">
        <v>15</v>
      </c>
      <c r="D5659">
        <v>-2.6605E-2</v>
      </c>
      <c r="E5659">
        <f t="shared" si="176"/>
        <v>0.97339500000000001</v>
      </c>
      <c r="F5659" s="1">
        <f t="shared" si="177"/>
        <v>41834</v>
      </c>
      <c r="G5659" cm="1">
        <f t="array" ref="G5659">PRODUCT( _xlfn._xlws.FILTER($E:$E, ($C:$C=C5659)*($F:$F=F5659)) ) - 1</f>
        <v>-4.6164309013259075E-3</v>
      </c>
    </row>
    <row r="5660" spans="1:7" x14ac:dyDescent="0.2">
      <c r="A5660" s="1">
        <v>41836</v>
      </c>
      <c r="B5660">
        <v>2</v>
      </c>
      <c r="C5660" t="s">
        <v>15</v>
      </c>
      <c r="D5660">
        <v>1.3403E-2</v>
      </c>
      <c r="E5660">
        <f t="shared" si="176"/>
        <v>1.0134030000000001</v>
      </c>
      <c r="F5660" s="1">
        <f t="shared" si="177"/>
        <v>41834</v>
      </c>
      <c r="G5660" cm="1">
        <f t="array" ref="G5660">PRODUCT( _xlfn._xlws.FILTER($E:$E, ($C:$C=C5660)*($F:$F=F5660)) ) - 1</f>
        <v>-4.6164309013259075E-3</v>
      </c>
    </row>
    <row r="5661" spans="1:7" x14ac:dyDescent="0.2">
      <c r="A5661" s="1">
        <v>41837</v>
      </c>
      <c r="B5661">
        <v>2</v>
      </c>
      <c r="C5661" t="s">
        <v>15</v>
      </c>
      <c r="D5661">
        <v>7.7800000000000005E-4</v>
      </c>
      <c r="E5661">
        <f t="shared" si="176"/>
        <v>1.0007779999999999</v>
      </c>
      <c r="F5661" s="1">
        <f t="shared" si="177"/>
        <v>41834</v>
      </c>
      <c r="G5661" cm="1">
        <f t="array" ref="G5661">PRODUCT( _xlfn._xlws.FILTER($E:$E, ($C:$C=C5661)*($F:$F=F5661)) ) - 1</f>
        <v>-4.6164309013259075E-3</v>
      </c>
    </row>
    <row r="5662" spans="1:7" x14ac:dyDescent="0.2">
      <c r="A5662" s="1">
        <v>41838</v>
      </c>
      <c r="B5662">
        <v>2</v>
      </c>
      <c r="C5662" t="s">
        <v>15</v>
      </c>
      <c r="D5662">
        <v>5.7010000000000003E-3</v>
      </c>
      <c r="E5662">
        <f t="shared" si="176"/>
        <v>1.005701</v>
      </c>
      <c r="F5662" s="1">
        <f t="shared" si="177"/>
        <v>41834</v>
      </c>
      <c r="G5662" cm="1">
        <f t="array" ref="G5662">PRODUCT( _xlfn._xlws.FILTER($E:$E, ($C:$C=C5662)*($F:$F=F5662)) ) - 1</f>
        <v>-4.6164309013259075E-3</v>
      </c>
    </row>
    <row r="5663" spans="1:7" x14ac:dyDescent="0.2">
      <c r="A5663" s="1">
        <v>41841</v>
      </c>
      <c r="B5663">
        <v>2</v>
      </c>
      <c r="C5663" t="s">
        <v>15</v>
      </c>
      <c r="D5663">
        <v>-3.8649999999999999E-3</v>
      </c>
      <c r="E5663">
        <f t="shared" si="176"/>
        <v>0.99613499999999999</v>
      </c>
      <c r="F5663" s="1">
        <f t="shared" si="177"/>
        <v>41841</v>
      </c>
      <c r="G5663" cm="1">
        <f t="array" ref="G5663">PRODUCT( _xlfn._xlws.FILTER($E:$E, ($C:$C=C5663)*($F:$F=F5663)) ) - 1</f>
        <v>-3.2724194320682631E-2</v>
      </c>
    </row>
    <row r="5664" spans="1:7" x14ac:dyDescent="0.2">
      <c r="A5664" s="1">
        <v>41842</v>
      </c>
      <c r="B5664">
        <v>2</v>
      </c>
      <c r="C5664" t="s">
        <v>15</v>
      </c>
      <c r="D5664">
        <v>-5.4320000000000002E-3</v>
      </c>
      <c r="E5664">
        <f t="shared" si="176"/>
        <v>0.99456800000000001</v>
      </c>
      <c r="F5664" s="1">
        <f t="shared" si="177"/>
        <v>41841</v>
      </c>
      <c r="G5664" cm="1">
        <f t="array" ref="G5664">PRODUCT( _xlfn._xlws.FILTER($E:$E, ($C:$C=C5664)*($F:$F=F5664)) ) - 1</f>
        <v>-3.2724194320682631E-2</v>
      </c>
    </row>
    <row r="5665" spans="1:7" x14ac:dyDescent="0.2">
      <c r="A5665" s="1">
        <v>41843</v>
      </c>
      <c r="B5665">
        <v>2</v>
      </c>
      <c r="C5665" t="s">
        <v>15</v>
      </c>
      <c r="D5665">
        <v>-1.0403000000000001E-2</v>
      </c>
      <c r="E5665">
        <f t="shared" si="176"/>
        <v>0.98959699999999995</v>
      </c>
      <c r="F5665" s="1">
        <f t="shared" si="177"/>
        <v>41841</v>
      </c>
      <c r="G5665" cm="1">
        <f t="array" ref="G5665">PRODUCT( _xlfn._xlws.FILTER($E:$E, ($C:$C=C5665)*($F:$F=F5665)) ) - 1</f>
        <v>-3.2724194320682631E-2</v>
      </c>
    </row>
    <row r="5666" spans="1:7" x14ac:dyDescent="0.2">
      <c r="A5666" s="1">
        <v>41844</v>
      </c>
      <c r="B5666">
        <v>2</v>
      </c>
      <c r="C5666" t="s">
        <v>15</v>
      </c>
      <c r="D5666">
        <v>7.8799999999999996E-4</v>
      </c>
      <c r="E5666">
        <f t="shared" si="176"/>
        <v>1.000788</v>
      </c>
      <c r="F5666" s="1">
        <f t="shared" si="177"/>
        <v>41841</v>
      </c>
      <c r="G5666" cm="1">
        <f t="array" ref="G5666">PRODUCT( _xlfn._xlws.FILTER($E:$E, ($C:$C=C5666)*($F:$F=F5666)) ) - 1</f>
        <v>-3.2724194320682631E-2</v>
      </c>
    </row>
    <row r="5667" spans="1:7" x14ac:dyDescent="0.2">
      <c r="A5667" s="1">
        <v>41845</v>
      </c>
      <c r="B5667">
        <v>2</v>
      </c>
      <c r="C5667" t="s">
        <v>15</v>
      </c>
      <c r="D5667">
        <v>-1.4180999999999999E-2</v>
      </c>
      <c r="E5667">
        <f t="shared" si="176"/>
        <v>0.985819</v>
      </c>
      <c r="F5667" s="1">
        <f t="shared" si="177"/>
        <v>41841</v>
      </c>
      <c r="G5667" cm="1">
        <f t="array" ref="G5667">PRODUCT( _xlfn._xlws.FILTER($E:$E, ($C:$C=C5667)*($F:$F=F5667)) ) - 1</f>
        <v>-3.2724194320682631E-2</v>
      </c>
    </row>
    <row r="5668" spans="1:7" x14ac:dyDescent="0.2">
      <c r="A5668" s="1">
        <v>41848</v>
      </c>
      <c r="B5668">
        <v>2</v>
      </c>
      <c r="C5668" t="s">
        <v>15</v>
      </c>
      <c r="D5668">
        <v>-4.2620000000000002E-3</v>
      </c>
      <c r="E5668">
        <f t="shared" si="176"/>
        <v>0.99573800000000001</v>
      </c>
      <c r="F5668" s="1">
        <f t="shared" si="177"/>
        <v>41848</v>
      </c>
      <c r="G5668" cm="1">
        <f t="array" ref="G5668">PRODUCT( _xlfn._xlws.FILTER($E:$E, ($C:$C=C5668)*($F:$F=F5668)) ) - 1</f>
        <v>1.1453459801398669E-2</v>
      </c>
    </row>
    <row r="5669" spans="1:7" x14ac:dyDescent="0.2">
      <c r="A5669" s="1">
        <v>41849</v>
      </c>
      <c r="B5669">
        <v>2</v>
      </c>
      <c r="C5669" t="s">
        <v>15</v>
      </c>
      <c r="D5669">
        <v>3.7450000000000001E-3</v>
      </c>
      <c r="E5669">
        <f t="shared" si="176"/>
        <v>1.0037450000000001</v>
      </c>
      <c r="F5669" s="1">
        <f t="shared" si="177"/>
        <v>41848</v>
      </c>
      <c r="G5669" cm="1">
        <f t="array" ref="G5669">PRODUCT( _xlfn._xlws.FILTER($E:$E, ($C:$C=C5669)*($F:$F=F5669)) ) - 1</f>
        <v>1.1453459801398669E-2</v>
      </c>
    </row>
    <row r="5670" spans="1:7" x14ac:dyDescent="0.2">
      <c r="A5670" s="1">
        <v>41850</v>
      </c>
      <c r="B5670">
        <v>2</v>
      </c>
      <c r="C5670" t="s">
        <v>15</v>
      </c>
      <c r="D5670">
        <v>1.8922999999999999E-2</v>
      </c>
      <c r="E5670">
        <f t="shared" si="176"/>
        <v>1.018923</v>
      </c>
      <c r="F5670" s="1">
        <f t="shared" si="177"/>
        <v>41848</v>
      </c>
      <c r="G5670" cm="1">
        <f t="array" ref="G5670">PRODUCT( _xlfn._xlws.FILTER($E:$E, ($C:$C=C5670)*($F:$F=F5670)) ) - 1</f>
        <v>1.1453459801398669E-2</v>
      </c>
    </row>
    <row r="5671" spans="1:7" x14ac:dyDescent="0.2">
      <c r="A5671" s="1">
        <v>41851</v>
      </c>
      <c r="B5671">
        <v>2</v>
      </c>
      <c r="C5671" t="s">
        <v>15</v>
      </c>
      <c r="D5671">
        <v>-4.4470000000000004E-3</v>
      </c>
      <c r="E5671">
        <f t="shared" si="176"/>
        <v>0.99555300000000002</v>
      </c>
      <c r="F5671" s="1">
        <f t="shared" si="177"/>
        <v>41848</v>
      </c>
      <c r="G5671" cm="1">
        <f t="array" ref="G5671">PRODUCT( _xlfn._xlws.FILTER($E:$E, ($C:$C=C5671)*($F:$F=F5671)) ) - 1</f>
        <v>1.1453459801398669E-2</v>
      </c>
    </row>
    <row r="5672" spans="1:7" x14ac:dyDescent="0.2">
      <c r="A5672" s="1">
        <v>41852</v>
      </c>
      <c r="B5672">
        <v>2</v>
      </c>
      <c r="C5672" t="s">
        <v>15</v>
      </c>
      <c r="D5672">
        <v>-2.3649999999999999E-3</v>
      </c>
      <c r="E5672">
        <f t="shared" si="176"/>
        <v>0.99763500000000005</v>
      </c>
      <c r="F5672" s="1">
        <f t="shared" si="177"/>
        <v>41848</v>
      </c>
      <c r="G5672" cm="1">
        <f t="array" ref="G5672">PRODUCT( _xlfn._xlws.FILTER($E:$E, ($C:$C=C5672)*($F:$F=F5672)) ) - 1</f>
        <v>1.1453459801398669E-2</v>
      </c>
    </row>
    <row r="5673" spans="1:7" x14ac:dyDescent="0.2">
      <c r="A5673" s="1">
        <v>41856</v>
      </c>
      <c r="B5673">
        <v>2</v>
      </c>
      <c r="C5673" t="s">
        <v>15</v>
      </c>
      <c r="D5673">
        <v>5.5310000000000003E-3</v>
      </c>
      <c r="E5673">
        <f t="shared" si="176"/>
        <v>1.005531</v>
      </c>
      <c r="F5673" s="1">
        <f t="shared" si="177"/>
        <v>41855</v>
      </c>
      <c r="G5673" cm="1">
        <f t="array" ref="G5673">PRODUCT( _xlfn._xlws.FILTER($E:$E, ($C:$C=C5673)*($F:$F=F5673)) ) - 1</f>
        <v>1.317183121473775E-3</v>
      </c>
    </row>
    <row r="5674" spans="1:7" x14ac:dyDescent="0.2">
      <c r="A5674" s="1">
        <v>41857</v>
      </c>
      <c r="B5674">
        <v>2</v>
      </c>
      <c r="C5674" t="s">
        <v>15</v>
      </c>
      <c r="D5674">
        <v>-6.0239999999999998E-3</v>
      </c>
      <c r="E5674">
        <f t="shared" si="176"/>
        <v>0.99397599999999997</v>
      </c>
      <c r="F5674" s="1">
        <f t="shared" si="177"/>
        <v>41855</v>
      </c>
      <c r="G5674" cm="1">
        <f t="array" ref="G5674">PRODUCT( _xlfn._xlws.FILTER($E:$E, ($C:$C=C5674)*($F:$F=F5674)) ) - 1</f>
        <v>1.317183121473775E-3</v>
      </c>
    </row>
    <row r="5675" spans="1:7" x14ac:dyDescent="0.2">
      <c r="A5675" s="1">
        <v>41858</v>
      </c>
      <c r="B5675">
        <v>2</v>
      </c>
      <c r="C5675" t="s">
        <v>15</v>
      </c>
      <c r="D5675">
        <v>7.378E-3</v>
      </c>
      <c r="E5675">
        <f t="shared" si="176"/>
        <v>1.0073780000000001</v>
      </c>
      <c r="F5675" s="1">
        <f t="shared" si="177"/>
        <v>41855</v>
      </c>
      <c r="G5675" cm="1">
        <f t="array" ref="G5675">PRODUCT( _xlfn._xlws.FILTER($E:$E, ($C:$C=C5675)*($F:$F=F5675)) ) - 1</f>
        <v>1.317183121473775E-3</v>
      </c>
    </row>
    <row r="5676" spans="1:7" x14ac:dyDescent="0.2">
      <c r="A5676" s="1">
        <v>41859</v>
      </c>
      <c r="B5676">
        <v>2</v>
      </c>
      <c r="C5676" t="s">
        <v>15</v>
      </c>
      <c r="D5676">
        <v>-5.4929999999999996E-3</v>
      </c>
      <c r="E5676">
        <f t="shared" si="176"/>
        <v>0.99450700000000003</v>
      </c>
      <c r="F5676" s="1">
        <f t="shared" si="177"/>
        <v>41855</v>
      </c>
      <c r="G5676" cm="1">
        <f t="array" ref="G5676">PRODUCT( _xlfn._xlws.FILTER($E:$E, ($C:$C=C5676)*($F:$F=F5676)) ) - 1</f>
        <v>1.317183121473775E-3</v>
      </c>
    </row>
    <row r="5677" spans="1:7" x14ac:dyDescent="0.2">
      <c r="A5677" s="1">
        <v>41862</v>
      </c>
      <c r="B5677">
        <v>2</v>
      </c>
      <c r="C5677" t="s">
        <v>15</v>
      </c>
      <c r="D5677">
        <v>7.365E-3</v>
      </c>
      <c r="E5677">
        <f t="shared" si="176"/>
        <v>1.0073650000000001</v>
      </c>
      <c r="F5677" s="1">
        <f t="shared" si="177"/>
        <v>41862</v>
      </c>
      <c r="G5677" cm="1">
        <f t="array" ref="G5677">PRODUCT( _xlfn._xlws.FILTER($E:$E, ($C:$C=C5677)*($F:$F=F5677)) ) - 1</f>
        <v>1.104804830387951E-2</v>
      </c>
    </row>
    <row r="5678" spans="1:7" x14ac:dyDescent="0.2">
      <c r="A5678" s="1">
        <v>41863</v>
      </c>
      <c r="B5678">
        <v>2</v>
      </c>
      <c r="C5678" t="s">
        <v>15</v>
      </c>
      <c r="D5678">
        <v>1.567E-3</v>
      </c>
      <c r="E5678">
        <f t="shared" si="176"/>
        <v>1.0015670000000001</v>
      </c>
      <c r="F5678" s="1">
        <f t="shared" si="177"/>
        <v>41862</v>
      </c>
      <c r="G5678" cm="1">
        <f t="array" ref="G5678">PRODUCT( _xlfn._xlws.FILTER($E:$E, ($C:$C=C5678)*($F:$F=F5678)) ) - 1</f>
        <v>1.104804830387951E-2</v>
      </c>
    </row>
    <row r="5679" spans="1:7" x14ac:dyDescent="0.2">
      <c r="A5679" s="1">
        <v>41864</v>
      </c>
      <c r="B5679">
        <v>2</v>
      </c>
      <c r="C5679" t="s">
        <v>15</v>
      </c>
      <c r="D5679">
        <v>-1.3029999999999999E-3</v>
      </c>
      <c r="E5679">
        <f t="shared" si="176"/>
        <v>0.99869699999999995</v>
      </c>
      <c r="F5679" s="1">
        <f t="shared" si="177"/>
        <v>41862</v>
      </c>
      <c r="G5679" cm="1">
        <f t="array" ref="G5679">PRODUCT( _xlfn._xlws.FILTER($E:$E, ($C:$C=C5679)*($F:$F=F5679)) ) - 1</f>
        <v>1.104804830387951E-2</v>
      </c>
    </row>
    <row r="5680" spans="1:7" x14ac:dyDescent="0.2">
      <c r="A5680" s="1">
        <v>41865</v>
      </c>
      <c r="B5680">
        <v>2</v>
      </c>
      <c r="C5680" t="s">
        <v>15</v>
      </c>
      <c r="D5680">
        <v>4.9589999999999999E-3</v>
      </c>
      <c r="E5680">
        <f t="shared" si="176"/>
        <v>1.0049589999999999</v>
      </c>
      <c r="F5680" s="1">
        <f t="shared" si="177"/>
        <v>41862</v>
      </c>
      <c r="G5680" cm="1">
        <f t="array" ref="G5680">PRODUCT( _xlfn._xlws.FILTER($E:$E, ($C:$C=C5680)*($F:$F=F5680)) ) - 1</f>
        <v>1.104804830387951E-2</v>
      </c>
    </row>
    <row r="5681" spans="1:7" x14ac:dyDescent="0.2">
      <c r="A5681" s="1">
        <v>41866</v>
      </c>
      <c r="B5681">
        <v>2</v>
      </c>
      <c r="C5681" t="s">
        <v>15</v>
      </c>
      <c r="D5681">
        <v>-1.5579999999999999E-3</v>
      </c>
      <c r="E5681">
        <f t="shared" si="176"/>
        <v>0.99844200000000005</v>
      </c>
      <c r="F5681" s="1">
        <f t="shared" si="177"/>
        <v>41862</v>
      </c>
      <c r="G5681" cm="1">
        <f t="array" ref="G5681">PRODUCT( _xlfn._xlws.FILTER($E:$E, ($C:$C=C5681)*($F:$F=F5681)) ) - 1</f>
        <v>1.104804830387951E-2</v>
      </c>
    </row>
    <row r="5682" spans="1:7" x14ac:dyDescent="0.2">
      <c r="A5682" s="1">
        <v>41869</v>
      </c>
      <c r="B5682">
        <v>2</v>
      </c>
      <c r="C5682" t="s">
        <v>15</v>
      </c>
      <c r="D5682">
        <v>1.3010000000000001E-3</v>
      </c>
      <c r="E5682">
        <f t="shared" si="176"/>
        <v>1.001301</v>
      </c>
      <c r="F5682" s="1">
        <f t="shared" si="177"/>
        <v>41869</v>
      </c>
      <c r="G5682" cm="1">
        <f t="array" ref="G5682">PRODUCT( _xlfn._xlws.FILTER($E:$E, ($C:$C=C5682)*($F:$F=F5682)) ) - 1</f>
        <v>6.5029834374747963E-3</v>
      </c>
    </row>
    <row r="5683" spans="1:7" x14ac:dyDescent="0.2">
      <c r="A5683" s="1">
        <v>41870</v>
      </c>
      <c r="B5683">
        <v>2</v>
      </c>
      <c r="C5683" t="s">
        <v>15</v>
      </c>
      <c r="D5683">
        <v>1.039E-3</v>
      </c>
      <c r="E5683">
        <f t="shared" si="176"/>
        <v>1.001039</v>
      </c>
      <c r="F5683" s="1">
        <f t="shared" si="177"/>
        <v>41869</v>
      </c>
      <c r="G5683" cm="1">
        <f t="array" ref="G5683">PRODUCT( _xlfn._xlws.FILTER($E:$E, ($C:$C=C5683)*($F:$F=F5683)) ) - 1</f>
        <v>6.5029834374747963E-3</v>
      </c>
    </row>
    <row r="5684" spans="1:7" x14ac:dyDescent="0.2">
      <c r="A5684" s="1">
        <v>41871</v>
      </c>
      <c r="B5684">
        <v>2</v>
      </c>
      <c r="C5684" t="s">
        <v>15</v>
      </c>
      <c r="D5684">
        <v>3.8930000000000002E-3</v>
      </c>
      <c r="E5684">
        <f t="shared" si="176"/>
        <v>1.0038929999999999</v>
      </c>
      <c r="F5684" s="1">
        <f t="shared" si="177"/>
        <v>41869</v>
      </c>
      <c r="G5684" cm="1">
        <f t="array" ref="G5684">PRODUCT( _xlfn._xlws.FILTER($E:$E, ($C:$C=C5684)*($F:$F=F5684)) ) - 1</f>
        <v>6.5029834374747963E-3</v>
      </c>
    </row>
    <row r="5685" spans="1:7" x14ac:dyDescent="0.2">
      <c r="A5685" s="1">
        <v>41872</v>
      </c>
      <c r="B5685">
        <v>2</v>
      </c>
      <c r="C5685" t="s">
        <v>15</v>
      </c>
      <c r="D5685">
        <v>-2.715E-3</v>
      </c>
      <c r="E5685">
        <f t="shared" si="176"/>
        <v>0.99728499999999998</v>
      </c>
      <c r="F5685" s="1">
        <f t="shared" si="177"/>
        <v>41869</v>
      </c>
      <c r="G5685" cm="1">
        <f t="array" ref="G5685">PRODUCT( _xlfn._xlws.FILTER($E:$E, ($C:$C=C5685)*($F:$F=F5685)) ) - 1</f>
        <v>6.5029834374747963E-3</v>
      </c>
    </row>
    <row r="5686" spans="1:7" x14ac:dyDescent="0.2">
      <c r="A5686" s="1">
        <v>41873</v>
      </c>
      <c r="B5686">
        <v>2</v>
      </c>
      <c r="C5686" t="s">
        <v>15</v>
      </c>
      <c r="D5686">
        <v>2.9810000000000001E-3</v>
      </c>
      <c r="E5686">
        <f t="shared" si="176"/>
        <v>1.0029809999999999</v>
      </c>
      <c r="F5686" s="1">
        <f t="shared" si="177"/>
        <v>41869</v>
      </c>
      <c r="G5686" cm="1">
        <f t="array" ref="G5686">PRODUCT( _xlfn._xlws.FILTER($E:$E, ($C:$C=C5686)*($F:$F=F5686)) ) - 1</f>
        <v>6.5029834374747963E-3</v>
      </c>
    </row>
    <row r="5687" spans="1:7" x14ac:dyDescent="0.2">
      <c r="A5687" s="1">
        <v>41876</v>
      </c>
      <c r="B5687">
        <v>2</v>
      </c>
      <c r="C5687" t="s">
        <v>15</v>
      </c>
      <c r="D5687">
        <v>4.6519999999999999E-3</v>
      </c>
      <c r="E5687">
        <f t="shared" si="176"/>
        <v>1.0046520000000001</v>
      </c>
      <c r="F5687" s="1">
        <f t="shared" si="177"/>
        <v>41876</v>
      </c>
      <c r="G5687" cm="1">
        <f t="array" ref="G5687">PRODUCT( _xlfn._xlws.FILTER($E:$E, ($C:$C=C5687)*($F:$F=F5687)) ) - 1</f>
        <v>2.5588325260970102E-2</v>
      </c>
    </row>
    <row r="5688" spans="1:7" x14ac:dyDescent="0.2">
      <c r="A5688" s="1">
        <v>41877</v>
      </c>
      <c r="B5688">
        <v>2</v>
      </c>
      <c r="C5688" t="s">
        <v>15</v>
      </c>
      <c r="D5688">
        <v>9.2619999999999994E-3</v>
      </c>
      <c r="E5688">
        <f t="shared" si="176"/>
        <v>1.0092620000000001</v>
      </c>
      <c r="F5688" s="1">
        <f t="shared" si="177"/>
        <v>41876</v>
      </c>
      <c r="G5688" cm="1">
        <f t="array" ref="G5688">PRODUCT( _xlfn._xlws.FILTER($E:$E, ($C:$C=C5688)*($F:$F=F5688)) ) - 1</f>
        <v>2.5588325260970102E-2</v>
      </c>
    </row>
    <row r="5689" spans="1:7" x14ac:dyDescent="0.2">
      <c r="A5689" s="1">
        <v>41878</v>
      </c>
      <c r="B5689">
        <v>2</v>
      </c>
      <c r="C5689" t="s">
        <v>15</v>
      </c>
      <c r="D5689">
        <v>7.6499999999999995E-4</v>
      </c>
      <c r="E5689">
        <f t="shared" si="176"/>
        <v>1.0007649999999999</v>
      </c>
      <c r="F5689" s="1">
        <f t="shared" si="177"/>
        <v>41876</v>
      </c>
      <c r="G5689" cm="1">
        <f t="array" ref="G5689">PRODUCT( _xlfn._xlws.FILTER($E:$E, ($C:$C=C5689)*($F:$F=F5689)) ) - 1</f>
        <v>2.5588325260970102E-2</v>
      </c>
    </row>
    <row r="5690" spans="1:7" x14ac:dyDescent="0.2">
      <c r="A5690" s="1">
        <v>41879</v>
      </c>
      <c r="B5690">
        <v>2</v>
      </c>
      <c r="C5690" t="s">
        <v>15</v>
      </c>
      <c r="D5690">
        <v>7.8960000000000002E-3</v>
      </c>
      <c r="E5690">
        <f t="shared" si="176"/>
        <v>1.0078959999999999</v>
      </c>
      <c r="F5690" s="1">
        <f t="shared" si="177"/>
        <v>41876</v>
      </c>
      <c r="G5690" cm="1">
        <f t="array" ref="G5690">PRODUCT( _xlfn._xlws.FILTER($E:$E, ($C:$C=C5690)*($F:$F=F5690)) ) - 1</f>
        <v>2.5588325260970102E-2</v>
      </c>
    </row>
    <row r="5691" spans="1:7" x14ac:dyDescent="0.2">
      <c r="A5691" s="1">
        <v>41880</v>
      </c>
      <c r="B5691">
        <v>2</v>
      </c>
      <c r="C5691" t="s">
        <v>15</v>
      </c>
      <c r="D5691">
        <v>2.7799999999999999E-3</v>
      </c>
      <c r="E5691">
        <f t="shared" si="176"/>
        <v>1.00278</v>
      </c>
      <c r="F5691" s="1">
        <f t="shared" si="177"/>
        <v>41876</v>
      </c>
      <c r="G5691" cm="1">
        <f t="array" ref="G5691">PRODUCT( _xlfn._xlws.FILTER($E:$E, ($C:$C=C5691)*($F:$F=F5691)) ) - 1</f>
        <v>2.5588325260970102E-2</v>
      </c>
    </row>
    <row r="5692" spans="1:7" x14ac:dyDescent="0.2">
      <c r="A5692" s="1">
        <v>41884</v>
      </c>
      <c r="B5692">
        <v>2</v>
      </c>
      <c r="C5692" t="s">
        <v>15</v>
      </c>
      <c r="D5692">
        <v>4.5360000000000001E-3</v>
      </c>
      <c r="E5692">
        <f t="shared" si="176"/>
        <v>1.0045360000000001</v>
      </c>
      <c r="F5692" s="1">
        <f t="shared" si="177"/>
        <v>41883</v>
      </c>
      <c r="G5692" cm="1">
        <f t="array" ref="G5692">PRODUCT( _xlfn._xlws.FILTER($E:$E, ($C:$C=C5692)*($F:$F=F5692)) ) - 1</f>
        <v>4.2842297395699891E-3</v>
      </c>
    </row>
    <row r="5693" spans="1:7" x14ac:dyDescent="0.2">
      <c r="A5693" s="1">
        <v>41885</v>
      </c>
      <c r="B5693">
        <v>2</v>
      </c>
      <c r="C5693" t="s">
        <v>15</v>
      </c>
      <c r="D5693">
        <v>2.5099999999999998E-4</v>
      </c>
      <c r="E5693">
        <f t="shared" si="176"/>
        <v>1.000251</v>
      </c>
      <c r="F5693" s="1">
        <f t="shared" si="177"/>
        <v>41883</v>
      </c>
      <c r="G5693" cm="1">
        <f t="array" ref="G5693">PRODUCT( _xlfn._xlws.FILTER($E:$E, ($C:$C=C5693)*($F:$F=F5693)) ) - 1</f>
        <v>4.2842297395699891E-3</v>
      </c>
    </row>
    <row r="5694" spans="1:7" x14ac:dyDescent="0.2">
      <c r="A5694" s="1">
        <v>41886</v>
      </c>
      <c r="B5694">
        <v>2</v>
      </c>
      <c r="C5694" t="s">
        <v>15</v>
      </c>
      <c r="D5694">
        <v>1.003E-3</v>
      </c>
      <c r="E5694">
        <f t="shared" si="176"/>
        <v>1.0010030000000001</v>
      </c>
      <c r="F5694" s="1">
        <f t="shared" si="177"/>
        <v>41883</v>
      </c>
      <c r="G5694" cm="1">
        <f t="array" ref="G5694">PRODUCT( _xlfn._xlws.FILTER($E:$E, ($C:$C=C5694)*($F:$F=F5694)) ) - 1</f>
        <v>4.2842297395699891E-3</v>
      </c>
    </row>
    <row r="5695" spans="1:7" x14ac:dyDescent="0.2">
      <c r="A5695" s="1">
        <v>41887</v>
      </c>
      <c r="B5695">
        <v>2</v>
      </c>
      <c r="C5695" t="s">
        <v>15</v>
      </c>
      <c r="D5695">
        <v>-1.503E-3</v>
      </c>
      <c r="E5695">
        <f t="shared" si="176"/>
        <v>0.99849699999999997</v>
      </c>
      <c r="F5695" s="1">
        <f t="shared" si="177"/>
        <v>41883</v>
      </c>
      <c r="G5695" cm="1">
        <f t="array" ref="G5695">PRODUCT( _xlfn._xlws.FILTER($E:$E, ($C:$C=C5695)*($F:$F=F5695)) ) - 1</f>
        <v>4.2842297395699891E-3</v>
      </c>
    </row>
    <row r="5696" spans="1:7" x14ac:dyDescent="0.2">
      <c r="A5696" s="1">
        <v>41890</v>
      </c>
      <c r="B5696">
        <v>2</v>
      </c>
      <c r="C5696" t="s">
        <v>15</v>
      </c>
      <c r="D5696">
        <v>-4.0150000000000003E-3</v>
      </c>
      <c r="E5696">
        <f t="shared" si="176"/>
        <v>0.99598500000000001</v>
      </c>
      <c r="F5696" s="1">
        <f t="shared" si="177"/>
        <v>41890</v>
      </c>
      <c r="G5696" cm="1">
        <f t="array" ref="G5696">PRODUCT( _xlfn._xlws.FILTER($E:$E, ($C:$C=C5696)*($F:$F=F5696)) ) - 1</f>
        <v>5.6132622125755205E-3</v>
      </c>
    </row>
    <row r="5697" spans="1:7" x14ac:dyDescent="0.2">
      <c r="A5697" s="1">
        <v>41891</v>
      </c>
      <c r="B5697">
        <v>2</v>
      </c>
      <c r="C5697" t="s">
        <v>15</v>
      </c>
      <c r="D5697">
        <v>9.9209999999999993E-3</v>
      </c>
      <c r="E5697">
        <f t="shared" si="176"/>
        <v>1.0099210000000001</v>
      </c>
      <c r="F5697" s="1">
        <f t="shared" si="177"/>
        <v>41890</v>
      </c>
      <c r="G5697" cm="1">
        <f t="array" ref="G5697">PRODUCT( _xlfn._xlws.FILTER($E:$E, ($C:$C=C5697)*($F:$F=F5697)) ) - 1</f>
        <v>5.6132622125755205E-3</v>
      </c>
    </row>
    <row r="5698" spans="1:7" x14ac:dyDescent="0.2">
      <c r="A5698" s="1">
        <v>41892</v>
      </c>
      <c r="B5698">
        <v>2</v>
      </c>
      <c r="C5698" t="s">
        <v>15</v>
      </c>
      <c r="D5698">
        <v>7.5600000000000005E-4</v>
      </c>
      <c r="E5698">
        <f t="shared" si="176"/>
        <v>1.000756</v>
      </c>
      <c r="F5698" s="1">
        <f t="shared" si="177"/>
        <v>41890</v>
      </c>
      <c r="G5698" cm="1">
        <f t="array" ref="G5698">PRODUCT( _xlfn._xlws.FILTER($E:$E, ($C:$C=C5698)*($F:$F=F5698)) ) - 1</f>
        <v>5.6132622125755205E-3</v>
      </c>
    </row>
    <row r="5699" spans="1:7" x14ac:dyDescent="0.2">
      <c r="A5699" s="1">
        <v>41893</v>
      </c>
      <c r="B5699">
        <v>2</v>
      </c>
      <c r="C5699" t="s">
        <v>15</v>
      </c>
      <c r="D5699">
        <v>6.796E-3</v>
      </c>
      <c r="E5699">
        <f t="shared" si="176"/>
        <v>1.006796</v>
      </c>
      <c r="F5699" s="1">
        <f t="shared" si="177"/>
        <v>41890</v>
      </c>
      <c r="G5699" cm="1">
        <f t="array" ref="G5699">PRODUCT( _xlfn._xlws.FILTER($E:$E, ($C:$C=C5699)*($F:$F=F5699)) ) - 1</f>
        <v>5.6132622125755205E-3</v>
      </c>
    </row>
    <row r="5700" spans="1:7" x14ac:dyDescent="0.2">
      <c r="A5700" s="1">
        <v>41894</v>
      </c>
      <c r="B5700">
        <v>2</v>
      </c>
      <c r="C5700" t="s">
        <v>15</v>
      </c>
      <c r="D5700">
        <v>-7.7499999999999999E-3</v>
      </c>
      <c r="E5700">
        <f t="shared" ref="E5700:E5763" si="178">D5700+1</f>
        <v>0.99224999999999997</v>
      </c>
      <c r="F5700" s="1">
        <f t="shared" ref="F5700:F5763" si="179">A5700 - (WEEKDAY(A5700, 2) - 1)</f>
        <v>41890</v>
      </c>
      <c r="G5700" cm="1">
        <f t="array" ref="G5700">PRODUCT( _xlfn._xlws.FILTER($E:$E, ($C:$C=C5700)*($F:$F=F5700)) ) - 1</f>
        <v>5.6132622125755205E-3</v>
      </c>
    </row>
    <row r="5701" spans="1:7" x14ac:dyDescent="0.2">
      <c r="A5701" s="1">
        <v>41897</v>
      </c>
      <c r="B5701">
        <v>2</v>
      </c>
      <c r="C5701" t="s">
        <v>15</v>
      </c>
      <c r="D5701">
        <v>-3.2750000000000001E-3</v>
      </c>
      <c r="E5701">
        <f t="shared" si="178"/>
        <v>0.99672499999999997</v>
      </c>
      <c r="F5701" s="1">
        <f t="shared" si="179"/>
        <v>41897</v>
      </c>
      <c r="G5701" cm="1">
        <f t="array" ref="G5701">PRODUCT( _xlfn._xlws.FILTER($E:$E, ($C:$C=C5701)*($F:$F=F5701)) ) - 1</f>
        <v>-1.5368737370453189E-2</v>
      </c>
    </row>
    <row r="5702" spans="1:7" x14ac:dyDescent="0.2">
      <c r="A5702" s="1">
        <v>41898</v>
      </c>
      <c r="B5702">
        <v>2</v>
      </c>
      <c r="C5702" t="s">
        <v>15</v>
      </c>
      <c r="D5702">
        <v>-1.5169999999999999E-3</v>
      </c>
      <c r="E5702">
        <f t="shared" si="178"/>
        <v>0.99848300000000001</v>
      </c>
      <c r="F5702" s="1">
        <f t="shared" si="179"/>
        <v>41897</v>
      </c>
      <c r="G5702" cm="1">
        <f t="array" ref="G5702">PRODUCT( _xlfn._xlws.FILTER($E:$E, ($C:$C=C5702)*($F:$F=F5702)) ) - 1</f>
        <v>-1.5368737370453189E-2</v>
      </c>
    </row>
    <row r="5703" spans="1:7" x14ac:dyDescent="0.2">
      <c r="A5703" s="1">
        <v>41899</v>
      </c>
      <c r="B5703">
        <v>2</v>
      </c>
      <c r="C5703" t="s">
        <v>15</v>
      </c>
      <c r="D5703">
        <v>-1.3924000000000001E-2</v>
      </c>
      <c r="E5703">
        <f t="shared" si="178"/>
        <v>0.98607599999999995</v>
      </c>
      <c r="F5703" s="1">
        <f t="shared" si="179"/>
        <v>41897</v>
      </c>
      <c r="G5703" cm="1">
        <f t="array" ref="G5703">PRODUCT( _xlfn._xlws.FILTER($E:$E, ($C:$C=C5703)*($F:$F=F5703)) ) - 1</f>
        <v>-1.5368737370453189E-2</v>
      </c>
    </row>
    <row r="5704" spans="1:7" x14ac:dyDescent="0.2">
      <c r="A5704" s="1">
        <v>41900</v>
      </c>
      <c r="B5704">
        <v>2</v>
      </c>
      <c r="C5704" t="s">
        <v>15</v>
      </c>
      <c r="D5704">
        <v>6.6750000000000004E-3</v>
      </c>
      <c r="E5704">
        <f t="shared" si="178"/>
        <v>1.006675</v>
      </c>
      <c r="F5704" s="1">
        <f t="shared" si="179"/>
        <v>41897</v>
      </c>
      <c r="G5704" cm="1">
        <f t="array" ref="G5704">PRODUCT( _xlfn._xlws.FILTER($E:$E, ($C:$C=C5704)*($F:$F=F5704)) ) - 1</f>
        <v>-1.5368737370453189E-2</v>
      </c>
    </row>
    <row r="5705" spans="1:7" x14ac:dyDescent="0.2">
      <c r="A5705" s="1">
        <v>41901</v>
      </c>
      <c r="B5705">
        <v>2</v>
      </c>
      <c r="C5705" t="s">
        <v>15</v>
      </c>
      <c r="D5705">
        <v>-3.3149999999999998E-3</v>
      </c>
      <c r="E5705">
        <f t="shared" si="178"/>
        <v>0.99668500000000004</v>
      </c>
      <c r="F5705" s="1">
        <f t="shared" si="179"/>
        <v>41897</v>
      </c>
      <c r="G5705" cm="1">
        <f t="array" ref="G5705">PRODUCT( _xlfn._xlws.FILTER($E:$E, ($C:$C=C5705)*($F:$F=F5705)) ) - 1</f>
        <v>-1.5368737370453189E-2</v>
      </c>
    </row>
    <row r="5706" spans="1:7" x14ac:dyDescent="0.2">
      <c r="A5706" s="1">
        <v>41904</v>
      </c>
      <c r="B5706">
        <v>2</v>
      </c>
      <c r="C5706" t="s">
        <v>15</v>
      </c>
      <c r="D5706">
        <v>0</v>
      </c>
      <c r="E5706">
        <f t="shared" si="178"/>
        <v>1</v>
      </c>
      <c r="F5706" s="1">
        <f t="shared" si="179"/>
        <v>41904</v>
      </c>
      <c r="G5706" cm="1">
        <f t="array" ref="G5706">PRODUCT( _xlfn._xlws.FILTER($E:$E, ($C:$C=C5706)*($F:$F=F5706)) ) - 1</f>
        <v>-1.305110099283302E-2</v>
      </c>
    </row>
    <row r="5707" spans="1:7" x14ac:dyDescent="0.2">
      <c r="A5707" s="1">
        <v>41905</v>
      </c>
      <c r="B5707">
        <v>2</v>
      </c>
      <c r="C5707" t="s">
        <v>15</v>
      </c>
      <c r="D5707">
        <v>5.6290000000000003E-3</v>
      </c>
      <c r="E5707">
        <f t="shared" si="178"/>
        <v>1.0056290000000001</v>
      </c>
      <c r="F5707" s="1">
        <f t="shared" si="179"/>
        <v>41904</v>
      </c>
      <c r="G5707" cm="1">
        <f t="array" ref="G5707">PRODUCT( _xlfn._xlws.FILTER($E:$E, ($C:$C=C5707)*($F:$F=F5707)) ) - 1</f>
        <v>-1.305110099283302E-2</v>
      </c>
    </row>
    <row r="5708" spans="1:7" x14ac:dyDescent="0.2">
      <c r="A5708" s="1">
        <v>41906</v>
      </c>
      <c r="B5708">
        <v>2</v>
      </c>
      <c r="C5708" t="s">
        <v>15</v>
      </c>
      <c r="D5708">
        <v>3.5620000000000001E-3</v>
      </c>
      <c r="E5708">
        <f t="shared" si="178"/>
        <v>1.0035620000000001</v>
      </c>
      <c r="F5708" s="1">
        <f t="shared" si="179"/>
        <v>41904</v>
      </c>
      <c r="G5708" cm="1">
        <f t="array" ref="G5708">PRODUCT( _xlfn._xlws.FILTER($E:$E, ($C:$C=C5708)*($F:$F=F5708)) ) - 1</f>
        <v>-1.305110099283302E-2</v>
      </c>
    </row>
    <row r="5709" spans="1:7" x14ac:dyDescent="0.2">
      <c r="A5709" s="1">
        <v>41907</v>
      </c>
      <c r="B5709">
        <v>2</v>
      </c>
      <c r="C5709" t="s">
        <v>15</v>
      </c>
      <c r="D5709">
        <v>-2.5862E-2</v>
      </c>
      <c r="E5709">
        <f t="shared" si="178"/>
        <v>0.97413799999999995</v>
      </c>
      <c r="F5709" s="1">
        <f t="shared" si="179"/>
        <v>41904</v>
      </c>
      <c r="G5709" cm="1">
        <f t="array" ref="G5709">PRODUCT( _xlfn._xlws.FILTER($E:$E, ($C:$C=C5709)*($F:$F=F5709)) ) - 1</f>
        <v>-1.305110099283302E-2</v>
      </c>
    </row>
    <row r="5710" spans="1:7" x14ac:dyDescent="0.2">
      <c r="A5710" s="1">
        <v>41908</v>
      </c>
      <c r="B5710">
        <v>2</v>
      </c>
      <c r="C5710" t="s">
        <v>15</v>
      </c>
      <c r="D5710">
        <v>3.9039999999999999E-3</v>
      </c>
      <c r="E5710">
        <f t="shared" si="178"/>
        <v>1.0039039999999999</v>
      </c>
      <c r="F5710" s="1">
        <f t="shared" si="179"/>
        <v>41904</v>
      </c>
      <c r="G5710" cm="1">
        <f t="array" ref="G5710">PRODUCT( _xlfn._xlws.FILTER($E:$E, ($C:$C=C5710)*($F:$F=F5710)) ) - 1</f>
        <v>-1.305110099283302E-2</v>
      </c>
    </row>
    <row r="5711" spans="1:7" x14ac:dyDescent="0.2">
      <c r="A5711" s="1">
        <v>41911</v>
      </c>
      <c r="B5711">
        <v>2</v>
      </c>
      <c r="C5711" t="s">
        <v>15</v>
      </c>
      <c r="D5711">
        <v>-1.0111E-2</v>
      </c>
      <c r="E5711">
        <f t="shared" si="178"/>
        <v>0.98988900000000002</v>
      </c>
      <c r="F5711" s="1">
        <f t="shared" si="179"/>
        <v>41911</v>
      </c>
      <c r="G5711" cm="1">
        <f t="array" ref="G5711">PRODUCT( _xlfn._xlws.FILTER($E:$E, ($C:$C=C5711)*($F:$F=F5711)) ) - 1</f>
        <v>1.0372946412513517E-2</v>
      </c>
    </row>
    <row r="5712" spans="1:7" x14ac:dyDescent="0.2">
      <c r="A5712" s="1">
        <v>41912</v>
      </c>
      <c r="B5712">
        <v>2</v>
      </c>
      <c r="C5712" t="s">
        <v>15</v>
      </c>
      <c r="D5712">
        <v>1.572E-3</v>
      </c>
      <c r="E5712">
        <f t="shared" si="178"/>
        <v>1.0015719999999999</v>
      </c>
      <c r="F5712" s="1">
        <f t="shared" si="179"/>
        <v>41911</v>
      </c>
      <c r="G5712" cm="1">
        <f t="array" ref="G5712">PRODUCT( _xlfn._xlws.FILTER($E:$E, ($C:$C=C5712)*($F:$F=F5712)) ) - 1</f>
        <v>1.0372946412513517E-2</v>
      </c>
    </row>
    <row r="5713" spans="1:7" x14ac:dyDescent="0.2">
      <c r="A5713" s="1">
        <v>41913</v>
      </c>
      <c r="B5713">
        <v>2</v>
      </c>
      <c r="C5713" t="s">
        <v>15</v>
      </c>
      <c r="D5713">
        <v>2.8770000000000002E-3</v>
      </c>
      <c r="E5713">
        <f t="shared" si="178"/>
        <v>1.002877</v>
      </c>
      <c r="F5713" s="1">
        <f t="shared" si="179"/>
        <v>41911</v>
      </c>
      <c r="G5713" cm="1">
        <f t="array" ref="G5713">PRODUCT( _xlfn._xlws.FILTER($E:$E, ($C:$C=C5713)*($F:$F=F5713)) ) - 1</f>
        <v>1.0372946412513517E-2</v>
      </c>
    </row>
    <row r="5714" spans="1:7" x14ac:dyDescent="0.2">
      <c r="A5714" s="1">
        <v>41914</v>
      </c>
      <c r="B5714">
        <v>2</v>
      </c>
      <c r="C5714" t="s">
        <v>15</v>
      </c>
      <c r="D5714">
        <v>1.3299E-2</v>
      </c>
      <c r="E5714">
        <f t="shared" si="178"/>
        <v>1.0132989999999999</v>
      </c>
      <c r="F5714" s="1">
        <f t="shared" si="179"/>
        <v>41911</v>
      </c>
      <c r="G5714" cm="1">
        <f t="array" ref="G5714">PRODUCT( _xlfn._xlws.FILTER($E:$E, ($C:$C=C5714)*($F:$F=F5714)) ) - 1</f>
        <v>1.0372946412513517E-2</v>
      </c>
    </row>
    <row r="5715" spans="1:7" x14ac:dyDescent="0.2">
      <c r="A5715" s="1">
        <v>41915</v>
      </c>
      <c r="B5715">
        <v>2</v>
      </c>
      <c r="C5715" t="s">
        <v>15</v>
      </c>
      <c r="D5715">
        <v>2.8310000000000002E-3</v>
      </c>
      <c r="E5715">
        <f t="shared" si="178"/>
        <v>1.002831</v>
      </c>
      <c r="F5715" s="1">
        <f t="shared" si="179"/>
        <v>41911</v>
      </c>
      <c r="G5715" cm="1">
        <f t="array" ref="G5715">PRODUCT( _xlfn._xlws.FILTER($E:$E, ($C:$C=C5715)*($F:$F=F5715)) ) - 1</f>
        <v>1.0372946412513517E-2</v>
      </c>
    </row>
    <row r="5716" spans="1:7" x14ac:dyDescent="0.2">
      <c r="A5716" s="1">
        <v>41918</v>
      </c>
      <c r="B5716">
        <v>2</v>
      </c>
      <c r="C5716" t="s">
        <v>15</v>
      </c>
      <c r="D5716">
        <v>3.5920000000000001E-3</v>
      </c>
      <c r="E5716">
        <f t="shared" si="178"/>
        <v>1.003592</v>
      </c>
      <c r="F5716" s="1">
        <f t="shared" si="179"/>
        <v>41918</v>
      </c>
      <c r="G5716" cm="1">
        <f t="array" ref="G5716">PRODUCT( _xlfn._xlws.FILTER($E:$E, ($C:$C=C5716)*($F:$F=F5716)) ) - 1</f>
        <v>-1.3600224151895546E-2</v>
      </c>
    </row>
    <row r="5717" spans="1:7" x14ac:dyDescent="0.2">
      <c r="A5717" s="1">
        <v>41919</v>
      </c>
      <c r="B5717">
        <v>2</v>
      </c>
      <c r="C5717" t="s">
        <v>15</v>
      </c>
      <c r="D5717">
        <v>-1.023E-3</v>
      </c>
      <c r="E5717">
        <f t="shared" si="178"/>
        <v>0.998977</v>
      </c>
      <c r="F5717" s="1">
        <f t="shared" si="179"/>
        <v>41918</v>
      </c>
      <c r="G5717" cm="1">
        <f t="array" ref="G5717">PRODUCT( _xlfn._xlws.FILTER($E:$E, ($C:$C=C5717)*($F:$F=F5717)) ) - 1</f>
        <v>-1.3600224151895546E-2</v>
      </c>
    </row>
    <row r="5718" spans="1:7" x14ac:dyDescent="0.2">
      <c r="A5718" s="1">
        <v>41920</v>
      </c>
      <c r="B5718">
        <v>2</v>
      </c>
      <c r="C5718" t="s">
        <v>15</v>
      </c>
      <c r="D5718">
        <v>7.6800000000000002E-4</v>
      </c>
      <c r="E5718">
        <f t="shared" si="178"/>
        <v>1.0007680000000001</v>
      </c>
      <c r="F5718" s="1">
        <f t="shared" si="179"/>
        <v>41918</v>
      </c>
      <c r="G5718" cm="1">
        <f t="array" ref="G5718">PRODUCT( _xlfn._xlws.FILTER($E:$E, ($C:$C=C5718)*($F:$F=F5718)) ) - 1</f>
        <v>-1.3600224151895546E-2</v>
      </c>
    </row>
    <row r="5719" spans="1:7" x14ac:dyDescent="0.2">
      <c r="A5719" s="1">
        <v>41921</v>
      </c>
      <c r="B5719">
        <v>2</v>
      </c>
      <c r="C5719" t="s">
        <v>15</v>
      </c>
      <c r="D5719">
        <v>1.5349999999999999E-3</v>
      </c>
      <c r="E5719">
        <f t="shared" si="178"/>
        <v>1.0015350000000001</v>
      </c>
      <c r="F5719" s="1">
        <f t="shared" si="179"/>
        <v>41918</v>
      </c>
      <c r="G5719" cm="1">
        <f t="array" ref="G5719">PRODUCT( _xlfn._xlws.FILTER($E:$E, ($C:$C=C5719)*($F:$F=F5719)) ) - 1</f>
        <v>-1.3600224151895546E-2</v>
      </c>
    </row>
    <row r="5720" spans="1:7" x14ac:dyDescent="0.2">
      <c r="A5720" s="1">
        <v>41922</v>
      </c>
      <c r="B5720">
        <v>2</v>
      </c>
      <c r="C5720" t="s">
        <v>15</v>
      </c>
      <c r="D5720">
        <v>-1.8386E-2</v>
      </c>
      <c r="E5720">
        <f t="shared" si="178"/>
        <v>0.98161399999999999</v>
      </c>
      <c r="F5720" s="1">
        <f t="shared" si="179"/>
        <v>41918</v>
      </c>
      <c r="G5720" cm="1">
        <f t="array" ref="G5720">PRODUCT( _xlfn._xlws.FILTER($E:$E, ($C:$C=C5720)*($F:$F=F5720)) ) - 1</f>
        <v>-1.3600224151895546E-2</v>
      </c>
    </row>
    <row r="5721" spans="1:7" x14ac:dyDescent="0.2">
      <c r="A5721" s="1">
        <v>41926</v>
      </c>
      <c r="B5721">
        <v>2</v>
      </c>
      <c r="C5721" t="s">
        <v>15</v>
      </c>
      <c r="D5721">
        <v>-1.0666E-2</v>
      </c>
      <c r="E5721">
        <f t="shared" si="178"/>
        <v>0.98933400000000005</v>
      </c>
      <c r="F5721" s="1">
        <f t="shared" si="179"/>
        <v>41925</v>
      </c>
      <c r="G5721" cm="1">
        <f t="array" ref="G5721">PRODUCT( _xlfn._xlws.FILTER($E:$E, ($C:$C=C5721)*($F:$F=F5721)) ) - 1</f>
        <v>-1.0404868188240601E-2</v>
      </c>
    </row>
    <row r="5722" spans="1:7" x14ac:dyDescent="0.2">
      <c r="A5722" s="1">
        <v>41927</v>
      </c>
      <c r="B5722">
        <v>2</v>
      </c>
      <c r="C5722" t="s">
        <v>15</v>
      </c>
      <c r="D5722">
        <v>-8.6770000000000007E-3</v>
      </c>
      <c r="E5722">
        <f t="shared" si="178"/>
        <v>0.99132299999999995</v>
      </c>
      <c r="F5722" s="1">
        <f t="shared" si="179"/>
        <v>41925</v>
      </c>
      <c r="G5722" cm="1">
        <f t="array" ref="G5722">PRODUCT( _xlfn._xlws.FILTER($E:$E, ($C:$C=C5722)*($F:$F=F5722)) ) - 1</f>
        <v>-1.0404868188240601E-2</v>
      </c>
    </row>
    <row r="5723" spans="1:7" x14ac:dyDescent="0.2">
      <c r="A5723" s="1">
        <v>41928</v>
      </c>
      <c r="B5723">
        <v>2</v>
      </c>
      <c r="C5723" t="s">
        <v>15</v>
      </c>
      <c r="D5723">
        <v>7.162E-3</v>
      </c>
      <c r="E5723">
        <f t="shared" si="178"/>
        <v>1.0071619999999999</v>
      </c>
      <c r="F5723" s="1">
        <f t="shared" si="179"/>
        <v>41925</v>
      </c>
      <c r="G5723" cm="1">
        <f t="array" ref="G5723">PRODUCT( _xlfn._xlws.FILTER($E:$E, ($C:$C=C5723)*($F:$F=F5723)) ) - 1</f>
        <v>-1.0404868188240601E-2</v>
      </c>
    </row>
    <row r="5724" spans="1:7" x14ac:dyDescent="0.2">
      <c r="A5724" s="1">
        <v>41929</v>
      </c>
      <c r="B5724">
        <v>2</v>
      </c>
      <c r="C5724" t="s">
        <v>15</v>
      </c>
      <c r="D5724">
        <v>1.8439999999999999E-3</v>
      </c>
      <c r="E5724">
        <f t="shared" si="178"/>
        <v>1.001844</v>
      </c>
      <c r="F5724" s="1">
        <f t="shared" si="179"/>
        <v>41925</v>
      </c>
      <c r="G5724" cm="1">
        <f t="array" ref="G5724">PRODUCT( _xlfn._xlws.FILTER($E:$E, ($C:$C=C5724)*($F:$F=F5724)) ) - 1</f>
        <v>-1.0404868188240601E-2</v>
      </c>
    </row>
    <row r="5725" spans="1:7" x14ac:dyDescent="0.2">
      <c r="A5725" s="1">
        <v>41932</v>
      </c>
      <c r="B5725">
        <v>2</v>
      </c>
      <c r="C5725" t="s">
        <v>15</v>
      </c>
      <c r="D5725">
        <v>7.3610000000000004E-3</v>
      </c>
      <c r="E5725">
        <f t="shared" si="178"/>
        <v>1.007361</v>
      </c>
      <c r="F5725" s="1">
        <f t="shared" si="179"/>
        <v>41932</v>
      </c>
      <c r="G5725" cm="1">
        <f t="array" ref="G5725">PRODUCT( _xlfn._xlws.FILTER($E:$E, ($C:$C=C5725)*($F:$F=F5725)) ) - 1</f>
        <v>3.9958861934037859E-2</v>
      </c>
    </row>
    <row r="5726" spans="1:7" x14ac:dyDescent="0.2">
      <c r="A5726" s="1">
        <v>41933</v>
      </c>
      <c r="B5726">
        <v>2</v>
      </c>
      <c r="C5726" t="s">
        <v>15</v>
      </c>
      <c r="D5726">
        <v>2.1138000000000001E-2</v>
      </c>
      <c r="E5726">
        <f t="shared" si="178"/>
        <v>1.0211380000000001</v>
      </c>
      <c r="F5726" s="1">
        <f t="shared" si="179"/>
        <v>41932</v>
      </c>
      <c r="G5726" cm="1">
        <f t="array" ref="G5726">PRODUCT( _xlfn._xlws.FILTER($E:$E, ($C:$C=C5726)*($F:$F=F5726)) ) - 1</f>
        <v>3.9958861934037859E-2</v>
      </c>
    </row>
    <row r="5727" spans="1:7" x14ac:dyDescent="0.2">
      <c r="A5727" s="1">
        <v>41934</v>
      </c>
      <c r="B5727">
        <v>2</v>
      </c>
      <c r="C5727" t="s">
        <v>15</v>
      </c>
      <c r="D5727">
        <v>-7.6670000000000002E-3</v>
      </c>
      <c r="E5727">
        <f t="shared" si="178"/>
        <v>0.99233300000000002</v>
      </c>
      <c r="F5727" s="1">
        <f t="shared" si="179"/>
        <v>41932</v>
      </c>
      <c r="G5727" cm="1">
        <f t="array" ref="G5727">PRODUCT( _xlfn._xlws.FILTER($E:$E, ($C:$C=C5727)*($F:$F=F5727)) ) - 1</f>
        <v>3.9958861934037859E-2</v>
      </c>
    </row>
    <row r="5728" spans="1:7" x14ac:dyDescent="0.2">
      <c r="A5728" s="1">
        <v>41935</v>
      </c>
      <c r="B5728">
        <v>2</v>
      </c>
      <c r="C5728" t="s">
        <v>15</v>
      </c>
      <c r="D5728">
        <v>6.6959999999999997E-3</v>
      </c>
      <c r="E5728">
        <f t="shared" si="178"/>
        <v>1.006696</v>
      </c>
      <c r="F5728" s="1">
        <f t="shared" si="179"/>
        <v>41932</v>
      </c>
      <c r="G5728" cm="1">
        <f t="array" ref="G5728">PRODUCT( _xlfn._xlws.FILTER($E:$E, ($C:$C=C5728)*($F:$F=F5728)) ) - 1</f>
        <v>3.9958861934037859E-2</v>
      </c>
    </row>
    <row r="5729" spans="1:7" x14ac:dyDescent="0.2">
      <c r="A5729" s="1">
        <v>41936</v>
      </c>
      <c r="B5729">
        <v>2</v>
      </c>
      <c r="C5729" t="s">
        <v>15</v>
      </c>
      <c r="D5729">
        <v>1.2024E-2</v>
      </c>
      <c r="E5729">
        <f t="shared" si="178"/>
        <v>1.012024</v>
      </c>
      <c r="F5729" s="1">
        <f t="shared" si="179"/>
        <v>41932</v>
      </c>
      <c r="G5729" cm="1">
        <f t="array" ref="G5729">PRODUCT( _xlfn._xlws.FILTER($E:$E, ($C:$C=C5729)*($F:$F=F5729)) ) - 1</f>
        <v>3.9958861934037859E-2</v>
      </c>
    </row>
    <row r="5730" spans="1:7" x14ac:dyDescent="0.2">
      <c r="A5730" s="1">
        <v>41939</v>
      </c>
      <c r="B5730">
        <v>2</v>
      </c>
      <c r="C5730" t="s">
        <v>15</v>
      </c>
      <c r="D5730">
        <v>9.606E-3</v>
      </c>
      <c r="E5730">
        <f t="shared" si="178"/>
        <v>1.009606</v>
      </c>
      <c r="F5730" s="1">
        <f t="shared" si="179"/>
        <v>41939</v>
      </c>
      <c r="G5730" cm="1">
        <f t="array" ref="G5730">PRODUCT( _xlfn._xlws.FILTER($E:$E, ($C:$C=C5730)*($F:$F=F5730)) ) - 1</f>
        <v>2.0980791162087398E-2</v>
      </c>
    </row>
    <row r="5731" spans="1:7" x14ac:dyDescent="0.2">
      <c r="A5731" s="1">
        <v>41940</v>
      </c>
      <c r="B5731">
        <v>2</v>
      </c>
      <c r="C5731" t="s">
        <v>15</v>
      </c>
      <c r="D5731">
        <v>1.4271000000000001E-2</v>
      </c>
      <c r="E5731">
        <f t="shared" si="178"/>
        <v>1.0142709999999999</v>
      </c>
      <c r="F5731" s="1">
        <f t="shared" si="179"/>
        <v>41939</v>
      </c>
      <c r="G5731" cm="1">
        <f t="array" ref="G5731">PRODUCT( _xlfn._xlws.FILTER($E:$E, ($C:$C=C5731)*($F:$F=F5731)) ) - 1</f>
        <v>2.0980791162087398E-2</v>
      </c>
    </row>
    <row r="5732" spans="1:7" x14ac:dyDescent="0.2">
      <c r="A5732" s="1">
        <v>41941</v>
      </c>
      <c r="B5732">
        <v>2</v>
      </c>
      <c r="C5732" t="s">
        <v>15</v>
      </c>
      <c r="D5732">
        <v>-3.209E-3</v>
      </c>
      <c r="E5732">
        <f t="shared" si="178"/>
        <v>0.99679099999999998</v>
      </c>
      <c r="F5732" s="1">
        <f t="shared" si="179"/>
        <v>41939</v>
      </c>
      <c r="G5732" cm="1">
        <f t="array" ref="G5732">PRODUCT( _xlfn._xlws.FILTER($E:$E, ($C:$C=C5732)*($F:$F=F5732)) ) - 1</f>
        <v>2.0980791162087398E-2</v>
      </c>
    </row>
    <row r="5733" spans="1:7" x14ac:dyDescent="0.2">
      <c r="A5733" s="1">
        <v>41942</v>
      </c>
      <c r="B5733">
        <v>2</v>
      </c>
      <c r="C5733" t="s">
        <v>15</v>
      </c>
      <c r="D5733">
        <v>7.4299999999999995E-4</v>
      </c>
      <c r="E5733">
        <f t="shared" si="178"/>
        <v>1.0007429999999999</v>
      </c>
      <c r="F5733" s="1">
        <f t="shared" si="179"/>
        <v>41939</v>
      </c>
      <c r="G5733" cm="1">
        <f t="array" ref="G5733">PRODUCT( _xlfn._xlws.FILTER($E:$E, ($C:$C=C5733)*($F:$F=F5733)) ) - 1</f>
        <v>2.0980791162087398E-2</v>
      </c>
    </row>
    <row r="5734" spans="1:7" x14ac:dyDescent="0.2">
      <c r="A5734" s="1">
        <v>41943</v>
      </c>
      <c r="B5734">
        <v>2</v>
      </c>
      <c r="C5734" t="s">
        <v>15</v>
      </c>
      <c r="D5734">
        <v>-4.95E-4</v>
      </c>
      <c r="E5734">
        <f t="shared" si="178"/>
        <v>0.99950499999999998</v>
      </c>
      <c r="F5734" s="1">
        <f t="shared" si="179"/>
        <v>41939</v>
      </c>
      <c r="G5734" cm="1">
        <f t="array" ref="G5734">PRODUCT( _xlfn._xlws.FILTER($E:$E, ($C:$C=C5734)*($F:$F=F5734)) ) - 1</f>
        <v>2.0980791162087398E-2</v>
      </c>
    </row>
    <row r="5735" spans="1:7" x14ac:dyDescent="0.2">
      <c r="A5735" s="1">
        <v>41946</v>
      </c>
      <c r="B5735">
        <v>2</v>
      </c>
      <c r="C5735" t="s">
        <v>15</v>
      </c>
      <c r="D5735">
        <v>9.8999999999999999E-4</v>
      </c>
      <c r="E5735">
        <f t="shared" si="178"/>
        <v>1.00099</v>
      </c>
      <c r="F5735" s="1">
        <f t="shared" si="179"/>
        <v>41946</v>
      </c>
      <c r="G5735" cm="1">
        <f t="array" ref="G5735">PRODUCT( _xlfn._xlws.FILTER($E:$E, ($C:$C=C5735)*($F:$F=F5735)) ) - 1</f>
        <v>1.5349737933210816E-2</v>
      </c>
    </row>
    <row r="5736" spans="1:7" x14ac:dyDescent="0.2">
      <c r="A5736" s="1">
        <v>41947</v>
      </c>
      <c r="B5736">
        <v>2</v>
      </c>
      <c r="C5736" t="s">
        <v>15</v>
      </c>
      <c r="D5736">
        <v>1.2862E-2</v>
      </c>
      <c r="E5736">
        <f t="shared" si="178"/>
        <v>1.0128619999999999</v>
      </c>
      <c r="F5736" s="1">
        <f t="shared" si="179"/>
        <v>41946</v>
      </c>
      <c r="G5736" cm="1">
        <f t="array" ref="G5736">PRODUCT( _xlfn._xlws.FILTER($E:$E, ($C:$C=C5736)*($F:$F=F5736)) ) - 1</f>
        <v>1.5349737933210816E-2</v>
      </c>
    </row>
    <row r="5737" spans="1:7" x14ac:dyDescent="0.2">
      <c r="A5737" s="1">
        <v>41948</v>
      </c>
      <c r="B5737">
        <v>2</v>
      </c>
      <c r="C5737" t="s">
        <v>15</v>
      </c>
      <c r="D5737">
        <v>1.0255999999999999E-2</v>
      </c>
      <c r="E5737">
        <f t="shared" si="178"/>
        <v>1.010256</v>
      </c>
      <c r="F5737" s="1">
        <f t="shared" si="179"/>
        <v>41946</v>
      </c>
      <c r="G5737" cm="1">
        <f t="array" ref="G5737">PRODUCT( _xlfn._xlws.FILTER($E:$E, ($C:$C=C5737)*($F:$F=F5737)) ) - 1</f>
        <v>1.5349737933210816E-2</v>
      </c>
    </row>
    <row r="5738" spans="1:7" x14ac:dyDescent="0.2">
      <c r="A5738" s="1">
        <v>41949</v>
      </c>
      <c r="B5738">
        <v>2</v>
      </c>
      <c r="C5738" t="s">
        <v>15</v>
      </c>
      <c r="D5738">
        <v>-1.1603E-2</v>
      </c>
      <c r="E5738">
        <f t="shared" si="178"/>
        <v>0.98839699999999997</v>
      </c>
      <c r="F5738" s="1">
        <f t="shared" si="179"/>
        <v>41946</v>
      </c>
      <c r="G5738" cm="1">
        <f t="array" ref="G5738">PRODUCT( _xlfn._xlws.FILTER($E:$E, ($C:$C=C5738)*($F:$F=F5738)) ) - 1</f>
        <v>1.5349737933210816E-2</v>
      </c>
    </row>
    <row r="5739" spans="1:7" x14ac:dyDescent="0.2">
      <c r="A5739" s="1">
        <v>41950</v>
      </c>
      <c r="B5739">
        <v>2</v>
      </c>
      <c r="C5739" t="s">
        <v>15</v>
      </c>
      <c r="D5739">
        <v>2.9350000000000001E-3</v>
      </c>
      <c r="E5739">
        <f t="shared" si="178"/>
        <v>1.0029349999999999</v>
      </c>
      <c r="F5739" s="1">
        <f t="shared" si="179"/>
        <v>41946</v>
      </c>
      <c r="G5739" cm="1">
        <f t="array" ref="G5739">PRODUCT( _xlfn._xlws.FILTER($E:$E, ($C:$C=C5739)*($F:$F=F5739)) ) - 1</f>
        <v>1.5349737933210816E-2</v>
      </c>
    </row>
    <row r="5740" spans="1:7" x14ac:dyDescent="0.2">
      <c r="A5740" s="1">
        <v>41953</v>
      </c>
      <c r="B5740">
        <v>2</v>
      </c>
      <c r="C5740" t="s">
        <v>15</v>
      </c>
      <c r="D5740">
        <v>8.2909999999999998E-3</v>
      </c>
      <c r="E5740">
        <f t="shared" si="178"/>
        <v>1.008291</v>
      </c>
      <c r="F5740" s="1">
        <f t="shared" si="179"/>
        <v>41953</v>
      </c>
      <c r="G5740" cm="1">
        <f t="array" ref="G5740">PRODUCT( _xlfn._xlws.FILTER($E:$E, ($C:$C=C5740)*($F:$F=F5740)) ) - 1</f>
        <v>4.2429756319947165E-2</v>
      </c>
    </row>
    <row r="5741" spans="1:7" x14ac:dyDescent="0.2">
      <c r="A5741" s="1">
        <v>41954</v>
      </c>
      <c r="B5741">
        <v>2</v>
      </c>
      <c r="C5741" t="s">
        <v>15</v>
      </c>
      <c r="D5741">
        <v>3.6280000000000001E-3</v>
      </c>
      <c r="E5741">
        <f t="shared" si="178"/>
        <v>1.003628</v>
      </c>
      <c r="F5741" s="1">
        <f t="shared" si="179"/>
        <v>41953</v>
      </c>
      <c r="G5741" cm="1">
        <f t="array" ref="G5741">PRODUCT( _xlfn._xlws.FILTER($E:$E, ($C:$C=C5741)*($F:$F=F5741)) ) - 1</f>
        <v>4.2429756319947165E-2</v>
      </c>
    </row>
    <row r="5742" spans="1:7" x14ac:dyDescent="0.2">
      <c r="A5742" s="1">
        <v>41955</v>
      </c>
      <c r="B5742">
        <v>2</v>
      </c>
      <c r="C5742" t="s">
        <v>15</v>
      </c>
      <c r="D5742">
        <v>8.1930000000000006E-3</v>
      </c>
      <c r="E5742">
        <f t="shared" si="178"/>
        <v>1.0081929999999999</v>
      </c>
      <c r="F5742" s="1">
        <f t="shared" si="179"/>
        <v>41953</v>
      </c>
      <c r="G5742" cm="1">
        <f t="array" ref="G5742">PRODUCT( _xlfn._xlws.FILTER($E:$E, ($C:$C=C5742)*($F:$F=F5742)) ) - 1</f>
        <v>4.2429756319947165E-2</v>
      </c>
    </row>
    <row r="5743" spans="1:7" x14ac:dyDescent="0.2">
      <c r="A5743" s="1">
        <v>41956</v>
      </c>
      <c r="B5743">
        <v>2</v>
      </c>
      <c r="C5743" t="s">
        <v>15</v>
      </c>
      <c r="D5743">
        <v>1.1472E-2</v>
      </c>
      <c r="E5743">
        <f t="shared" si="178"/>
        <v>1.0114719999999999</v>
      </c>
      <c r="F5743" s="1">
        <f t="shared" si="179"/>
        <v>41953</v>
      </c>
      <c r="G5743" cm="1">
        <f t="array" ref="G5743">PRODUCT( _xlfn._xlws.FILTER($E:$E, ($C:$C=C5743)*($F:$F=F5743)) ) - 1</f>
        <v>4.2429756319947165E-2</v>
      </c>
    </row>
    <row r="5744" spans="1:7" x14ac:dyDescent="0.2">
      <c r="A5744" s="1">
        <v>41957</v>
      </c>
      <c r="B5744">
        <v>2</v>
      </c>
      <c r="C5744" t="s">
        <v>15</v>
      </c>
      <c r="D5744">
        <v>1.0161E-2</v>
      </c>
      <c r="E5744">
        <f t="shared" si="178"/>
        <v>1.0101610000000001</v>
      </c>
      <c r="F5744" s="1">
        <f t="shared" si="179"/>
        <v>41953</v>
      </c>
      <c r="G5744" cm="1">
        <f t="array" ref="G5744">PRODUCT( _xlfn._xlws.FILTER($E:$E, ($C:$C=C5744)*($F:$F=F5744)) ) - 1</f>
        <v>4.2429756319947165E-2</v>
      </c>
    </row>
    <row r="5745" spans="1:7" x14ac:dyDescent="0.2">
      <c r="A5745" s="1">
        <v>41960</v>
      </c>
      <c r="B5745">
        <v>2</v>
      </c>
      <c r="C5745" t="s">
        <v>15</v>
      </c>
      <c r="D5745">
        <v>1.3566999999999999E-2</v>
      </c>
      <c r="E5745">
        <f t="shared" si="178"/>
        <v>1.0135670000000001</v>
      </c>
      <c r="F5745" s="1">
        <f t="shared" si="179"/>
        <v>41960</v>
      </c>
      <c r="G5745" cm="1">
        <f t="array" ref="G5745">PRODUCT( _xlfn._xlws.FILTER($E:$E, ($C:$C=C5745)*($F:$F=F5745)) ) - 1</f>
        <v>-7.4859448549792207E-3</v>
      </c>
    </row>
    <row r="5746" spans="1:7" x14ac:dyDescent="0.2">
      <c r="A5746" s="1">
        <v>41961</v>
      </c>
      <c r="B5746">
        <v>2</v>
      </c>
      <c r="C5746" t="s">
        <v>15</v>
      </c>
      <c r="D5746">
        <v>1.0385E-2</v>
      </c>
      <c r="E5746">
        <f t="shared" si="178"/>
        <v>1.0103850000000001</v>
      </c>
      <c r="F5746" s="1">
        <f t="shared" si="179"/>
        <v>41960</v>
      </c>
      <c r="G5746" cm="1">
        <f t="array" ref="G5746">PRODUCT( _xlfn._xlws.FILTER($E:$E, ($C:$C=C5746)*($F:$F=F5746)) ) - 1</f>
        <v>-7.4859448549792207E-3</v>
      </c>
    </row>
    <row r="5747" spans="1:7" x14ac:dyDescent="0.2">
      <c r="A5747" s="1">
        <v>41962</v>
      </c>
      <c r="B5747">
        <v>2</v>
      </c>
      <c r="C5747" t="s">
        <v>15</v>
      </c>
      <c r="D5747">
        <v>-3.4259999999999998E-3</v>
      </c>
      <c r="E5747">
        <f t="shared" si="178"/>
        <v>0.99657399999999996</v>
      </c>
      <c r="F5747" s="1">
        <f t="shared" si="179"/>
        <v>41960</v>
      </c>
      <c r="G5747" cm="1">
        <f t="array" ref="G5747">PRODUCT( _xlfn._xlws.FILTER($E:$E, ($C:$C=C5747)*($F:$F=F5747)) ) - 1</f>
        <v>-7.4859448549792207E-3</v>
      </c>
    </row>
    <row r="5748" spans="1:7" x14ac:dyDescent="0.2">
      <c r="A5748" s="1">
        <v>41963</v>
      </c>
      <c r="B5748">
        <v>2</v>
      </c>
      <c r="C5748" t="s">
        <v>15</v>
      </c>
      <c r="D5748">
        <v>-2.2461999999999999E-2</v>
      </c>
      <c r="E5748">
        <f t="shared" si="178"/>
        <v>0.97753800000000002</v>
      </c>
      <c r="F5748" s="1">
        <f t="shared" si="179"/>
        <v>41960</v>
      </c>
      <c r="G5748" cm="1">
        <f t="array" ref="G5748">PRODUCT( _xlfn._xlws.FILTER($E:$E, ($C:$C=C5748)*($F:$F=F5748)) ) - 1</f>
        <v>-7.4859448549792207E-3</v>
      </c>
    </row>
    <row r="5749" spans="1:7" x14ac:dyDescent="0.2">
      <c r="A5749" s="1">
        <v>41964</v>
      </c>
      <c r="B5749">
        <v>2</v>
      </c>
      <c r="C5749" t="s">
        <v>15</v>
      </c>
      <c r="D5749">
        <v>-5.1580000000000003E-3</v>
      </c>
      <c r="E5749">
        <f t="shared" si="178"/>
        <v>0.994842</v>
      </c>
      <c r="F5749" s="1">
        <f t="shared" si="179"/>
        <v>41960</v>
      </c>
      <c r="G5749" cm="1">
        <f t="array" ref="G5749">PRODUCT( _xlfn._xlws.FILTER($E:$E, ($C:$C=C5749)*($F:$F=F5749)) ) - 1</f>
        <v>-7.4859448549792207E-3</v>
      </c>
    </row>
    <row r="5750" spans="1:7" x14ac:dyDescent="0.2">
      <c r="A5750" s="1">
        <v>41967</v>
      </c>
      <c r="B5750">
        <v>2</v>
      </c>
      <c r="C5750" t="s">
        <v>15</v>
      </c>
      <c r="D5750">
        <v>3.3E-3</v>
      </c>
      <c r="E5750">
        <f t="shared" si="178"/>
        <v>1.0033000000000001</v>
      </c>
      <c r="F5750" s="1">
        <f t="shared" si="179"/>
        <v>41967</v>
      </c>
      <c r="G5750" cm="1">
        <f t="array" ref="G5750">PRODUCT( _xlfn._xlws.FILTER($E:$E, ($C:$C=C5750)*($F:$F=F5750)) ) - 1</f>
        <v>2.0034418752047811E-2</v>
      </c>
    </row>
    <row r="5751" spans="1:7" x14ac:dyDescent="0.2">
      <c r="A5751" s="1">
        <v>41968</v>
      </c>
      <c r="B5751">
        <v>2</v>
      </c>
      <c r="C5751" t="s">
        <v>15</v>
      </c>
      <c r="D5751">
        <v>-6.5770000000000004E-3</v>
      </c>
      <c r="E5751">
        <f t="shared" si="178"/>
        <v>0.99342299999999994</v>
      </c>
      <c r="F5751" s="1">
        <f t="shared" si="179"/>
        <v>41967</v>
      </c>
      <c r="G5751" cm="1">
        <f t="array" ref="G5751">PRODUCT( _xlfn._xlws.FILTER($E:$E, ($C:$C=C5751)*($F:$F=F5751)) ) - 1</f>
        <v>2.0034418752047811E-2</v>
      </c>
    </row>
    <row r="5752" spans="1:7" x14ac:dyDescent="0.2">
      <c r="A5752" s="1">
        <v>41969</v>
      </c>
      <c r="B5752">
        <v>2</v>
      </c>
      <c r="C5752" t="s">
        <v>15</v>
      </c>
      <c r="D5752">
        <v>8.7489999999999998E-3</v>
      </c>
      <c r="E5752">
        <f t="shared" si="178"/>
        <v>1.0087489999999999</v>
      </c>
      <c r="F5752" s="1">
        <f t="shared" si="179"/>
        <v>41967</v>
      </c>
      <c r="G5752" cm="1">
        <f t="array" ref="G5752">PRODUCT( _xlfn._xlws.FILTER($E:$E, ($C:$C=C5752)*($F:$F=F5752)) ) - 1</f>
        <v>2.0034418752047811E-2</v>
      </c>
    </row>
    <row r="5753" spans="1:7" x14ac:dyDescent="0.2">
      <c r="A5753" s="1">
        <v>41970</v>
      </c>
      <c r="B5753">
        <v>2</v>
      </c>
      <c r="C5753" t="s">
        <v>15</v>
      </c>
      <c r="D5753">
        <v>7.7359999999999998E-3</v>
      </c>
      <c r="E5753">
        <f t="shared" si="178"/>
        <v>1.007736</v>
      </c>
      <c r="F5753" s="1">
        <f t="shared" si="179"/>
        <v>41967</v>
      </c>
      <c r="G5753" cm="1">
        <f t="array" ref="G5753">PRODUCT( _xlfn._xlws.FILTER($E:$E, ($C:$C=C5753)*($F:$F=F5753)) ) - 1</f>
        <v>2.0034418752047811E-2</v>
      </c>
    </row>
    <row r="5754" spans="1:7" x14ac:dyDescent="0.2">
      <c r="A5754" s="1">
        <v>41971</v>
      </c>
      <c r="B5754">
        <v>2</v>
      </c>
      <c r="C5754" t="s">
        <v>15</v>
      </c>
      <c r="D5754">
        <v>6.7460000000000003E-3</v>
      </c>
      <c r="E5754">
        <f t="shared" si="178"/>
        <v>1.0067459999999999</v>
      </c>
      <c r="F5754" s="1">
        <f t="shared" si="179"/>
        <v>41967</v>
      </c>
      <c r="G5754" cm="1">
        <f t="array" ref="G5754">PRODUCT( _xlfn._xlws.FILTER($E:$E, ($C:$C=C5754)*($F:$F=F5754)) ) - 1</f>
        <v>2.0034418752047811E-2</v>
      </c>
    </row>
    <row r="5755" spans="1:7" x14ac:dyDescent="0.2">
      <c r="A5755" s="1">
        <v>41974</v>
      </c>
      <c r="B5755">
        <v>2</v>
      </c>
      <c r="C5755" t="s">
        <v>15</v>
      </c>
      <c r="D5755">
        <v>-6.9300000000000004E-4</v>
      </c>
      <c r="E5755">
        <f t="shared" si="178"/>
        <v>0.99930699999999995</v>
      </c>
      <c r="F5755" s="1">
        <f t="shared" si="179"/>
        <v>41974</v>
      </c>
      <c r="G5755" cm="1">
        <f t="array" ref="G5755">PRODUCT( _xlfn._xlws.FILTER($E:$E, ($C:$C=C5755)*($F:$F=F5755)) ) - 1</f>
        <v>-4.2744812833690693E-2</v>
      </c>
    </row>
    <row r="5756" spans="1:7" x14ac:dyDescent="0.2">
      <c r="A5756" s="1">
        <v>41975</v>
      </c>
      <c r="B5756">
        <v>2</v>
      </c>
      <c r="C5756" t="s">
        <v>15</v>
      </c>
      <c r="D5756">
        <v>-3.2832E-2</v>
      </c>
      <c r="E5756">
        <f t="shared" si="178"/>
        <v>0.96716800000000003</v>
      </c>
      <c r="F5756" s="1">
        <f t="shared" si="179"/>
        <v>41974</v>
      </c>
      <c r="G5756" cm="1">
        <f t="array" ref="G5756">PRODUCT( _xlfn._xlws.FILTER($E:$E, ($C:$C=C5756)*($F:$F=F5756)) ) - 1</f>
        <v>-4.2744812833690693E-2</v>
      </c>
    </row>
    <row r="5757" spans="1:7" x14ac:dyDescent="0.2">
      <c r="A5757" s="1">
        <v>41976</v>
      </c>
      <c r="B5757">
        <v>2</v>
      </c>
      <c r="C5757" t="s">
        <v>15</v>
      </c>
      <c r="D5757">
        <v>4.7809999999999997E-3</v>
      </c>
      <c r="E5757">
        <f t="shared" si="178"/>
        <v>1.0047809999999999</v>
      </c>
      <c r="F5757" s="1">
        <f t="shared" si="179"/>
        <v>41974</v>
      </c>
      <c r="G5757" cm="1">
        <f t="array" ref="G5757">PRODUCT( _xlfn._xlws.FILTER($E:$E, ($C:$C=C5757)*($F:$F=F5757)) ) - 1</f>
        <v>-4.2744812833690693E-2</v>
      </c>
    </row>
    <row r="5758" spans="1:7" x14ac:dyDescent="0.2">
      <c r="A5758" s="1">
        <v>41977</v>
      </c>
      <c r="B5758">
        <v>2</v>
      </c>
      <c r="C5758" t="s">
        <v>15</v>
      </c>
      <c r="D5758">
        <v>-1.2134000000000001E-2</v>
      </c>
      <c r="E5758">
        <f t="shared" si="178"/>
        <v>0.98786600000000002</v>
      </c>
      <c r="F5758" s="1">
        <f t="shared" si="179"/>
        <v>41974</v>
      </c>
      <c r="G5758" cm="1">
        <f t="array" ref="G5758">PRODUCT( _xlfn._xlws.FILTER($E:$E, ($C:$C=C5758)*($F:$F=F5758)) ) - 1</f>
        <v>-4.2744812833690693E-2</v>
      </c>
    </row>
    <row r="5759" spans="1:7" x14ac:dyDescent="0.2">
      <c r="A5759" s="1">
        <v>41978</v>
      </c>
      <c r="B5759">
        <v>2</v>
      </c>
      <c r="C5759" t="s">
        <v>15</v>
      </c>
      <c r="D5759">
        <v>-2.1679999999999998E-3</v>
      </c>
      <c r="E5759">
        <f t="shared" si="178"/>
        <v>0.99783200000000005</v>
      </c>
      <c r="F5759" s="1">
        <f t="shared" si="179"/>
        <v>41974</v>
      </c>
      <c r="G5759" cm="1">
        <f t="array" ref="G5759">PRODUCT( _xlfn._xlws.FILTER($E:$E, ($C:$C=C5759)*($F:$F=F5759)) ) - 1</f>
        <v>-4.2744812833690693E-2</v>
      </c>
    </row>
    <row r="5760" spans="1:7" x14ac:dyDescent="0.2">
      <c r="A5760" s="1">
        <v>41981</v>
      </c>
      <c r="B5760">
        <v>2</v>
      </c>
      <c r="C5760" t="s">
        <v>15</v>
      </c>
      <c r="D5760">
        <v>-7.0000000000000001E-3</v>
      </c>
      <c r="E5760">
        <f t="shared" si="178"/>
        <v>0.99299999999999999</v>
      </c>
      <c r="F5760" s="1">
        <f t="shared" si="179"/>
        <v>41981</v>
      </c>
      <c r="G5760" cm="1">
        <f t="array" ref="G5760">PRODUCT( _xlfn._xlws.FILTER($E:$E, ($C:$C=C5760)*($F:$F=F5760)) ) - 1</f>
        <v>2.4317907105824155E-3</v>
      </c>
    </row>
    <row r="5761" spans="1:7" x14ac:dyDescent="0.2">
      <c r="A5761" s="1">
        <v>41982</v>
      </c>
      <c r="B5761">
        <v>2</v>
      </c>
      <c r="C5761" t="s">
        <v>15</v>
      </c>
      <c r="D5761">
        <v>7.535E-3</v>
      </c>
      <c r="E5761">
        <f t="shared" si="178"/>
        <v>1.0075350000000001</v>
      </c>
      <c r="F5761" s="1">
        <f t="shared" si="179"/>
        <v>41981</v>
      </c>
      <c r="G5761" cm="1">
        <f t="array" ref="G5761">PRODUCT( _xlfn._xlws.FILTER($E:$E, ($C:$C=C5761)*($F:$F=F5761)) ) - 1</f>
        <v>2.4317907105824155E-3</v>
      </c>
    </row>
    <row r="5762" spans="1:7" x14ac:dyDescent="0.2">
      <c r="A5762" s="1">
        <v>41983</v>
      </c>
      <c r="B5762">
        <v>2</v>
      </c>
      <c r="C5762" t="s">
        <v>15</v>
      </c>
      <c r="D5762">
        <v>-2.3872999999999998E-2</v>
      </c>
      <c r="E5762">
        <f t="shared" si="178"/>
        <v>0.97612699999999997</v>
      </c>
      <c r="F5762" s="1">
        <f t="shared" si="179"/>
        <v>41981</v>
      </c>
      <c r="G5762" cm="1">
        <f t="array" ref="G5762">PRODUCT( _xlfn._xlws.FILTER($E:$E, ($C:$C=C5762)*($F:$F=F5762)) ) - 1</f>
        <v>2.4317907105824155E-3</v>
      </c>
    </row>
    <row r="5763" spans="1:7" x14ac:dyDescent="0.2">
      <c r="A5763" s="1">
        <v>41984</v>
      </c>
      <c r="B5763">
        <v>2</v>
      </c>
      <c r="C5763" t="s">
        <v>15</v>
      </c>
      <c r="D5763">
        <v>3.9181000000000001E-2</v>
      </c>
      <c r="E5763">
        <f t="shared" si="178"/>
        <v>1.0391809999999999</v>
      </c>
      <c r="F5763" s="1">
        <f t="shared" si="179"/>
        <v>41981</v>
      </c>
      <c r="G5763" cm="1">
        <f t="array" ref="G5763">PRODUCT( _xlfn._xlws.FILTER($E:$E, ($C:$C=C5763)*($F:$F=F5763)) ) - 1</f>
        <v>2.4317907105824155E-3</v>
      </c>
    </row>
    <row r="5764" spans="1:7" x14ac:dyDescent="0.2">
      <c r="A5764" s="1">
        <v>41985</v>
      </c>
      <c r="B5764">
        <v>2</v>
      </c>
      <c r="C5764" t="s">
        <v>15</v>
      </c>
      <c r="D5764">
        <v>-1.2248E-2</v>
      </c>
      <c r="E5764">
        <f t="shared" ref="E5764:E5827" si="180">D5764+1</f>
        <v>0.98775199999999996</v>
      </c>
      <c r="F5764" s="1">
        <f t="shared" ref="F5764:F5827" si="181">A5764 - (WEEKDAY(A5764, 2) - 1)</f>
        <v>41981</v>
      </c>
      <c r="G5764" cm="1">
        <f t="array" ref="G5764">PRODUCT( _xlfn._xlws.FILTER($E:$E, ($C:$C=C5764)*($F:$F=F5764)) ) - 1</f>
        <v>2.4317907105824155E-3</v>
      </c>
    </row>
    <row r="5765" spans="1:7" x14ac:dyDescent="0.2">
      <c r="A5765" s="1">
        <v>41988</v>
      </c>
      <c r="B5765">
        <v>2</v>
      </c>
      <c r="C5765" t="s">
        <v>15</v>
      </c>
      <c r="D5765">
        <v>1.167E-2</v>
      </c>
      <c r="E5765">
        <f t="shared" si="180"/>
        <v>1.0116700000000001</v>
      </c>
      <c r="F5765" s="1">
        <f t="shared" si="181"/>
        <v>41988</v>
      </c>
      <c r="G5765" cm="1">
        <f t="array" ref="G5765">PRODUCT( _xlfn._xlws.FILTER($E:$E, ($C:$C=C5765)*($F:$F=F5765)) ) - 1</f>
        <v>1.0698072178730644E-2</v>
      </c>
    </row>
    <row r="5766" spans="1:7" x14ac:dyDescent="0.2">
      <c r="A5766" s="1">
        <v>41989</v>
      </c>
      <c r="B5766">
        <v>2</v>
      </c>
      <c r="C5766" t="s">
        <v>15</v>
      </c>
      <c r="D5766">
        <v>1.7544000000000001E-2</v>
      </c>
      <c r="E5766">
        <f t="shared" si="180"/>
        <v>1.017544</v>
      </c>
      <c r="F5766" s="1">
        <f t="shared" si="181"/>
        <v>41988</v>
      </c>
      <c r="G5766" cm="1">
        <f t="array" ref="G5766">PRODUCT( _xlfn._xlws.FILTER($E:$E, ($C:$C=C5766)*($F:$F=F5766)) ) - 1</f>
        <v>1.0698072178730644E-2</v>
      </c>
    </row>
    <row r="5767" spans="1:7" x14ac:dyDescent="0.2">
      <c r="A5767" s="1">
        <v>41990</v>
      </c>
      <c r="B5767">
        <v>2</v>
      </c>
      <c r="C5767" t="s">
        <v>15</v>
      </c>
      <c r="D5767">
        <v>7.0850000000000002E-3</v>
      </c>
      <c r="E5767">
        <f t="shared" si="180"/>
        <v>1.007085</v>
      </c>
      <c r="F5767" s="1">
        <f t="shared" si="181"/>
        <v>41988</v>
      </c>
      <c r="G5767" cm="1">
        <f t="array" ref="G5767">PRODUCT( _xlfn._xlws.FILTER($E:$E, ($C:$C=C5767)*($F:$F=F5767)) ) - 1</f>
        <v>1.0698072178730644E-2</v>
      </c>
    </row>
    <row r="5768" spans="1:7" x14ac:dyDescent="0.2">
      <c r="A5768" s="1">
        <v>41991</v>
      </c>
      <c r="B5768">
        <v>2</v>
      </c>
      <c r="C5768" t="s">
        <v>15</v>
      </c>
      <c r="D5768">
        <v>-1.1490999999999999E-2</v>
      </c>
      <c r="E5768">
        <f t="shared" si="180"/>
        <v>0.98850899999999997</v>
      </c>
      <c r="F5768" s="1">
        <f t="shared" si="181"/>
        <v>41988</v>
      </c>
      <c r="G5768" cm="1">
        <f t="array" ref="G5768">PRODUCT( _xlfn._xlws.FILTER($E:$E, ($C:$C=C5768)*($F:$F=F5768)) ) - 1</f>
        <v>1.0698072178730644E-2</v>
      </c>
    </row>
    <row r="5769" spans="1:7" x14ac:dyDescent="0.2">
      <c r="A5769" s="1">
        <v>41992</v>
      </c>
      <c r="B5769">
        <v>2</v>
      </c>
      <c r="C5769" t="s">
        <v>15</v>
      </c>
      <c r="D5769">
        <v>-1.376E-2</v>
      </c>
      <c r="E5769">
        <f t="shared" si="180"/>
        <v>0.98624000000000001</v>
      </c>
      <c r="F5769" s="1">
        <f t="shared" si="181"/>
        <v>41988</v>
      </c>
      <c r="G5769" cm="1">
        <f t="array" ref="G5769">PRODUCT( _xlfn._xlws.FILTER($E:$E, ($C:$C=C5769)*($F:$F=F5769)) ) - 1</f>
        <v>1.0698072178730644E-2</v>
      </c>
    </row>
    <row r="5770" spans="1:7" x14ac:dyDescent="0.2">
      <c r="A5770" s="1">
        <v>41995</v>
      </c>
      <c r="B5770">
        <v>2</v>
      </c>
      <c r="C5770" t="s">
        <v>15</v>
      </c>
      <c r="D5770">
        <v>1.0584E-2</v>
      </c>
      <c r="E5770">
        <f t="shared" si="180"/>
        <v>1.0105839999999999</v>
      </c>
      <c r="F5770" s="1">
        <f t="shared" si="181"/>
        <v>41995</v>
      </c>
      <c r="G5770" cm="1">
        <f t="array" ref="G5770">PRODUCT( _xlfn._xlws.FILTER($E:$E, ($C:$C=C5770)*($F:$F=F5770)) ) - 1</f>
        <v>1.7319551852415405E-2</v>
      </c>
    </row>
    <row r="5771" spans="1:7" x14ac:dyDescent="0.2">
      <c r="A5771" s="1">
        <v>41996</v>
      </c>
      <c r="B5771">
        <v>2</v>
      </c>
      <c r="C5771" t="s">
        <v>15</v>
      </c>
      <c r="D5771">
        <v>3.571E-3</v>
      </c>
      <c r="E5771">
        <f t="shared" si="180"/>
        <v>1.003571</v>
      </c>
      <c r="F5771" s="1">
        <f t="shared" si="181"/>
        <v>41995</v>
      </c>
      <c r="G5771" cm="1">
        <f t="array" ref="G5771">PRODUCT( _xlfn._xlws.FILTER($E:$E, ($C:$C=C5771)*($F:$F=F5771)) ) - 1</f>
        <v>1.7319551852415405E-2</v>
      </c>
    </row>
    <row r="5772" spans="1:7" x14ac:dyDescent="0.2">
      <c r="A5772" s="1">
        <v>41997</v>
      </c>
      <c r="B5772">
        <v>2</v>
      </c>
      <c r="C5772" t="s">
        <v>15</v>
      </c>
      <c r="D5772">
        <v>3.0829999999999998E-3</v>
      </c>
      <c r="E5772">
        <f t="shared" si="180"/>
        <v>1.0030829999999999</v>
      </c>
      <c r="F5772" s="1">
        <f t="shared" si="181"/>
        <v>41995</v>
      </c>
      <c r="G5772" cm="1">
        <f t="array" ref="G5772">PRODUCT( _xlfn._xlws.FILTER($E:$E, ($C:$C=C5772)*($F:$F=F5772)) ) - 1</f>
        <v>1.7319551852415405E-2</v>
      </c>
    </row>
    <row r="5773" spans="1:7" x14ac:dyDescent="0.2">
      <c r="A5773" s="1">
        <v>42002</v>
      </c>
      <c r="B5773">
        <v>2</v>
      </c>
      <c r="C5773" t="s">
        <v>15</v>
      </c>
      <c r="D5773">
        <v>-4.73E-4</v>
      </c>
      <c r="E5773">
        <f t="shared" si="180"/>
        <v>0.99952700000000005</v>
      </c>
      <c r="F5773" s="1">
        <f t="shared" si="181"/>
        <v>42002</v>
      </c>
      <c r="G5773" cm="1">
        <f t="array" ref="G5773">PRODUCT( _xlfn._xlws.FILTER($E:$E, ($C:$C=C5773)*($F:$F=F5773)) ) - 1</f>
        <v>-6.3845294771553984E-3</v>
      </c>
    </row>
    <row r="5774" spans="1:7" x14ac:dyDescent="0.2">
      <c r="A5774" s="1">
        <v>42003</v>
      </c>
      <c r="B5774">
        <v>2</v>
      </c>
      <c r="C5774" t="s">
        <v>15</v>
      </c>
      <c r="D5774">
        <v>-6.1510000000000002E-3</v>
      </c>
      <c r="E5774">
        <f t="shared" si="180"/>
        <v>0.99384899999999998</v>
      </c>
      <c r="F5774" s="1">
        <f t="shared" si="181"/>
        <v>42002</v>
      </c>
      <c r="G5774" cm="1">
        <f t="array" ref="G5774">PRODUCT( _xlfn._xlws.FILTER($E:$E, ($C:$C=C5774)*($F:$F=F5774)) ) - 1</f>
        <v>-6.3845294771553984E-3</v>
      </c>
    </row>
    <row r="5775" spans="1:7" x14ac:dyDescent="0.2">
      <c r="A5775" s="1">
        <v>42004</v>
      </c>
      <c r="B5775">
        <v>2</v>
      </c>
      <c r="C5775" t="s">
        <v>15</v>
      </c>
      <c r="D5775">
        <v>-2.856E-3</v>
      </c>
      <c r="E5775">
        <f t="shared" si="180"/>
        <v>0.99714400000000003</v>
      </c>
      <c r="F5775" s="1">
        <f t="shared" si="181"/>
        <v>42002</v>
      </c>
      <c r="G5775" cm="1">
        <f t="array" ref="G5775">PRODUCT( _xlfn._xlws.FILTER($E:$E, ($C:$C=C5775)*($F:$F=F5775)) ) - 1</f>
        <v>-6.3845294771553984E-3</v>
      </c>
    </row>
    <row r="5776" spans="1:7" x14ac:dyDescent="0.2">
      <c r="A5776" s="1">
        <v>42006</v>
      </c>
      <c r="B5776">
        <v>2</v>
      </c>
      <c r="C5776" t="s">
        <v>15</v>
      </c>
      <c r="D5776">
        <v>3.1029999999999999E-3</v>
      </c>
      <c r="E5776">
        <f t="shared" si="180"/>
        <v>1.0031030000000001</v>
      </c>
      <c r="F5776" s="1">
        <f t="shared" si="181"/>
        <v>42002</v>
      </c>
      <c r="G5776" cm="1">
        <f t="array" ref="G5776">PRODUCT( _xlfn._xlws.FILTER($E:$E, ($C:$C=C5776)*($F:$F=F5776)) ) - 1</f>
        <v>-6.3845294771553984E-3</v>
      </c>
    </row>
    <row r="5777" spans="1:7" x14ac:dyDescent="0.2">
      <c r="A5777" s="1">
        <v>42009</v>
      </c>
      <c r="B5777">
        <v>2</v>
      </c>
      <c r="C5777" t="s">
        <v>15</v>
      </c>
      <c r="D5777">
        <v>-1.4992999999999999E-2</v>
      </c>
      <c r="E5777">
        <f t="shared" si="180"/>
        <v>0.98500699999999997</v>
      </c>
      <c r="F5777" s="1">
        <f t="shared" si="181"/>
        <v>42009</v>
      </c>
      <c r="G5777" cm="1">
        <f t="array" ref="G5777">PRODUCT( _xlfn._xlws.FILTER($E:$E, ($C:$C=C5777)*($F:$F=F5777)) ) - 1</f>
        <v>-1.2137999501074082E-2</v>
      </c>
    </row>
    <row r="5778" spans="1:7" x14ac:dyDescent="0.2">
      <c r="A5778" s="1">
        <v>42010</v>
      </c>
      <c r="B5778">
        <v>2</v>
      </c>
      <c r="C5778" t="s">
        <v>15</v>
      </c>
      <c r="D5778">
        <v>-3.1410000000000001E-3</v>
      </c>
      <c r="E5778">
        <f t="shared" si="180"/>
        <v>0.99685900000000005</v>
      </c>
      <c r="F5778" s="1">
        <f t="shared" si="181"/>
        <v>42009</v>
      </c>
      <c r="G5778" cm="1">
        <f t="array" ref="G5778">PRODUCT( _xlfn._xlws.FILTER($E:$E, ($C:$C=C5778)*($F:$F=F5778)) ) - 1</f>
        <v>-1.2137999501074082E-2</v>
      </c>
    </row>
    <row r="5779" spans="1:7" x14ac:dyDescent="0.2">
      <c r="A5779" s="1">
        <v>42011</v>
      </c>
      <c r="B5779">
        <v>2</v>
      </c>
      <c r="C5779" t="s">
        <v>15</v>
      </c>
      <c r="D5779">
        <v>1.0179000000000001E-2</v>
      </c>
      <c r="E5779">
        <f t="shared" si="180"/>
        <v>1.0101789999999999</v>
      </c>
      <c r="F5779" s="1">
        <f t="shared" si="181"/>
        <v>42009</v>
      </c>
      <c r="G5779" cm="1">
        <f t="array" ref="G5779">PRODUCT( _xlfn._xlws.FILTER($E:$E, ($C:$C=C5779)*($F:$F=F5779)) ) - 1</f>
        <v>-1.2137999501074082E-2</v>
      </c>
    </row>
    <row r="5780" spans="1:7" x14ac:dyDescent="0.2">
      <c r="A5780" s="1">
        <v>42012</v>
      </c>
      <c r="B5780">
        <v>2</v>
      </c>
      <c r="C5780" t="s">
        <v>15</v>
      </c>
      <c r="D5780">
        <v>1.1756000000000001E-2</v>
      </c>
      <c r="E5780">
        <f t="shared" si="180"/>
        <v>1.0117560000000001</v>
      </c>
      <c r="F5780" s="1">
        <f t="shared" si="181"/>
        <v>42009</v>
      </c>
      <c r="G5780" cm="1">
        <f t="array" ref="G5780">PRODUCT( _xlfn._xlws.FILTER($E:$E, ($C:$C=C5780)*($F:$F=F5780)) ) - 1</f>
        <v>-1.2137999501074082E-2</v>
      </c>
    </row>
    <row r="5781" spans="1:7" x14ac:dyDescent="0.2">
      <c r="A5781" s="1">
        <v>42013</v>
      </c>
      <c r="B5781">
        <v>2</v>
      </c>
      <c r="C5781" t="s">
        <v>15</v>
      </c>
      <c r="D5781">
        <v>-1.5651000000000002E-2</v>
      </c>
      <c r="E5781">
        <f t="shared" si="180"/>
        <v>0.98434900000000003</v>
      </c>
      <c r="F5781" s="1">
        <f t="shared" si="181"/>
        <v>42009</v>
      </c>
      <c r="G5781" cm="1">
        <f t="array" ref="G5781">PRODUCT( _xlfn._xlws.FILTER($E:$E, ($C:$C=C5781)*($F:$F=F5781)) ) - 1</f>
        <v>-1.2137999501074082E-2</v>
      </c>
    </row>
    <row r="5782" spans="1:7" x14ac:dyDescent="0.2">
      <c r="A5782" s="1">
        <v>42016</v>
      </c>
      <c r="B5782">
        <v>2</v>
      </c>
      <c r="C5782" t="s">
        <v>15</v>
      </c>
      <c r="D5782">
        <v>8.1910000000000004E-3</v>
      </c>
      <c r="E5782">
        <f t="shared" si="180"/>
        <v>1.0081910000000001</v>
      </c>
      <c r="F5782" s="1">
        <f t="shared" si="181"/>
        <v>42016</v>
      </c>
      <c r="G5782" cm="1">
        <f t="array" ref="G5782">PRODUCT( _xlfn._xlws.FILTER($E:$E, ($C:$C=C5782)*($F:$F=F5782)) ) - 1</f>
        <v>2.8427560599063151E-2</v>
      </c>
    </row>
    <row r="5783" spans="1:7" x14ac:dyDescent="0.2">
      <c r="A5783" s="1">
        <v>42017</v>
      </c>
      <c r="B5783">
        <v>2</v>
      </c>
      <c r="C5783" t="s">
        <v>15</v>
      </c>
      <c r="D5783">
        <v>1.0753E-2</v>
      </c>
      <c r="E5783">
        <f t="shared" si="180"/>
        <v>1.010753</v>
      </c>
      <c r="F5783" s="1">
        <f t="shared" si="181"/>
        <v>42016</v>
      </c>
      <c r="G5783" cm="1">
        <f t="array" ref="G5783">PRODUCT( _xlfn._xlws.FILTER($E:$E, ($C:$C=C5783)*($F:$F=F5783)) ) - 1</f>
        <v>2.8427560599063151E-2</v>
      </c>
    </row>
    <row r="5784" spans="1:7" x14ac:dyDescent="0.2">
      <c r="A5784" s="1">
        <v>42018</v>
      </c>
      <c r="B5784">
        <v>2</v>
      </c>
      <c r="C5784" t="s">
        <v>15</v>
      </c>
      <c r="D5784">
        <v>-7.0899999999999999E-4</v>
      </c>
      <c r="E5784">
        <f t="shared" si="180"/>
        <v>0.99929100000000004</v>
      </c>
      <c r="F5784" s="1">
        <f t="shared" si="181"/>
        <v>42016</v>
      </c>
      <c r="G5784" cm="1">
        <f t="array" ref="G5784">PRODUCT( _xlfn._xlws.FILTER($E:$E, ($C:$C=C5784)*($F:$F=F5784)) ) - 1</f>
        <v>2.8427560599063151E-2</v>
      </c>
    </row>
    <row r="5785" spans="1:7" x14ac:dyDescent="0.2">
      <c r="A5785" s="1">
        <v>42019</v>
      </c>
      <c r="B5785">
        <v>2</v>
      </c>
      <c r="C5785" t="s">
        <v>15</v>
      </c>
      <c r="D5785">
        <v>-6.3879999999999996E-3</v>
      </c>
      <c r="E5785">
        <f t="shared" si="180"/>
        <v>0.99361200000000005</v>
      </c>
      <c r="F5785" s="1">
        <f t="shared" si="181"/>
        <v>42016</v>
      </c>
      <c r="G5785" cm="1">
        <f t="array" ref="G5785">PRODUCT( _xlfn._xlws.FILTER($E:$E, ($C:$C=C5785)*($F:$F=F5785)) ) - 1</f>
        <v>2.8427560599063151E-2</v>
      </c>
    </row>
    <row r="5786" spans="1:7" x14ac:dyDescent="0.2">
      <c r="A5786" s="1">
        <v>42020</v>
      </c>
      <c r="B5786">
        <v>2</v>
      </c>
      <c r="C5786" t="s">
        <v>15</v>
      </c>
      <c r="D5786">
        <v>1.6428999999999999E-2</v>
      </c>
      <c r="E5786">
        <f t="shared" si="180"/>
        <v>1.016429</v>
      </c>
      <c r="F5786" s="1">
        <f t="shared" si="181"/>
        <v>42016</v>
      </c>
      <c r="G5786" cm="1">
        <f t="array" ref="G5786">PRODUCT( _xlfn._xlws.FILTER($E:$E, ($C:$C=C5786)*($F:$F=F5786)) ) - 1</f>
        <v>2.8427560599063151E-2</v>
      </c>
    </row>
    <row r="5787" spans="1:7" x14ac:dyDescent="0.2">
      <c r="A5787" s="1">
        <v>42023</v>
      </c>
      <c r="B5787">
        <v>2</v>
      </c>
      <c r="C5787" t="s">
        <v>15</v>
      </c>
      <c r="D5787">
        <v>1.874E-3</v>
      </c>
      <c r="E5787">
        <f t="shared" si="180"/>
        <v>1.0018739999999999</v>
      </c>
      <c r="F5787" s="1">
        <f t="shared" si="181"/>
        <v>42023</v>
      </c>
      <c r="G5787" cm="1">
        <f t="array" ref="G5787">PRODUCT( _xlfn._xlws.FILTER($E:$E, ($C:$C=C5787)*($F:$F=F5787)) ) - 1</f>
        <v>3.4667770086931338E-2</v>
      </c>
    </row>
    <row r="5788" spans="1:7" x14ac:dyDescent="0.2">
      <c r="A5788" s="1">
        <v>42024</v>
      </c>
      <c r="B5788">
        <v>2</v>
      </c>
      <c r="C5788" t="s">
        <v>15</v>
      </c>
      <c r="D5788">
        <v>1.403E-3</v>
      </c>
      <c r="E5788">
        <f t="shared" si="180"/>
        <v>1.001403</v>
      </c>
      <c r="F5788" s="1">
        <f t="shared" si="181"/>
        <v>42023</v>
      </c>
      <c r="G5788" cm="1">
        <f t="array" ref="G5788">PRODUCT( _xlfn._xlws.FILTER($E:$E, ($C:$C=C5788)*($F:$F=F5788)) ) - 1</f>
        <v>3.4667770086931338E-2</v>
      </c>
    </row>
    <row r="5789" spans="1:7" x14ac:dyDescent="0.2">
      <c r="A5789" s="1">
        <v>42025</v>
      </c>
      <c r="B5789">
        <v>2</v>
      </c>
      <c r="C5789" t="s">
        <v>15</v>
      </c>
      <c r="D5789">
        <v>-4.2030000000000001E-3</v>
      </c>
      <c r="E5789">
        <f t="shared" si="180"/>
        <v>0.99579700000000004</v>
      </c>
      <c r="F5789" s="1">
        <f t="shared" si="181"/>
        <v>42023</v>
      </c>
      <c r="G5789" cm="1">
        <f t="array" ref="G5789">PRODUCT( _xlfn._xlws.FILTER($E:$E, ($C:$C=C5789)*($F:$F=F5789)) ) - 1</f>
        <v>3.4667770086931338E-2</v>
      </c>
    </row>
    <row r="5790" spans="1:7" x14ac:dyDescent="0.2">
      <c r="A5790" s="1">
        <v>42026</v>
      </c>
      <c r="B5790">
        <v>2</v>
      </c>
      <c r="C5790" t="s">
        <v>15</v>
      </c>
      <c r="D5790">
        <v>3.6341999999999999E-2</v>
      </c>
      <c r="E5790">
        <f t="shared" si="180"/>
        <v>1.0363420000000001</v>
      </c>
      <c r="F5790" s="1">
        <f t="shared" si="181"/>
        <v>42023</v>
      </c>
      <c r="G5790" cm="1">
        <f t="array" ref="G5790">PRODUCT( _xlfn._xlws.FILTER($E:$E, ($C:$C=C5790)*($F:$F=F5790)) ) - 1</f>
        <v>3.4667770086931338E-2</v>
      </c>
    </row>
    <row r="5791" spans="1:7" x14ac:dyDescent="0.2">
      <c r="A5791" s="1">
        <v>42027</v>
      </c>
      <c r="B5791">
        <v>2</v>
      </c>
      <c r="C5791" t="s">
        <v>15</v>
      </c>
      <c r="D5791">
        <v>-6.7900000000000002E-4</v>
      </c>
      <c r="E5791">
        <f t="shared" si="180"/>
        <v>0.99932100000000001</v>
      </c>
      <c r="F5791" s="1">
        <f t="shared" si="181"/>
        <v>42023</v>
      </c>
      <c r="G5791" cm="1">
        <f t="array" ref="G5791">PRODUCT( _xlfn._xlws.FILTER($E:$E, ($C:$C=C5791)*($F:$F=F5791)) ) - 1</f>
        <v>3.4667770086931338E-2</v>
      </c>
    </row>
    <row r="5792" spans="1:7" x14ac:dyDescent="0.2">
      <c r="A5792" s="1">
        <v>42030</v>
      </c>
      <c r="B5792">
        <v>2</v>
      </c>
      <c r="C5792" t="s">
        <v>15</v>
      </c>
      <c r="D5792">
        <v>-1.4263E-2</v>
      </c>
      <c r="E5792">
        <f t="shared" si="180"/>
        <v>0.98573699999999997</v>
      </c>
      <c r="F5792" s="1">
        <f t="shared" si="181"/>
        <v>42030</v>
      </c>
      <c r="G5792" cm="1">
        <f t="array" ref="G5792">PRODUCT( _xlfn._xlws.FILTER($E:$E, ($C:$C=C5792)*($F:$F=F5792)) ) - 1</f>
        <v>-1.3131416795194584E-2</v>
      </c>
    </row>
    <row r="5793" spans="1:7" x14ac:dyDescent="0.2">
      <c r="A5793" s="1">
        <v>42031</v>
      </c>
      <c r="B5793">
        <v>2</v>
      </c>
      <c r="C5793" t="s">
        <v>15</v>
      </c>
      <c r="D5793">
        <v>-8.0389999999999993E-3</v>
      </c>
      <c r="E5793">
        <f t="shared" si="180"/>
        <v>0.99196099999999998</v>
      </c>
      <c r="F5793" s="1">
        <f t="shared" si="181"/>
        <v>42030</v>
      </c>
      <c r="G5793" cm="1">
        <f t="array" ref="G5793">PRODUCT( _xlfn._xlws.FILTER($E:$E, ($C:$C=C5793)*($F:$F=F5793)) ) - 1</f>
        <v>-1.3131416795194584E-2</v>
      </c>
    </row>
    <row r="5794" spans="1:7" x14ac:dyDescent="0.2">
      <c r="A5794" s="1">
        <v>42032</v>
      </c>
      <c r="B5794">
        <v>2</v>
      </c>
      <c r="C5794" t="s">
        <v>15</v>
      </c>
      <c r="D5794">
        <v>-6.2509999999999996E-3</v>
      </c>
      <c r="E5794">
        <f t="shared" si="180"/>
        <v>0.99374899999999999</v>
      </c>
      <c r="F5794" s="1">
        <f t="shared" si="181"/>
        <v>42030</v>
      </c>
      <c r="G5794" cm="1">
        <f t="array" ref="G5794">PRODUCT( _xlfn._xlws.FILTER($E:$E, ($C:$C=C5794)*($F:$F=F5794)) ) - 1</f>
        <v>-1.3131416795194584E-2</v>
      </c>
    </row>
    <row r="5795" spans="1:7" x14ac:dyDescent="0.2">
      <c r="A5795" s="1">
        <v>42033</v>
      </c>
      <c r="B5795">
        <v>2</v>
      </c>
      <c r="C5795" t="s">
        <v>15</v>
      </c>
      <c r="D5795">
        <v>2.4697E-2</v>
      </c>
      <c r="E5795">
        <f t="shared" si="180"/>
        <v>1.024697</v>
      </c>
      <c r="F5795" s="1">
        <f t="shared" si="181"/>
        <v>42030</v>
      </c>
      <c r="G5795" cm="1">
        <f t="array" ref="G5795">PRODUCT( _xlfn._xlws.FILTER($E:$E, ($C:$C=C5795)*($F:$F=F5795)) ) - 1</f>
        <v>-1.3131416795194584E-2</v>
      </c>
    </row>
    <row r="5796" spans="1:7" x14ac:dyDescent="0.2">
      <c r="A5796" s="1">
        <v>42034</v>
      </c>
      <c r="B5796">
        <v>2</v>
      </c>
      <c r="C5796" t="s">
        <v>15</v>
      </c>
      <c r="D5796">
        <v>-8.8679999999999991E-3</v>
      </c>
      <c r="E5796">
        <f t="shared" si="180"/>
        <v>0.99113200000000001</v>
      </c>
      <c r="F5796" s="1">
        <f t="shared" si="181"/>
        <v>42030</v>
      </c>
      <c r="G5796" cm="1">
        <f t="array" ref="G5796">PRODUCT( _xlfn._xlws.FILTER($E:$E, ($C:$C=C5796)*($F:$F=F5796)) ) - 1</f>
        <v>-1.3131416795194584E-2</v>
      </c>
    </row>
    <row r="5797" spans="1:7" x14ac:dyDescent="0.2">
      <c r="A5797" s="1">
        <v>42037</v>
      </c>
      <c r="B5797">
        <v>2</v>
      </c>
      <c r="C5797" t="s">
        <v>15</v>
      </c>
      <c r="D5797">
        <v>7.5709999999999996E-3</v>
      </c>
      <c r="E5797">
        <f t="shared" si="180"/>
        <v>1.007571</v>
      </c>
      <c r="F5797" s="1">
        <f t="shared" si="181"/>
        <v>42037</v>
      </c>
      <c r="G5797" cm="1">
        <f t="array" ref="G5797">PRODUCT( _xlfn._xlws.FILTER($E:$E, ($C:$C=C5797)*($F:$F=F5797)) ) - 1</f>
        <v>-9.8642846145301499E-3</v>
      </c>
    </row>
    <row r="5798" spans="1:7" x14ac:dyDescent="0.2">
      <c r="A5798" s="1">
        <v>42038</v>
      </c>
      <c r="B5798">
        <v>2</v>
      </c>
      <c r="C5798" t="s">
        <v>15</v>
      </c>
      <c r="D5798">
        <v>-1.5027E-2</v>
      </c>
      <c r="E5798">
        <f t="shared" si="180"/>
        <v>0.98497299999999999</v>
      </c>
      <c r="F5798" s="1">
        <f t="shared" si="181"/>
        <v>42037</v>
      </c>
      <c r="G5798" cm="1">
        <f t="array" ref="G5798">PRODUCT( _xlfn._xlws.FILTER($E:$E, ($C:$C=C5798)*($F:$F=F5798)) ) - 1</f>
        <v>-9.8642846145301499E-3</v>
      </c>
    </row>
    <row r="5799" spans="1:7" x14ac:dyDescent="0.2">
      <c r="A5799" s="1">
        <v>42039</v>
      </c>
      <c r="B5799">
        <v>2</v>
      </c>
      <c r="C5799" t="s">
        <v>15</v>
      </c>
      <c r="D5799">
        <v>8.5529999999999998E-3</v>
      </c>
      <c r="E5799">
        <f t="shared" si="180"/>
        <v>1.008553</v>
      </c>
      <c r="F5799" s="1">
        <f t="shared" si="181"/>
        <v>42037</v>
      </c>
      <c r="G5799" cm="1">
        <f t="array" ref="G5799">PRODUCT( _xlfn._xlws.FILTER($E:$E, ($C:$C=C5799)*($F:$F=F5799)) ) - 1</f>
        <v>-9.8642846145301499E-3</v>
      </c>
    </row>
    <row r="5800" spans="1:7" x14ac:dyDescent="0.2">
      <c r="A5800" s="1">
        <v>42040</v>
      </c>
      <c r="B5800">
        <v>2</v>
      </c>
      <c r="C5800" t="s">
        <v>15</v>
      </c>
      <c r="D5800">
        <v>2.2920000000000002E-3</v>
      </c>
      <c r="E5800">
        <f t="shared" si="180"/>
        <v>1.002292</v>
      </c>
      <c r="F5800" s="1">
        <f t="shared" si="181"/>
        <v>42037</v>
      </c>
      <c r="G5800" cm="1">
        <f t="array" ref="G5800">PRODUCT( _xlfn._xlws.FILTER($E:$E, ($C:$C=C5800)*($F:$F=F5800)) ) - 1</f>
        <v>-9.8642846145301499E-3</v>
      </c>
    </row>
    <row r="5801" spans="1:7" x14ac:dyDescent="0.2">
      <c r="A5801" s="1">
        <v>42041</v>
      </c>
      <c r="B5801">
        <v>2</v>
      </c>
      <c r="C5801" t="s">
        <v>15</v>
      </c>
      <c r="D5801">
        <v>-1.3035E-2</v>
      </c>
      <c r="E5801">
        <f t="shared" si="180"/>
        <v>0.98696499999999998</v>
      </c>
      <c r="F5801" s="1">
        <f t="shared" si="181"/>
        <v>42037</v>
      </c>
      <c r="G5801" cm="1">
        <f t="array" ref="G5801">PRODUCT( _xlfn._xlws.FILTER($E:$E, ($C:$C=C5801)*($F:$F=F5801)) ) - 1</f>
        <v>-9.8642846145301499E-3</v>
      </c>
    </row>
    <row r="5802" spans="1:7" x14ac:dyDescent="0.2">
      <c r="A5802" s="1">
        <v>42044</v>
      </c>
      <c r="B5802">
        <v>2</v>
      </c>
      <c r="C5802" t="s">
        <v>15</v>
      </c>
      <c r="D5802">
        <v>-2.0389000000000001E-2</v>
      </c>
      <c r="E5802">
        <f t="shared" si="180"/>
        <v>0.97961100000000001</v>
      </c>
      <c r="F5802" s="1">
        <f t="shared" si="181"/>
        <v>42044</v>
      </c>
      <c r="G5802" cm="1">
        <f t="array" ref="G5802">PRODUCT( _xlfn._xlws.FILTER($E:$E, ($C:$C=C5802)*($F:$F=F5802)) ) - 1</f>
        <v>6.7190202117759501E-3</v>
      </c>
    </row>
    <row r="5803" spans="1:7" x14ac:dyDescent="0.2">
      <c r="A5803" s="1">
        <v>42045</v>
      </c>
      <c r="B5803">
        <v>2</v>
      </c>
      <c r="C5803" t="s">
        <v>15</v>
      </c>
      <c r="D5803">
        <v>1.3245E-2</v>
      </c>
      <c r="E5803">
        <f t="shared" si="180"/>
        <v>1.013245</v>
      </c>
      <c r="F5803" s="1">
        <f t="shared" si="181"/>
        <v>42044</v>
      </c>
      <c r="G5803" cm="1">
        <f t="array" ref="G5803">PRODUCT( _xlfn._xlws.FILTER($E:$E, ($C:$C=C5803)*($F:$F=F5803)) ) - 1</f>
        <v>6.7190202117759501E-3</v>
      </c>
    </row>
    <row r="5804" spans="1:7" x14ac:dyDescent="0.2">
      <c r="A5804" s="1">
        <v>42046</v>
      </c>
      <c r="B5804">
        <v>2</v>
      </c>
      <c r="C5804" t="s">
        <v>15</v>
      </c>
      <c r="D5804">
        <v>1.634E-2</v>
      </c>
      <c r="E5804">
        <f t="shared" si="180"/>
        <v>1.01634</v>
      </c>
      <c r="F5804" s="1">
        <f t="shared" si="181"/>
        <v>42044</v>
      </c>
      <c r="G5804" cm="1">
        <f t="array" ref="G5804">PRODUCT( _xlfn._xlws.FILTER($E:$E, ($C:$C=C5804)*($F:$F=F5804)) ) - 1</f>
        <v>6.7190202117759501E-3</v>
      </c>
    </row>
    <row r="5805" spans="1:7" x14ac:dyDescent="0.2">
      <c r="A5805" s="1">
        <v>42047</v>
      </c>
      <c r="B5805">
        <v>2</v>
      </c>
      <c r="C5805" t="s">
        <v>15</v>
      </c>
      <c r="D5805">
        <v>-2.3000000000000001E-4</v>
      </c>
      <c r="E5805">
        <f t="shared" si="180"/>
        <v>0.99977000000000005</v>
      </c>
      <c r="F5805" s="1">
        <f t="shared" si="181"/>
        <v>42044</v>
      </c>
      <c r="G5805" cm="1">
        <f t="array" ref="G5805">PRODUCT( _xlfn._xlws.FILTER($E:$E, ($C:$C=C5805)*($F:$F=F5805)) ) - 1</f>
        <v>6.7190202117759501E-3</v>
      </c>
    </row>
    <row r="5806" spans="1:7" x14ac:dyDescent="0.2">
      <c r="A5806" s="1">
        <v>42048</v>
      </c>
      <c r="B5806">
        <v>2</v>
      </c>
      <c r="C5806" t="s">
        <v>15</v>
      </c>
      <c r="D5806">
        <v>-1.838E-3</v>
      </c>
      <c r="E5806">
        <f t="shared" si="180"/>
        <v>0.99816199999999999</v>
      </c>
      <c r="F5806" s="1">
        <f t="shared" si="181"/>
        <v>42044</v>
      </c>
      <c r="G5806" cm="1">
        <f t="array" ref="G5806">PRODUCT( _xlfn._xlws.FILTER($E:$E, ($C:$C=C5806)*($F:$F=F5806)) ) - 1</f>
        <v>6.7190202117759501E-3</v>
      </c>
    </row>
    <row r="5807" spans="1:7" x14ac:dyDescent="0.2">
      <c r="A5807" s="1">
        <v>42052</v>
      </c>
      <c r="B5807">
        <v>2</v>
      </c>
      <c r="C5807" t="s">
        <v>15</v>
      </c>
      <c r="D5807">
        <v>3.6819999999999999E-3</v>
      </c>
      <c r="E5807">
        <f t="shared" si="180"/>
        <v>1.003682</v>
      </c>
      <c r="F5807" s="1">
        <f t="shared" si="181"/>
        <v>42051</v>
      </c>
      <c r="G5807" cm="1">
        <f t="array" ref="G5807">PRODUCT( _xlfn._xlws.FILTER($E:$E, ($C:$C=C5807)*($F:$F=F5807)) ) - 1</f>
        <v>2.2784542186482737E-2</v>
      </c>
    </row>
    <row r="5808" spans="1:7" x14ac:dyDescent="0.2">
      <c r="A5808" s="1">
        <v>42053</v>
      </c>
      <c r="B5808">
        <v>2</v>
      </c>
      <c r="C5808" t="s">
        <v>15</v>
      </c>
      <c r="D5808">
        <v>1.147E-3</v>
      </c>
      <c r="E5808">
        <f t="shared" si="180"/>
        <v>1.001147</v>
      </c>
      <c r="F5808" s="1">
        <f t="shared" si="181"/>
        <v>42051</v>
      </c>
      <c r="G5808" cm="1">
        <f t="array" ref="G5808">PRODUCT( _xlfn._xlws.FILTER($E:$E, ($C:$C=C5808)*($F:$F=F5808)) ) - 1</f>
        <v>2.2784542186482737E-2</v>
      </c>
    </row>
    <row r="5809" spans="1:7" x14ac:dyDescent="0.2">
      <c r="A5809" s="1">
        <v>42054</v>
      </c>
      <c r="B5809">
        <v>2</v>
      </c>
      <c r="C5809" t="s">
        <v>15</v>
      </c>
      <c r="D5809">
        <v>6.4130000000000003E-3</v>
      </c>
      <c r="E5809">
        <f t="shared" si="180"/>
        <v>1.006413</v>
      </c>
      <c r="F5809" s="1">
        <f t="shared" si="181"/>
        <v>42051</v>
      </c>
      <c r="G5809" cm="1">
        <f t="array" ref="G5809">PRODUCT( _xlfn._xlws.FILTER($E:$E, ($C:$C=C5809)*($F:$F=F5809)) ) - 1</f>
        <v>2.2784542186482737E-2</v>
      </c>
    </row>
    <row r="5810" spans="1:7" x14ac:dyDescent="0.2">
      <c r="A5810" s="1">
        <v>42055</v>
      </c>
      <c r="B5810">
        <v>2</v>
      </c>
      <c r="C5810" t="s">
        <v>15</v>
      </c>
      <c r="D5810">
        <v>1.1379E-2</v>
      </c>
      <c r="E5810">
        <f t="shared" si="180"/>
        <v>1.011379</v>
      </c>
      <c r="F5810" s="1">
        <f t="shared" si="181"/>
        <v>42051</v>
      </c>
      <c r="G5810" cm="1">
        <f t="array" ref="G5810">PRODUCT( _xlfn._xlws.FILTER($E:$E, ($C:$C=C5810)*($F:$F=F5810)) ) - 1</f>
        <v>2.2784542186482737E-2</v>
      </c>
    </row>
    <row r="5811" spans="1:7" x14ac:dyDescent="0.2">
      <c r="A5811" s="1">
        <v>42058</v>
      </c>
      <c r="B5811">
        <v>2</v>
      </c>
      <c r="C5811" t="s">
        <v>15</v>
      </c>
      <c r="D5811">
        <v>2.9250000000000001E-3</v>
      </c>
      <c r="E5811">
        <f t="shared" si="180"/>
        <v>1.0029250000000001</v>
      </c>
      <c r="F5811" s="1">
        <f t="shared" si="181"/>
        <v>42058</v>
      </c>
      <c r="G5811" cm="1">
        <f t="array" ref="G5811">PRODUCT( _xlfn._xlws.FILTER($E:$E, ($C:$C=C5811)*($F:$F=F5811)) ) - 1</f>
        <v>-4.2055347848624081E-7</v>
      </c>
    </row>
    <row r="5812" spans="1:7" x14ac:dyDescent="0.2">
      <c r="A5812" s="1">
        <v>42059</v>
      </c>
      <c r="B5812">
        <v>2</v>
      </c>
      <c r="C5812" t="s">
        <v>15</v>
      </c>
      <c r="D5812">
        <v>-1.0545000000000001E-2</v>
      </c>
      <c r="E5812">
        <f t="shared" si="180"/>
        <v>0.98945499999999997</v>
      </c>
      <c r="F5812" s="1">
        <f t="shared" si="181"/>
        <v>42058</v>
      </c>
      <c r="G5812" cm="1">
        <f t="array" ref="G5812">PRODUCT( _xlfn._xlws.FILTER($E:$E, ($C:$C=C5812)*($F:$F=F5812)) ) - 1</f>
        <v>-4.2055347848624081E-7</v>
      </c>
    </row>
    <row r="5813" spans="1:7" x14ac:dyDescent="0.2">
      <c r="A5813" s="1">
        <v>42060</v>
      </c>
      <c r="B5813">
        <v>2</v>
      </c>
      <c r="C5813" t="s">
        <v>15</v>
      </c>
      <c r="D5813">
        <v>4.535E-3</v>
      </c>
      <c r="E5813">
        <f t="shared" si="180"/>
        <v>1.004535</v>
      </c>
      <c r="F5813" s="1">
        <f t="shared" si="181"/>
        <v>42058</v>
      </c>
      <c r="G5813" cm="1">
        <f t="array" ref="G5813">PRODUCT( _xlfn._xlws.FILTER($E:$E, ($C:$C=C5813)*($F:$F=F5813)) ) - 1</f>
        <v>-4.2055347848624081E-7</v>
      </c>
    </row>
    <row r="5814" spans="1:7" x14ac:dyDescent="0.2">
      <c r="A5814" s="1">
        <v>42061</v>
      </c>
      <c r="B5814">
        <v>2</v>
      </c>
      <c r="C5814" t="s">
        <v>15</v>
      </c>
      <c r="D5814">
        <v>4.9659999999999999E-3</v>
      </c>
      <c r="E5814">
        <f t="shared" si="180"/>
        <v>1.004966</v>
      </c>
      <c r="F5814" s="1">
        <f t="shared" si="181"/>
        <v>42058</v>
      </c>
      <c r="G5814" cm="1">
        <f t="array" ref="G5814">PRODUCT( _xlfn._xlws.FILTER($E:$E, ($C:$C=C5814)*($F:$F=F5814)) ) - 1</f>
        <v>-4.2055347848624081E-7</v>
      </c>
    </row>
    <row r="5815" spans="1:7" x14ac:dyDescent="0.2">
      <c r="A5815" s="1">
        <v>42062</v>
      </c>
      <c r="B5815">
        <v>2</v>
      </c>
      <c r="C5815" t="s">
        <v>15</v>
      </c>
      <c r="D5815">
        <v>-1.797E-3</v>
      </c>
      <c r="E5815">
        <f t="shared" si="180"/>
        <v>0.99820299999999995</v>
      </c>
      <c r="F5815" s="1">
        <f t="shared" si="181"/>
        <v>42058</v>
      </c>
      <c r="G5815" cm="1">
        <f t="array" ref="G5815">PRODUCT( _xlfn._xlws.FILTER($E:$E, ($C:$C=C5815)*($F:$F=F5815)) ) - 1</f>
        <v>-4.2055347848624081E-7</v>
      </c>
    </row>
    <row r="5816" spans="1:7" x14ac:dyDescent="0.2">
      <c r="A5816" s="1">
        <v>42065</v>
      </c>
      <c r="B5816">
        <v>2</v>
      </c>
      <c r="C5816" t="s">
        <v>15</v>
      </c>
      <c r="D5816">
        <v>-1.0576E-2</v>
      </c>
      <c r="E5816">
        <f t="shared" si="180"/>
        <v>0.98942399999999997</v>
      </c>
      <c r="F5816" s="1">
        <f t="shared" si="181"/>
        <v>42065</v>
      </c>
      <c r="G5816" cm="1">
        <f t="array" ref="G5816">PRODUCT( _xlfn._xlws.FILTER($E:$E, ($C:$C=C5816)*($F:$F=F5816)) ) - 1</f>
        <v>-2.2726581246711897E-2</v>
      </c>
    </row>
    <row r="5817" spans="1:7" x14ac:dyDescent="0.2">
      <c r="A5817" s="1">
        <v>42066</v>
      </c>
      <c r="B5817">
        <v>2</v>
      </c>
      <c r="C5817" t="s">
        <v>15</v>
      </c>
      <c r="D5817">
        <v>2.957E-3</v>
      </c>
      <c r="E5817">
        <f t="shared" si="180"/>
        <v>1.0029570000000001</v>
      </c>
      <c r="F5817" s="1">
        <f t="shared" si="181"/>
        <v>42065</v>
      </c>
      <c r="G5817" cm="1">
        <f t="array" ref="G5817">PRODUCT( _xlfn._xlws.FILTER($E:$E, ($C:$C=C5817)*($F:$F=F5817)) ) - 1</f>
        <v>-2.2726581246711897E-2</v>
      </c>
    </row>
    <row r="5818" spans="1:7" x14ac:dyDescent="0.2">
      <c r="A5818" s="1">
        <v>42067</v>
      </c>
      <c r="B5818">
        <v>2</v>
      </c>
      <c r="C5818" t="s">
        <v>15</v>
      </c>
      <c r="D5818">
        <v>-6.803E-3</v>
      </c>
      <c r="E5818">
        <f t="shared" si="180"/>
        <v>0.993197</v>
      </c>
      <c r="F5818" s="1">
        <f t="shared" si="181"/>
        <v>42065</v>
      </c>
      <c r="G5818" cm="1">
        <f t="array" ref="G5818">PRODUCT( _xlfn._xlws.FILTER($E:$E, ($C:$C=C5818)*($F:$F=F5818)) ) - 1</f>
        <v>-2.2726581246711897E-2</v>
      </c>
    </row>
    <row r="5819" spans="1:7" x14ac:dyDescent="0.2">
      <c r="A5819" s="1">
        <v>42068</v>
      </c>
      <c r="B5819">
        <v>2</v>
      </c>
      <c r="C5819" t="s">
        <v>15</v>
      </c>
      <c r="D5819">
        <v>0</v>
      </c>
      <c r="E5819">
        <f t="shared" si="180"/>
        <v>1</v>
      </c>
      <c r="F5819" s="1">
        <f t="shared" si="181"/>
        <v>42065</v>
      </c>
      <c r="G5819" cm="1">
        <f t="array" ref="G5819">PRODUCT( _xlfn._xlws.FILTER($E:$E, ($C:$C=C5819)*($F:$F=F5819)) ) - 1</f>
        <v>-2.2726581246711897E-2</v>
      </c>
    </row>
    <row r="5820" spans="1:7" x14ac:dyDescent="0.2">
      <c r="A5820" s="1">
        <v>42069</v>
      </c>
      <c r="B5820">
        <v>2</v>
      </c>
      <c r="C5820" t="s">
        <v>15</v>
      </c>
      <c r="D5820">
        <v>-8.4469999999999996E-3</v>
      </c>
      <c r="E5820">
        <f t="shared" si="180"/>
        <v>0.99155300000000002</v>
      </c>
      <c r="F5820" s="1">
        <f t="shared" si="181"/>
        <v>42065</v>
      </c>
      <c r="G5820" cm="1">
        <f t="array" ref="G5820">PRODUCT( _xlfn._xlws.FILTER($E:$E, ($C:$C=C5820)*($F:$F=F5820)) ) - 1</f>
        <v>-2.2726581246711897E-2</v>
      </c>
    </row>
    <row r="5821" spans="1:7" x14ac:dyDescent="0.2">
      <c r="A5821" s="1">
        <v>42072</v>
      </c>
      <c r="B5821">
        <v>2</v>
      </c>
      <c r="C5821" t="s">
        <v>15</v>
      </c>
      <c r="D5821">
        <v>-2.1874000000000001E-2</v>
      </c>
      <c r="E5821">
        <f t="shared" si="180"/>
        <v>0.97812600000000005</v>
      </c>
      <c r="F5821" s="1">
        <f t="shared" si="181"/>
        <v>42072</v>
      </c>
      <c r="G5821" cm="1">
        <f t="array" ref="G5821">PRODUCT( _xlfn._xlws.FILTER($E:$E, ($C:$C=C5821)*($F:$F=F5821)) ) - 1</f>
        <v>-1.7923189339512202E-2</v>
      </c>
    </row>
    <row r="5822" spans="1:7" x14ac:dyDescent="0.2">
      <c r="A5822" s="1">
        <v>42073</v>
      </c>
      <c r="B5822">
        <v>2</v>
      </c>
      <c r="C5822" t="s">
        <v>15</v>
      </c>
      <c r="D5822">
        <v>-1.8298999999999999E-2</v>
      </c>
      <c r="E5822">
        <f t="shared" si="180"/>
        <v>0.98170100000000005</v>
      </c>
      <c r="F5822" s="1">
        <f t="shared" si="181"/>
        <v>42072</v>
      </c>
      <c r="G5822" cm="1">
        <f t="array" ref="G5822">PRODUCT( _xlfn._xlws.FILTER($E:$E, ($C:$C=C5822)*($F:$F=F5822)) ) - 1</f>
        <v>-1.7923189339512202E-2</v>
      </c>
    </row>
    <row r="5823" spans="1:7" x14ac:dyDescent="0.2">
      <c r="A5823" s="1">
        <v>42074</v>
      </c>
      <c r="B5823">
        <v>2</v>
      </c>
      <c r="C5823" t="s">
        <v>15</v>
      </c>
      <c r="D5823">
        <v>2.0576000000000001E-2</v>
      </c>
      <c r="E5823">
        <f t="shared" si="180"/>
        <v>1.0205759999999999</v>
      </c>
      <c r="F5823" s="1">
        <f t="shared" si="181"/>
        <v>42072</v>
      </c>
      <c r="G5823" cm="1">
        <f t="array" ref="G5823">PRODUCT( _xlfn._xlws.FILTER($E:$E, ($C:$C=C5823)*($F:$F=F5823)) ) - 1</f>
        <v>-1.7923189339512202E-2</v>
      </c>
    </row>
    <row r="5824" spans="1:7" x14ac:dyDescent="0.2">
      <c r="A5824" s="1">
        <v>42075</v>
      </c>
      <c r="B5824">
        <v>2</v>
      </c>
      <c r="C5824" t="s">
        <v>15</v>
      </c>
      <c r="D5824">
        <v>1.1148E-2</v>
      </c>
      <c r="E5824">
        <f t="shared" si="180"/>
        <v>1.0111479999999999</v>
      </c>
      <c r="F5824" s="1">
        <f t="shared" si="181"/>
        <v>42072</v>
      </c>
      <c r="G5824" cm="1">
        <f t="array" ref="G5824">PRODUCT( _xlfn._xlws.FILTER($E:$E, ($C:$C=C5824)*($F:$F=F5824)) ) - 1</f>
        <v>-1.7923189339512202E-2</v>
      </c>
    </row>
    <row r="5825" spans="1:7" x14ac:dyDescent="0.2">
      <c r="A5825" s="1">
        <v>42076</v>
      </c>
      <c r="B5825">
        <v>2</v>
      </c>
      <c r="C5825" t="s">
        <v>15</v>
      </c>
      <c r="D5825">
        <v>-8.914E-3</v>
      </c>
      <c r="E5825">
        <f t="shared" si="180"/>
        <v>0.99108600000000002</v>
      </c>
      <c r="F5825" s="1">
        <f t="shared" si="181"/>
        <v>42072</v>
      </c>
      <c r="G5825" cm="1">
        <f t="array" ref="G5825">PRODUCT( _xlfn._xlws.FILTER($E:$E, ($C:$C=C5825)*($F:$F=F5825)) ) - 1</f>
        <v>-1.7923189339512202E-2</v>
      </c>
    </row>
    <row r="5826" spans="1:7" x14ac:dyDescent="0.2">
      <c r="A5826" s="1">
        <v>42079</v>
      </c>
      <c r="B5826">
        <v>2</v>
      </c>
      <c r="C5826" t="s">
        <v>15</v>
      </c>
      <c r="D5826">
        <v>-2.3699999999999999E-4</v>
      </c>
      <c r="E5826">
        <f t="shared" si="180"/>
        <v>0.99976299999999996</v>
      </c>
      <c r="F5826" s="1">
        <f t="shared" si="181"/>
        <v>42079</v>
      </c>
      <c r="G5826" cm="1">
        <f t="array" ref="G5826">PRODUCT( _xlfn._xlws.FILTER($E:$E, ($C:$C=C5826)*($F:$F=F5826)) ) - 1</f>
        <v>-4.0237544341359399E-3</v>
      </c>
    </row>
    <row r="5827" spans="1:7" x14ac:dyDescent="0.2">
      <c r="A5827" s="1">
        <v>42080</v>
      </c>
      <c r="B5827">
        <v>2</v>
      </c>
      <c r="C5827" t="s">
        <v>15</v>
      </c>
      <c r="D5827">
        <v>8.286E-3</v>
      </c>
      <c r="E5827">
        <f t="shared" si="180"/>
        <v>1.008286</v>
      </c>
      <c r="F5827" s="1">
        <f t="shared" si="181"/>
        <v>42079</v>
      </c>
      <c r="G5827" cm="1">
        <f t="array" ref="G5827">PRODUCT( _xlfn._xlws.FILTER($E:$E, ($C:$C=C5827)*($F:$F=F5827)) ) - 1</f>
        <v>-4.0237544341359399E-3</v>
      </c>
    </row>
    <row r="5828" spans="1:7" x14ac:dyDescent="0.2">
      <c r="A5828" s="1">
        <v>42081</v>
      </c>
      <c r="B5828">
        <v>2</v>
      </c>
      <c r="C5828" t="s">
        <v>15</v>
      </c>
      <c r="D5828">
        <v>4.9309999999999996E-3</v>
      </c>
      <c r="E5828">
        <f t="shared" ref="E5828:E5891" si="182">D5828+1</f>
        <v>1.004931</v>
      </c>
      <c r="F5828" s="1">
        <f t="shared" ref="F5828:F5891" si="183">A5828 - (WEEKDAY(A5828, 2) - 1)</f>
        <v>42079</v>
      </c>
      <c r="G5828" cm="1">
        <f t="array" ref="G5828">PRODUCT( _xlfn._xlws.FILTER($E:$E, ($C:$C=C5828)*($F:$F=F5828)) ) - 1</f>
        <v>-4.0237544341359399E-3</v>
      </c>
    </row>
    <row r="5829" spans="1:7" x14ac:dyDescent="0.2">
      <c r="A5829" s="1">
        <v>42082</v>
      </c>
      <c r="B5829">
        <v>2</v>
      </c>
      <c r="C5829" t="s">
        <v>15</v>
      </c>
      <c r="D5829">
        <v>-5.8409999999999998E-3</v>
      </c>
      <c r="E5829">
        <f t="shared" si="182"/>
        <v>0.99415900000000001</v>
      </c>
      <c r="F5829" s="1">
        <f t="shared" si="183"/>
        <v>42079</v>
      </c>
      <c r="G5829" cm="1">
        <f t="array" ref="G5829">PRODUCT( _xlfn._xlws.FILTER($E:$E, ($C:$C=C5829)*($F:$F=F5829)) ) - 1</f>
        <v>-4.0237544341359399E-3</v>
      </c>
    </row>
    <row r="5830" spans="1:7" x14ac:dyDescent="0.2">
      <c r="A5830" s="1">
        <v>42083</v>
      </c>
      <c r="B5830">
        <v>2</v>
      </c>
      <c r="C5830" t="s">
        <v>15</v>
      </c>
      <c r="D5830">
        <v>-1.1046E-2</v>
      </c>
      <c r="E5830">
        <f t="shared" si="182"/>
        <v>0.988954</v>
      </c>
      <c r="F5830" s="1">
        <f t="shared" si="183"/>
        <v>42079</v>
      </c>
      <c r="G5830" cm="1">
        <f t="array" ref="G5830">PRODUCT( _xlfn._xlws.FILTER($E:$E, ($C:$C=C5830)*($F:$F=F5830)) ) - 1</f>
        <v>-4.0237544341359399E-3</v>
      </c>
    </row>
    <row r="5831" spans="1:7" x14ac:dyDescent="0.2">
      <c r="A5831" s="1">
        <v>42086</v>
      </c>
      <c r="B5831">
        <v>2</v>
      </c>
      <c r="C5831" t="s">
        <v>15</v>
      </c>
      <c r="D5831">
        <v>-2.3760000000000001E-3</v>
      </c>
      <c r="E5831">
        <f t="shared" si="182"/>
        <v>0.99762399999999996</v>
      </c>
      <c r="F5831" s="1">
        <f t="shared" si="183"/>
        <v>42086</v>
      </c>
      <c r="G5831" cm="1">
        <f t="array" ref="G5831">PRODUCT( _xlfn._xlws.FILTER($E:$E, ($C:$C=C5831)*($F:$F=F5831)) ) - 1</f>
        <v>-2.6146888860761885E-3</v>
      </c>
    </row>
    <row r="5832" spans="1:7" x14ac:dyDescent="0.2">
      <c r="A5832" s="1">
        <v>42087</v>
      </c>
      <c r="B5832">
        <v>2</v>
      </c>
      <c r="C5832" t="s">
        <v>15</v>
      </c>
      <c r="D5832">
        <v>1.1672E-2</v>
      </c>
      <c r="E5832">
        <f t="shared" si="182"/>
        <v>1.0116719999999999</v>
      </c>
      <c r="F5832" s="1">
        <f t="shared" si="183"/>
        <v>42086</v>
      </c>
      <c r="G5832" cm="1">
        <f t="array" ref="G5832">PRODUCT( _xlfn._xlws.FILTER($E:$E, ($C:$C=C5832)*($F:$F=F5832)) ) - 1</f>
        <v>-2.6146888860761885E-3</v>
      </c>
    </row>
    <row r="5833" spans="1:7" x14ac:dyDescent="0.2">
      <c r="A5833" s="1">
        <v>42088</v>
      </c>
      <c r="B5833">
        <v>2</v>
      </c>
      <c r="C5833" t="s">
        <v>15</v>
      </c>
      <c r="D5833">
        <v>-1.5304999999999999E-2</v>
      </c>
      <c r="E5833">
        <f t="shared" si="182"/>
        <v>0.98469499999999999</v>
      </c>
      <c r="F5833" s="1">
        <f t="shared" si="183"/>
        <v>42086</v>
      </c>
      <c r="G5833" cm="1">
        <f t="array" ref="G5833">PRODUCT( _xlfn._xlws.FILTER($E:$E, ($C:$C=C5833)*($F:$F=F5833)) ) - 1</f>
        <v>-2.6146888860761885E-3</v>
      </c>
    </row>
    <row r="5834" spans="1:7" x14ac:dyDescent="0.2">
      <c r="A5834" s="1">
        <v>42089</v>
      </c>
      <c r="B5834">
        <v>2</v>
      </c>
      <c r="C5834" t="s">
        <v>15</v>
      </c>
      <c r="D5834">
        <v>2.869E-3</v>
      </c>
      <c r="E5834">
        <f t="shared" si="182"/>
        <v>1.002869</v>
      </c>
      <c r="F5834" s="1">
        <f t="shared" si="183"/>
        <v>42086</v>
      </c>
      <c r="G5834" cm="1">
        <f t="array" ref="G5834">PRODUCT( _xlfn._xlws.FILTER($E:$E, ($C:$C=C5834)*($F:$F=F5834)) ) - 1</f>
        <v>-2.6146888860761885E-3</v>
      </c>
    </row>
    <row r="5835" spans="1:7" x14ac:dyDescent="0.2">
      <c r="A5835" s="1">
        <v>42090</v>
      </c>
      <c r="B5835">
        <v>2</v>
      </c>
      <c r="C5835" t="s">
        <v>15</v>
      </c>
      <c r="D5835">
        <v>7.1500000000000003E-4</v>
      </c>
      <c r="E5835">
        <f t="shared" si="182"/>
        <v>1.000715</v>
      </c>
      <c r="F5835" s="1">
        <f t="shared" si="183"/>
        <v>42086</v>
      </c>
      <c r="G5835" cm="1">
        <f t="array" ref="G5835">PRODUCT( _xlfn._xlws.FILTER($E:$E, ($C:$C=C5835)*($F:$F=F5835)) ) - 1</f>
        <v>-2.6146888860761885E-3</v>
      </c>
    </row>
    <row r="5836" spans="1:7" x14ac:dyDescent="0.2">
      <c r="A5836" s="1">
        <v>42093</v>
      </c>
      <c r="B5836">
        <v>2</v>
      </c>
      <c r="C5836" t="s">
        <v>15</v>
      </c>
      <c r="D5836">
        <v>4.5269999999999998E-3</v>
      </c>
      <c r="E5836">
        <f t="shared" si="182"/>
        <v>1.0045269999999999</v>
      </c>
      <c r="F5836" s="1">
        <f t="shared" si="183"/>
        <v>42093</v>
      </c>
      <c r="G5836" cm="1">
        <f t="array" ref="G5836">PRODUCT( _xlfn._xlws.FILTER($E:$E, ($C:$C=C5836)*($F:$F=F5836)) ) - 1</f>
        <v>1.0245098078679238E-2</v>
      </c>
    </row>
    <row r="5837" spans="1:7" x14ac:dyDescent="0.2">
      <c r="A5837" s="1">
        <v>42094</v>
      </c>
      <c r="B5837">
        <v>2</v>
      </c>
      <c r="C5837" t="s">
        <v>15</v>
      </c>
      <c r="D5837">
        <v>-2.1350000000000002E-3</v>
      </c>
      <c r="E5837">
        <f t="shared" si="182"/>
        <v>0.997865</v>
      </c>
      <c r="F5837" s="1">
        <f t="shared" si="183"/>
        <v>42093</v>
      </c>
      <c r="G5837" cm="1">
        <f t="array" ref="G5837">PRODUCT( _xlfn._xlws.FILTER($E:$E, ($C:$C=C5837)*($F:$F=F5837)) ) - 1</f>
        <v>1.0245098078679238E-2</v>
      </c>
    </row>
    <row r="5838" spans="1:7" x14ac:dyDescent="0.2">
      <c r="A5838" s="1">
        <v>42095</v>
      </c>
      <c r="B5838">
        <v>2</v>
      </c>
      <c r="C5838" t="s">
        <v>15</v>
      </c>
      <c r="D5838">
        <v>-2.3800000000000001E-4</v>
      </c>
      <c r="E5838">
        <f t="shared" si="182"/>
        <v>0.99976200000000004</v>
      </c>
      <c r="F5838" s="1">
        <f t="shared" si="183"/>
        <v>42093</v>
      </c>
      <c r="G5838" cm="1">
        <f t="array" ref="G5838">PRODUCT( _xlfn._xlws.FILTER($E:$E, ($C:$C=C5838)*($F:$F=F5838)) ) - 1</f>
        <v>1.0245098078679238E-2</v>
      </c>
    </row>
    <row r="5839" spans="1:7" x14ac:dyDescent="0.2">
      <c r="A5839" s="1">
        <v>42096</v>
      </c>
      <c r="B5839">
        <v>2</v>
      </c>
      <c r="C5839" t="s">
        <v>15</v>
      </c>
      <c r="D5839">
        <v>8.0839999999999992E-3</v>
      </c>
      <c r="E5839">
        <f t="shared" si="182"/>
        <v>1.008084</v>
      </c>
      <c r="F5839" s="1">
        <f t="shared" si="183"/>
        <v>42093</v>
      </c>
      <c r="G5839" cm="1">
        <f t="array" ref="G5839">PRODUCT( _xlfn._xlws.FILTER($E:$E, ($C:$C=C5839)*($F:$F=F5839)) ) - 1</f>
        <v>1.0245098078679238E-2</v>
      </c>
    </row>
    <row r="5840" spans="1:7" x14ac:dyDescent="0.2">
      <c r="A5840" s="1">
        <v>42100</v>
      </c>
      <c r="B5840">
        <v>2</v>
      </c>
      <c r="C5840" t="s">
        <v>15</v>
      </c>
      <c r="D5840">
        <v>-4.7199999999999998E-4</v>
      </c>
      <c r="E5840">
        <f t="shared" si="182"/>
        <v>0.99952799999999997</v>
      </c>
      <c r="F5840" s="1">
        <f t="shared" si="183"/>
        <v>42100</v>
      </c>
      <c r="G5840" cm="1">
        <f t="array" ref="G5840">PRODUCT( _xlfn._xlws.FILTER($E:$E, ($C:$C=C5840)*($F:$F=F5840)) ) - 1</f>
        <v>2.5234949423864173E-2</v>
      </c>
    </row>
    <row r="5841" spans="1:7" x14ac:dyDescent="0.2">
      <c r="A5841" s="1">
        <v>42101</v>
      </c>
      <c r="B5841">
        <v>2</v>
      </c>
      <c r="C5841" t="s">
        <v>15</v>
      </c>
      <c r="D5841">
        <v>4.7190000000000001E-3</v>
      </c>
      <c r="E5841">
        <f t="shared" si="182"/>
        <v>1.0047189999999999</v>
      </c>
      <c r="F5841" s="1">
        <f t="shared" si="183"/>
        <v>42100</v>
      </c>
      <c r="G5841" cm="1">
        <f t="array" ref="G5841">PRODUCT( _xlfn._xlws.FILTER($E:$E, ($C:$C=C5841)*($F:$F=F5841)) ) - 1</f>
        <v>2.5234949423864173E-2</v>
      </c>
    </row>
    <row r="5842" spans="1:7" x14ac:dyDescent="0.2">
      <c r="A5842" s="1">
        <v>42102</v>
      </c>
      <c r="B5842">
        <v>2</v>
      </c>
      <c r="C5842" t="s">
        <v>15</v>
      </c>
      <c r="D5842">
        <v>7.515E-3</v>
      </c>
      <c r="E5842">
        <f t="shared" si="182"/>
        <v>1.0075149999999999</v>
      </c>
      <c r="F5842" s="1">
        <f t="shared" si="183"/>
        <v>42100</v>
      </c>
      <c r="G5842" cm="1">
        <f t="array" ref="G5842">PRODUCT( _xlfn._xlws.FILTER($E:$E, ($C:$C=C5842)*($F:$F=F5842)) ) - 1</f>
        <v>2.5234949423864173E-2</v>
      </c>
    </row>
    <row r="5843" spans="1:7" x14ac:dyDescent="0.2">
      <c r="A5843" s="1">
        <v>42103</v>
      </c>
      <c r="B5843">
        <v>2</v>
      </c>
      <c r="C5843" t="s">
        <v>15</v>
      </c>
      <c r="D5843">
        <v>9.3240000000000007E-3</v>
      </c>
      <c r="E5843">
        <f t="shared" si="182"/>
        <v>1.0093240000000001</v>
      </c>
      <c r="F5843" s="1">
        <f t="shared" si="183"/>
        <v>42100</v>
      </c>
      <c r="G5843" cm="1">
        <f t="array" ref="G5843">PRODUCT( _xlfn._xlws.FILTER($E:$E, ($C:$C=C5843)*($F:$F=F5843)) ) - 1</f>
        <v>2.5234949423864173E-2</v>
      </c>
    </row>
    <row r="5844" spans="1:7" x14ac:dyDescent="0.2">
      <c r="A5844" s="1">
        <v>42104</v>
      </c>
      <c r="B5844">
        <v>2</v>
      </c>
      <c r="C5844" t="s">
        <v>15</v>
      </c>
      <c r="D5844">
        <v>3.9259999999999998E-3</v>
      </c>
      <c r="E5844">
        <f t="shared" si="182"/>
        <v>1.0039260000000001</v>
      </c>
      <c r="F5844" s="1">
        <f t="shared" si="183"/>
        <v>42100</v>
      </c>
      <c r="G5844" cm="1">
        <f t="array" ref="G5844">PRODUCT( _xlfn._xlws.FILTER($E:$E, ($C:$C=C5844)*($F:$F=F5844)) ) - 1</f>
        <v>2.5234949423864173E-2</v>
      </c>
    </row>
    <row r="5845" spans="1:7" x14ac:dyDescent="0.2">
      <c r="A5845" s="1">
        <v>42107</v>
      </c>
      <c r="B5845">
        <v>2</v>
      </c>
      <c r="C5845" t="s">
        <v>15</v>
      </c>
      <c r="D5845">
        <v>3.6809999999999998E-3</v>
      </c>
      <c r="E5845">
        <f t="shared" si="182"/>
        <v>1.003681</v>
      </c>
      <c r="F5845" s="1">
        <f t="shared" si="183"/>
        <v>42107</v>
      </c>
      <c r="G5845" cm="1">
        <f t="array" ref="G5845">PRODUCT( _xlfn._xlws.FILTER($E:$E, ($C:$C=C5845)*($F:$F=F5845)) ) - 1</f>
        <v>-3.2206116776621108E-2</v>
      </c>
    </row>
    <row r="5846" spans="1:7" x14ac:dyDescent="0.2">
      <c r="A5846" s="1">
        <v>42108</v>
      </c>
      <c r="B5846">
        <v>2</v>
      </c>
      <c r="C5846" t="s">
        <v>15</v>
      </c>
      <c r="D5846">
        <v>-9.8560000000000002E-3</v>
      </c>
      <c r="E5846">
        <f t="shared" si="182"/>
        <v>0.99014400000000002</v>
      </c>
      <c r="F5846" s="1">
        <f t="shared" si="183"/>
        <v>42107</v>
      </c>
      <c r="G5846" cm="1">
        <f t="array" ref="G5846">PRODUCT( _xlfn._xlws.FILTER($E:$E, ($C:$C=C5846)*($F:$F=F5846)) ) - 1</f>
        <v>-3.2206116776621108E-2</v>
      </c>
    </row>
    <row r="5847" spans="1:7" x14ac:dyDescent="0.2">
      <c r="A5847" s="1">
        <v>42109</v>
      </c>
      <c r="B5847">
        <v>2</v>
      </c>
      <c r="C5847" t="s">
        <v>15</v>
      </c>
      <c r="D5847">
        <v>-1.0416999999999999E-2</v>
      </c>
      <c r="E5847">
        <f t="shared" si="182"/>
        <v>0.98958299999999999</v>
      </c>
      <c r="F5847" s="1">
        <f t="shared" si="183"/>
        <v>42107</v>
      </c>
      <c r="G5847" cm="1">
        <f t="array" ref="G5847">PRODUCT( _xlfn._xlws.FILTER($E:$E, ($C:$C=C5847)*($F:$F=F5847)) ) - 1</f>
        <v>-3.2206116776621108E-2</v>
      </c>
    </row>
    <row r="5848" spans="1:7" x14ac:dyDescent="0.2">
      <c r="A5848" s="1">
        <v>42110</v>
      </c>
      <c r="B5848">
        <v>2</v>
      </c>
      <c r="C5848" t="s">
        <v>15</v>
      </c>
      <c r="D5848">
        <v>-1.5906E-2</v>
      </c>
      <c r="E5848">
        <f t="shared" si="182"/>
        <v>0.98409400000000002</v>
      </c>
      <c r="F5848" s="1">
        <f t="shared" si="183"/>
        <v>42107</v>
      </c>
      <c r="G5848" cm="1">
        <f t="array" ref="G5848">PRODUCT( _xlfn._xlws.FILTER($E:$E, ($C:$C=C5848)*($F:$F=F5848)) ) - 1</f>
        <v>-3.2206116776621108E-2</v>
      </c>
    </row>
    <row r="5849" spans="1:7" x14ac:dyDescent="0.2">
      <c r="A5849" s="1">
        <v>42111</v>
      </c>
      <c r="B5849">
        <v>2</v>
      </c>
      <c r="C5849" t="s">
        <v>15</v>
      </c>
      <c r="D5849">
        <v>0</v>
      </c>
      <c r="E5849">
        <f t="shared" si="182"/>
        <v>1</v>
      </c>
      <c r="F5849" s="1">
        <f t="shared" si="183"/>
        <v>42107</v>
      </c>
      <c r="G5849" cm="1">
        <f t="array" ref="G5849">PRODUCT( _xlfn._xlws.FILTER($E:$E, ($C:$C=C5849)*($F:$F=F5849)) ) - 1</f>
        <v>-3.2206116776621108E-2</v>
      </c>
    </row>
    <row r="5850" spans="1:7" x14ac:dyDescent="0.2">
      <c r="A5850" s="1">
        <v>42114</v>
      </c>
      <c r="B5850">
        <v>2</v>
      </c>
      <c r="C5850" t="s">
        <v>15</v>
      </c>
      <c r="D5850">
        <v>2.1389999999999998E-3</v>
      </c>
      <c r="E5850">
        <f t="shared" si="182"/>
        <v>1.0021389999999999</v>
      </c>
      <c r="F5850" s="1">
        <f t="shared" si="183"/>
        <v>42114</v>
      </c>
      <c r="G5850" cm="1">
        <f t="array" ref="G5850">PRODUCT( _xlfn._xlws.FILTER($E:$E, ($C:$C=C5850)*($F:$F=F5850)) ) - 1</f>
        <v>1.6875482803119901E-2</v>
      </c>
    </row>
    <row r="5851" spans="1:7" x14ac:dyDescent="0.2">
      <c r="A5851" s="1">
        <v>42115</v>
      </c>
      <c r="B5851">
        <v>2</v>
      </c>
      <c r="C5851" t="s">
        <v>15</v>
      </c>
      <c r="D5851">
        <v>2.6090000000000002E-3</v>
      </c>
      <c r="E5851">
        <f t="shared" si="182"/>
        <v>1.0026090000000001</v>
      </c>
      <c r="F5851" s="1">
        <f t="shared" si="183"/>
        <v>42114</v>
      </c>
      <c r="G5851" cm="1">
        <f t="array" ref="G5851">PRODUCT( _xlfn._xlws.FILTER($E:$E, ($C:$C=C5851)*($F:$F=F5851)) ) - 1</f>
        <v>1.6875482803119901E-2</v>
      </c>
    </row>
    <row r="5852" spans="1:7" x14ac:dyDescent="0.2">
      <c r="A5852" s="1">
        <v>42116</v>
      </c>
      <c r="B5852">
        <v>2</v>
      </c>
      <c r="C5852" t="s">
        <v>15</v>
      </c>
      <c r="D5852">
        <v>9.2259999999999998E-3</v>
      </c>
      <c r="E5852">
        <f t="shared" si="182"/>
        <v>1.009226</v>
      </c>
      <c r="F5852" s="1">
        <f t="shared" si="183"/>
        <v>42114</v>
      </c>
      <c r="G5852" cm="1">
        <f t="array" ref="G5852">PRODUCT( _xlfn._xlws.FILTER($E:$E, ($C:$C=C5852)*($F:$F=F5852)) ) - 1</f>
        <v>1.6875482803119901E-2</v>
      </c>
    </row>
    <row r="5853" spans="1:7" x14ac:dyDescent="0.2">
      <c r="A5853" s="1">
        <v>42117</v>
      </c>
      <c r="B5853">
        <v>2</v>
      </c>
      <c r="C5853" t="s">
        <v>15</v>
      </c>
      <c r="D5853">
        <v>2.578E-3</v>
      </c>
      <c r="E5853">
        <f t="shared" si="182"/>
        <v>1.002578</v>
      </c>
      <c r="F5853" s="1">
        <f t="shared" si="183"/>
        <v>42114</v>
      </c>
      <c r="G5853" cm="1">
        <f t="array" ref="G5853">PRODUCT( _xlfn._xlws.FILTER($E:$E, ($C:$C=C5853)*($F:$F=F5853)) ) - 1</f>
        <v>1.6875482803119901E-2</v>
      </c>
    </row>
    <row r="5854" spans="1:7" x14ac:dyDescent="0.2">
      <c r="A5854" s="1">
        <v>42118</v>
      </c>
      <c r="B5854">
        <v>2</v>
      </c>
      <c r="C5854" t="s">
        <v>15</v>
      </c>
      <c r="D5854">
        <v>2.34E-4</v>
      </c>
      <c r="E5854">
        <f t="shared" si="182"/>
        <v>1.0002340000000001</v>
      </c>
      <c r="F5854" s="1">
        <f t="shared" si="183"/>
        <v>42114</v>
      </c>
      <c r="G5854" cm="1">
        <f t="array" ref="G5854">PRODUCT( _xlfn._xlws.FILTER($E:$E, ($C:$C=C5854)*($F:$F=F5854)) ) - 1</f>
        <v>1.6875482803119901E-2</v>
      </c>
    </row>
    <row r="5855" spans="1:7" x14ac:dyDescent="0.2">
      <c r="A5855" s="1">
        <v>42121</v>
      </c>
      <c r="B5855">
        <v>2</v>
      </c>
      <c r="C5855" t="s">
        <v>15</v>
      </c>
      <c r="D5855">
        <v>-7.4799999999999997E-3</v>
      </c>
      <c r="E5855">
        <f t="shared" si="182"/>
        <v>0.99251999999999996</v>
      </c>
      <c r="F5855" s="1">
        <f t="shared" si="183"/>
        <v>42121</v>
      </c>
      <c r="G5855" cm="1">
        <f t="array" ref="G5855">PRODUCT( _xlfn._xlws.FILTER($E:$E, ($C:$C=C5855)*($F:$F=F5855)) ) - 1</f>
        <v>-1.8934644028183234E-2</v>
      </c>
    </row>
    <row r="5856" spans="1:7" x14ac:dyDescent="0.2">
      <c r="A5856" s="1">
        <v>42122</v>
      </c>
      <c r="B5856">
        <v>2</v>
      </c>
      <c r="C5856" t="s">
        <v>15</v>
      </c>
      <c r="D5856">
        <v>4.7099999999999998E-3</v>
      </c>
      <c r="E5856">
        <f t="shared" si="182"/>
        <v>1.00471</v>
      </c>
      <c r="F5856" s="1">
        <f t="shared" si="183"/>
        <v>42121</v>
      </c>
      <c r="G5856" cm="1">
        <f t="array" ref="G5856">PRODUCT( _xlfn._xlws.FILTER($E:$E, ($C:$C=C5856)*($F:$F=F5856)) ) - 1</f>
        <v>-1.8934644028183234E-2</v>
      </c>
    </row>
    <row r="5857" spans="1:7" x14ac:dyDescent="0.2">
      <c r="A5857" s="1">
        <v>42123</v>
      </c>
      <c r="B5857">
        <v>2</v>
      </c>
      <c r="C5857" t="s">
        <v>15</v>
      </c>
      <c r="D5857">
        <v>-7.0320000000000001E-3</v>
      </c>
      <c r="E5857">
        <f t="shared" si="182"/>
        <v>0.99296799999999996</v>
      </c>
      <c r="F5857" s="1">
        <f t="shared" si="183"/>
        <v>42121</v>
      </c>
      <c r="G5857" cm="1">
        <f t="array" ref="G5857">PRODUCT( _xlfn._xlws.FILTER($E:$E, ($C:$C=C5857)*($F:$F=F5857)) ) - 1</f>
        <v>-1.8934644028183234E-2</v>
      </c>
    </row>
    <row r="5858" spans="1:7" x14ac:dyDescent="0.2">
      <c r="A5858" s="1">
        <v>42124</v>
      </c>
      <c r="B5858">
        <v>2</v>
      </c>
      <c r="C5858" t="s">
        <v>15</v>
      </c>
      <c r="D5858">
        <v>-1.4873000000000001E-2</v>
      </c>
      <c r="E5858">
        <f t="shared" si="182"/>
        <v>0.98512699999999997</v>
      </c>
      <c r="F5858" s="1">
        <f t="shared" si="183"/>
        <v>42121</v>
      </c>
      <c r="G5858" cm="1">
        <f t="array" ref="G5858">PRODUCT( _xlfn._xlws.FILTER($E:$E, ($C:$C=C5858)*($F:$F=F5858)) ) - 1</f>
        <v>-1.8934644028183234E-2</v>
      </c>
    </row>
    <row r="5859" spans="1:7" x14ac:dyDescent="0.2">
      <c r="A5859" s="1">
        <v>42125</v>
      </c>
      <c r="B5859">
        <v>2</v>
      </c>
      <c r="C5859" t="s">
        <v>15</v>
      </c>
      <c r="D5859">
        <v>5.751E-3</v>
      </c>
      <c r="E5859">
        <f t="shared" si="182"/>
        <v>1.0057510000000001</v>
      </c>
      <c r="F5859" s="1">
        <f t="shared" si="183"/>
        <v>42121</v>
      </c>
      <c r="G5859" cm="1">
        <f t="array" ref="G5859">PRODUCT( _xlfn._xlws.FILTER($E:$E, ($C:$C=C5859)*($F:$F=F5859)) ) - 1</f>
        <v>-1.8934644028183234E-2</v>
      </c>
    </row>
    <row r="5860" spans="1:7" x14ac:dyDescent="0.2">
      <c r="A5860" s="1">
        <v>42128</v>
      </c>
      <c r="B5860">
        <v>2</v>
      </c>
      <c r="C5860" t="s">
        <v>15</v>
      </c>
      <c r="D5860">
        <v>-7.3860000000000002E-3</v>
      </c>
      <c r="E5860">
        <f t="shared" si="182"/>
        <v>0.992614</v>
      </c>
      <c r="F5860" s="1">
        <f t="shared" si="183"/>
        <v>42128</v>
      </c>
      <c r="G5860" cm="1">
        <f t="array" ref="G5860">PRODUCT( _xlfn._xlws.FILTER($E:$E, ($C:$C=C5860)*($F:$F=F5860)) ) - 1</f>
        <v>1.607346413079469E-6</v>
      </c>
    </row>
    <row r="5861" spans="1:7" x14ac:dyDescent="0.2">
      <c r="A5861" s="1">
        <v>42129</v>
      </c>
      <c r="B5861">
        <v>2</v>
      </c>
      <c r="C5861" t="s">
        <v>15</v>
      </c>
      <c r="D5861">
        <v>-1.9203000000000001E-2</v>
      </c>
      <c r="E5861">
        <f t="shared" si="182"/>
        <v>0.98079700000000003</v>
      </c>
      <c r="F5861" s="1">
        <f t="shared" si="183"/>
        <v>42128</v>
      </c>
      <c r="G5861" cm="1">
        <f t="array" ref="G5861">PRODUCT( _xlfn._xlws.FILTER($E:$E, ($C:$C=C5861)*($F:$F=F5861)) ) - 1</f>
        <v>1.607346413079469E-6</v>
      </c>
    </row>
    <row r="5862" spans="1:7" x14ac:dyDescent="0.2">
      <c r="A5862" s="1">
        <v>42130</v>
      </c>
      <c r="B5862">
        <v>2</v>
      </c>
      <c r="C5862" t="s">
        <v>15</v>
      </c>
      <c r="D5862">
        <v>2.8389999999999999E-2</v>
      </c>
      <c r="E5862">
        <f t="shared" si="182"/>
        <v>1.0283899999999999</v>
      </c>
      <c r="F5862" s="1">
        <f t="shared" si="183"/>
        <v>42128</v>
      </c>
      <c r="G5862" cm="1">
        <f t="array" ref="G5862">PRODUCT( _xlfn._xlws.FILTER($E:$E, ($C:$C=C5862)*($F:$F=F5862)) ) - 1</f>
        <v>1.607346413079469E-6</v>
      </c>
    </row>
    <row r="5863" spans="1:7" x14ac:dyDescent="0.2">
      <c r="A5863" s="1">
        <v>42131</v>
      </c>
      <c r="B5863">
        <v>2</v>
      </c>
      <c r="C5863" t="s">
        <v>15</v>
      </c>
      <c r="D5863">
        <v>1.8563E-2</v>
      </c>
      <c r="E5863">
        <f t="shared" si="182"/>
        <v>1.0185630000000001</v>
      </c>
      <c r="F5863" s="1">
        <f t="shared" si="183"/>
        <v>42128</v>
      </c>
      <c r="G5863" cm="1">
        <f t="array" ref="G5863">PRODUCT( _xlfn._xlws.FILTER($E:$E, ($C:$C=C5863)*($F:$F=F5863)) ) - 1</f>
        <v>1.607346413079469E-6</v>
      </c>
    </row>
    <row r="5864" spans="1:7" x14ac:dyDescent="0.2">
      <c r="A5864" s="1">
        <v>42132</v>
      </c>
      <c r="B5864">
        <v>2</v>
      </c>
      <c r="C5864" t="s">
        <v>15</v>
      </c>
      <c r="D5864">
        <v>-1.9392E-2</v>
      </c>
      <c r="E5864">
        <f t="shared" si="182"/>
        <v>0.98060800000000004</v>
      </c>
      <c r="F5864" s="1">
        <f t="shared" si="183"/>
        <v>42128</v>
      </c>
      <c r="G5864" cm="1">
        <f t="array" ref="G5864">PRODUCT( _xlfn._xlws.FILTER($E:$E, ($C:$C=C5864)*($F:$F=F5864)) ) - 1</f>
        <v>1.607346413079469E-6</v>
      </c>
    </row>
    <row r="5865" spans="1:7" x14ac:dyDescent="0.2">
      <c r="A5865" s="1">
        <v>42135</v>
      </c>
      <c r="B5865">
        <v>2</v>
      </c>
      <c r="C5865" t="s">
        <v>15</v>
      </c>
      <c r="D5865">
        <v>9.7689999999999999E-3</v>
      </c>
      <c r="E5865">
        <f t="shared" si="182"/>
        <v>1.0097689999999999</v>
      </c>
      <c r="F5865" s="1">
        <f t="shared" si="183"/>
        <v>42135</v>
      </c>
      <c r="G5865" cm="1">
        <f t="array" ref="G5865">PRODUCT( _xlfn._xlws.FILTER($E:$E, ($C:$C=C5865)*($F:$F=F5865)) ) - 1</f>
        <v>-9.7689934944018564E-3</v>
      </c>
    </row>
    <row r="5866" spans="1:7" x14ac:dyDescent="0.2">
      <c r="A5866" s="1">
        <v>42136</v>
      </c>
      <c r="B5866">
        <v>2</v>
      </c>
      <c r="C5866" t="s">
        <v>15</v>
      </c>
      <c r="D5866">
        <v>-1.8169000000000001E-2</v>
      </c>
      <c r="E5866">
        <f t="shared" si="182"/>
        <v>0.98183100000000001</v>
      </c>
      <c r="F5866" s="1">
        <f t="shared" si="183"/>
        <v>42135</v>
      </c>
      <c r="G5866" cm="1">
        <f t="array" ref="G5866">PRODUCT( _xlfn._xlws.FILTER($E:$E, ($C:$C=C5866)*($F:$F=F5866)) ) - 1</f>
        <v>-9.7689934944018564E-3</v>
      </c>
    </row>
    <row r="5867" spans="1:7" x14ac:dyDescent="0.2">
      <c r="A5867" s="1">
        <v>42137</v>
      </c>
      <c r="B5867">
        <v>2</v>
      </c>
      <c r="C5867" t="s">
        <v>15</v>
      </c>
      <c r="D5867">
        <v>0</v>
      </c>
      <c r="E5867">
        <f t="shared" si="182"/>
        <v>1</v>
      </c>
      <c r="F5867" s="1">
        <f t="shared" si="183"/>
        <v>42135</v>
      </c>
      <c r="G5867" cm="1">
        <f t="array" ref="G5867">PRODUCT( _xlfn._xlws.FILTER($E:$E, ($C:$C=C5867)*($F:$F=F5867)) ) - 1</f>
        <v>-9.7689934944018564E-3</v>
      </c>
    </row>
    <row r="5868" spans="1:7" x14ac:dyDescent="0.2">
      <c r="A5868" s="1">
        <v>42138</v>
      </c>
      <c r="B5868">
        <v>2</v>
      </c>
      <c r="C5868" t="s">
        <v>15</v>
      </c>
      <c r="D5868">
        <v>-1.6819999999999999E-3</v>
      </c>
      <c r="E5868">
        <f t="shared" si="182"/>
        <v>0.99831800000000004</v>
      </c>
      <c r="F5868" s="1">
        <f t="shared" si="183"/>
        <v>42135</v>
      </c>
      <c r="G5868" cm="1">
        <f t="array" ref="G5868">PRODUCT( _xlfn._xlws.FILTER($E:$E, ($C:$C=C5868)*($F:$F=F5868)) ) - 1</f>
        <v>-9.7689934944018564E-3</v>
      </c>
    </row>
    <row r="5869" spans="1:7" x14ac:dyDescent="0.2">
      <c r="A5869" s="1">
        <v>42139</v>
      </c>
      <c r="B5869">
        <v>2</v>
      </c>
      <c r="C5869" t="s">
        <v>15</v>
      </c>
      <c r="D5869">
        <v>4.8099999999999998E-4</v>
      </c>
      <c r="E5869">
        <f t="shared" si="182"/>
        <v>1.000481</v>
      </c>
      <c r="F5869" s="1">
        <f t="shared" si="183"/>
        <v>42135</v>
      </c>
      <c r="G5869" cm="1">
        <f t="array" ref="G5869">PRODUCT( _xlfn._xlws.FILTER($E:$E, ($C:$C=C5869)*($F:$F=F5869)) ) - 1</f>
        <v>-9.7689934944018564E-3</v>
      </c>
    </row>
    <row r="5870" spans="1:7" x14ac:dyDescent="0.2">
      <c r="A5870" s="1">
        <v>42143</v>
      </c>
      <c r="B5870">
        <v>2</v>
      </c>
      <c r="C5870" t="s">
        <v>15</v>
      </c>
      <c r="D5870">
        <v>9.6199999999999996E-4</v>
      </c>
      <c r="E5870">
        <f t="shared" si="182"/>
        <v>1.0009619999999999</v>
      </c>
      <c r="F5870" s="1">
        <f t="shared" si="183"/>
        <v>42142</v>
      </c>
      <c r="G5870" cm="1">
        <f t="array" ref="G5870">PRODUCT( _xlfn._xlws.FILTER($E:$E, ($C:$C=C5870)*($F:$F=F5870)) ) - 1</f>
        <v>1.2752121767332758E-2</v>
      </c>
    </row>
    <row r="5871" spans="1:7" x14ac:dyDescent="0.2">
      <c r="A5871" s="1">
        <v>42144</v>
      </c>
      <c r="B5871">
        <v>2</v>
      </c>
      <c r="C5871" t="s">
        <v>15</v>
      </c>
      <c r="D5871">
        <v>-6.0099999999999997E-3</v>
      </c>
      <c r="E5871">
        <f t="shared" si="182"/>
        <v>0.99399000000000004</v>
      </c>
      <c r="F5871" s="1">
        <f t="shared" si="183"/>
        <v>42142</v>
      </c>
      <c r="G5871" cm="1">
        <f t="array" ref="G5871">PRODUCT( _xlfn._xlws.FILTER($E:$E, ($C:$C=C5871)*($F:$F=F5871)) ) - 1</f>
        <v>1.2752121767332758E-2</v>
      </c>
    </row>
    <row r="5872" spans="1:7" x14ac:dyDescent="0.2">
      <c r="A5872" s="1">
        <v>42145</v>
      </c>
      <c r="B5872">
        <v>2</v>
      </c>
      <c r="C5872" t="s">
        <v>15</v>
      </c>
      <c r="D5872">
        <v>1.2092E-2</v>
      </c>
      <c r="E5872">
        <f t="shared" si="182"/>
        <v>1.012092</v>
      </c>
      <c r="F5872" s="1">
        <f t="shared" si="183"/>
        <v>42142</v>
      </c>
      <c r="G5872" cm="1">
        <f t="array" ref="G5872">PRODUCT( _xlfn._xlws.FILTER($E:$E, ($C:$C=C5872)*($F:$F=F5872)) ) - 1</f>
        <v>1.2752121767332758E-2</v>
      </c>
    </row>
    <row r="5873" spans="1:7" x14ac:dyDescent="0.2">
      <c r="A5873" s="1">
        <v>42146</v>
      </c>
      <c r="B5873">
        <v>2</v>
      </c>
      <c r="C5873" t="s">
        <v>15</v>
      </c>
      <c r="D5873">
        <v>5.7349999999999996E-3</v>
      </c>
      <c r="E5873">
        <f t="shared" si="182"/>
        <v>1.005735</v>
      </c>
      <c r="F5873" s="1">
        <f t="shared" si="183"/>
        <v>42142</v>
      </c>
      <c r="G5873" cm="1">
        <f t="array" ref="G5873">PRODUCT( _xlfn._xlws.FILTER($E:$E, ($C:$C=C5873)*($F:$F=F5873)) ) - 1</f>
        <v>1.2752121767332758E-2</v>
      </c>
    </row>
    <row r="5874" spans="1:7" x14ac:dyDescent="0.2">
      <c r="A5874" s="1">
        <v>42149</v>
      </c>
      <c r="B5874">
        <v>2</v>
      </c>
      <c r="C5874" t="s">
        <v>15</v>
      </c>
      <c r="D5874">
        <v>4.9890000000000004E-3</v>
      </c>
      <c r="E5874">
        <f t="shared" si="182"/>
        <v>1.0049889999999999</v>
      </c>
      <c r="F5874" s="1">
        <f t="shared" si="183"/>
        <v>42149</v>
      </c>
      <c r="G5874" cm="1">
        <f t="array" ref="G5874">PRODUCT( _xlfn._xlws.FILTER($E:$E, ($C:$C=C5874)*($F:$F=F5874)) ) - 1</f>
        <v>5.9392426093254347E-3</v>
      </c>
    </row>
    <row r="5875" spans="1:7" x14ac:dyDescent="0.2">
      <c r="A5875" s="1">
        <v>42150</v>
      </c>
      <c r="B5875">
        <v>2</v>
      </c>
      <c r="C5875" t="s">
        <v>15</v>
      </c>
      <c r="D5875">
        <v>1.1820000000000001E-3</v>
      </c>
      <c r="E5875">
        <f t="shared" si="182"/>
        <v>1.001182</v>
      </c>
      <c r="F5875" s="1">
        <f t="shared" si="183"/>
        <v>42149</v>
      </c>
      <c r="G5875" cm="1">
        <f t="array" ref="G5875">PRODUCT( _xlfn._xlws.FILTER($E:$E, ($C:$C=C5875)*($F:$F=F5875)) ) - 1</f>
        <v>5.9392426093254347E-3</v>
      </c>
    </row>
    <row r="5876" spans="1:7" x14ac:dyDescent="0.2">
      <c r="A5876" s="1">
        <v>42151</v>
      </c>
      <c r="B5876">
        <v>2</v>
      </c>
      <c r="C5876" t="s">
        <v>15</v>
      </c>
      <c r="D5876">
        <v>2.5969999999999999E-3</v>
      </c>
      <c r="E5876">
        <f t="shared" si="182"/>
        <v>1.002597</v>
      </c>
      <c r="F5876" s="1">
        <f t="shared" si="183"/>
        <v>42149</v>
      </c>
      <c r="G5876" cm="1">
        <f t="array" ref="G5876">PRODUCT( _xlfn._xlws.FILTER($E:$E, ($C:$C=C5876)*($F:$F=F5876)) ) - 1</f>
        <v>5.9392426093254347E-3</v>
      </c>
    </row>
    <row r="5877" spans="1:7" x14ac:dyDescent="0.2">
      <c r="A5877" s="1">
        <v>42152</v>
      </c>
      <c r="B5877">
        <v>2</v>
      </c>
      <c r="C5877" t="s">
        <v>15</v>
      </c>
      <c r="D5877">
        <v>1.884E-3</v>
      </c>
      <c r="E5877">
        <f t="shared" si="182"/>
        <v>1.001884</v>
      </c>
      <c r="F5877" s="1">
        <f t="shared" si="183"/>
        <v>42149</v>
      </c>
      <c r="G5877" cm="1">
        <f t="array" ref="G5877">PRODUCT( _xlfn._xlws.FILTER($E:$E, ($C:$C=C5877)*($F:$F=F5877)) ) - 1</f>
        <v>5.9392426093254347E-3</v>
      </c>
    </row>
    <row r="5878" spans="1:7" x14ac:dyDescent="0.2">
      <c r="A5878" s="1">
        <v>42153</v>
      </c>
      <c r="B5878">
        <v>2</v>
      </c>
      <c r="C5878" t="s">
        <v>15</v>
      </c>
      <c r="D5878">
        <v>-4.7010000000000003E-3</v>
      </c>
      <c r="E5878">
        <f t="shared" si="182"/>
        <v>0.99529900000000004</v>
      </c>
      <c r="F5878" s="1">
        <f t="shared" si="183"/>
        <v>42149</v>
      </c>
      <c r="G5878" cm="1">
        <f t="array" ref="G5878">PRODUCT( _xlfn._xlws.FILTER($E:$E, ($C:$C=C5878)*($F:$F=F5878)) ) - 1</f>
        <v>5.9392426093254347E-3</v>
      </c>
    </row>
    <row r="5879" spans="1:7" x14ac:dyDescent="0.2">
      <c r="A5879" s="1">
        <v>42156</v>
      </c>
      <c r="B5879">
        <v>2</v>
      </c>
      <c r="C5879" t="s">
        <v>15</v>
      </c>
      <c r="D5879">
        <v>5.1960000000000001E-3</v>
      </c>
      <c r="E5879">
        <f t="shared" si="182"/>
        <v>1.005196</v>
      </c>
      <c r="F5879" s="1">
        <f t="shared" si="183"/>
        <v>42156</v>
      </c>
      <c r="G5879" cm="1">
        <f t="array" ref="G5879">PRODUCT( _xlfn._xlws.FILTER($E:$E, ($C:$C=C5879)*($F:$F=F5879)) ) - 1</f>
        <v>-1.4175009887750223E-3</v>
      </c>
    </row>
    <row r="5880" spans="1:7" x14ac:dyDescent="0.2">
      <c r="A5880" s="1">
        <v>42157</v>
      </c>
      <c r="B5880">
        <v>2</v>
      </c>
      <c r="C5880" t="s">
        <v>15</v>
      </c>
      <c r="D5880">
        <v>-2.1150000000000001E-3</v>
      </c>
      <c r="E5880">
        <f t="shared" si="182"/>
        <v>0.99788500000000002</v>
      </c>
      <c r="F5880" s="1">
        <f t="shared" si="183"/>
        <v>42156</v>
      </c>
      <c r="G5880" cm="1">
        <f t="array" ref="G5880">PRODUCT( _xlfn._xlws.FILTER($E:$E, ($C:$C=C5880)*($F:$F=F5880)) ) - 1</f>
        <v>-1.4175009887750223E-3</v>
      </c>
    </row>
    <row r="5881" spans="1:7" x14ac:dyDescent="0.2">
      <c r="A5881" s="1">
        <v>42158</v>
      </c>
      <c r="B5881">
        <v>2</v>
      </c>
      <c r="C5881" t="s">
        <v>15</v>
      </c>
      <c r="D5881">
        <v>4.4739999999999997E-3</v>
      </c>
      <c r="E5881">
        <f t="shared" si="182"/>
        <v>1.0044740000000001</v>
      </c>
      <c r="F5881" s="1">
        <f t="shared" si="183"/>
        <v>42156</v>
      </c>
      <c r="G5881" cm="1">
        <f t="array" ref="G5881">PRODUCT( _xlfn._xlws.FILTER($E:$E, ($C:$C=C5881)*($F:$F=F5881)) ) - 1</f>
        <v>-1.4175009887750223E-3</v>
      </c>
    </row>
    <row r="5882" spans="1:7" x14ac:dyDescent="0.2">
      <c r="A5882" s="1">
        <v>42159</v>
      </c>
      <c r="B5882">
        <v>2</v>
      </c>
      <c r="C5882" t="s">
        <v>15</v>
      </c>
      <c r="D5882">
        <v>-1.1720000000000001E-3</v>
      </c>
      <c r="E5882">
        <f t="shared" si="182"/>
        <v>0.99882800000000005</v>
      </c>
      <c r="F5882" s="1">
        <f t="shared" si="183"/>
        <v>42156</v>
      </c>
      <c r="G5882" cm="1">
        <f t="array" ref="G5882">PRODUCT( _xlfn._xlws.FILTER($E:$E, ($C:$C=C5882)*($F:$F=F5882)) ) - 1</f>
        <v>-1.4175009887750223E-3</v>
      </c>
    </row>
    <row r="5883" spans="1:7" x14ac:dyDescent="0.2">
      <c r="A5883" s="1">
        <v>42160</v>
      </c>
      <c r="B5883">
        <v>2</v>
      </c>
      <c r="C5883" t="s">
        <v>15</v>
      </c>
      <c r="D5883">
        <v>-7.7450000000000001E-3</v>
      </c>
      <c r="E5883">
        <f t="shared" si="182"/>
        <v>0.992255</v>
      </c>
      <c r="F5883" s="1">
        <f t="shared" si="183"/>
        <v>42156</v>
      </c>
      <c r="G5883" cm="1">
        <f t="array" ref="G5883">PRODUCT( _xlfn._xlws.FILTER($E:$E, ($C:$C=C5883)*($F:$F=F5883)) ) - 1</f>
        <v>-1.4175009887750223E-3</v>
      </c>
    </row>
    <row r="5884" spans="1:7" x14ac:dyDescent="0.2">
      <c r="A5884" s="1">
        <v>42163</v>
      </c>
      <c r="B5884">
        <v>2</v>
      </c>
      <c r="C5884" t="s">
        <v>15</v>
      </c>
      <c r="D5884">
        <v>-6.6220000000000003E-3</v>
      </c>
      <c r="E5884">
        <f t="shared" si="182"/>
        <v>0.99337799999999998</v>
      </c>
      <c r="F5884" s="1">
        <f t="shared" si="183"/>
        <v>42163</v>
      </c>
      <c r="G5884" cm="1">
        <f t="array" ref="G5884">PRODUCT( _xlfn._xlws.FILTER($E:$E, ($C:$C=C5884)*($F:$F=F5884)) ) - 1</f>
        <v>-2.3584257400372288E-2</v>
      </c>
    </row>
    <row r="5885" spans="1:7" x14ac:dyDescent="0.2">
      <c r="A5885" s="1">
        <v>42164</v>
      </c>
      <c r="B5885">
        <v>2</v>
      </c>
      <c r="C5885" t="s">
        <v>15</v>
      </c>
      <c r="D5885">
        <v>-4.8099999999999998E-4</v>
      </c>
      <c r="E5885">
        <f t="shared" si="182"/>
        <v>0.99951900000000005</v>
      </c>
      <c r="F5885" s="1">
        <f t="shared" si="183"/>
        <v>42163</v>
      </c>
      <c r="G5885" cm="1">
        <f t="array" ref="G5885">PRODUCT( _xlfn._xlws.FILTER($E:$E, ($C:$C=C5885)*($F:$F=F5885)) ) - 1</f>
        <v>-2.3584257400372288E-2</v>
      </c>
    </row>
    <row r="5886" spans="1:7" x14ac:dyDescent="0.2">
      <c r="A5886" s="1">
        <v>42165</v>
      </c>
      <c r="B5886">
        <v>2</v>
      </c>
      <c r="C5886" t="s">
        <v>15</v>
      </c>
      <c r="D5886">
        <v>-5.7749999999999998E-3</v>
      </c>
      <c r="E5886">
        <f t="shared" si="182"/>
        <v>0.99422500000000003</v>
      </c>
      <c r="F5886" s="1">
        <f t="shared" si="183"/>
        <v>42163</v>
      </c>
      <c r="G5886" cm="1">
        <f t="array" ref="G5886">PRODUCT( _xlfn._xlws.FILTER($E:$E, ($C:$C=C5886)*($F:$F=F5886)) ) - 1</f>
        <v>-2.3584257400372288E-2</v>
      </c>
    </row>
    <row r="5887" spans="1:7" x14ac:dyDescent="0.2">
      <c r="A5887" s="1">
        <v>42166</v>
      </c>
      <c r="B5887">
        <v>2</v>
      </c>
      <c r="C5887" t="s">
        <v>15</v>
      </c>
      <c r="D5887">
        <v>-5.3239999999999997E-3</v>
      </c>
      <c r="E5887">
        <f t="shared" si="182"/>
        <v>0.994676</v>
      </c>
      <c r="F5887" s="1">
        <f t="shared" si="183"/>
        <v>42163</v>
      </c>
      <c r="G5887" cm="1">
        <f t="array" ref="G5887">PRODUCT( _xlfn._xlws.FILTER($E:$E, ($C:$C=C5887)*($F:$F=F5887)) ) - 1</f>
        <v>-2.3584257400372288E-2</v>
      </c>
    </row>
    <row r="5888" spans="1:7" x14ac:dyDescent="0.2">
      <c r="A5888" s="1">
        <v>42167</v>
      </c>
      <c r="B5888">
        <v>2</v>
      </c>
      <c r="C5888" t="s">
        <v>15</v>
      </c>
      <c r="D5888">
        <v>-5.5960000000000003E-3</v>
      </c>
      <c r="E5888">
        <f t="shared" si="182"/>
        <v>0.99440399999999995</v>
      </c>
      <c r="F5888" s="1">
        <f t="shared" si="183"/>
        <v>42163</v>
      </c>
      <c r="G5888" cm="1">
        <f t="array" ref="G5888">PRODUCT( _xlfn._xlws.FILTER($E:$E, ($C:$C=C5888)*($F:$F=F5888)) ) - 1</f>
        <v>-2.3584257400372288E-2</v>
      </c>
    </row>
    <row r="5889" spans="1:7" x14ac:dyDescent="0.2">
      <c r="A5889" s="1">
        <v>42170</v>
      </c>
      <c r="B5889">
        <v>2</v>
      </c>
      <c r="C5889" t="s">
        <v>15</v>
      </c>
      <c r="D5889">
        <v>5.1380000000000002E-3</v>
      </c>
      <c r="E5889">
        <f t="shared" si="182"/>
        <v>1.0051380000000001</v>
      </c>
      <c r="F5889" s="1">
        <f t="shared" si="183"/>
        <v>42170</v>
      </c>
      <c r="G5889" cm="1">
        <f t="array" ref="G5889">PRODUCT( _xlfn._xlws.FILTER($E:$E, ($C:$C=C5889)*($F:$F=F5889)) ) - 1</f>
        <v>3.2051601984993683E-2</v>
      </c>
    </row>
    <row r="5890" spans="1:7" x14ac:dyDescent="0.2">
      <c r="A5890" s="1">
        <v>42171</v>
      </c>
      <c r="B5890">
        <v>2</v>
      </c>
      <c r="C5890" t="s">
        <v>15</v>
      </c>
      <c r="D5890">
        <v>1.704E-3</v>
      </c>
      <c r="E5890">
        <f t="shared" si="182"/>
        <v>1.0017039999999999</v>
      </c>
      <c r="F5890" s="1">
        <f t="shared" si="183"/>
        <v>42170</v>
      </c>
      <c r="G5890" cm="1">
        <f t="array" ref="G5890">PRODUCT( _xlfn._xlws.FILTER($E:$E, ($C:$C=C5890)*($F:$F=F5890)) ) - 1</f>
        <v>3.2051601984993683E-2</v>
      </c>
    </row>
    <row r="5891" spans="1:7" x14ac:dyDescent="0.2">
      <c r="A5891" s="1">
        <v>42172</v>
      </c>
      <c r="B5891">
        <v>2</v>
      </c>
      <c r="C5891" t="s">
        <v>15</v>
      </c>
      <c r="D5891">
        <v>-9.2350000000000002E-3</v>
      </c>
      <c r="E5891">
        <f t="shared" si="182"/>
        <v>0.99076500000000001</v>
      </c>
      <c r="F5891" s="1">
        <f t="shared" si="183"/>
        <v>42170</v>
      </c>
      <c r="G5891" cm="1">
        <f t="array" ref="G5891">PRODUCT( _xlfn._xlws.FILTER($E:$E, ($C:$C=C5891)*($F:$F=F5891)) ) - 1</f>
        <v>3.2051601984993683E-2</v>
      </c>
    </row>
    <row r="5892" spans="1:7" x14ac:dyDescent="0.2">
      <c r="A5892" s="1">
        <v>42173</v>
      </c>
      <c r="B5892">
        <v>2</v>
      </c>
      <c r="C5892" t="s">
        <v>15</v>
      </c>
      <c r="D5892">
        <v>1.1528E-2</v>
      </c>
      <c r="E5892">
        <f t="shared" ref="E5892:E5955" si="184">D5892+1</f>
        <v>1.011528</v>
      </c>
      <c r="F5892" s="1">
        <f t="shared" ref="F5892:F5955" si="185">A5892 - (WEEKDAY(A5892, 2) - 1)</f>
        <v>42170</v>
      </c>
      <c r="G5892" cm="1">
        <f t="array" ref="G5892">PRODUCT( _xlfn._xlws.FILTER($E:$E, ($C:$C=C5892)*($F:$F=F5892)) ) - 1</f>
        <v>3.2051601984993683E-2</v>
      </c>
    </row>
    <row r="5893" spans="1:7" x14ac:dyDescent="0.2">
      <c r="A5893" s="1">
        <v>42174</v>
      </c>
      <c r="B5893">
        <v>2</v>
      </c>
      <c r="C5893" t="s">
        <v>15</v>
      </c>
      <c r="D5893">
        <v>2.2793000000000001E-2</v>
      </c>
      <c r="E5893">
        <f t="shared" si="184"/>
        <v>1.0227930000000001</v>
      </c>
      <c r="F5893" s="1">
        <f t="shared" si="185"/>
        <v>42170</v>
      </c>
      <c r="G5893" cm="1">
        <f t="array" ref="G5893">PRODUCT( _xlfn._xlws.FILTER($E:$E, ($C:$C=C5893)*($F:$F=F5893)) ) - 1</f>
        <v>3.2051601984993683E-2</v>
      </c>
    </row>
    <row r="5894" spans="1:7" x14ac:dyDescent="0.2">
      <c r="A5894" s="1">
        <v>42177</v>
      </c>
      <c r="B5894">
        <v>2</v>
      </c>
      <c r="C5894" t="s">
        <v>15</v>
      </c>
      <c r="D5894">
        <v>1.0194E-2</v>
      </c>
      <c r="E5894">
        <f t="shared" si="184"/>
        <v>1.010194</v>
      </c>
      <c r="F5894" s="1">
        <f t="shared" si="185"/>
        <v>42177</v>
      </c>
      <c r="G5894" cm="1">
        <f t="array" ref="G5894">PRODUCT( _xlfn._xlws.FILTER($E:$E, ($C:$C=C5894)*($F:$F=F5894)) ) - 1</f>
        <v>2.0624823047576957E-2</v>
      </c>
    </row>
    <row r="5895" spans="1:7" x14ac:dyDescent="0.2">
      <c r="A5895" s="1">
        <v>42178</v>
      </c>
      <c r="B5895">
        <v>2</v>
      </c>
      <c r="C5895" t="s">
        <v>15</v>
      </c>
      <c r="D5895">
        <v>-7.5100000000000002E-3</v>
      </c>
      <c r="E5895">
        <f t="shared" si="184"/>
        <v>0.99248999999999998</v>
      </c>
      <c r="F5895" s="1">
        <f t="shared" si="185"/>
        <v>42177</v>
      </c>
      <c r="G5895" cm="1">
        <f t="array" ref="G5895">PRODUCT( _xlfn._xlws.FILTER($E:$E, ($C:$C=C5895)*($F:$F=F5895)) ) - 1</f>
        <v>2.0624823047576957E-2</v>
      </c>
    </row>
    <row r="5896" spans="1:7" x14ac:dyDescent="0.2">
      <c r="A5896" s="1">
        <v>42179</v>
      </c>
      <c r="B5896">
        <v>2</v>
      </c>
      <c r="C5896" t="s">
        <v>15</v>
      </c>
      <c r="D5896">
        <v>1.3478E-2</v>
      </c>
      <c r="E5896">
        <f t="shared" si="184"/>
        <v>1.0134780000000001</v>
      </c>
      <c r="F5896" s="1">
        <f t="shared" si="185"/>
        <v>42177</v>
      </c>
      <c r="G5896" cm="1">
        <f t="array" ref="G5896">PRODUCT( _xlfn._xlws.FILTER($E:$E, ($C:$C=C5896)*($F:$F=F5896)) ) - 1</f>
        <v>2.0624823047576957E-2</v>
      </c>
    </row>
    <row r="5897" spans="1:7" x14ac:dyDescent="0.2">
      <c r="A5897" s="1">
        <v>42180</v>
      </c>
      <c r="B5897">
        <v>2</v>
      </c>
      <c r="C5897" t="s">
        <v>15</v>
      </c>
      <c r="D5897">
        <v>2.5660000000000001E-3</v>
      </c>
      <c r="E5897">
        <f t="shared" si="184"/>
        <v>1.0025660000000001</v>
      </c>
      <c r="F5897" s="1">
        <f t="shared" si="185"/>
        <v>42177</v>
      </c>
      <c r="G5897" cm="1">
        <f t="array" ref="G5897">PRODUCT( _xlfn._xlws.FILTER($E:$E, ($C:$C=C5897)*($F:$F=F5897)) ) - 1</f>
        <v>2.0624823047576957E-2</v>
      </c>
    </row>
    <row r="5898" spans="1:7" x14ac:dyDescent="0.2">
      <c r="A5898" s="1">
        <v>42181</v>
      </c>
      <c r="B5898">
        <v>2</v>
      </c>
      <c r="C5898" t="s">
        <v>15</v>
      </c>
      <c r="D5898">
        <v>1.8619999999999999E-3</v>
      </c>
      <c r="E5898">
        <f t="shared" si="184"/>
        <v>1.001862</v>
      </c>
      <c r="F5898" s="1">
        <f t="shared" si="185"/>
        <v>42177</v>
      </c>
      <c r="G5898" cm="1">
        <f t="array" ref="G5898">PRODUCT( _xlfn._xlws.FILTER($E:$E, ($C:$C=C5898)*($F:$F=F5898)) ) - 1</f>
        <v>2.0624823047576957E-2</v>
      </c>
    </row>
    <row r="5899" spans="1:7" x14ac:dyDescent="0.2">
      <c r="A5899" s="1">
        <v>42184</v>
      </c>
      <c r="B5899">
        <v>2</v>
      </c>
      <c r="C5899" t="s">
        <v>15</v>
      </c>
      <c r="D5899">
        <v>-1.3937E-2</v>
      </c>
      <c r="E5899">
        <f t="shared" si="184"/>
        <v>0.98606300000000002</v>
      </c>
      <c r="F5899" s="1">
        <f t="shared" si="185"/>
        <v>42184</v>
      </c>
      <c r="G5899" cm="1">
        <f t="array" ref="G5899">PRODUCT( _xlfn._xlws.FILTER($E:$E, ($C:$C=C5899)*($F:$F=F5899)) ) - 1</f>
        <v>1.835099471423729E-2</v>
      </c>
    </row>
    <row r="5900" spans="1:7" x14ac:dyDescent="0.2">
      <c r="A5900" s="1">
        <v>42185</v>
      </c>
      <c r="B5900">
        <v>2</v>
      </c>
      <c r="C5900" t="s">
        <v>15</v>
      </c>
      <c r="D5900">
        <v>1.3663E-2</v>
      </c>
      <c r="E5900">
        <f t="shared" si="184"/>
        <v>1.013663</v>
      </c>
      <c r="F5900" s="1">
        <f t="shared" si="185"/>
        <v>42184</v>
      </c>
      <c r="G5900" cm="1">
        <f t="array" ref="G5900">PRODUCT( _xlfn._xlws.FILTER($E:$E, ($C:$C=C5900)*($F:$F=F5900)) ) - 1</f>
        <v>1.835099471423729E-2</v>
      </c>
    </row>
    <row r="5901" spans="1:7" x14ac:dyDescent="0.2">
      <c r="A5901" s="1">
        <v>42187</v>
      </c>
      <c r="B5901">
        <v>2</v>
      </c>
      <c r="C5901" t="s">
        <v>15</v>
      </c>
      <c r="D5901">
        <v>1.3710999999999999E-2</v>
      </c>
      <c r="E5901">
        <f t="shared" si="184"/>
        <v>1.013711</v>
      </c>
      <c r="F5901" s="1">
        <f t="shared" si="185"/>
        <v>42184</v>
      </c>
      <c r="G5901" cm="1">
        <f t="array" ref="G5901">PRODUCT( _xlfn._xlws.FILTER($E:$E, ($C:$C=C5901)*($F:$F=F5901)) ) - 1</f>
        <v>1.835099471423729E-2</v>
      </c>
    </row>
    <row r="5902" spans="1:7" x14ac:dyDescent="0.2">
      <c r="A5902" s="1">
        <v>42188</v>
      </c>
      <c r="B5902">
        <v>2</v>
      </c>
      <c r="C5902" t="s">
        <v>15</v>
      </c>
      <c r="D5902">
        <v>5.0439999999999999E-3</v>
      </c>
      <c r="E5902">
        <f t="shared" si="184"/>
        <v>1.005044</v>
      </c>
      <c r="F5902" s="1">
        <f t="shared" si="185"/>
        <v>42184</v>
      </c>
      <c r="G5902" cm="1">
        <f t="array" ref="G5902">PRODUCT( _xlfn._xlws.FILTER($E:$E, ($C:$C=C5902)*($F:$F=F5902)) ) - 1</f>
        <v>1.835099471423729E-2</v>
      </c>
    </row>
    <row r="5903" spans="1:7" x14ac:dyDescent="0.2">
      <c r="A5903" s="1">
        <v>42191</v>
      </c>
      <c r="B5903">
        <v>2</v>
      </c>
      <c r="C5903" t="s">
        <v>15</v>
      </c>
      <c r="D5903">
        <v>-2.281E-3</v>
      </c>
      <c r="E5903">
        <f t="shared" si="184"/>
        <v>0.99771900000000002</v>
      </c>
      <c r="F5903" s="1">
        <f t="shared" si="185"/>
        <v>42191</v>
      </c>
      <c r="G5903" cm="1">
        <f t="array" ref="G5903">PRODUCT( _xlfn._xlws.FILTER($E:$E, ($C:$C=C5903)*($F:$F=F5903)) ) - 1</f>
        <v>3.1924915144625476E-3</v>
      </c>
    </row>
    <row r="5904" spans="1:7" x14ac:dyDescent="0.2">
      <c r="A5904" s="1">
        <v>42192</v>
      </c>
      <c r="B5904">
        <v>2</v>
      </c>
      <c r="C5904" t="s">
        <v>15</v>
      </c>
      <c r="D5904">
        <v>5.4869999999999997E-3</v>
      </c>
      <c r="E5904">
        <f t="shared" si="184"/>
        <v>1.005487</v>
      </c>
      <c r="F5904" s="1">
        <f t="shared" si="185"/>
        <v>42191</v>
      </c>
      <c r="G5904" cm="1">
        <f t="array" ref="G5904">PRODUCT( _xlfn._xlws.FILTER($E:$E, ($C:$C=C5904)*($F:$F=F5904)) ) - 1</f>
        <v>3.1924915144625476E-3</v>
      </c>
    </row>
    <row r="5905" spans="1:7" x14ac:dyDescent="0.2">
      <c r="A5905" s="1">
        <v>42193</v>
      </c>
      <c r="B5905">
        <v>2</v>
      </c>
      <c r="C5905" t="s">
        <v>15</v>
      </c>
      <c r="D5905">
        <v>-7.0489999999999997E-3</v>
      </c>
      <c r="E5905">
        <f t="shared" si="184"/>
        <v>0.99295100000000003</v>
      </c>
      <c r="F5905" s="1">
        <f t="shared" si="185"/>
        <v>42191</v>
      </c>
      <c r="G5905" cm="1">
        <f t="array" ref="G5905">PRODUCT( _xlfn._xlws.FILTER($E:$E, ($C:$C=C5905)*($F:$F=F5905)) ) - 1</f>
        <v>3.1924915144625476E-3</v>
      </c>
    </row>
    <row r="5906" spans="1:7" x14ac:dyDescent="0.2">
      <c r="A5906" s="1">
        <v>42194</v>
      </c>
      <c r="B5906">
        <v>2</v>
      </c>
      <c r="C5906" t="s">
        <v>15</v>
      </c>
      <c r="D5906">
        <v>-3.8930000000000002E-3</v>
      </c>
      <c r="E5906">
        <f t="shared" si="184"/>
        <v>0.99610699999999996</v>
      </c>
      <c r="F5906" s="1">
        <f t="shared" si="185"/>
        <v>42191</v>
      </c>
      <c r="G5906" cm="1">
        <f t="array" ref="G5906">PRODUCT( _xlfn._xlws.FILTER($E:$E, ($C:$C=C5906)*($F:$F=F5906)) ) - 1</f>
        <v>3.1924915144625476E-3</v>
      </c>
    </row>
    <row r="5907" spans="1:7" x14ac:dyDescent="0.2">
      <c r="A5907" s="1">
        <v>42195</v>
      </c>
      <c r="B5907">
        <v>2</v>
      </c>
      <c r="C5907" t="s">
        <v>15</v>
      </c>
      <c r="D5907">
        <v>1.1034E-2</v>
      </c>
      <c r="E5907">
        <f t="shared" si="184"/>
        <v>1.011034</v>
      </c>
      <c r="F5907" s="1">
        <f t="shared" si="185"/>
        <v>42191</v>
      </c>
      <c r="G5907" cm="1">
        <f t="array" ref="G5907">PRODUCT( _xlfn._xlws.FILTER($E:$E, ($C:$C=C5907)*($F:$F=F5907)) ) - 1</f>
        <v>3.1924915144625476E-3</v>
      </c>
    </row>
    <row r="5908" spans="1:7" x14ac:dyDescent="0.2">
      <c r="A5908" s="1">
        <v>42198</v>
      </c>
      <c r="B5908">
        <v>2</v>
      </c>
      <c r="C5908" t="s">
        <v>15</v>
      </c>
      <c r="D5908">
        <v>4.3200000000000001E-3</v>
      </c>
      <c r="E5908">
        <f t="shared" si="184"/>
        <v>1.0043200000000001</v>
      </c>
      <c r="F5908" s="1">
        <f t="shared" si="185"/>
        <v>42198</v>
      </c>
      <c r="G5908" cm="1">
        <f t="array" ref="G5908">PRODUCT( _xlfn._xlws.FILTER($E:$E, ($C:$C=C5908)*($F:$F=F5908)) ) - 1</f>
        <v>2.3191522668431608E-2</v>
      </c>
    </row>
    <row r="5909" spans="1:7" x14ac:dyDescent="0.2">
      <c r="A5909" s="1">
        <v>42199</v>
      </c>
      <c r="B5909">
        <v>2</v>
      </c>
      <c r="C5909" t="s">
        <v>15</v>
      </c>
      <c r="D5909">
        <v>4.0749999999999996E-3</v>
      </c>
      <c r="E5909">
        <f t="shared" si="184"/>
        <v>1.0040750000000001</v>
      </c>
      <c r="F5909" s="1">
        <f t="shared" si="185"/>
        <v>42198</v>
      </c>
      <c r="G5909" cm="1">
        <f t="array" ref="G5909">PRODUCT( _xlfn._xlws.FILTER($E:$E, ($C:$C=C5909)*($F:$F=F5909)) ) - 1</f>
        <v>2.3191522668431608E-2</v>
      </c>
    </row>
    <row r="5910" spans="1:7" x14ac:dyDescent="0.2">
      <c r="A5910" s="1">
        <v>42200</v>
      </c>
      <c r="B5910">
        <v>2</v>
      </c>
      <c r="C5910" t="s">
        <v>15</v>
      </c>
      <c r="D5910">
        <v>9.4699999999999993E-3</v>
      </c>
      <c r="E5910">
        <f t="shared" si="184"/>
        <v>1.0094700000000001</v>
      </c>
      <c r="F5910" s="1">
        <f t="shared" si="185"/>
        <v>42198</v>
      </c>
      <c r="G5910" cm="1">
        <f t="array" ref="G5910">PRODUCT( _xlfn._xlws.FILTER($E:$E, ($C:$C=C5910)*($F:$F=F5910)) ) - 1</f>
        <v>2.3191522668431608E-2</v>
      </c>
    </row>
    <row r="5911" spans="1:7" x14ac:dyDescent="0.2">
      <c r="A5911" s="1">
        <v>42201</v>
      </c>
      <c r="B5911">
        <v>2</v>
      </c>
      <c r="C5911" t="s">
        <v>15</v>
      </c>
      <c r="D5911">
        <v>4.4669999999999996E-3</v>
      </c>
      <c r="E5911">
        <f t="shared" si="184"/>
        <v>1.004467</v>
      </c>
      <c r="F5911" s="1">
        <f t="shared" si="185"/>
        <v>42198</v>
      </c>
      <c r="G5911" cm="1">
        <f t="array" ref="G5911">PRODUCT( _xlfn._xlws.FILTER($E:$E, ($C:$C=C5911)*($F:$F=F5911)) ) - 1</f>
        <v>2.3191522668431608E-2</v>
      </c>
    </row>
    <row r="5912" spans="1:7" x14ac:dyDescent="0.2">
      <c r="A5912" s="1">
        <v>42202</v>
      </c>
      <c r="B5912">
        <v>2</v>
      </c>
      <c r="C5912" t="s">
        <v>15</v>
      </c>
      <c r="D5912">
        <v>6.6699999999999995E-4</v>
      </c>
      <c r="E5912">
        <f t="shared" si="184"/>
        <v>1.000667</v>
      </c>
      <c r="F5912" s="1">
        <f t="shared" si="185"/>
        <v>42198</v>
      </c>
      <c r="G5912" cm="1">
        <f t="array" ref="G5912">PRODUCT( _xlfn._xlws.FILTER($E:$E, ($C:$C=C5912)*($F:$F=F5912)) ) - 1</f>
        <v>2.3191522668431608E-2</v>
      </c>
    </row>
    <row r="5913" spans="1:7" x14ac:dyDescent="0.2">
      <c r="A5913" s="1">
        <v>42205</v>
      </c>
      <c r="B5913">
        <v>2</v>
      </c>
      <c r="C5913" t="s">
        <v>15</v>
      </c>
      <c r="D5913">
        <v>-2.8890000000000001E-3</v>
      </c>
      <c r="E5913">
        <f t="shared" si="184"/>
        <v>0.99711099999999997</v>
      </c>
      <c r="F5913" s="1">
        <f t="shared" si="185"/>
        <v>42205</v>
      </c>
      <c r="G5913" cm="1">
        <f t="array" ref="G5913">PRODUCT( _xlfn._xlws.FILTER($E:$E, ($C:$C=C5913)*($F:$F=F5913)) ) - 1</f>
        <v>-1.8445476683690676E-2</v>
      </c>
    </row>
    <row r="5914" spans="1:7" x14ac:dyDescent="0.2">
      <c r="A5914" s="1">
        <v>42206</v>
      </c>
      <c r="B5914">
        <v>2</v>
      </c>
      <c r="C5914" t="s">
        <v>15</v>
      </c>
      <c r="D5914">
        <v>-1.8943999999999999E-2</v>
      </c>
      <c r="E5914">
        <f t="shared" si="184"/>
        <v>0.98105600000000004</v>
      </c>
      <c r="F5914" s="1">
        <f t="shared" si="185"/>
        <v>42205</v>
      </c>
      <c r="G5914" cm="1">
        <f t="array" ref="G5914">PRODUCT( _xlfn._xlws.FILTER($E:$E, ($C:$C=C5914)*($F:$F=F5914)) ) - 1</f>
        <v>-1.8445476683690676E-2</v>
      </c>
    </row>
    <row r="5915" spans="1:7" x14ac:dyDescent="0.2">
      <c r="A5915" s="1">
        <v>42207</v>
      </c>
      <c r="B5915">
        <v>2</v>
      </c>
      <c r="C5915" t="s">
        <v>15</v>
      </c>
      <c r="D5915">
        <v>-7.724E-3</v>
      </c>
      <c r="E5915">
        <f t="shared" si="184"/>
        <v>0.99227600000000005</v>
      </c>
      <c r="F5915" s="1">
        <f t="shared" si="185"/>
        <v>42205</v>
      </c>
      <c r="G5915" cm="1">
        <f t="array" ref="G5915">PRODUCT( _xlfn._xlws.FILTER($E:$E, ($C:$C=C5915)*($F:$F=F5915)) ) - 1</f>
        <v>-1.8445476683690676E-2</v>
      </c>
    </row>
    <row r="5916" spans="1:7" x14ac:dyDescent="0.2">
      <c r="A5916" s="1">
        <v>42208</v>
      </c>
      <c r="B5916">
        <v>2</v>
      </c>
      <c r="C5916" t="s">
        <v>15</v>
      </c>
      <c r="D5916">
        <v>3.434E-3</v>
      </c>
      <c r="E5916">
        <f t="shared" si="184"/>
        <v>1.0034339999999999</v>
      </c>
      <c r="F5916" s="1">
        <f t="shared" si="185"/>
        <v>42205</v>
      </c>
      <c r="G5916" cm="1">
        <f t="array" ref="G5916">PRODUCT( _xlfn._xlws.FILTER($E:$E, ($C:$C=C5916)*($F:$F=F5916)) ) - 1</f>
        <v>-1.8445476683690676E-2</v>
      </c>
    </row>
    <row r="5917" spans="1:7" x14ac:dyDescent="0.2">
      <c r="A5917" s="1">
        <v>42209</v>
      </c>
      <c r="B5917">
        <v>2</v>
      </c>
      <c r="C5917" t="s">
        <v>15</v>
      </c>
      <c r="D5917">
        <v>7.757E-3</v>
      </c>
      <c r="E5917">
        <f t="shared" si="184"/>
        <v>1.007757</v>
      </c>
      <c r="F5917" s="1">
        <f t="shared" si="185"/>
        <v>42205</v>
      </c>
      <c r="G5917" cm="1">
        <f t="array" ref="G5917">PRODUCT( _xlfn._xlws.FILTER($E:$E, ($C:$C=C5917)*($F:$F=F5917)) ) - 1</f>
        <v>-1.8445476683690676E-2</v>
      </c>
    </row>
    <row r="5918" spans="1:7" x14ac:dyDescent="0.2">
      <c r="A5918" s="1">
        <v>42212</v>
      </c>
      <c r="B5918">
        <v>2</v>
      </c>
      <c r="C5918" t="s">
        <v>15</v>
      </c>
      <c r="D5918">
        <v>-4.7540000000000004E-3</v>
      </c>
      <c r="E5918">
        <f t="shared" si="184"/>
        <v>0.99524599999999996</v>
      </c>
      <c r="F5918" s="1">
        <f t="shared" si="185"/>
        <v>42212</v>
      </c>
      <c r="G5918" cm="1">
        <f t="array" ref="G5918">PRODUCT( _xlfn._xlws.FILTER($E:$E, ($C:$C=C5918)*($F:$F=F5918)) ) - 1</f>
        <v>1.0868201830093627E-2</v>
      </c>
    </row>
    <row r="5919" spans="1:7" x14ac:dyDescent="0.2">
      <c r="A5919" s="1">
        <v>42213</v>
      </c>
      <c r="B5919">
        <v>2</v>
      </c>
      <c r="C5919" t="s">
        <v>15</v>
      </c>
      <c r="D5919">
        <v>5.2319999999999997E-3</v>
      </c>
      <c r="E5919">
        <f t="shared" si="184"/>
        <v>1.0052319999999999</v>
      </c>
      <c r="F5919" s="1">
        <f t="shared" si="185"/>
        <v>42212</v>
      </c>
      <c r="G5919" cm="1">
        <f t="array" ref="G5919">PRODUCT( _xlfn._xlws.FILTER($E:$E, ($C:$C=C5919)*($F:$F=F5919)) ) - 1</f>
        <v>1.0868201830093627E-2</v>
      </c>
    </row>
    <row r="5920" spans="1:7" x14ac:dyDescent="0.2">
      <c r="A5920" s="1">
        <v>42214</v>
      </c>
      <c r="B5920">
        <v>2</v>
      </c>
      <c r="C5920" t="s">
        <v>15</v>
      </c>
      <c r="D5920">
        <v>6.7900000000000002E-4</v>
      </c>
      <c r="E5920">
        <f t="shared" si="184"/>
        <v>1.0006790000000001</v>
      </c>
      <c r="F5920" s="1">
        <f t="shared" si="185"/>
        <v>42212</v>
      </c>
      <c r="G5920" cm="1">
        <f t="array" ref="G5920">PRODUCT( _xlfn._xlws.FILTER($E:$E, ($C:$C=C5920)*($F:$F=F5920)) ) - 1</f>
        <v>1.0868201830093627E-2</v>
      </c>
    </row>
    <row r="5921" spans="1:7" x14ac:dyDescent="0.2">
      <c r="A5921" s="1">
        <v>42215</v>
      </c>
      <c r="B5921">
        <v>2</v>
      </c>
      <c r="C5921" t="s">
        <v>15</v>
      </c>
      <c r="D5921">
        <v>7.463E-3</v>
      </c>
      <c r="E5921">
        <f t="shared" si="184"/>
        <v>1.007463</v>
      </c>
      <c r="F5921" s="1">
        <f t="shared" si="185"/>
        <v>42212</v>
      </c>
      <c r="G5921" cm="1">
        <f t="array" ref="G5921">PRODUCT( _xlfn._xlws.FILTER($E:$E, ($C:$C=C5921)*($F:$F=F5921)) ) - 1</f>
        <v>1.0868201830093627E-2</v>
      </c>
    </row>
    <row r="5922" spans="1:7" x14ac:dyDescent="0.2">
      <c r="A5922" s="1">
        <v>42216</v>
      </c>
      <c r="B5922">
        <v>2</v>
      </c>
      <c r="C5922" t="s">
        <v>15</v>
      </c>
      <c r="D5922">
        <v>2.245E-3</v>
      </c>
      <c r="E5922">
        <f t="shared" si="184"/>
        <v>1.0022450000000001</v>
      </c>
      <c r="F5922" s="1">
        <f t="shared" si="185"/>
        <v>42212</v>
      </c>
      <c r="G5922" cm="1">
        <f t="array" ref="G5922">PRODUCT( _xlfn._xlws.FILTER($E:$E, ($C:$C=C5922)*($F:$F=F5922)) ) - 1</f>
        <v>1.0868201830093627E-2</v>
      </c>
    </row>
    <row r="5923" spans="1:7" x14ac:dyDescent="0.2">
      <c r="A5923" s="1">
        <v>42220</v>
      </c>
      <c r="B5923">
        <v>2</v>
      </c>
      <c r="C5923" t="s">
        <v>15</v>
      </c>
      <c r="D5923">
        <v>-1.1198E-2</v>
      </c>
      <c r="E5923">
        <f t="shared" si="184"/>
        <v>0.98880199999999996</v>
      </c>
      <c r="F5923" s="1">
        <f t="shared" si="185"/>
        <v>42219</v>
      </c>
      <c r="G5923" cm="1">
        <f t="array" ref="G5923">PRODUCT( _xlfn._xlws.FILTER($E:$E, ($C:$C=C5923)*($F:$F=F5923)) ) - 1</f>
        <v>-1.7910086301929917E-3</v>
      </c>
    </row>
    <row r="5924" spans="1:7" x14ac:dyDescent="0.2">
      <c r="A5924" s="1">
        <v>42221</v>
      </c>
      <c r="B5924">
        <v>2</v>
      </c>
      <c r="C5924" t="s">
        <v>15</v>
      </c>
      <c r="D5924">
        <v>8.3809999999999996E-3</v>
      </c>
      <c r="E5924">
        <f t="shared" si="184"/>
        <v>1.008381</v>
      </c>
      <c r="F5924" s="1">
        <f t="shared" si="185"/>
        <v>42219</v>
      </c>
      <c r="G5924" cm="1">
        <f t="array" ref="G5924">PRODUCT( _xlfn._xlws.FILTER($E:$E, ($C:$C=C5924)*($F:$F=F5924)) ) - 1</f>
        <v>-1.7910086301929917E-3</v>
      </c>
    </row>
    <row r="5925" spans="1:7" x14ac:dyDescent="0.2">
      <c r="A5925" s="1">
        <v>42222</v>
      </c>
      <c r="B5925">
        <v>2</v>
      </c>
      <c r="C5925" t="s">
        <v>15</v>
      </c>
      <c r="D5925">
        <v>6.5139999999999998E-3</v>
      </c>
      <c r="E5925">
        <f t="shared" si="184"/>
        <v>1.0065139999999999</v>
      </c>
      <c r="F5925" s="1">
        <f t="shared" si="185"/>
        <v>42219</v>
      </c>
      <c r="G5925" cm="1">
        <f t="array" ref="G5925">PRODUCT( _xlfn._xlws.FILTER($E:$E, ($C:$C=C5925)*($F:$F=F5925)) ) - 1</f>
        <v>-1.7910086301929917E-3</v>
      </c>
    </row>
    <row r="5926" spans="1:7" x14ac:dyDescent="0.2">
      <c r="A5926" s="1">
        <v>42223</v>
      </c>
      <c r="B5926">
        <v>2</v>
      </c>
      <c r="C5926" t="s">
        <v>15</v>
      </c>
      <c r="D5926">
        <v>-5.3559999999999997E-3</v>
      </c>
      <c r="E5926">
        <f t="shared" si="184"/>
        <v>0.99464399999999997</v>
      </c>
      <c r="F5926" s="1">
        <f t="shared" si="185"/>
        <v>42219</v>
      </c>
      <c r="G5926" cm="1">
        <f t="array" ref="G5926">PRODUCT( _xlfn._xlws.FILTER($E:$E, ($C:$C=C5926)*($F:$F=F5926)) ) - 1</f>
        <v>-1.7910086301929917E-3</v>
      </c>
    </row>
    <row r="5927" spans="1:7" x14ac:dyDescent="0.2">
      <c r="A5927" s="1">
        <v>42226</v>
      </c>
      <c r="B5927">
        <v>2</v>
      </c>
      <c r="C5927" t="s">
        <v>15</v>
      </c>
      <c r="D5927">
        <v>-1.4584E-2</v>
      </c>
      <c r="E5927">
        <f t="shared" si="184"/>
        <v>0.98541599999999996</v>
      </c>
      <c r="F5927" s="1">
        <f t="shared" si="185"/>
        <v>42226</v>
      </c>
      <c r="G5927" cm="1">
        <f t="array" ref="G5927">PRODUCT( _xlfn._xlws.FILTER($E:$E, ($C:$C=C5927)*($F:$F=F5927)) ) - 1</f>
        <v>-1.7947451411004511E-3</v>
      </c>
    </row>
    <row r="5928" spans="1:7" x14ac:dyDescent="0.2">
      <c r="A5928" s="1">
        <v>42227</v>
      </c>
      <c r="B5928">
        <v>2</v>
      </c>
      <c r="C5928" t="s">
        <v>15</v>
      </c>
      <c r="D5928">
        <v>-2.7320000000000001E-3</v>
      </c>
      <c r="E5928">
        <f t="shared" si="184"/>
        <v>0.99726800000000004</v>
      </c>
      <c r="F5928" s="1">
        <f t="shared" si="185"/>
        <v>42226</v>
      </c>
      <c r="G5928" cm="1">
        <f t="array" ref="G5928">PRODUCT( _xlfn._xlws.FILTER($E:$E, ($C:$C=C5928)*($F:$F=F5928)) ) - 1</f>
        <v>-1.7947451411004511E-3</v>
      </c>
    </row>
    <row r="5929" spans="1:7" x14ac:dyDescent="0.2">
      <c r="A5929" s="1">
        <v>42228</v>
      </c>
      <c r="B5929">
        <v>2</v>
      </c>
      <c r="C5929" t="s">
        <v>15</v>
      </c>
      <c r="D5929">
        <v>6.8490000000000001E-3</v>
      </c>
      <c r="E5929">
        <f t="shared" si="184"/>
        <v>1.0068490000000001</v>
      </c>
      <c r="F5929" s="1">
        <f t="shared" si="185"/>
        <v>42226</v>
      </c>
      <c r="G5929" cm="1">
        <f t="array" ref="G5929">PRODUCT( _xlfn._xlws.FILTER($E:$E, ($C:$C=C5929)*($F:$F=F5929)) ) - 1</f>
        <v>-1.7947451411004511E-3</v>
      </c>
    </row>
    <row r="5930" spans="1:7" x14ac:dyDescent="0.2">
      <c r="A5930" s="1">
        <v>42229</v>
      </c>
      <c r="B5930">
        <v>2</v>
      </c>
      <c r="C5930" t="s">
        <v>15</v>
      </c>
      <c r="D5930">
        <v>8.8439999999999994E-3</v>
      </c>
      <c r="E5930">
        <f t="shared" si="184"/>
        <v>1.0088440000000001</v>
      </c>
      <c r="F5930" s="1">
        <f t="shared" si="185"/>
        <v>42226</v>
      </c>
      <c r="G5930" cm="1">
        <f t="array" ref="G5930">PRODUCT( _xlfn._xlws.FILTER($E:$E, ($C:$C=C5930)*($F:$F=F5930)) ) - 1</f>
        <v>-1.7947451411004511E-3</v>
      </c>
    </row>
    <row r="5931" spans="1:7" x14ac:dyDescent="0.2">
      <c r="A5931" s="1">
        <v>42230</v>
      </c>
      <c r="B5931">
        <v>2</v>
      </c>
      <c r="C5931" t="s">
        <v>15</v>
      </c>
      <c r="D5931">
        <v>0</v>
      </c>
      <c r="E5931">
        <f t="shared" si="184"/>
        <v>1</v>
      </c>
      <c r="F5931" s="1">
        <f t="shared" si="185"/>
        <v>42226</v>
      </c>
      <c r="G5931" cm="1">
        <f t="array" ref="G5931">PRODUCT( _xlfn._xlws.FILTER($E:$E, ($C:$C=C5931)*($F:$F=F5931)) ) - 1</f>
        <v>-1.7947451411004511E-3</v>
      </c>
    </row>
    <row r="5932" spans="1:7" x14ac:dyDescent="0.2">
      <c r="A5932" s="1">
        <v>42233</v>
      </c>
      <c r="B5932">
        <v>2</v>
      </c>
      <c r="C5932" t="s">
        <v>15</v>
      </c>
      <c r="D5932">
        <v>-8.9899999999999995E-4</v>
      </c>
      <c r="E5932">
        <f t="shared" si="184"/>
        <v>0.99910100000000002</v>
      </c>
      <c r="F5932" s="1">
        <f t="shared" si="185"/>
        <v>42233</v>
      </c>
      <c r="G5932" cm="1">
        <f t="array" ref="G5932">PRODUCT( _xlfn._xlws.FILTER($E:$E, ($C:$C=C5932)*($F:$F=F5932)) ) - 1</f>
        <v>-1.0563638894931948E-2</v>
      </c>
    </row>
    <row r="5933" spans="1:7" x14ac:dyDescent="0.2">
      <c r="A5933" s="1">
        <v>42234</v>
      </c>
      <c r="B5933">
        <v>2</v>
      </c>
      <c r="C5933" t="s">
        <v>15</v>
      </c>
      <c r="D5933">
        <v>6.7489999999999998E-3</v>
      </c>
      <c r="E5933">
        <f t="shared" si="184"/>
        <v>1.0067489999999999</v>
      </c>
      <c r="F5933" s="1">
        <f t="shared" si="185"/>
        <v>42233</v>
      </c>
      <c r="G5933" cm="1">
        <f t="array" ref="G5933">PRODUCT( _xlfn._xlws.FILTER($E:$E, ($C:$C=C5933)*($F:$F=F5933)) ) - 1</f>
        <v>-1.0563638894931948E-2</v>
      </c>
    </row>
    <row r="5934" spans="1:7" x14ac:dyDescent="0.2">
      <c r="A5934" s="1">
        <v>42235</v>
      </c>
      <c r="B5934">
        <v>2</v>
      </c>
      <c r="C5934" t="s">
        <v>15</v>
      </c>
      <c r="D5934">
        <v>-4.0220000000000004E-3</v>
      </c>
      <c r="E5934">
        <f t="shared" si="184"/>
        <v>0.99597800000000003</v>
      </c>
      <c r="F5934" s="1">
        <f t="shared" si="185"/>
        <v>42233</v>
      </c>
      <c r="G5934" cm="1">
        <f t="array" ref="G5934">PRODUCT( _xlfn._xlws.FILTER($E:$E, ($C:$C=C5934)*($F:$F=F5934)) ) - 1</f>
        <v>-1.0563638894931948E-2</v>
      </c>
    </row>
    <row r="5935" spans="1:7" x14ac:dyDescent="0.2">
      <c r="A5935" s="1">
        <v>42236</v>
      </c>
      <c r="B5935">
        <v>2</v>
      </c>
      <c r="C5935" t="s">
        <v>15</v>
      </c>
      <c r="D5935">
        <v>-1.3013E-2</v>
      </c>
      <c r="E5935">
        <f t="shared" si="184"/>
        <v>0.98698699999999995</v>
      </c>
      <c r="F5935" s="1">
        <f t="shared" si="185"/>
        <v>42233</v>
      </c>
      <c r="G5935" cm="1">
        <f t="array" ref="G5935">PRODUCT( _xlfn._xlws.FILTER($E:$E, ($C:$C=C5935)*($F:$F=F5935)) ) - 1</f>
        <v>-1.0563638894931948E-2</v>
      </c>
    </row>
    <row r="5936" spans="1:7" x14ac:dyDescent="0.2">
      <c r="A5936" s="1">
        <v>42237</v>
      </c>
      <c r="B5936">
        <v>2</v>
      </c>
      <c r="C5936" t="s">
        <v>15</v>
      </c>
      <c r="D5936">
        <v>6.8199999999999999E-4</v>
      </c>
      <c r="E5936">
        <f t="shared" si="184"/>
        <v>1.0006820000000001</v>
      </c>
      <c r="F5936" s="1">
        <f t="shared" si="185"/>
        <v>42233</v>
      </c>
      <c r="G5936" cm="1">
        <f t="array" ref="G5936">PRODUCT( _xlfn._xlws.FILTER($E:$E, ($C:$C=C5936)*($F:$F=F5936)) ) - 1</f>
        <v>-1.0563638894931948E-2</v>
      </c>
    </row>
    <row r="5937" spans="1:7" x14ac:dyDescent="0.2">
      <c r="A5937" s="1">
        <v>42240</v>
      </c>
      <c r="B5937">
        <v>2</v>
      </c>
      <c r="C5937" t="s">
        <v>15</v>
      </c>
      <c r="D5937">
        <v>-3.2711999999999998E-2</v>
      </c>
      <c r="E5937">
        <f t="shared" si="184"/>
        <v>0.96728800000000004</v>
      </c>
      <c r="F5937" s="1">
        <f t="shared" si="185"/>
        <v>42240</v>
      </c>
      <c r="G5937" cm="1">
        <f t="array" ref="G5937">PRODUCT( _xlfn._xlws.FILTER($E:$E, ($C:$C=C5937)*($F:$F=F5937)) ) - 1</f>
        <v>-1.8627929659954079E-2</v>
      </c>
    </row>
    <row r="5938" spans="1:7" x14ac:dyDescent="0.2">
      <c r="A5938" s="1">
        <v>42241</v>
      </c>
      <c r="B5938">
        <v>2</v>
      </c>
      <c r="C5938" t="s">
        <v>15</v>
      </c>
      <c r="D5938">
        <v>-1.5970000000000002E-2</v>
      </c>
      <c r="E5938">
        <f t="shared" si="184"/>
        <v>0.98402999999999996</v>
      </c>
      <c r="F5938" s="1">
        <f t="shared" si="185"/>
        <v>42240</v>
      </c>
      <c r="G5938" cm="1">
        <f t="array" ref="G5938">PRODUCT( _xlfn._xlws.FILTER($E:$E, ($C:$C=C5938)*($F:$F=F5938)) ) - 1</f>
        <v>-1.8627929659954079E-2</v>
      </c>
    </row>
    <row r="5939" spans="1:7" x14ac:dyDescent="0.2">
      <c r="A5939" s="1">
        <v>42242</v>
      </c>
      <c r="B5939">
        <v>2</v>
      </c>
      <c r="C5939" t="s">
        <v>15</v>
      </c>
      <c r="D5939">
        <v>2.1718000000000001E-2</v>
      </c>
      <c r="E5939">
        <f t="shared" si="184"/>
        <v>1.0217179999999999</v>
      </c>
      <c r="F5939" s="1">
        <f t="shared" si="185"/>
        <v>42240</v>
      </c>
      <c r="G5939" cm="1">
        <f t="array" ref="G5939">PRODUCT( _xlfn._xlws.FILTER($E:$E, ($C:$C=C5939)*($F:$F=F5939)) ) - 1</f>
        <v>-1.8627929659954079E-2</v>
      </c>
    </row>
    <row r="5940" spans="1:7" x14ac:dyDescent="0.2">
      <c r="A5940" s="1">
        <v>42243</v>
      </c>
      <c r="B5940">
        <v>2</v>
      </c>
      <c r="C5940" t="s">
        <v>15</v>
      </c>
      <c r="D5940">
        <v>1.1913E-2</v>
      </c>
      <c r="E5940">
        <f t="shared" si="184"/>
        <v>1.0119130000000001</v>
      </c>
      <c r="F5940" s="1">
        <f t="shared" si="185"/>
        <v>42240</v>
      </c>
      <c r="G5940" cm="1">
        <f t="array" ref="G5940">PRODUCT( _xlfn._xlws.FILTER($E:$E, ($C:$C=C5940)*($F:$F=F5940)) ) - 1</f>
        <v>-1.8627929659954079E-2</v>
      </c>
    </row>
    <row r="5941" spans="1:7" x14ac:dyDescent="0.2">
      <c r="A5941" s="1">
        <v>42244</v>
      </c>
      <c r="B5941">
        <v>2</v>
      </c>
      <c r="C5941" t="s">
        <v>15</v>
      </c>
      <c r="D5941">
        <v>-2.7699999999999999E-3</v>
      </c>
      <c r="E5941">
        <f t="shared" si="184"/>
        <v>0.99722999999999995</v>
      </c>
      <c r="F5941" s="1">
        <f t="shared" si="185"/>
        <v>42240</v>
      </c>
      <c r="G5941" cm="1">
        <f t="array" ref="G5941">PRODUCT( _xlfn._xlws.FILTER($E:$E, ($C:$C=C5941)*($F:$F=F5941)) ) - 1</f>
        <v>-1.8627929659954079E-2</v>
      </c>
    </row>
    <row r="5942" spans="1:7" x14ac:dyDescent="0.2">
      <c r="A5942" s="1">
        <v>42247</v>
      </c>
      <c r="B5942">
        <v>2</v>
      </c>
      <c r="C5942" t="s">
        <v>15</v>
      </c>
      <c r="D5942">
        <v>-3.7039999999999998E-3</v>
      </c>
      <c r="E5942">
        <f t="shared" si="184"/>
        <v>0.99629599999999996</v>
      </c>
      <c r="F5942" s="1">
        <f t="shared" si="185"/>
        <v>42247</v>
      </c>
      <c r="G5942" cm="1">
        <f t="array" ref="G5942">PRODUCT( _xlfn._xlws.FILTER($E:$E, ($C:$C=C5942)*($F:$F=F5942)) ) - 1</f>
        <v>-6.2511604539576826E-3</v>
      </c>
    </row>
    <row r="5943" spans="1:7" x14ac:dyDescent="0.2">
      <c r="A5943" s="1">
        <v>42248</v>
      </c>
      <c r="B5943">
        <v>2</v>
      </c>
      <c r="C5943" t="s">
        <v>15</v>
      </c>
      <c r="D5943">
        <v>-2.3002000000000002E-2</v>
      </c>
      <c r="E5943">
        <f t="shared" si="184"/>
        <v>0.97699800000000003</v>
      </c>
      <c r="F5943" s="1">
        <f t="shared" si="185"/>
        <v>42247</v>
      </c>
      <c r="G5943" cm="1">
        <f t="array" ref="G5943">PRODUCT( _xlfn._xlws.FILTER($E:$E, ($C:$C=C5943)*($F:$F=F5943)) ) - 1</f>
        <v>-6.2511604539576826E-3</v>
      </c>
    </row>
    <row r="5944" spans="1:7" x14ac:dyDescent="0.2">
      <c r="A5944" s="1">
        <v>42249</v>
      </c>
      <c r="B5944">
        <v>2</v>
      </c>
      <c r="C5944" t="s">
        <v>15</v>
      </c>
      <c r="D5944">
        <v>8.5609999999999992E-3</v>
      </c>
      <c r="E5944">
        <f t="shared" si="184"/>
        <v>1.008561</v>
      </c>
      <c r="F5944" s="1">
        <f t="shared" si="185"/>
        <v>42247</v>
      </c>
      <c r="G5944" cm="1">
        <f t="array" ref="G5944">PRODUCT( _xlfn._xlws.FILTER($E:$E, ($C:$C=C5944)*($F:$F=F5944)) ) - 1</f>
        <v>-6.2511604539576826E-3</v>
      </c>
    </row>
    <row r="5945" spans="1:7" x14ac:dyDescent="0.2">
      <c r="A5945" s="1">
        <v>42250</v>
      </c>
      <c r="B5945">
        <v>2</v>
      </c>
      <c r="C5945" t="s">
        <v>15</v>
      </c>
      <c r="D5945">
        <v>1.7683999999999998E-2</v>
      </c>
      <c r="E5945">
        <f t="shared" si="184"/>
        <v>1.017684</v>
      </c>
      <c r="F5945" s="1">
        <f t="shared" si="185"/>
        <v>42247</v>
      </c>
      <c r="G5945" cm="1">
        <f t="array" ref="G5945">PRODUCT( _xlfn._xlws.FILTER($E:$E, ($C:$C=C5945)*($F:$F=F5945)) ) - 1</f>
        <v>-6.2511604539576826E-3</v>
      </c>
    </row>
    <row r="5946" spans="1:7" x14ac:dyDescent="0.2">
      <c r="A5946" s="1">
        <v>42251</v>
      </c>
      <c r="B5946">
        <v>2</v>
      </c>
      <c r="C5946" t="s">
        <v>15</v>
      </c>
      <c r="D5946">
        <v>-5.3290000000000004E-3</v>
      </c>
      <c r="E5946">
        <f t="shared" si="184"/>
        <v>0.99467099999999997</v>
      </c>
      <c r="F5946" s="1">
        <f t="shared" si="185"/>
        <v>42247</v>
      </c>
      <c r="G5946" cm="1">
        <f t="array" ref="G5946">PRODUCT( _xlfn._xlws.FILTER($E:$E, ($C:$C=C5946)*($F:$F=F5946)) ) - 1</f>
        <v>-6.2511604539576826E-3</v>
      </c>
    </row>
    <row r="5947" spans="1:7" x14ac:dyDescent="0.2">
      <c r="A5947" s="1">
        <v>42255</v>
      </c>
      <c r="B5947">
        <v>2</v>
      </c>
      <c r="C5947" t="s">
        <v>15</v>
      </c>
      <c r="D5947">
        <v>-2.33E-4</v>
      </c>
      <c r="E5947">
        <f t="shared" si="184"/>
        <v>0.99976699999999996</v>
      </c>
      <c r="F5947" s="1">
        <f t="shared" si="185"/>
        <v>42254</v>
      </c>
      <c r="G5947" cm="1">
        <f t="array" ref="G5947">PRODUCT( _xlfn._xlws.FILTER($E:$E, ($C:$C=C5947)*($F:$F=F5947)) ) - 1</f>
        <v>-1.4347275766849465E-2</v>
      </c>
    </row>
    <row r="5948" spans="1:7" x14ac:dyDescent="0.2">
      <c r="A5948" s="1">
        <v>42256</v>
      </c>
      <c r="B5948">
        <v>2</v>
      </c>
      <c r="C5948" t="s">
        <v>15</v>
      </c>
      <c r="D5948">
        <v>-1.4120000000000001E-3</v>
      </c>
      <c r="E5948">
        <f t="shared" si="184"/>
        <v>0.99858800000000003</v>
      </c>
      <c r="F5948" s="1">
        <f t="shared" si="185"/>
        <v>42254</v>
      </c>
      <c r="G5948" cm="1">
        <f t="array" ref="G5948">PRODUCT( _xlfn._xlws.FILTER($E:$E, ($C:$C=C5948)*($F:$F=F5948)) ) - 1</f>
        <v>-1.4347275766849465E-2</v>
      </c>
    </row>
    <row r="5949" spans="1:7" x14ac:dyDescent="0.2">
      <c r="A5949" s="1">
        <v>42257</v>
      </c>
      <c r="B5949">
        <v>2</v>
      </c>
      <c r="C5949" t="s">
        <v>15</v>
      </c>
      <c r="D5949">
        <v>-1.885E-3</v>
      </c>
      <c r="E5949">
        <f t="shared" si="184"/>
        <v>0.99811499999999997</v>
      </c>
      <c r="F5949" s="1">
        <f t="shared" si="185"/>
        <v>42254</v>
      </c>
      <c r="G5949" cm="1">
        <f t="array" ref="G5949">PRODUCT( _xlfn._xlws.FILTER($E:$E, ($C:$C=C5949)*($F:$F=F5949)) ) - 1</f>
        <v>-1.4347275766849465E-2</v>
      </c>
    </row>
    <row r="5950" spans="1:7" x14ac:dyDescent="0.2">
      <c r="A5950" s="1">
        <v>42258</v>
      </c>
      <c r="B5950">
        <v>2</v>
      </c>
      <c r="C5950" t="s">
        <v>15</v>
      </c>
      <c r="D5950">
        <v>-1.0859000000000001E-2</v>
      </c>
      <c r="E5950">
        <f t="shared" si="184"/>
        <v>0.98914100000000005</v>
      </c>
      <c r="F5950" s="1">
        <f t="shared" si="185"/>
        <v>42254</v>
      </c>
      <c r="G5950" cm="1">
        <f t="array" ref="G5950">PRODUCT( _xlfn._xlws.FILTER($E:$E, ($C:$C=C5950)*($F:$F=F5950)) ) - 1</f>
        <v>-1.4347275766849465E-2</v>
      </c>
    </row>
    <row r="5951" spans="1:7" x14ac:dyDescent="0.2">
      <c r="A5951" s="1">
        <v>42261</v>
      </c>
      <c r="B5951">
        <v>2</v>
      </c>
      <c r="C5951" t="s">
        <v>15</v>
      </c>
      <c r="D5951">
        <v>-1.1217E-2</v>
      </c>
      <c r="E5951">
        <f t="shared" si="184"/>
        <v>0.98878299999999997</v>
      </c>
      <c r="F5951" s="1">
        <f t="shared" si="185"/>
        <v>42261</v>
      </c>
      <c r="G5951" cm="1">
        <f t="array" ref="G5951">PRODUCT( _xlfn._xlws.FILTER($E:$E, ($C:$C=C5951)*($F:$F=F5951)) ) - 1</f>
        <v>1.7184739001654847E-2</v>
      </c>
    </row>
    <row r="5952" spans="1:7" x14ac:dyDescent="0.2">
      <c r="A5952" s="1">
        <v>42262</v>
      </c>
      <c r="B5952">
        <v>2</v>
      </c>
      <c r="C5952" t="s">
        <v>15</v>
      </c>
      <c r="D5952">
        <v>8.4480000000000006E-3</v>
      </c>
      <c r="E5952">
        <f t="shared" si="184"/>
        <v>1.008448</v>
      </c>
      <c r="F5952" s="1">
        <f t="shared" si="185"/>
        <v>42261</v>
      </c>
      <c r="G5952" cm="1">
        <f t="array" ref="G5952">PRODUCT( _xlfn._xlws.FILTER($E:$E, ($C:$C=C5952)*($F:$F=F5952)) ) - 1</f>
        <v>1.7184739001654847E-2</v>
      </c>
    </row>
    <row r="5953" spans="1:7" x14ac:dyDescent="0.2">
      <c r="A5953" s="1">
        <v>42263</v>
      </c>
      <c r="B5953">
        <v>2</v>
      </c>
      <c r="C5953" t="s">
        <v>15</v>
      </c>
      <c r="D5953">
        <v>9.5739999999999992E-3</v>
      </c>
      <c r="E5953">
        <f t="shared" si="184"/>
        <v>1.009574</v>
      </c>
      <c r="F5953" s="1">
        <f t="shared" si="185"/>
        <v>42261</v>
      </c>
      <c r="G5953" cm="1">
        <f t="array" ref="G5953">PRODUCT( _xlfn._xlws.FILTER($E:$E, ($C:$C=C5953)*($F:$F=F5953)) ) - 1</f>
        <v>1.7184739001654847E-2</v>
      </c>
    </row>
    <row r="5954" spans="1:7" x14ac:dyDescent="0.2">
      <c r="A5954" s="1">
        <v>42264</v>
      </c>
      <c r="B5954">
        <v>2</v>
      </c>
      <c r="C5954" t="s">
        <v>15</v>
      </c>
      <c r="D5954">
        <v>-9.4799999999999995E-4</v>
      </c>
      <c r="E5954">
        <f t="shared" si="184"/>
        <v>0.99905200000000005</v>
      </c>
      <c r="F5954" s="1">
        <f t="shared" si="185"/>
        <v>42261</v>
      </c>
      <c r="G5954" cm="1">
        <f t="array" ref="G5954">PRODUCT( _xlfn._xlws.FILTER($E:$E, ($C:$C=C5954)*($F:$F=F5954)) ) - 1</f>
        <v>1.7184739001654847E-2</v>
      </c>
    </row>
    <row r="5955" spans="1:7" x14ac:dyDescent="0.2">
      <c r="A5955" s="1">
        <v>42265</v>
      </c>
      <c r="B5955">
        <v>2</v>
      </c>
      <c r="C5955" t="s">
        <v>15</v>
      </c>
      <c r="D5955">
        <v>1.1391E-2</v>
      </c>
      <c r="E5955">
        <f t="shared" si="184"/>
        <v>1.0113909999999999</v>
      </c>
      <c r="F5955" s="1">
        <f t="shared" si="185"/>
        <v>42261</v>
      </c>
      <c r="G5955" cm="1">
        <f t="array" ref="G5955">PRODUCT( _xlfn._xlws.FILTER($E:$E, ($C:$C=C5955)*($F:$F=F5955)) ) - 1</f>
        <v>1.7184739001654847E-2</v>
      </c>
    </row>
    <row r="5956" spans="1:7" x14ac:dyDescent="0.2">
      <c r="A5956" s="1">
        <v>42268</v>
      </c>
      <c r="B5956">
        <v>2</v>
      </c>
      <c r="C5956" t="s">
        <v>15</v>
      </c>
      <c r="D5956">
        <v>1.0793000000000001E-2</v>
      </c>
      <c r="E5956">
        <f t="shared" ref="E5956:E6019" si="186">D5956+1</f>
        <v>1.0107930000000001</v>
      </c>
      <c r="F5956" s="1">
        <f t="shared" ref="F5956:F6019" si="187">A5956 - (WEEKDAY(A5956, 2) - 1)</f>
        <v>42268</v>
      </c>
      <c r="G5956" cm="1">
        <f t="array" ref="G5956">PRODUCT( _xlfn._xlws.FILTER($E:$E, ($C:$C=C5956)*($F:$F=F5956)) ) - 1</f>
        <v>1.642980801335181E-3</v>
      </c>
    </row>
    <row r="5957" spans="1:7" x14ac:dyDescent="0.2">
      <c r="A5957" s="1">
        <v>42269</v>
      </c>
      <c r="B5957">
        <v>2</v>
      </c>
      <c r="C5957" t="s">
        <v>15</v>
      </c>
      <c r="D5957">
        <v>-9.0530000000000003E-3</v>
      </c>
      <c r="E5957">
        <f t="shared" si="186"/>
        <v>0.99094700000000002</v>
      </c>
      <c r="F5957" s="1">
        <f t="shared" si="187"/>
        <v>42268</v>
      </c>
      <c r="G5957" cm="1">
        <f t="array" ref="G5957">PRODUCT( _xlfn._xlws.FILTER($E:$E, ($C:$C=C5957)*($F:$F=F5957)) ) - 1</f>
        <v>1.642980801335181E-3</v>
      </c>
    </row>
    <row r="5958" spans="1:7" x14ac:dyDescent="0.2">
      <c r="A5958" s="1">
        <v>42270</v>
      </c>
      <c r="B5958">
        <v>2</v>
      </c>
      <c r="C5958" t="s">
        <v>15</v>
      </c>
      <c r="D5958">
        <v>-4.9189999999999998E-3</v>
      </c>
      <c r="E5958">
        <f t="shared" si="186"/>
        <v>0.99508099999999999</v>
      </c>
      <c r="F5958" s="1">
        <f t="shared" si="187"/>
        <v>42268</v>
      </c>
      <c r="G5958" cm="1">
        <f t="array" ref="G5958">PRODUCT( _xlfn._xlws.FILTER($E:$E, ($C:$C=C5958)*($F:$F=F5958)) ) - 1</f>
        <v>1.642980801335181E-3</v>
      </c>
    </row>
    <row r="5959" spans="1:7" x14ac:dyDescent="0.2">
      <c r="A5959" s="1">
        <v>42271</v>
      </c>
      <c r="B5959">
        <v>2</v>
      </c>
      <c r="C5959" t="s">
        <v>15</v>
      </c>
      <c r="D5959">
        <v>-7.0600000000000003E-4</v>
      </c>
      <c r="E5959">
        <f t="shared" si="186"/>
        <v>0.99929400000000002</v>
      </c>
      <c r="F5959" s="1">
        <f t="shared" si="187"/>
        <v>42268</v>
      </c>
      <c r="G5959" cm="1">
        <f t="array" ref="G5959">PRODUCT( _xlfn._xlws.FILTER($E:$E, ($C:$C=C5959)*($F:$F=F5959)) ) - 1</f>
        <v>1.642980801335181E-3</v>
      </c>
    </row>
    <row r="5960" spans="1:7" x14ac:dyDescent="0.2">
      <c r="A5960" s="1">
        <v>42272</v>
      </c>
      <c r="B5960">
        <v>2</v>
      </c>
      <c r="C5960" t="s">
        <v>15</v>
      </c>
      <c r="D5960">
        <v>5.6540000000000002E-3</v>
      </c>
      <c r="E5960">
        <f t="shared" si="186"/>
        <v>1.005654</v>
      </c>
      <c r="F5960" s="1">
        <f t="shared" si="187"/>
        <v>42268</v>
      </c>
      <c r="G5960" cm="1">
        <f t="array" ref="G5960">PRODUCT( _xlfn._xlws.FILTER($E:$E, ($C:$C=C5960)*($F:$F=F5960)) ) - 1</f>
        <v>1.642980801335181E-3</v>
      </c>
    </row>
    <row r="5961" spans="1:7" x14ac:dyDescent="0.2">
      <c r="A5961" s="1">
        <v>42275</v>
      </c>
      <c r="B5961">
        <v>2</v>
      </c>
      <c r="C5961" t="s">
        <v>15</v>
      </c>
      <c r="D5961">
        <v>-2.1080000000000001E-3</v>
      </c>
      <c r="E5961">
        <f t="shared" si="186"/>
        <v>0.997892</v>
      </c>
      <c r="F5961" s="1">
        <f t="shared" si="187"/>
        <v>42275</v>
      </c>
      <c r="G5961" cm="1">
        <f t="array" ref="G5961">PRODUCT( _xlfn._xlws.FILTER($E:$E, ($C:$C=C5961)*($F:$F=F5961)) ) - 1</f>
        <v>-5.1534716243373246E-3</v>
      </c>
    </row>
    <row r="5962" spans="1:7" x14ac:dyDescent="0.2">
      <c r="A5962" s="1">
        <v>42276</v>
      </c>
      <c r="B5962">
        <v>2</v>
      </c>
      <c r="C5962" t="s">
        <v>15</v>
      </c>
      <c r="D5962">
        <v>-3.052E-3</v>
      </c>
      <c r="E5962">
        <f t="shared" si="186"/>
        <v>0.99694799999999995</v>
      </c>
      <c r="F5962" s="1">
        <f t="shared" si="187"/>
        <v>42275</v>
      </c>
      <c r="G5962" cm="1">
        <f t="array" ref="G5962">PRODUCT( _xlfn._xlws.FILTER($E:$E, ($C:$C=C5962)*($F:$F=F5962)) ) - 1</f>
        <v>-5.1534716243373246E-3</v>
      </c>
    </row>
    <row r="5963" spans="1:7" x14ac:dyDescent="0.2">
      <c r="A5963" s="1">
        <v>42277</v>
      </c>
      <c r="B5963">
        <v>2</v>
      </c>
      <c r="C5963" t="s">
        <v>15</v>
      </c>
      <c r="D5963">
        <v>-9.8890000000000002E-3</v>
      </c>
      <c r="E5963">
        <f t="shared" si="186"/>
        <v>0.99011099999999996</v>
      </c>
      <c r="F5963" s="1">
        <f t="shared" si="187"/>
        <v>42275</v>
      </c>
      <c r="G5963" cm="1">
        <f t="array" ref="G5963">PRODUCT( _xlfn._xlws.FILTER($E:$E, ($C:$C=C5963)*($F:$F=F5963)) ) - 1</f>
        <v>-5.1534716243373246E-3</v>
      </c>
    </row>
    <row r="5964" spans="1:7" x14ac:dyDescent="0.2">
      <c r="A5964" s="1">
        <v>42278</v>
      </c>
      <c r="B5964">
        <v>2</v>
      </c>
      <c r="C5964" t="s">
        <v>15</v>
      </c>
      <c r="D5964">
        <v>-1.1415E-2</v>
      </c>
      <c r="E5964">
        <f t="shared" si="186"/>
        <v>0.98858500000000005</v>
      </c>
      <c r="F5964" s="1">
        <f t="shared" si="187"/>
        <v>42275</v>
      </c>
      <c r="G5964" cm="1">
        <f t="array" ref="G5964">PRODUCT( _xlfn._xlws.FILTER($E:$E, ($C:$C=C5964)*($F:$F=F5964)) ) - 1</f>
        <v>-5.1534716243373246E-3</v>
      </c>
    </row>
    <row r="5965" spans="1:7" x14ac:dyDescent="0.2">
      <c r="A5965" s="1">
        <v>42279</v>
      </c>
      <c r="B5965">
        <v>2</v>
      </c>
      <c r="C5965" t="s">
        <v>15</v>
      </c>
      <c r="D5965">
        <v>2.1649999999999999E-2</v>
      </c>
      <c r="E5965">
        <f t="shared" si="186"/>
        <v>1.0216499999999999</v>
      </c>
      <c r="F5965" s="1">
        <f t="shared" si="187"/>
        <v>42275</v>
      </c>
      <c r="G5965" cm="1">
        <f t="array" ref="G5965">PRODUCT( _xlfn._xlws.FILTER($E:$E, ($C:$C=C5965)*($F:$F=F5965)) ) - 1</f>
        <v>-5.1534716243373246E-3</v>
      </c>
    </row>
    <row r="5966" spans="1:7" x14ac:dyDescent="0.2">
      <c r="A5966" s="1">
        <v>42282</v>
      </c>
      <c r="B5966">
        <v>2</v>
      </c>
      <c r="C5966" t="s">
        <v>15</v>
      </c>
      <c r="D5966">
        <v>3.532E-3</v>
      </c>
      <c r="E5966">
        <f t="shared" si="186"/>
        <v>1.0035320000000001</v>
      </c>
      <c r="F5966" s="1">
        <f t="shared" si="187"/>
        <v>42282</v>
      </c>
      <c r="G5966" cm="1">
        <f t="array" ref="G5966">PRODUCT( _xlfn._xlws.FILTER($E:$E, ($C:$C=C5966)*($F:$F=F5966)) ) - 1</f>
        <v>2.1202339344859045E-3</v>
      </c>
    </row>
    <row r="5967" spans="1:7" x14ac:dyDescent="0.2">
      <c r="A5967" s="1">
        <v>42283</v>
      </c>
      <c r="B5967">
        <v>2</v>
      </c>
      <c r="C5967" t="s">
        <v>15</v>
      </c>
      <c r="D5967">
        <v>-1.8536E-2</v>
      </c>
      <c r="E5967">
        <f t="shared" si="186"/>
        <v>0.981464</v>
      </c>
      <c r="F5967" s="1">
        <f t="shared" si="187"/>
        <v>42282</v>
      </c>
      <c r="G5967" cm="1">
        <f t="array" ref="G5967">PRODUCT( _xlfn._xlws.FILTER($E:$E, ($C:$C=C5967)*($F:$F=F5967)) ) - 1</f>
        <v>2.1202339344859045E-3</v>
      </c>
    </row>
    <row r="5968" spans="1:7" x14ac:dyDescent="0.2">
      <c r="A5968" s="1">
        <v>42284</v>
      </c>
      <c r="B5968">
        <v>2</v>
      </c>
      <c r="C5968" t="s">
        <v>15</v>
      </c>
      <c r="D5968">
        <v>9.8019999999999999E-3</v>
      </c>
      <c r="E5968">
        <f t="shared" si="186"/>
        <v>1.0098020000000001</v>
      </c>
      <c r="F5968" s="1">
        <f t="shared" si="187"/>
        <v>42282</v>
      </c>
      <c r="G5968" cm="1">
        <f t="array" ref="G5968">PRODUCT( _xlfn._xlws.FILTER($E:$E, ($C:$C=C5968)*($F:$F=F5968)) ) - 1</f>
        <v>2.1202339344859045E-3</v>
      </c>
    </row>
    <row r="5969" spans="1:7" x14ac:dyDescent="0.2">
      <c r="A5969" s="1">
        <v>42285</v>
      </c>
      <c r="B5969">
        <v>2</v>
      </c>
      <c r="C5969" t="s">
        <v>15</v>
      </c>
      <c r="D5969">
        <v>1.1364000000000001E-2</v>
      </c>
      <c r="E5969">
        <f t="shared" si="186"/>
        <v>1.0113639999999999</v>
      </c>
      <c r="F5969" s="1">
        <f t="shared" si="187"/>
        <v>42282</v>
      </c>
      <c r="G5969" cm="1">
        <f t="array" ref="G5969">PRODUCT( _xlfn._xlws.FILTER($E:$E, ($C:$C=C5969)*($F:$F=F5969)) ) - 1</f>
        <v>2.1202339344859045E-3</v>
      </c>
    </row>
    <row r="5970" spans="1:7" x14ac:dyDescent="0.2">
      <c r="A5970" s="1">
        <v>42286</v>
      </c>
      <c r="B5970">
        <v>2</v>
      </c>
      <c r="C5970" t="s">
        <v>15</v>
      </c>
      <c r="D5970">
        <v>-3.7450000000000001E-3</v>
      </c>
      <c r="E5970">
        <f t="shared" si="186"/>
        <v>0.996255</v>
      </c>
      <c r="F5970" s="1">
        <f t="shared" si="187"/>
        <v>42282</v>
      </c>
      <c r="G5970" cm="1">
        <f t="array" ref="G5970">PRODUCT( _xlfn._xlws.FILTER($E:$E, ($C:$C=C5970)*($F:$F=F5970)) ) - 1</f>
        <v>2.1202339344859045E-3</v>
      </c>
    </row>
    <row r="5971" spans="1:7" x14ac:dyDescent="0.2">
      <c r="A5971" s="1">
        <v>42290</v>
      </c>
      <c r="B5971">
        <v>2</v>
      </c>
      <c r="C5971" t="s">
        <v>15</v>
      </c>
      <c r="D5971">
        <v>5.6389999999999999E-3</v>
      </c>
      <c r="E5971">
        <f t="shared" si="186"/>
        <v>1.0056389999999999</v>
      </c>
      <c r="F5971" s="1">
        <f t="shared" si="187"/>
        <v>42289</v>
      </c>
      <c r="G5971" cm="1">
        <f t="array" ref="G5971">PRODUCT( _xlfn._xlws.FILTER($E:$E, ($C:$C=C5971)*($F:$F=F5971)) ) - 1</f>
        <v>-8.4582360251933553E-3</v>
      </c>
    </row>
    <row r="5972" spans="1:7" x14ac:dyDescent="0.2">
      <c r="A5972" s="1">
        <v>42291</v>
      </c>
      <c r="B5972">
        <v>2</v>
      </c>
      <c r="C5972" t="s">
        <v>15</v>
      </c>
      <c r="D5972">
        <v>-1.285E-2</v>
      </c>
      <c r="E5972">
        <f t="shared" si="186"/>
        <v>0.98714999999999997</v>
      </c>
      <c r="F5972" s="1">
        <f t="shared" si="187"/>
        <v>42289</v>
      </c>
      <c r="G5972" cm="1">
        <f t="array" ref="G5972">PRODUCT( _xlfn._xlws.FILTER($E:$E, ($C:$C=C5972)*($F:$F=F5972)) ) - 1</f>
        <v>-8.4582360251933553E-3</v>
      </c>
    </row>
    <row r="5973" spans="1:7" x14ac:dyDescent="0.2">
      <c r="A5973" s="1">
        <v>42292</v>
      </c>
      <c r="B5973">
        <v>2</v>
      </c>
      <c r="C5973" t="s">
        <v>15</v>
      </c>
      <c r="D5973">
        <v>2.8400000000000001E-3</v>
      </c>
      <c r="E5973">
        <f t="shared" si="186"/>
        <v>1.00284</v>
      </c>
      <c r="F5973" s="1">
        <f t="shared" si="187"/>
        <v>42289</v>
      </c>
      <c r="G5973" cm="1">
        <f t="array" ref="G5973">PRODUCT( _xlfn._xlws.FILTER($E:$E, ($C:$C=C5973)*($F:$F=F5973)) ) - 1</f>
        <v>-8.4582360251933553E-3</v>
      </c>
    </row>
    <row r="5974" spans="1:7" x14ac:dyDescent="0.2">
      <c r="A5974" s="1">
        <v>42293</v>
      </c>
      <c r="B5974">
        <v>2</v>
      </c>
      <c r="C5974" t="s">
        <v>15</v>
      </c>
      <c r="D5974">
        <v>-4.0119999999999999E-3</v>
      </c>
      <c r="E5974">
        <f t="shared" si="186"/>
        <v>0.99598799999999998</v>
      </c>
      <c r="F5974" s="1">
        <f t="shared" si="187"/>
        <v>42289</v>
      </c>
      <c r="G5974" cm="1">
        <f t="array" ref="G5974">PRODUCT( _xlfn._xlws.FILTER($E:$E, ($C:$C=C5974)*($F:$F=F5974)) ) - 1</f>
        <v>-8.4582360251933553E-3</v>
      </c>
    </row>
    <row r="5975" spans="1:7" x14ac:dyDescent="0.2">
      <c r="A5975" s="1">
        <v>42296</v>
      </c>
      <c r="B5975">
        <v>2</v>
      </c>
      <c r="C5975" t="s">
        <v>15</v>
      </c>
      <c r="D5975">
        <v>2.3700000000000001E-3</v>
      </c>
      <c r="E5975">
        <f t="shared" si="186"/>
        <v>1.00237</v>
      </c>
      <c r="F5975" s="1">
        <f t="shared" si="187"/>
        <v>42296</v>
      </c>
      <c r="G5975" cm="1">
        <f t="array" ref="G5975">PRODUCT( _xlfn._xlws.FILTER($E:$E, ($C:$C=C5975)*($F:$F=F5975)) ) - 1</f>
        <v>4.7630145354109921E-2</v>
      </c>
    </row>
    <row r="5976" spans="1:7" x14ac:dyDescent="0.2">
      <c r="A5976" s="1">
        <v>42297</v>
      </c>
      <c r="B5976">
        <v>2</v>
      </c>
      <c r="C5976" t="s">
        <v>15</v>
      </c>
      <c r="D5976">
        <v>1.4657E-2</v>
      </c>
      <c r="E5976">
        <f t="shared" si="186"/>
        <v>1.0146569999999999</v>
      </c>
      <c r="F5976" s="1">
        <f t="shared" si="187"/>
        <v>42296</v>
      </c>
      <c r="G5976" cm="1">
        <f t="array" ref="G5976">PRODUCT( _xlfn._xlws.FILTER($E:$E, ($C:$C=C5976)*($F:$F=F5976)) ) - 1</f>
        <v>4.7630145354109921E-2</v>
      </c>
    </row>
    <row r="5977" spans="1:7" x14ac:dyDescent="0.2">
      <c r="A5977" s="1">
        <v>42298</v>
      </c>
      <c r="B5977">
        <v>2</v>
      </c>
      <c r="C5977" t="s">
        <v>15</v>
      </c>
      <c r="D5977">
        <v>1.2815E-2</v>
      </c>
      <c r="E5977">
        <f t="shared" si="186"/>
        <v>1.012815</v>
      </c>
      <c r="F5977" s="1">
        <f t="shared" si="187"/>
        <v>42296</v>
      </c>
      <c r="G5977" cm="1">
        <f t="array" ref="G5977">PRODUCT( _xlfn._xlws.FILTER($E:$E, ($C:$C=C5977)*($F:$F=F5977)) ) - 1</f>
        <v>4.7630145354109921E-2</v>
      </c>
    </row>
    <row r="5978" spans="1:7" x14ac:dyDescent="0.2">
      <c r="A5978" s="1">
        <v>42299</v>
      </c>
      <c r="B5978">
        <v>2</v>
      </c>
      <c r="C5978" t="s">
        <v>15</v>
      </c>
      <c r="D5978">
        <v>1.8173000000000002E-2</v>
      </c>
      <c r="E5978">
        <f t="shared" si="186"/>
        <v>1.018173</v>
      </c>
      <c r="F5978" s="1">
        <f t="shared" si="187"/>
        <v>42296</v>
      </c>
      <c r="G5978" cm="1">
        <f t="array" ref="G5978">PRODUCT( _xlfn._xlws.FILTER($E:$E, ($C:$C=C5978)*($F:$F=F5978)) ) - 1</f>
        <v>4.7630145354109921E-2</v>
      </c>
    </row>
    <row r="5979" spans="1:7" x14ac:dyDescent="0.2">
      <c r="A5979" s="1">
        <v>42300</v>
      </c>
      <c r="B5979">
        <v>2</v>
      </c>
      <c r="C5979" t="s">
        <v>15</v>
      </c>
      <c r="D5979">
        <v>-1.1299999999999999E-3</v>
      </c>
      <c r="E5979">
        <f t="shared" si="186"/>
        <v>0.99887000000000004</v>
      </c>
      <c r="F5979" s="1">
        <f t="shared" si="187"/>
        <v>42296</v>
      </c>
      <c r="G5979" cm="1">
        <f t="array" ref="G5979">PRODUCT( _xlfn._xlws.FILTER($E:$E, ($C:$C=C5979)*($F:$F=F5979)) ) - 1</f>
        <v>4.7630145354109921E-2</v>
      </c>
    </row>
    <row r="5980" spans="1:7" x14ac:dyDescent="0.2">
      <c r="A5980" s="1">
        <v>42303</v>
      </c>
      <c r="B5980">
        <v>2</v>
      </c>
      <c r="C5980" t="s">
        <v>15</v>
      </c>
      <c r="D5980">
        <v>-4.5199999999999998E-4</v>
      </c>
      <c r="E5980">
        <f t="shared" si="186"/>
        <v>0.99954799999999999</v>
      </c>
      <c r="F5980" s="1">
        <f t="shared" si="187"/>
        <v>42303</v>
      </c>
      <c r="G5980" cm="1">
        <f t="array" ref="G5980">PRODUCT( _xlfn._xlws.FILTER($E:$E, ($C:$C=C5980)*($F:$F=F5980)) ) - 1</f>
        <v>-1.2893004945906061E-2</v>
      </c>
    </row>
    <row r="5981" spans="1:7" x14ac:dyDescent="0.2">
      <c r="A5981" s="1">
        <v>42304</v>
      </c>
      <c r="B5981">
        <v>2</v>
      </c>
      <c r="C5981" t="s">
        <v>15</v>
      </c>
      <c r="D5981">
        <v>-2.2629999999999998E-3</v>
      </c>
      <c r="E5981">
        <f t="shared" si="186"/>
        <v>0.99773699999999999</v>
      </c>
      <c r="F5981" s="1">
        <f t="shared" si="187"/>
        <v>42303</v>
      </c>
      <c r="G5981" cm="1">
        <f t="array" ref="G5981">PRODUCT( _xlfn._xlws.FILTER($E:$E, ($C:$C=C5981)*($F:$F=F5981)) ) - 1</f>
        <v>-1.2893004945906061E-2</v>
      </c>
    </row>
    <row r="5982" spans="1:7" x14ac:dyDescent="0.2">
      <c r="A5982" s="1">
        <v>42305</v>
      </c>
      <c r="B5982">
        <v>2</v>
      </c>
      <c r="C5982" t="s">
        <v>15</v>
      </c>
      <c r="D5982">
        <v>2.2680000000000001E-3</v>
      </c>
      <c r="E5982">
        <f t="shared" si="186"/>
        <v>1.0022679999999999</v>
      </c>
      <c r="F5982" s="1">
        <f t="shared" si="187"/>
        <v>42303</v>
      </c>
      <c r="G5982" cm="1">
        <f t="array" ref="G5982">PRODUCT( _xlfn._xlws.FILTER($E:$E, ($C:$C=C5982)*($F:$F=F5982)) ) - 1</f>
        <v>-1.2893004945906061E-2</v>
      </c>
    </row>
    <row r="5983" spans="1:7" x14ac:dyDescent="0.2">
      <c r="A5983" s="1">
        <v>42306</v>
      </c>
      <c r="B5983">
        <v>2</v>
      </c>
      <c r="C5983" t="s">
        <v>15</v>
      </c>
      <c r="D5983">
        <v>-2.7160000000000001E-3</v>
      </c>
      <c r="E5983">
        <f t="shared" si="186"/>
        <v>0.99728399999999995</v>
      </c>
      <c r="F5983" s="1">
        <f t="shared" si="187"/>
        <v>42303</v>
      </c>
      <c r="G5983" cm="1">
        <f t="array" ref="G5983">PRODUCT( _xlfn._xlws.FILTER($E:$E, ($C:$C=C5983)*($F:$F=F5983)) ) - 1</f>
        <v>-1.2893004945906061E-2</v>
      </c>
    </row>
    <row r="5984" spans="1:7" x14ac:dyDescent="0.2">
      <c r="A5984" s="1">
        <v>42307</v>
      </c>
      <c r="B5984">
        <v>2</v>
      </c>
      <c r="C5984" t="s">
        <v>15</v>
      </c>
      <c r="D5984">
        <v>-9.757E-3</v>
      </c>
      <c r="E5984">
        <f t="shared" si="186"/>
        <v>0.99024299999999998</v>
      </c>
      <c r="F5984" s="1">
        <f t="shared" si="187"/>
        <v>42303</v>
      </c>
      <c r="G5984" cm="1">
        <f t="array" ref="G5984">PRODUCT( _xlfn._xlws.FILTER($E:$E, ($C:$C=C5984)*($F:$F=F5984)) ) - 1</f>
        <v>-1.2893004945906061E-2</v>
      </c>
    </row>
    <row r="5985" spans="1:7" x14ac:dyDescent="0.2">
      <c r="A5985" s="1">
        <v>42310</v>
      </c>
      <c r="B5985">
        <v>2</v>
      </c>
      <c r="C5985" t="s">
        <v>15</v>
      </c>
      <c r="D5985">
        <v>-1.833E-3</v>
      </c>
      <c r="E5985">
        <f t="shared" si="186"/>
        <v>0.99816700000000003</v>
      </c>
      <c r="F5985" s="1">
        <f t="shared" si="187"/>
        <v>42310</v>
      </c>
      <c r="G5985" cm="1">
        <f t="array" ref="G5985">PRODUCT( _xlfn._xlws.FILTER($E:$E, ($C:$C=C5985)*($F:$F=F5985)) ) - 1</f>
        <v>-4.8808155290580246E-2</v>
      </c>
    </row>
    <row r="5986" spans="1:7" x14ac:dyDescent="0.2">
      <c r="A5986" s="1">
        <v>42311</v>
      </c>
      <c r="B5986">
        <v>2</v>
      </c>
      <c r="C5986" t="s">
        <v>15</v>
      </c>
      <c r="D5986">
        <v>1.377E-3</v>
      </c>
      <c r="E5986">
        <f t="shared" si="186"/>
        <v>1.001377</v>
      </c>
      <c r="F5986" s="1">
        <f t="shared" si="187"/>
        <v>42310</v>
      </c>
      <c r="G5986" cm="1">
        <f t="array" ref="G5986">PRODUCT( _xlfn._xlws.FILTER($E:$E, ($C:$C=C5986)*($F:$F=F5986)) ) - 1</f>
        <v>-4.8808155290580246E-2</v>
      </c>
    </row>
    <row r="5987" spans="1:7" x14ac:dyDescent="0.2">
      <c r="A5987" s="1">
        <v>42312</v>
      </c>
      <c r="B5987">
        <v>2</v>
      </c>
      <c r="C5987" t="s">
        <v>15</v>
      </c>
      <c r="D5987">
        <v>2.0630000000000002E-3</v>
      </c>
      <c r="E5987">
        <f t="shared" si="186"/>
        <v>1.0020629999999999</v>
      </c>
      <c r="F5987" s="1">
        <f t="shared" si="187"/>
        <v>42310</v>
      </c>
      <c r="G5987" cm="1">
        <f t="array" ref="G5987">PRODUCT( _xlfn._xlws.FILTER($E:$E, ($C:$C=C5987)*($F:$F=F5987)) ) - 1</f>
        <v>-4.8808155290580246E-2</v>
      </c>
    </row>
    <row r="5988" spans="1:7" x14ac:dyDescent="0.2">
      <c r="A5988" s="1">
        <v>42313</v>
      </c>
      <c r="B5988">
        <v>2</v>
      </c>
      <c r="C5988" t="s">
        <v>15</v>
      </c>
      <c r="D5988">
        <v>-4.1180000000000001E-2</v>
      </c>
      <c r="E5988">
        <f t="shared" si="186"/>
        <v>0.95882000000000001</v>
      </c>
      <c r="F5988" s="1">
        <f t="shared" si="187"/>
        <v>42310</v>
      </c>
      <c r="G5988" cm="1">
        <f t="array" ref="G5988">PRODUCT( _xlfn._xlws.FILTER($E:$E, ($C:$C=C5988)*($F:$F=F5988)) ) - 1</f>
        <v>-4.8808155290580246E-2</v>
      </c>
    </row>
    <row r="5989" spans="1:7" x14ac:dyDescent="0.2">
      <c r="A5989" s="1">
        <v>42314</v>
      </c>
      <c r="B5989">
        <v>2</v>
      </c>
      <c r="C5989" t="s">
        <v>15</v>
      </c>
      <c r="D5989">
        <v>-9.5440000000000004E-3</v>
      </c>
      <c r="E5989">
        <f t="shared" si="186"/>
        <v>0.990456</v>
      </c>
      <c r="F5989" s="1">
        <f t="shared" si="187"/>
        <v>42310</v>
      </c>
      <c r="G5989" cm="1">
        <f t="array" ref="G5989">PRODUCT( _xlfn._xlws.FILTER($E:$E, ($C:$C=C5989)*($F:$F=F5989)) ) - 1</f>
        <v>-4.8808155290580246E-2</v>
      </c>
    </row>
    <row r="5990" spans="1:7" x14ac:dyDescent="0.2">
      <c r="A5990" s="1">
        <v>42317</v>
      </c>
      <c r="B5990">
        <v>2</v>
      </c>
      <c r="C5990" t="s">
        <v>15</v>
      </c>
      <c r="D5990">
        <v>-6.5040000000000002E-3</v>
      </c>
      <c r="E5990">
        <f t="shared" si="186"/>
        <v>0.99349600000000005</v>
      </c>
      <c r="F5990" s="1">
        <f t="shared" si="187"/>
        <v>42317</v>
      </c>
      <c r="G5990" cm="1">
        <f t="array" ref="G5990">PRODUCT( _xlfn._xlws.FILTER($E:$E, ($C:$C=C5990)*($F:$F=F5990)) ) - 1</f>
        <v>-3.2763283008569566E-2</v>
      </c>
    </row>
    <row r="5991" spans="1:7" x14ac:dyDescent="0.2">
      <c r="A5991" s="1">
        <v>42318</v>
      </c>
      <c r="B5991">
        <v>2</v>
      </c>
      <c r="C5991" t="s">
        <v>15</v>
      </c>
      <c r="D5991">
        <v>-5.3350000000000003E-3</v>
      </c>
      <c r="E5991">
        <f t="shared" si="186"/>
        <v>0.99466500000000002</v>
      </c>
      <c r="F5991" s="1">
        <f t="shared" si="187"/>
        <v>42317</v>
      </c>
      <c r="G5991" cm="1">
        <f t="array" ref="G5991">PRODUCT( _xlfn._xlws.FILTER($E:$E, ($C:$C=C5991)*($F:$F=F5991)) ) - 1</f>
        <v>-3.2763283008569566E-2</v>
      </c>
    </row>
    <row r="5992" spans="1:7" x14ac:dyDescent="0.2">
      <c r="A5992" s="1">
        <v>42319</v>
      </c>
      <c r="B5992">
        <v>2</v>
      </c>
      <c r="C5992" t="s">
        <v>15</v>
      </c>
      <c r="D5992">
        <v>4.3880000000000004E-3</v>
      </c>
      <c r="E5992">
        <f t="shared" si="186"/>
        <v>1.0043880000000001</v>
      </c>
      <c r="F5992" s="1">
        <f t="shared" si="187"/>
        <v>42317</v>
      </c>
      <c r="G5992" cm="1">
        <f t="array" ref="G5992">PRODUCT( _xlfn._xlws.FILTER($E:$E, ($C:$C=C5992)*($F:$F=F5992)) ) - 1</f>
        <v>-3.2763283008569566E-2</v>
      </c>
    </row>
    <row r="5993" spans="1:7" x14ac:dyDescent="0.2">
      <c r="A5993" s="1">
        <v>42320</v>
      </c>
      <c r="B5993">
        <v>2</v>
      </c>
      <c r="C5993" t="s">
        <v>15</v>
      </c>
      <c r="D5993">
        <v>-1.0194E-2</v>
      </c>
      <c r="E5993">
        <f t="shared" si="186"/>
        <v>0.98980599999999996</v>
      </c>
      <c r="F5993" s="1">
        <f t="shared" si="187"/>
        <v>42317</v>
      </c>
      <c r="G5993" cm="1">
        <f t="array" ref="G5993">PRODUCT( _xlfn._xlws.FILTER($E:$E, ($C:$C=C5993)*($F:$F=F5993)) ) - 1</f>
        <v>-3.2763283008569566E-2</v>
      </c>
    </row>
    <row r="5994" spans="1:7" x14ac:dyDescent="0.2">
      <c r="A5994" s="1">
        <v>42321</v>
      </c>
      <c r="B5994">
        <v>2</v>
      </c>
      <c r="C5994" t="s">
        <v>15</v>
      </c>
      <c r="D5994">
        <v>-1.5448999999999999E-2</v>
      </c>
      <c r="E5994">
        <f t="shared" si="186"/>
        <v>0.98455099999999995</v>
      </c>
      <c r="F5994" s="1">
        <f t="shared" si="187"/>
        <v>42317</v>
      </c>
      <c r="G5994" cm="1">
        <f t="array" ref="G5994">PRODUCT( _xlfn._xlws.FILTER($E:$E, ($C:$C=C5994)*($F:$F=F5994)) ) - 1</f>
        <v>-3.2763283008569566E-2</v>
      </c>
    </row>
    <row r="5995" spans="1:7" x14ac:dyDescent="0.2">
      <c r="A5995" s="1">
        <v>42324</v>
      </c>
      <c r="B5995">
        <v>2</v>
      </c>
      <c r="C5995" t="s">
        <v>15</v>
      </c>
      <c r="D5995">
        <v>2.3163E-2</v>
      </c>
      <c r="E5995">
        <f t="shared" si="186"/>
        <v>1.023163</v>
      </c>
      <c r="F5995" s="1">
        <f t="shared" si="187"/>
        <v>42324</v>
      </c>
      <c r="G5995" cm="1">
        <f t="array" ref="G5995">PRODUCT( _xlfn._xlws.FILTER($E:$E, ($C:$C=C5995)*($F:$F=F5995)) ) - 1</f>
        <v>4.0347738883084627E-2</v>
      </c>
    </row>
    <row r="5996" spans="1:7" x14ac:dyDescent="0.2">
      <c r="A5996" s="1">
        <v>42325</v>
      </c>
      <c r="B5996">
        <v>2</v>
      </c>
      <c r="C5996" t="s">
        <v>15</v>
      </c>
      <c r="D5996">
        <v>1.9469999999999999E-3</v>
      </c>
      <c r="E5996">
        <f t="shared" si="186"/>
        <v>1.0019469999999999</v>
      </c>
      <c r="F5996" s="1">
        <f t="shared" si="187"/>
        <v>42324</v>
      </c>
      <c r="G5996" cm="1">
        <f t="array" ref="G5996">PRODUCT( _xlfn._xlws.FILTER($E:$E, ($C:$C=C5996)*($F:$F=F5996)) ) - 1</f>
        <v>4.0347738883084627E-2</v>
      </c>
    </row>
    <row r="5997" spans="1:7" x14ac:dyDescent="0.2">
      <c r="A5997" s="1">
        <v>42326</v>
      </c>
      <c r="B5997">
        <v>2</v>
      </c>
      <c r="C5997" t="s">
        <v>15</v>
      </c>
      <c r="D5997">
        <v>9.2320000000000006E-3</v>
      </c>
      <c r="E5997">
        <f t="shared" si="186"/>
        <v>1.0092319999999999</v>
      </c>
      <c r="F5997" s="1">
        <f t="shared" si="187"/>
        <v>42324</v>
      </c>
      <c r="G5997" cm="1">
        <f t="array" ref="G5997">PRODUCT( _xlfn._xlws.FILTER($E:$E, ($C:$C=C5997)*($F:$F=F5997)) ) - 1</f>
        <v>4.0347738883084627E-2</v>
      </c>
    </row>
    <row r="5998" spans="1:7" x14ac:dyDescent="0.2">
      <c r="A5998" s="1">
        <v>42327</v>
      </c>
      <c r="B5998">
        <v>2</v>
      </c>
      <c r="C5998" t="s">
        <v>15</v>
      </c>
      <c r="D5998">
        <v>7.463E-3</v>
      </c>
      <c r="E5998">
        <f t="shared" si="186"/>
        <v>1.007463</v>
      </c>
      <c r="F5998" s="1">
        <f t="shared" si="187"/>
        <v>42324</v>
      </c>
      <c r="G5998" cm="1">
        <f t="array" ref="G5998">PRODUCT( _xlfn._xlws.FILTER($E:$E, ($C:$C=C5998)*($F:$F=F5998)) ) - 1</f>
        <v>4.0347738883084627E-2</v>
      </c>
    </row>
    <row r="5999" spans="1:7" x14ac:dyDescent="0.2">
      <c r="A5999" s="1">
        <v>42328</v>
      </c>
      <c r="B5999">
        <v>2</v>
      </c>
      <c r="C5999" t="s">
        <v>15</v>
      </c>
      <c r="D5999">
        <v>-1.9120000000000001E-3</v>
      </c>
      <c r="E5999">
        <f t="shared" si="186"/>
        <v>0.99808799999999998</v>
      </c>
      <c r="F5999" s="1">
        <f t="shared" si="187"/>
        <v>42324</v>
      </c>
      <c r="G5999" cm="1">
        <f t="array" ref="G5999">PRODUCT( _xlfn._xlws.FILTER($E:$E, ($C:$C=C5999)*($F:$F=F5999)) ) - 1</f>
        <v>4.0347738883084627E-2</v>
      </c>
    </row>
    <row r="6000" spans="1:7" x14ac:dyDescent="0.2">
      <c r="A6000" s="1">
        <v>42331</v>
      </c>
      <c r="B6000">
        <v>2</v>
      </c>
      <c r="C6000" t="s">
        <v>15</v>
      </c>
      <c r="D6000">
        <v>-9.0969999999999992E-3</v>
      </c>
      <c r="E6000">
        <f t="shared" si="186"/>
        <v>0.99090299999999998</v>
      </c>
      <c r="F6000" s="1">
        <f t="shared" si="187"/>
        <v>42331</v>
      </c>
      <c r="G6000" cm="1">
        <f t="array" ref="G6000">PRODUCT( _xlfn._xlws.FILTER($E:$E, ($C:$C=C6000)*($F:$F=F6000)) ) - 1</f>
        <v>4.7870493191894958E-3</v>
      </c>
    </row>
    <row r="6001" spans="1:7" x14ac:dyDescent="0.2">
      <c r="A6001" s="1">
        <v>42332</v>
      </c>
      <c r="B6001">
        <v>2</v>
      </c>
      <c r="C6001" t="s">
        <v>15</v>
      </c>
      <c r="D6001">
        <v>-1.4499999999999999E-3</v>
      </c>
      <c r="E6001">
        <f t="shared" si="186"/>
        <v>0.99855000000000005</v>
      </c>
      <c r="F6001" s="1">
        <f t="shared" si="187"/>
        <v>42331</v>
      </c>
      <c r="G6001" cm="1">
        <f t="array" ref="G6001">PRODUCT( _xlfn._xlws.FILTER($E:$E, ($C:$C=C6001)*($F:$F=F6001)) ) - 1</f>
        <v>4.7870493191894958E-3</v>
      </c>
    </row>
    <row r="6002" spans="1:7" x14ac:dyDescent="0.2">
      <c r="A6002" s="1">
        <v>42333</v>
      </c>
      <c r="B6002">
        <v>2</v>
      </c>
      <c r="C6002" t="s">
        <v>15</v>
      </c>
      <c r="D6002">
        <v>3.1449999999999998E-3</v>
      </c>
      <c r="E6002">
        <f t="shared" si="186"/>
        <v>1.003145</v>
      </c>
      <c r="F6002" s="1">
        <f t="shared" si="187"/>
        <v>42331</v>
      </c>
      <c r="G6002" cm="1">
        <f t="array" ref="G6002">PRODUCT( _xlfn._xlws.FILTER($E:$E, ($C:$C=C6002)*($F:$F=F6002)) ) - 1</f>
        <v>4.7870493191894958E-3</v>
      </c>
    </row>
    <row r="6003" spans="1:7" x14ac:dyDescent="0.2">
      <c r="A6003" s="1">
        <v>42334</v>
      </c>
      <c r="B6003">
        <v>2</v>
      </c>
      <c r="C6003" t="s">
        <v>15</v>
      </c>
      <c r="D6003">
        <v>7.9590000000000008E-3</v>
      </c>
      <c r="E6003">
        <f t="shared" si="186"/>
        <v>1.007959</v>
      </c>
      <c r="F6003" s="1">
        <f t="shared" si="187"/>
        <v>42331</v>
      </c>
      <c r="G6003" cm="1">
        <f t="array" ref="G6003">PRODUCT( _xlfn._xlws.FILTER($E:$E, ($C:$C=C6003)*($F:$F=F6003)) ) - 1</f>
        <v>4.7870493191894958E-3</v>
      </c>
    </row>
    <row r="6004" spans="1:7" x14ac:dyDescent="0.2">
      <c r="A6004" s="1">
        <v>42335</v>
      </c>
      <c r="B6004">
        <v>2</v>
      </c>
      <c r="C6004" t="s">
        <v>15</v>
      </c>
      <c r="D6004">
        <v>4.3070000000000001E-3</v>
      </c>
      <c r="E6004">
        <f t="shared" si="186"/>
        <v>1.0043070000000001</v>
      </c>
      <c r="F6004" s="1">
        <f t="shared" si="187"/>
        <v>42331</v>
      </c>
      <c r="G6004" cm="1">
        <f t="array" ref="G6004">PRODUCT( _xlfn._xlws.FILTER($E:$E, ($C:$C=C6004)*($F:$F=F6004)) ) - 1</f>
        <v>4.7870493191894958E-3</v>
      </c>
    </row>
    <row r="6005" spans="1:7" x14ac:dyDescent="0.2">
      <c r="A6005" s="1">
        <v>42338</v>
      </c>
      <c r="B6005">
        <v>2</v>
      </c>
      <c r="C6005" t="s">
        <v>15</v>
      </c>
      <c r="D6005">
        <v>1.1198E-2</v>
      </c>
      <c r="E6005">
        <f t="shared" si="186"/>
        <v>1.011198</v>
      </c>
      <c r="F6005" s="1">
        <f t="shared" si="187"/>
        <v>42338</v>
      </c>
      <c r="G6005" cm="1">
        <f t="array" ref="G6005">PRODUCT( _xlfn._xlws.FILTER($E:$E, ($C:$C=C6005)*($F:$F=F6005)) ) - 1</f>
        <v>-1.6680740135273098E-3</v>
      </c>
    </row>
    <row r="6006" spans="1:7" x14ac:dyDescent="0.2">
      <c r="A6006" s="1">
        <v>42339</v>
      </c>
      <c r="B6006">
        <v>2</v>
      </c>
      <c r="C6006" t="s">
        <v>15</v>
      </c>
      <c r="D6006">
        <v>4.7100000000000001E-4</v>
      </c>
      <c r="E6006">
        <f t="shared" si="186"/>
        <v>1.0004710000000001</v>
      </c>
      <c r="F6006" s="1">
        <f t="shared" si="187"/>
        <v>42338</v>
      </c>
      <c r="G6006" cm="1">
        <f t="array" ref="G6006">PRODUCT( _xlfn._xlws.FILTER($E:$E, ($C:$C=C6006)*($F:$F=F6006)) ) - 1</f>
        <v>-1.6680740135273098E-3</v>
      </c>
    </row>
    <row r="6007" spans="1:7" x14ac:dyDescent="0.2">
      <c r="A6007" s="1">
        <v>42340</v>
      </c>
      <c r="B6007">
        <v>2</v>
      </c>
      <c r="C6007" t="s">
        <v>15</v>
      </c>
      <c r="D6007">
        <v>-6.123E-3</v>
      </c>
      <c r="E6007">
        <f t="shared" si="186"/>
        <v>0.99387700000000001</v>
      </c>
      <c r="F6007" s="1">
        <f t="shared" si="187"/>
        <v>42338</v>
      </c>
      <c r="G6007" cm="1">
        <f t="array" ref="G6007">PRODUCT( _xlfn._xlws.FILTER($E:$E, ($C:$C=C6007)*($F:$F=F6007)) ) - 1</f>
        <v>-1.6680740135273098E-3</v>
      </c>
    </row>
    <row r="6008" spans="1:7" x14ac:dyDescent="0.2">
      <c r="A6008" s="1">
        <v>42341</v>
      </c>
      <c r="B6008">
        <v>2</v>
      </c>
      <c r="C6008" t="s">
        <v>15</v>
      </c>
      <c r="D6008">
        <v>-8.2939999999999993E-3</v>
      </c>
      <c r="E6008">
        <f t="shared" si="186"/>
        <v>0.99170599999999998</v>
      </c>
      <c r="F6008" s="1">
        <f t="shared" si="187"/>
        <v>42338</v>
      </c>
      <c r="G6008" cm="1">
        <f t="array" ref="G6008">PRODUCT( _xlfn._xlws.FILTER($E:$E, ($C:$C=C6008)*($F:$F=F6008)) ) - 1</f>
        <v>-1.6680740135273098E-3</v>
      </c>
    </row>
    <row r="6009" spans="1:7" x14ac:dyDescent="0.2">
      <c r="A6009" s="1">
        <v>42342</v>
      </c>
      <c r="B6009">
        <v>2</v>
      </c>
      <c r="C6009" t="s">
        <v>15</v>
      </c>
      <c r="D6009">
        <v>1.1950000000000001E-3</v>
      </c>
      <c r="E6009">
        <f t="shared" si="186"/>
        <v>1.0011950000000001</v>
      </c>
      <c r="F6009" s="1">
        <f t="shared" si="187"/>
        <v>42338</v>
      </c>
      <c r="G6009" cm="1">
        <f t="array" ref="G6009">PRODUCT( _xlfn._xlws.FILTER($E:$E, ($C:$C=C6009)*($F:$F=F6009)) ) - 1</f>
        <v>-1.6680740135273098E-3</v>
      </c>
    </row>
    <row r="6010" spans="1:7" x14ac:dyDescent="0.2">
      <c r="A6010" s="1">
        <v>42345</v>
      </c>
      <c r="B6010">
        <v>2</v>
      </c>
      <c r="C6010" t="s">
        <v>15</v>
      </c>
      <c r="D6010">
        <v>-1.2172000000000001E-2</v>
      </c>
      <c r="E6010">
        <f t="shared" si="186"/>
        <v>0.98782800000000004</v>
      </c>
      <c r="F6010" s="1">
        <f t="shared" si="187"/>
        <v>42345</v>
      </c>
      <c r="G6010" cm="1">
        <f t="array" ref="G6010">PRODUCT( _xlfn._xlws.FILTER($E:$E, ($C:$C=C6010)*($F:$F=F6010)) ) - 1</f>
        <v>-5.6716153006387771E-2</v>
      </c>
    </row>
    <row r="6011" spans="1:7" x14ac:dyDescent="0.2">
      <c r="A6011" s="1">
        <v>42346</v>
      </c>
      <c r="B6011">
        <v>2</v>
      </c>
      <c r="C6011" t="s">
        <v>15</v>
      </c>
      <c r="D6011">
        <v>-1.4978999999999999E-2</v>
      </c>
      <c r="E6011">
        <f t="shared" si="186"/>
        <v>0.98502100000000004</v>
      </c>
      <c r="F6011" s="1">
        <f t="shared" si="187"/>
        <v>42345</v>
      </c>
      <c r="G6011" cm="1">
        <f t="array" ref="G6011">PRODUCT( _xlfn._xlws.FILTER($E:$E, ($C:$C=C6011)*($F:$F=F6011)) ) - 1</f>
        <v>-5.6716153006387771E-2</v>
      </c>
    </row>
    <row r="6012" spans="1:7" x14ac:dyDescent="0.2">
      <c r="A6012" s="1">
        <v>42347</v>
      </c>
      <c r="B6012">
        <v>2</v>
      </c>
      <c r="C6012" t="s">
        <v>15</v>
      </c>
      <c r="D6012">
        <v>-1.6188000000000001E-2</v>
      </c>
      <c r="E6012">
        <f t="shared" si="186"/>
        <v>0.98381200000000002</v>
      </c>
      <c r="F6012" s="1">
        <f t="shared" si="187"/>
        <v>42345</v>
      </c>
      <c r="G6012" cm="1">
        <f t="array" ref="G6012">PRODUCT( _xlfn._xlws.FILTER($E:$E, ($C:$C=C6012)*($F:$F=F6012)) ) - 1</f>
        <v>-5.6716153006387771E-2</v>
      </c>
    </row>
    <row r="6013" spans="1:7" x14ac:dyDescent="0.2">
      <c r="A6013" s="1">
        <v>42348</v>
      </c>
      <c r="B6013">
        <v>2</v>
      </c>
      <c r="C6013" t="s">
        <v>15</v>
      </c>
      <c r="D6013">
        <v>5.0419999999999996E-3</v>
      </c>
      <c r="E6013">
        <f t="shared" si="186"/>
        <v>1.005042</v>
      </c>
      <c r="F6013" s="1">
        <f t="shared" si="187"/>
        <v>42345</v>
      </c>
      <c r="G6013" cm="1">
        <f t="array" ref="G6013">PRODUCT( _xlfn._xlws.FILTER($E:$E, ($C:$C=C6013)*($F:$F=F6013)) ) - 1</f>
        <v>-5.6716153006387771E-2</v>
      </c>
    </row>
    <row r="6014" spans="1:7" x14ac:dyDescent="0.2">
      <c r="A6014" s="1">
        <v>42349</v>
      </c>
      <c r="B6014">
        <v>2</v>
      </c>
      <c r="C6014" t="s">
        <v>15</v>
      </c>
      <c r="D6014">
        <v>-1.9564000000000002E-2</v>
      </c>
      <c r="E6014">
        <f t="shared" si="186"/>
        <v>0.98043599999999997</v>
      </c>
      <c r="F6014" s="1">
        <f t="shared" si="187"/>
        <v>42345</v>
      </c>
      <c r="G6014" cm="1">
        <f t="array" ref="G6014">PRODUCT( _xlfn._xlws.FILTER($E:$E, ($C:$C=C6014)*($F:$F=F6014)) ) - 1</f>
        <v>-5.6716153006387771E-2</v>
      </c>
    </row>
    <row r="6015" spans="1:7" x14ac:dyDescent="0.2">
      <c r="A6015" s="1">
        <v>42352</v>
      </c>
      <c r="B6015">
        <v>2</v>
      </c>
      <c r="C6015" t="s">
        <v>15</v>
      </c>
      <c r="D6015">
        <v>1.8675000000000001E-2</v>
      </c>
      <c r="E6015">
        <f t="shared" si="186"/>
        <v>1.018675</v>
      </c>
      <c r="F6015" s="1">
        <f t="shared" si="187"/>
        <v>42352</v>
      </c>
      <c r="G6015" cm="1">
        <f t="array" ref="G6015">PRODUCT( _xlfn._xlws.FILTER($E:$E, ($C:$C=C6015)*($F:$F=F6015)) ) - 1</f>
        <v>-1.6883895160946349E-2</v>
      </c>
    </row>
    <row r="6016" spans="1:7" x14ac:dyDescent="0.2">
      <c r="A6016" s="1">
        <v>42353</v>
      </c>
      <c r="B6016">
        <v>2</v>
      </c>
      <c r="C6016" t="s">
        <v>15</v>
      </c>
      <c r="D6016">
        <v>1.005E-3</v>
      </c>
      <c r="E6016">
        <f t="shared" si="186"/>
        <v>1.0010049999999999</v>
      </c>
      <c r="F6016" s="1">
        <f t="shared" si="187"/>
        <v>42352</v>
      </c>
      <c r="G6016" cm="1">
        <f t="array" ref="G6016">PRODUCT( _xlfn._xlws.FILTER($E:$E, ($C:$C=C6016)*($F:$F=F6016)) ) - 1</f>
        <v>-1.6883895160946349E-2</v>
      </c>
    </row>
    <row r="6017" spans="1:7" x14ac:dyDescent="0.2">
      <c r="A6017" s="1">
        <v>42354</v>
      </c>
      <c r="B6017">
        <v>2</v>
      </c>
      <c r="C6017" t="s">
        <v>15</v>
      </c>
      <c r="D6017">
        <v>1.9067000000000001E-2</v>
      </c>
      <c r="E6017">
        <f t="shared" si="186"/>
        <v>1.0190669999999999</v>
      </c>
      <c r="F6017" s="1">
        <f t="shared" si="187"/>
        <v>42352</v>
      </c>
      <c r="G6017" cm="1">
        <f t="array" ref="G6017">PRODUCT( _xlfn._xlws.FILTER($E:$E, ($C:$C=C6017)*($F:$F=F6017)) ) - 1</f>
        <v>-1.6883895160946349E-2</v>
      </c>
    </row>
    <row r="6018" spans="1:7" x14ac:dyDescent="0.2">
      <c r="A6018" s="1">
        <v>42355</v>
      </c>
      <c r="B6018">
        <v>2</v>
      </c>
      <c r="C6018" t="s">
        <v>15</v>
      </c>
      <c r="D6018">
        <v>-6.6470000000000001E-2</v>
      </c>
      <c r="E6018">
        <f t="shared" si="186"/>
        <v>0.93352999999999997</v>
      </c>
      <c r="F6018" s="1">
        <f t="shared" si="187"/>
        <v>42352</v>
      </c>
      <c r="G6018" cm="1">
        <f t="array" ref="G6018">PRODUCT( _xlfn._xlws.FILTER($E:$E, ($C:$C=C6018)*($F:$F=F6018)) ) - 1</f>
        <v>-1.6883895160946349E-2</v>
      </c>
    </row>
    <row r="6019" spans="1:7" x14ac:dyDescent="0.2">
      <c r="A6019" s="1">
        <v>42356</v>
      </c>
      <c r="B6019">
        <v>2</v>
      </c>
      <c r="C6019" t="s">
        <v>15</v>
      </c>
      <c r="D6019">
        <v>1.3448999999999999E-2</v>
      </c>
      <c r="E6019">
        <f t="shared" si="186"/>
        <v>1.013449</v>
      </c>
      <c r="F6019" s="1">
        <f t="shared" si="187"/>
        <v>42352</v>
      </c>
      <c r="G6019" cm="1">
        <f t="array" ref="G6019">PRODUCT( _xlfn._xlws.FILTER($E:$E, ($C:$C=C6019)*($F:$F=F6019)) ) - 1</f>
        <v>-1.6883895160946349E-2</v>
      </c>
    </row>
    <row r="6020" spans="1:7" x14ac:dyDescent="0.2">
      <c r="A6020" s="1">
        <v>42359</v>
      </c>
      <c r="B6020">
        <v>2</v>
      </c>
      <c r="C6020" t="s">
        <v>15</v>
      </c>
      <c r="D6020">
        <v>5.1999999999999995E-4</v>
      </c>
      <c r="E6020">
        <f t="shared" ref="E6020:E6083" si="188">D6020+1</f>
        <v>1.0005200000000001</v>
      </c>
      <c r="F6020" s="1">
        <f t="shared" ref="F6020:F6083" si="189">A6020 - (WEEKDAY(A6020, 2) - 1)</f>
        <v>42359</v>
      </c>
      <c r="G6020" cm="1">
        <f t="array" ref="G6020">PRODUCT( _xlfn._xlws.FILTER($E:$E, ($C:$C=C6020)*($F:$F=F6020)) ) - 1</f>
        <v>1.6653884919902273E-2</v>
      </c>
    </row>
    <row r="6021" spans="1:7" x14ac:dyDescent="0.2">
      <c r="A6021" s="1">
        <v>42360</v>
      </c>
      <c r="B6021">
        <v>2</v>
      </c>
      <c r="C6021" t="s">
        <v>15</v>
      </c>
      <c r="D6021">
        <v>5.7219999999999997E-3</v>
      </c>
      <c r="E6021">
        <f t="shared" si="188"/>
        <v>1.005722</v>
      </c>
      <c r="F6021" s="1">
        <f t="shared" si="189"/>
        <v>42359</v>
      </c>
      <c r="G6021" cm="1">
        <f t="array" ref="G6021">PRODUCT( _xlfn._xlws.FILTER($E:$E, ($C:$C=C6021)*($F:$F=F6021)) ) - 1</f>
        <v>1.6653884919902273E-2</v>
      </c>
    </row>
    <row r="6022" spans="1:7" x14ac:dyDescent="0.2">
      <c r="A6022" s="1">
        <v>42361</v>
      </c>
      <c r="B6022">
        <v>2</v>
      </c>
      <c r="C6022" t="s">
        <v>15</v>
      </c>
      <c r="D6022">
        <v>7.241E-3</v>
      </c>
      <c r="E6022">
        <f t="shared" si="188"/>
        <v>1.0072410000000001</v>
      </c>
      <c r="F6022" s="1">
        <f t="shared" si="189"/>
        <v>42359</v>
      </c>
      <c r="G6022" cm="1">
        <f t="array" ref="G6022">PRODUCT( _xlfn._xlws.FILTER($E:$E, ($C:$C=C6022)*($F:$F=F6022)) ) - 1</f>
        <v>1.6653884919902273E-2</v>
      </c>
    </row>
    <row r="6023" spans="1:7" x14ac:dyDescent="0.2">
      <c r="A6023" s="1">
        <v>42362</v>
      </c>
      <c r="B6023">
        <v>2</v>
      </c>
      <c r="C6023" t="s">
        <v>15</v>
      </c>
      <c r="D6023">
        <v>3.081E-3</v>
      </c>
      <c r="E6023">
        <f t="shared" si="188"/>
        <v>1.0030809999999999</v>
      </c>
      <c r="F6023" s="1">
        <f t="shared" si="189"/>
        <v>42359</v>
      </c>
      <c r="G6023" cm="1">
        <f t="array" ref="G6023">PRODUCT( _xlfn._xlws.FILTER($E:$E, ($C:$C=C6023)*($F:$F=F6023)) ) - 1</f>
        <v>1.6653884919902273E-2</v>
      </c>
    </row>
    <row r="6024" spans="1:7" x14ac:dyDescent="0.2">
      <c r="A6024" s="1">
        <v>42367</v>
      </c>
      <c r="B6024">
        <v>2</v>
      </c>
      <c r="C6024" t="s">
        <v>15</v>
      </c>
      <c r="D6024">
        <v>2.8149999999999998E-3</v>
      </c>
      <c r="E6024">
        <f t="shared" si="188"/>
        <v>1.002815</v>
      </c>
      <c r="F6024" s="1">
        <f t="shared" si="189"/>
        <v>42366</v>
      </c>
      <c r="G6024" cm="1">
        <f t="array" ref="G6024">PRODUCT( _xlfn._xlws.FILTER($E:$E, ($C:$C=C6024)*($F:$F=F6024)) ) - 1</f>
        <v>-2.0731984538653547E-2</v>
      </c>
    </row>
    <row r="6025" spans="1:7" x14ac:dyDescent="0.2">
      <c r="A6025" s="1">
        <v>42368</v>
      </c>
      <c r="B6025">
        <v>2</v>
      </c>
      <c r="C6025" t="s">
        <v>15</v>
      </c>
      <c r="D6025">
        <v>-6.8910000000000004E-3</v>
      </c>
      <c r="E6025">
        <f t="shared" si="188"/>
        <v>0.99310900000000002</v>
      </c>
      <c r="F6025" s="1">
        <f t="shared" si="189"/>
        <v>42366</v>
      </c>
      <c r="G6025" cm="1">
        <f t="array" ref="G6025">PRODUCT( _xlfn._xlws.FILTER($E:$E, ($C:$C=C6025)*($F:$F=F6025)) ) - 1</f>
        <v>-2.0731984538653547E-2</v>
      </c>
    </row>
    <row r="6026" spans="1:7" x14ac:dyDescent="0.2">
      <c r="A6026" s="1">
        <v>42369</v>
      </c>
      <c r="B6026">
        <v>2</v>
      </c>
      <c r="C6026" t="s">
        <v>15</v>
      </c>
      <c r="D6026">
        <v>-1.6705000000000001E-2</v>
      </c>
      <c r="E6026">
        <f t="shared" si="188"/>
        <v>0.98329500000000003</v>
      </c>
      <c r="F6026" s="1">
        <f t="shared" si="189"/>
        <v>42366</v>
      </c>
      <c r="G6026" cm="1">
        <f t="array" ref="G6026">PRODUCT( _xlfn._xlws.FILTER($E:$E, ($C:$C=C6026)*($F:$F=F6026)) ) - 1</f>
        <v>-2.0731984538653547E-2</v>
      </c>
    </row>
    <row r="6027" spans="1:7" x14ac:dyDescent="0.2">
      <c r="A6027" s="1">
        <v>42373</v>
      </c>
      <c r="B6027">
        <v>2</v>
      </c>
      <c r="C6027" t="s">
        <v>15</v>
      </c>
      <c r="D6027">
        <v>-7.3179999999999999E-3</v>
      </c>
      <c r="E6027">
        <f t="shared" si="188"/>
        <v>0.99268199999999995</v>
      </c>
      <c r="F6027" s="1">
        <f t="shared" si="189"/>
        <v>42373</v>
      </c>
      <c r="G6027" cm="1">
        <f t="array" ref="G6027">PRODUCT( _xlfn._xlws.FILTER($E:$E, ($C:$C=C6027)*($F:$F=F6027)) ) - 1</f>
        <v>-2.1955348849454714E-2</v>
      </c>
    </row>
    <row r="6028" spans="1:7" x14ac:dyDescent="0.2">
      <c r="A6028" s="1">
        <v>42374</v>
      </c>
      <c r="B6028">
        <v>2</v>
      </c>
      <c r="C6028" t="s">
        <v>15</v>
      </c>
      <c r="D6028">
        <v>4.4759999999999999E-3</v>
      </c>
      <c r="E6028">
        <f t="shared" si="188"/>
        <v>1.0044759999999999</v>
      </c>
      <c r="F6028" s="1">
        <f t="shared" si="189"/>
        <v>42373</v>
      </c>
      <c r="G6028" cm="1">
        <f t="array" ref="G6028">PRODUCT( _xlfn._xlws.FILTER($E:$E, ($C:$C=C6028)*($F:$F=F6028)) ) - 1</f>
        <v>-2.1955348849454714E-2</v>
      </c>
    </row>
    <row r="6029" spans="1:7" x14ac:dyDescent="0.2">
      <c r="A6029" s="1">
        <v>42375</v>
      </c>
      <c r="B6029">
        <v>2</v>
      </c>
      <c r="C6029" t="s">
        <v>15</v>
      </c>
      <c r="D6029">
        <v>-1.1795999999999999E-2</v>
      </c>
      <c r="E6029">
        <f t="shared" si="188"/>
        <v>0.98820399999999997</v>
      </c>
      <c r="F6029" s="1">
        <f t="shared" si="189"/>
        <v>42373</v>
      </c>
      <c r="G6029" cm="1">
        <f t="array" ref="G6029">PRODUCT( _xlfn._xlws.FILTER($E:$E, ($C:$C=C6029)*($F:$F=F6029)) ) - 1</f>
        <v>-2.1955348849454714E-2</v>
      </c>
    </row>
    <row r="6030" spans="1:7" x14ac:dyDescent="0.2">
      <c r="A6030" s="1">
        <v>42376</v>
      </c>
      <c r="B6030">
        <v>2</v>
      </c>
      <c r="C6030" t="s">
        <v>15</v>
      </c>
      <c r="D6030">
        <v>5.2999999999999998E-4</v>
      </c>
      <c r="E6030">
        <f t="shared" si="188"/>
        <v>1.0005299999999999</v>
      </c>
      <c r="F6030" s="1">
        <f t="shared" si="189"/>
        <v>42373</v>
      </c>
      <c r="G6030" cm="1">
        <f t="array" ref="G6030">PRODUCT( _xlfn._xlws.FILTER($E:$E, ($C:$C=C6030)*($F:$F=F6030)) ) - 1</f>
        <v>-2.1955348849454714E-2</v>
      </c>
    </row>
    <row r="6031" spans="1:7" x14ac:dyDescent="0.2">
      <c r="A6031" s="1">
        <v>42377</v>
      </c>
      <c r="B6031">
        <v>2</v>
      </c>
      <c r="C6031" t="s">
        <v>15</v>
      </c>
      <c r="D6031">
        <v>-7.953E-3</v>
      </c>
      <c r="E6031">
        <f t="shared" si="188"/>
        <v>0.99204700000000001</v>
      </c>
      <c r="F6031" s="1">
        <f t="shared" si="189"/>
        <v>42373</v>
      </c>
      <c r="G6031" cm="1">
        <f t="array" ref="G6031">PRODUCT( _xlfn._xlws.FILTER($E:$E, ($C:$C=C6031)*($F:$F=F6031)) ) - 1</f>
        <v>-2.1955348849454714E-2</v>
      </c>
    </row>
    <row r="6032" spans="1:7" x14ac:dyDescent="0.2">
      <c r="A6032" s="1">
        <v>42380</v>
      </c>
      <c r="B6032">
        <v>2</v>
      </c>
      <c r="C6032" t="s">
        <v>15</v>
      </c>
      <c r="D6032">
        <v>-5.3399999999999997E-4</v>
      </c>
      <c r="E6032">
        <f t="shared" si="188"/>
        <v>0.99946599999999997</v>
      </c>
      <c r="F6032" s="1">
        <f t="shared" si="189"/>
        <v>42380</v>
      </c>
      <c r="G6032" cm="1">
        <f t="array" ref="G6032">PRODUCT( _xlfn._xlws.FILTER($E:$E, ($C:$C=C6032)*($F:$F=F6032)) ) - 1</f>
        <v>-2.8594719754978515E-2</v>
      </c>
    </row>
    <row r="6033" spans="1:7" x14ac:dyDescent="0.2">
      <c r="A6033" s="1">
        <v>42381</v>
      </c>
      <c r="B6033">
        <v>2</v>
      </c>
      <c r="C6033" t="s">
        <v>15</v>
      </c>
      <c r="D6033">
        <v>1.0695E-2</v>
      </c>
      <c r="E6033">
        <f t="shared" si="188"/>
        <v>1.0106949999999999</v>
      </c>
      <c r="F6033" s="1">
        <f t="shared" si="189"/>
        <v>42380</v>
      </c>
      <c r="G6033" cm="1">
        <f t="array" ref="G6033">PRODUCT( _xlfn._xlws.FILTER($E:$E, ($C:$C=C6033)*($F:$F=F6033)) ) - 1</f>
        <v>-2.8594719754978515E-2</v>
      </c>
    </row>
    <row r="6034" spans="1:7" x14ac:dyDescent="0.2">
      <c r="A6034" s="1">
        <v>42382</v>
      </c>
      <c r="B6034">
        <v>2</v>
      </c>
      <c r="C6034" t="s">
        <v>15</v>
      </c>
      <c r="D6034">
        <v>-1.8519000000000001E-2</v>
      </c>
      <c r="E6034">
        <f t="shared" si="188"/>
        <v>0.98148100000000005</v>
      </c>
      <c r="F6034" s="1">
        <f t="shared" si="189"/>
        <v>42380</v>
      </c>
      <c r="G6034" cm="1">
        <f t="array" ref="G6034">PRODUCT( _xlfn._xlws.FILTER($E:$E, ($C:$C=C6034)*($F:$F=F6034)) ) - 1</f>
        <v>-2.8594719754978515E-2</v>
      </c>
    </row>
    <row r="6035" spans="1:7" x14ac:dyDescent="0.2">
      <c r="A6035" s="1">
        <v>42383</v>
      </c>
      <c r="B6035">
        <v>2</v>
      </c>
      <c r="C6035" t="s">
        <v>15</v>
      </c>
      <c r="D6035">
        <v>3.5040000000000002E-3</v>
      </c>
      <c r="E6035">
        <f t="shared" si="188"/>
        <v>1.003504</v>
      </c>
      <c r="F6035" s="1">
        <f t="shared" si="189"/>
        <v>42380</v>
      </c>
      <c r="G6035" cm="1">
        <f t="array" ref="G6035">PRODUCT( _xlfn._xlws.FILTER($E:$E, ($C:$C=C6035)*($F:$F=F6035)) ) - 1</f>
        <v>-2.8594719754978515E-2</v>
      </c>
    </row>
    <row r="6036" spans="1:7" x14ac:dyDescent="0.2">
      <c r="A6036" s="1">
        <v>42384</v>
      </c>
      <c r="B6036">
        <v>2</v>
      </c>
      <c r="C6036" t="s">
        <v>15</v>
      </c>
      <c r="D6036">
        <v>-2.3636999999999998E-2</v>
      </c>
      <c r="E6036">
        <f t="shared" si="188"/>
        <v>0.97636299999999998</v>
      </c>
      <c r="F6036" s="1">
        <f t="shared" si="189"/>
        <v>42380</v>
      </c>
      <c r="G6036" cm="1">
        <f t="array" ref="G6036">PRODUCT( _xlfn._xlws.FILTER($E:$E, ($C:$C=C6036)*($F:$F=F6036)) ) - 1</f>
        <v>-2.8594719754978515E-2</v>
      </c>
    </row>
    <row r="6037" spans="1:7" x14ac:dyDescent="0.2">
      <c r="A6037" s="1">
        <v>42387</v>
      </c>
      <c r="B6037">
        <v>2</v>
      </c>
      <c r="C6037" t="s">
        <v>15</v>
      </c>
      <c r="D6037">
        <v>0</v>
      </c>
      <c r="E6037">
        <f t="shared" si="188"/>
        <v>1</v>
      </c>
      <c r="F6037" s="1">
        <f t="shared" si="189"/>
        <v>42387</v>
      </c>
      <c r="G6037" cm="1">
        <f t="array" ref="G6037">PRODUCT( _xlfn._xlws.FILTER($E:$E, ($C:$C=C6037)*($F:$F=F6037)) ) - 1</f>
        <v>3.246201911879365E-2</v>
      </c>
    </row>
    <row r="6038" spans="1:7" x14ac:dyDescent="0.2">
      <c r="A6038" s="1">
        <v>42388</v>
      </c>
      <c r="B6038">
        <v>2</v>
      </c>
      <c r="C6038" t="s">
        <v>15</v>
      </c>
      <c r="D6038">
        <v>1.2655E-2</v>
      </c>
      <c r="E6038">
        <f t="shared" si="188"/>
        <v>1.0126550000000001</v>
      </c>
      <c r="F6038" s="1">
        <f t="shared" si="189"/>
        <v>42387</v>
      </c>
      <c r="G6038" cm="1">
        <f t="array" ref="G6038">PRODUCT( _xlfn._xlws.FILTER($E:$E, ($C:$C=C6038)*($F:$F=F6038)) ) - 1</f>
        <v>3.246201911879365E-2</v>
      </c>
    </row>
    <row r="6039" spans="1:7" x14ac:dyDescent="0.2">
      <c r="A6039" s="1">
        <v>42389</v>
      </c>
      <c r="B6039">
        <v>2</v>
      </c>
      <c r="C6039" t="s">
        <v>15</v>
      </c>
      <c r="D6039">
        <v>-1.2225E-2</v>
      </c>
      <c r="E6039">
        <f t="shared" si="188"/>
        <v>0.98777499999999996</v>
      </c>
      <c r="F6039" s="1">
        <f t="shared" si="189"/>
        <v>42387</v>
      </c>
      <c r="G6039" cm="1">
        <f t="array" ref="G6039">PRODUCT( _xlfn._xlws.FILTER($E:$E, ($C:$C=C6039)*($F:$F=F6039)) ) - 1</f>
        <v>3.246201911879365E-2</v>
      </c>
    </row>
    <row r="6040" spans="1:7" x14ac:dyDescent="0.2">
      <c r="A6040" s="1">
        <v>42390</v>
      </c>
      <c r="B6040">
        <v>2</v>
      </c>
      <c r="C6040" t="s">
        <v>15</v>
      </c>
      <c r="D6040">
        <v>1.1826E-2</v>
      </c>
      <c r="E6040">
        <f t="shared" si="188"/>
        <v>1.0118259999999999</v>
      </c>
      <c r="F6040" s="1">
        <f t="shared" si="189"/>
        <v>42387</v>
      </c>
      <c r="G6040" cm="1">
        <f t="array" ref="G6040">PRODUCT( _xlfn._xlws.FILTER($E:$E, ($C:$C=C6040)*($F:$F=F6040)) ) - 1</f>
        <v>3.246201911879365E-2</v>
      </c>
    </row>
    <row r="6041" spans="1:7" x14ac:dyDescent="0.2">
      <c r="A6041" s="1">
        <v>42391</v>
      </c>
      <c r="B6041">
        <v>2</v>
      </c>
      <c r="C6041" t="s">
        <v>15</v>
      </c>
      <c r="D6041">
        <v>2.0114E-2</v>
      </c>
      <c r="E6041">
        <f t="shared" si="188"/>
        <v>1.020114</v>
      </c>
      <c r="F6041" s="1">
        <f t="shared" si="189"/>
        <v>42387</v>
      </c>
      <c r="G6041" cm="1">
        <f t="array" ref="G6041">PRODUCT( _xlfn._xlws.FILTER($E:$E, ($C:$C=C6041)*($F:$F=F6041)) ) - 1</f>
        <v>3.246201911879365E-2</v>
      </c>
    </row>
    <row r="6042" spans="1:7" x14ac:dyDescent="0.2">
      <c r="A6042" s="1">
        <v>42394</v>
      </c>
      <c r="B6042">
        <v>2</v>
      </c>
      <c r="C6042" t="s">
        <v>15</v>
      </c>
      <c r="D6042">
        <v>-1.5188E-2</v>
      </c>
      <c r="E6042">
        <f t="shared" si="188"/>
        <v>0.98481200000000002</v>
      </c>
      <c r="F6042" s="1">
        <f t="shared" si="189"/>
        <v>42394</v>
      </c>
      <c r="G6042" cm="1">
        <f t="array" ref="G6042">PRODUCT( _xlfn._xlws.FILTER($E:$E, ($C:$C=C6042)*($F:$F=F6042)) ) - 1</f>
        <v>3.8369204773833543E-2</v>
      </c>
    </row>
    <row r="6043" spans="1:7" x14ac:dyDescent="0.2">
      <c r="A6043" s="1">
        <v>42395</v>
      </c>
      <c r="B6043">
        <v>2</v>
      </c>
      <c r="C6043" t="s">
        <v>15</v>
      </c>
      <c r="D6043">
        <v>1.8398000000000001E-2</v>
      </c>
      <c r="E6043">
        <f t="shared" si="188"/>
        <v>1.0183979999999999</v>
      </c>
      <c r="F6043" s="1">
        <f t="shared" si="189"/>
        <v>42394</v>
      </c>
      <c r="G6043" cm="1">
        <f t="array" ref="G6043">PRODUCT( _xlfn._xlws.FILTER($E:$E, ($C:$C=C6043)*($F:$F=F6043)) ) - 1</f>
        <v>3.8369204773833543E-2</v>
      </c>
    </row>
    <row r="6044" spans="1:7" x14ac:dyDescent="0.2">
      <c r="A6044" s="1">
        <v>42396</v>
      </c>
      <c r="B6044">
        <v>2</v>
      </c>
      <c r="C6044" t="s">
        <v>15</v>
      </c>
      <c r="D6044">
        <v>-9.5639999999999996E-3</v>
      </c>
      <c r="E6044">
        <f t="shared" si="188"/>
        <v>0.99043599999999998</v>
      </c>
      <c r="F6044" s="1">
        <f t="shared" si="189"/>
        <v>42394</v>
      </c>
      <c r="G6044" cm="1">
        <f t="array" ref="G6044">PRODUCT( _xlfn._xlws.FILTER($E:$E, ($C:$C=C6044)*($F:$F=F6044)) ) - 1</f>
        <v>3.8369204773833543E-2</v>
      </c>
    </row>
    <row r="6045" spans="1:7" x14ac:dyDescent="0.2">
      <c r="A6045" s="1">
        <v>42397</v>
      </c>
      <c r="B6045">
        <v>2</v>
      </c>
      <c r="C6045" t="s">
        <v>15</v>
      </c>
      <c r="D6045">
        <v>3.5675999999999999E-2</v>
      </c>
      <c r="E6045">
        <f t="shared" si="188"/>
        <v>1.035676</v>
      </c>
      <c r="F6045" s="1">
        <f t="shared" si="189"/>
        <v>42394</v>
      </c>
      <c r="G6045" cm="1">
        <f t="array" ref="G6045">PRODUCT( _xlfn._xlws.FILTER($E:$E, ($C:$C=C6045)*($F:$F=F6045)) ) - 1</f>
        <v>3.8369204773833543E-2</v>
      </c>
    </row>
    <row r="6046" spans="1:7" x14ac:dyDescent="0.2">
      <c r="A6046" s="1">
        <v>42398</v>
      </c>
      <c r="B6046">
        <v>2</v>
      </c>
      <c r="C6046" t="s">
        <v>15</v>
      </c>
      <c r="D6046">
        <v>9.3240000000000007E-3</v>
      </c>
      <c r="E6046">
        <f t="shared" si="188"/>
        <v>1.0093240000000001</v>
      </c>
      <c r="F6046" s="1">
        <f t="shared" si="189"/>
        <v>42394</v>
      </c>
      <c r="G6046" cm="1">
        <f t="array" ref="G6046">PRODUCT( _xlfn._xlws.FILTER($E:$E, ($C:$C=C6046)*($F:$F=F6046)) ) - 1</f>
        <v>3.8369204773833543E-2</v>
      </c>
    </row>
    <row r="6047" spans="1:7" x14ac:dyDescent="0.2">
      <c r="A6047" s="1">
        <v>42401</v>
      </c>
      <c r="B6047">
        <v>2</v>
      </c>
      <c r="C6047" t="s">
        <v>15</v>
      </c>
      <c r="D6047">
        <v>-2.5700000000000001E-4</v>
      </c>
      <c r="E6047">
        <f t="shared" si="188"/>
        <v>0.99974300000000005</v>
      </c>
      <c r="F6047" s="1">
        <f t="shared" si="189"/>
        <v>42401</v>
      </c>
      <c r="G6047" cm="1">
        <f t="array" ref="G6047">PRODUCT( _xlfn._xlws.FILTER($E:$E, ($C:$C=C6047)*($F:$F=F6047)) ) - 1</f>
        <v>3.7979208558808875E-2</v>
      </c>
    </row>
    <row r="6048" spans="1:7" x14ac:dyDescent="0.2">
      <c r="A6048" s="1">
        <v>42402</v>
      </c>
      <c r="B6048">
        <v>2</v>
      </c>
      <c r="C6048" t="s">
        <v>15</v>
      </c>
      <c r="D6048">
        <v>6.6740000000000002E-3</v>
      </c>
      <c r="E6048">
        <f t="shared" si="188"/>
        <v>1.0066740000000001</v>
      </c>
      <c r="F6048" s="1">
        <f t="shared" si="189"/>
        <v>42401</v>
      </c>
      <c r="G6048" cm="1">
        <f t="array" ref="G6048">PRODUCT( _xlfn._xlws.FILTER($E:$E, ($C:$C=C6048)*($F:$F=F6048)) ) - 1</f>
        <v>3.7979208558808875E-2</v>
      </c>
    </row>
    <row r="6049" spans="1:7" x14ac:dyDescent="0.2">
      <c r="A6049" s="1">
        <v>42403</v>
      </c>
      <c r="B6049">
        <v>2</v>
      </c>
      <c r="C6049" t="s">
        <v>15</v>
      </c>
      <c r="D6049">
        <v>1.2494E-2</v>
      </c>
      <c r="E6049">
        <f t="shared" si="188"/>
        <v>1.012494</v>
      </c>
      <c r="F6049" s="1">
        <f t="shared" si="189"/>
        <v>42401</v>
      </c>
      <c r="G6049" cm="1">
        <f t="array" ref="G6049">PRODUCT( _xlfn._xlws.FILTER($E:$E, ($C:$C=C6049)*($F:$F=F6049)) ) - 1</f>
        <v>3.7979208558808875E-2</v>
      </c>
    </row>
    <row r="6050" spans="1:7" x14ac:dyDescent="0.2">
      <c r="A6050" s="1">
        <v>42404</v>
      </c>
      <c r="B6050">
        <v>2</v>
      </c>
      <c r="C6050" t="s">
        <v>15</v>
      </c>
      <c r="D6050">
        <v>7.8069999999999997E-3</v>
      </c>
      <c r="E6050">
        <f t="shared" si="188"/>
        <v>1.0078069999999999</v>
      </c>
      <c r="F6050" s="1">
        <f t="shared" si="189"/>
        <v>42401</v>
      </c>
      <c r="G6050" cm="1">
        <f t="array" ref="G6050">PRODUCT( _xlfn._xlws.FILTER($E:$E, ($C:$C=C6050)*($F:$F=F6050)) ) - 1</f>
        <v>3.7979208558808875E-2</v>
      </c>
    </row>
    <row r="6051" spans="1:7" x14ac:dyDescent="0.2">
      <c r="A6051" s="1">
        <v>42405</v>
      </c>
      <c r="B6051">
        <v>2</v>
      </c>
      <c r="C6051" t="s">
        <v>15</v>
      </c>
      <c r="D6051">
        <v>1.0744999999999999E-2</v>
      </c>
      <c r="E6051">
        <f t="shared" si="188"/>
        <v>1.010745</v>
      </c>
      <c r="F6051" s="1">
        <f t="shared" si="189"/>
        <v>42401</v>
      </c>
      <c r="G6051" cm="1">
        <f t="array" ref="G6051">PRODUCT( _xlfn._xlws.FILTER($E:$E, ($C:$C=C6051)*($F:$F=F6051)) ) - 1</f>
        <v>3.7979208558808875E-2</v>
      </c>
    </row>
    <row r="6052" spans="1:7" x14ac:dyDescent="0.2">
      <c r="A6052" s="1">
        <v>42408</v>
      </c>
      <c r="B6052">
        <v>2</v>
      </c>
      <c r="C6052" t="s">
        <v>15</v>
      </c>
      <c r="D6052">
        <v>-7.169E-3</v>
      </c>
      <c r="E6052">
        <f t="shared" si="188"/>
        <v>0.99283100000000002</v>
      </c>
      <c r="F6052" s="1">
        <f t="shared" si="189"/>
        <v>42408</v>
      </c>
      <c r="G6052" cm="1">
        <f t="array" ref="G6052">PRODUCT( _xlfn._xlws.FILTER($E:$E, ($C:$C=C6052)*($F:$F=F6052)) ) - 1</f>
        <v>-2.4721766553406632E-2</v>
      </c>
    </row>
    <row r="6053" spans="1:7" x14ac:dyDescent="0.2">
      <c r="A6053" s="1">
        <v>42409</v>
      </c>
      <c r="B6053">
        <v>2</v>
      </c>
      <c r="C6053" t="s">
        <v>15</v>
      </c>
      <c r="D6053">
        <v>-1.2201E-2</v>
      </c>
      <c r="E6053">
        <f t="shared" si="188"/>
        <v>0.98779899999999998</v>
      </c>
      <c r="F6053" s="1">
        <f t="shared" si="189"/>
        <v>42408</v>
      </c>
      <c r="G6053" cm="1">
        <f t="array" ref="G6053">PRODUCT( _xlfn._xlws.FILTER($E:$E, ($C:$C=C6053)*($F:$F=F6053)) ) - 1</f>
        <v>-2.4721766553406632E-2</v>
      </c>
    </row>
    <row r="6054" spans="1:7" x14ac:dyDescent="0.2">
      <c r="A6054" s="1">
        <v>42410</v>
      </c>
      <c r="B6054">
        <v>2</v>
      </c>
      <c r="C6054" t="s">
        <v>15</v>
      </c>
      <c r="D6054">
        <v>4.2849999999999997E-3</v>
      </c>
      <c r="E6054">
        <f t="shared" si="188"/>
        <v>1.0042850000000001</v>
      </c>
      <c r="F6054" s="1">
        <f t="shared" si="189"/>
        <v>42408</v>
      </c>
      <c r="G6054" cm="1">
        <f t="array" ref="G6054">PRODUCT( _xlfn._xlws.FILTER($E:$E, ($C:$C=C6054)*($F:$F=F6054)) ) - 1</f>
        <v>-2.4721766553406632E-2</v>
      </c>
    </row>
    <row r="6055" spans="1:7" x14ac:dyDescent="0.2">
      <c r="A6055" s="1">
        <v>42411</v>
      </c>
      <c r="B6055">
        <v>2</v>
      </c>
      <c r="C6055" t="s">
        <v>15</v>
      </c>
      <c r="D6055">
        <v>-3.7650000000000001E-3</v>
      </c>
      <c r="E6055">
        <f t="shared" si="188"/>
        <v>0.99623499999999998</v>
      </c>
      <c r="F6055" s="1">
        <f t="shared" si="189"/>
        <v>42408</v>
      </c>
      <c r="G6055" cm="1">
        <f t="array" ref="G6055">PRODUCT( _xlfn._xlws.FILTER($E:$E, ($C:$C=C6055)*($F:$F=F6055)) ) - 1</f>
        <v>-2.4721766553406632E-2</v>
      </c>
    </row>
    <row r="6056" spans="1:7" x14ac:dyDescent="0.2">
      <c r="A6056" s="1">
        <v>42412</v>
      </c>
      <c r="B6056">
        <v>2</v>
      </c>
      <c r="C6056" t="s">
        <v>15</v>
      </c>
      <c r="D6056">
        <v>-6.0470000000000003E-3</v>
      </c>
      <c r="E6056">
        <f t="shared" si="188"/>
        <v>0.99395299999999998</v>
      </c>
      <c r="F6056" s="1">
        <f t="shared" si="189"/>
        <v>42408</v>
      </c>
      <c r="G6056" cm="1">
        <f t="array" ref="G6056">PRODUCT( _xlfn._xlws.FILTER($E:$E, ($C:$C=C6056)*($F:$F=F6056)) ) - 1</f>
        <v>-2.4721766553406632E-2</v>
      </c>
    </row>
    <row r="6057" spans="1:7" x14ac:dyDescent="0.2">
      <c r="A6057" s="1">
        <v>42416</v>
      </c>
      <c r="B6057">
        <v>2</v>
      </c>
      <c r="C6057" t="s">
        <v>15</v>
      </c>
      <c r="D6057">
        <v>-1.6476999999999999E-2</v>
      </c>
      <c r="E6057">
        <f t="shared" si="188"/>
        <v>0.98352300000000004</v>
      </c>
      <c r="F6057" s="1">
        <f t="shared" si="189"/>
        <v>42415</v>
      </c>
      <c r="G6057" cm="1">
        <f t="array" ref="G6057">PRODUCT( _xlfn._xlws.FILTER($E:$E, ($C:$C=C6057)*($F:$F=F6057)) ) - 1</f>
        <v>-1.5218890440160671E-3</v>
      </c>
    </row>
    <row r="6058" spans="1:7" x14ac:dyDescent="0.2">
      <c r="A6058" s="1">
        <v>42417</v>
      </c>
      <c r="B6058">
        <v>2</v>
      </c>
      <c r="C6058" t="s">
        <v>15</v>
      </c>
      <c r="D6058">
        <v>-9.2779999999999998E-3</v>
      </c>
      <c r="E6058">
        <f t="shared" si="188"/>
        <v>0.99072199999999999</v>
      </c>
      <c r="F6058" s="1">
        <f t="shared" si="189"/>
        <v>42415</v>
      </c>
      <c r="G6058" cm="1">
        <f t="array" ref="G6058">PRODUCT( _xlfn._xlws.FILTER($E:$E, ($C:$C=C6058)*($F:$F=F6058)) ) - 1</f>
        <v>-1.5218890440160671E-3</v>
      </c>
    </row>
    <row r="6059" spans="1:7" x14ac:dyDescent="0.2">
      <c r="A6059" s="1">
        <v>42418</v>
      </c>
      <c r="B6059">
        <v>2</v>
      </c>
      <c r="C6059" t="s">
        <v>15</v>
      </c>
      <c r="D6059">
        <v>2.0291E-2</v>
      </c>
      <c r="E6059">
        <f t="shared" si="188"/>
        <v>1.0202910000000001</v>
      </c>
      <c r="F6059" s="1">
        <f t="shared" si="189"/>
        <v>42415</v>
      </c>
      <c r="G6059" cm="1">
        <f t="array" ref="G6059">PRODUCT( _xlfn._xlws.FILTER($E:$E, ($C:$C=C6059)*($F:$F=F6059)) ) - 1</f>
        <v>-1.5218890440160671E-3</v>
      </c>
    </row>
    <row r="6060" spans="1:7" x14ac:dyDescent="0.2">
      <c r="A6060" s="1">
        <v>42419</v>
      </c>
      <c r="B6060">
        <v>2</v>
      </c>
      <c r="C6060" t="s">
        <v>15</v>
      </c>
      <c r="D6060">
        <v>4.3340000000000002E-3</v>
      </c>
      <c r="E6060">
        <f t="shared" si="188"/>
        <v>1.0043340000000001</v>
      </c>
      <c r="F6060" s="1">
        <f t="shared" si="189"/>
        <v>42415</v>
      </c>
      <c r="G6060" cm="1">
        <f t="array" ref="G6060">PRODUCT( _xlfn._xlws.FILTER($E:$E, ($C:$C=C6060)*($F:$F=F6060)) ) - 1</f>
        <v>-1.5218890440160671E-3</v>
      </c>
    </row>
    <row r="6061" spans="1:7" x14ac:dyDescent="0.2">
      <c r="A6061" s="1">
        <v>42422</v>
      </c>
      <c r="B6061">
        <v>2</v>
      </c>
      <c r="C6061" t="s">
        <v>15</v>
      </c>
      <c r="D6061">
        <v>4.8240000000000002E-3</v>
      </c>
      <c r="E6061">
        <f t="shared" si="188"/>
        <v>1.0048239999999999</v>
      </c>
      <c r="F6061" s="1">
        <f t="shared" si="189"/>
        <v>42422</v>
      </c>
      <c r="G6061" cm="1">
        <f t="array" ref="G6061">PRODUCT( _xlfn._xlws.FILTER($E:$E, ($C:$C=C6061)*($F:$F=F6061)) ) - 1</f>
        <v>-5.8382065352040602E-3</v>
      </c>
    </row>
    <row r="6062" spans="1:7" x14ac:dyDescent="0.2">
      <c r="A6062" s="1">
        <v>42423</v>
      </c>
      <c r="B6062">
        <v>2</v>
      </c>
      <c r="C6062" t="s">
        <v>15</v>
      </c>
      <c r="D6062">
        <v>4.548E-3</v>
      </c>
      <c r="E6062">
        <f t="shared" si="188"/>
        <v>1.004548</v>
      </c>
      <c r="F6062" s="1">
        <f t="shared" si="189"/>
        <v>42422</v>
      </c>
      <c r="G6062" cm="1">
        <f t="array" ref="G6062">PRODUCT( _xlfn._xlws.FILTER($E:$E, ($C:$C=C6062)*($F:$F=F6062)) ) - 1</f>
        <v>-5.8382065352040602E-3</v>
      </c>
    </row>
    <row r="6063" spans="1:7" x14ac:dyDescent="0.2">
      <c r="A6063" s="1">
        <v>42424</v>
      </c>
      <c r="B6063">
        <v>2</v>
      </c>
      <c r="C6063" t="s">
        <v>15</v>
      </c>
      <c r="D6063">
        <v>7.0419999999999996E-3</v>
      </c>
      <c r="E6063">
        <f t="shared" si="188"/>
        <v>1.007042</v>
      </c>
      <c r="F6063" s="1">
        <f t="shared" si="189"/>
        <v>42422</v>
      </c>
      <c r="G6063" cm="1">
        <f t="array" ref="G6063">PRODUCT( _xlfn._xlws.FILTER($E:$E, ($C:$C=C6063)*($F:$F=F6063)) ) - 1</f>
        <v>-5.8382065352040602E-3</v>
      </c>
    </row>
    <row r="6064" spans="1:7" x14ac:dyDescent="0.2">
      <c r="A6064" s="1">
        <v>42425</v>
      </c>
      <c r="B6064">
        <v>2</v>
      </c>
      <c r="C6064" t="s">
        <v>15</v>
      </c>
      <c r="D6064">
        <v>-1.4985E-2</v>
      </c>
      <c r="E6064">
        <f t="shared" si="188"/>
        <v>0.98501499999999997</v>
      </c>
      <c r="F6064" s="1">
        <f t="shared" si="189"/>
        <v>42422</v>
      </c>
      <c r="G6064" cm="1">
        <f t="array" ref="G6064">PRODUCT( _xlfn._xlws.FILTER($E:$E, ($C:$C=C6064)*($F:$F=F6064)) ) - 1</f>
        <v>-5.8382065352040602E-3</v>
      </c>
    </row>
    <row r="6065" spans="1:7" x14ac:dyDescent="0.2">
      <c r="A6065" s="1">
        <v>42426</v>
      </c>
      <c r="B6065">
        <v>2</v>
      </c>
      <c r="C6065" t="s">
        <v>15</v>
      </c>
      <c r="D6065">
        <v>-7.0990000000000003E-3</v>
      </c>
      <c r="E6065">
        <f t="shared" si="188"/>
        <v>0.99290100000000003</v>
      </c>
      <c r="F6065" s="1">
        <f t="shared" si="189"/>
        <v>42422</v>
      </c>
      <c r="G6065" cm="1">
        <f t="array" ref="G6065">PRODUCT( _xlfn._xlws.FILTER($E:$E, ($C:$C=C6065)*($F:$F=F6065)) ) - 1</f>
        <v>-5.8382065352040602E-3</v>
      </c>
    </row>
    <row r="6066" spans="1:7" x14ac:dyDescent="0.2">
      <c r="A6066" s="1">
        <v>42429</v>
      </c>
      <c r="B6066">
        <v>2</v>
      </c>
      <c r="C6066" t="s">
        <v>15</v>
      </c>
      <c r="D6066">
        <v>6.3839999999999999E-3</v>
      </c>
      <c r="E6066">
        <f t="shared" si="188"/>
        <v>1.0063839999999999</v>
      </c>
      <c r="F6066" s="1">
        <f t="shared" si="189"/>
        <v>42429</v>
      </c>
      <c r="G6066" cm="1">
        <f t="array" ref="G6066">PRODUCT( _xlfn._xlws.FILTER($E:$E, ($C:$C=C6066)*($F:$F=F6066)) ) - 1</f>
        <v>7.6623075931947504E-4</v>
      </c>
    </row>
    <row r="6067" spans="1:7" x14ac:dyDescent="0.2">
      <c r="A6067" s="1">
        <v>42430</v>
      </c>
      <c r="B6067">
        <v>2</v>
      </c>
      <c r="C6067" t="s">
        <v>15</v>
      </c>
      <c r="D6067">
        <v>6.3439999999999998E-3</v>
      </c>
      <c r="E6067">
        <f t="shared" si="188"/>
        <v>1.0063439999999999</v>
      </c>
      <c r="F6067" s="1">
        <f t="shared" si="189"/>
        <v>42429</v>
      </c>
      <c r="G6067" cm="1">
        <f t="array" ref="G6067">PRODUCT( _xlfn._xlws.FILTER($E:$E, ($C:$C=C6067)*($F:$F=F6067)) ) - 1</f>
        <v>7.6623075931947504E-4</v>
      </c>
    </row>
    <row r="6068" spans="1:7" x14ac:dyDescent="0.2">
      <c r="A6068" s="1">
        <v>42431</v>
      </c>
      <c r="B6068">
        <v>2</v>
      </c>
      <c r="C6068" t="s">
        <v>15</v>
      </c>
      <c r="D6068">
        <v>-1.3363999999999999E-2</v>
      </c>
      <c r="E6068">
        <f t="shared" si="188"/>
        <v>0.98663599999999996</v>
      </c>
      <c r="F6068" s="1">
        <f t="shared" si="189"/>
        <v>42429</v>
      </c>
      <c r="G6068" cm="1">
        <f t="array" ref="G6068">PRODUCT( _xlfn._xlws.FILTER($E:$E, ($C:$C=C6068)*($F:$F=F6068)) ) - 1</f>
        <v>7.6623075931947504E-4</v>
      </c>
    </row>
    <row r="6069" spans="1:7" x14ac:dyDescent="0.2">
      <c r="A6069" s="1">
        <v>42432</v>
      </c>
      <c r="B6069">
        <v>2</v>
      </c>
      <c r="C6069" t="s">
        <v>15</v>
      </c>
      <c r="D6069">
        <v>1.789E-3</v>
      </c>
      <c r="E6069">
        <f t="shared" si="188"/>
        <v>1.001789</v>
      </c>
      <c r="F6069" s="1">
        <f t="shared" si="189"/>
        <v>42429</v>
      </c>
      <c r="G6069" cm="1">
        <f t="array" ref="G6069">PRODUCT( _xlfn._xlws.FILTER($E:$E, ($C:$C=C6069)*($F:$F=F6069)) ) - 1</f>
        <v>7.6623075931947504E-4</v>
      </c>
    </row>
    <row r="6070" spans="1:7" x14ac:dyDescent="0.2">
      <c r="A6070" s="1">
        <v>42433</v>
      </c>
      <c r="B6070">
        <v>2</v>
      </c>
      <c r="C6070" t="s">
        <v>15</v>
      </c>
      <c r="D6070">
        <v>-2.5500000000000002E-4</v>
      </c>
      <c r="E6070">
        <f t="shared" si="188"/>
        <v>0.99974499999999999</v>
      </c>
      <c r="F6070" s="1">
        <f t="shared" si="189"/>
        <v>42429</v>
      </c>
      <c r="G6070" cm="1">
        <f t="array" ref="G6070">PRODUCT( _xlfn._xlws.FILTER($E:$E, ($C:$C=C6070)*($F:$F=F6070)) ) - 1</f>
        <v>7.6623075931947504E-4</v>
      </c>
    </row>
    <row r="6071" spans="1:7" x14ac:dyDescent="0.2">
      <c r="A6071" s="1">
        <v>42436</v>
      </c>
      <c r="B6071">
        <v>2</v>
      </c>
      <c r="C6071" t="s">
        <v>15</v>
      </c>
      <c r="D6071">
        <v>6.8900000000000003E-3</v>
      </c>
      <c r="E6071">
        <f t="shared" si="188"/>
        <v>1.0068900000000001</v>
      </c>
      <c r="F6071" s="1">
        <f t="shared" si="189"/>
        <v>42436</v>
      </c>
      <c r="G6071" cm="1">
        <f t="array" ref="G6071">PRODUCT( _xlfn._xlws.FILTER($E:$E, ($C:$C=C6071)*($F:$F=F6071)) ) - 1</f>
        <v>5.3464110838026269E-2</v>
      </c>
    </row>
    <row r="6072" spans="1:7" x14ac:dyDescent="0.2">
      <c r="A6072" s="1">
        <v>42437</v>
      </c>
      <c r="B6072">
        <v>2</v>
      </c>
      <c r="C6072" t="s">
        <v>15</v>
      </c>
      <c r="D6072">
        <v>1.7486000000000002E-2</v>
      </c>
      <c r="E6072">
        <f t="shared" si="188"/>
        <v>1.0174859999999999</v>
      </c>
      <c r="F6072" s="1">
        <f t="shared" si="189"/>
        <v>42436</v>
      </c>
      <c r="G6072" cm="1">
        <f t="array" ref="G6072">PRODUCT( _xlfn._xlws.FILTER($E:$E, ($C:$C=C6072)*($F:$F=F6072)) ) - 1</f>
        <v>5.3464110838026269E-2</v>
      </c>
    </row>
    <row r="6073" spans="1:7" x14ac:dyDescent="0.2">
      <c r="A6073" s="1">
        <v>42438</v>
      </c>
      <c r="B6073">
        <v>2</v>
      </c>
      <c r="C6073" t="s">
        <v>15</v>
      </c>
      <c r="D6073">
        <v>1.6188999999999999E-2</v>
      </c>
      <c r="E6073">
        <f t="shared" si="188"/>
        <v>1.016189</v>
      </c>
      <c r="F6073" s="1">
        <f t="shared" si="189"/>
        <v>42436</v>
      </c>
      <c r="G6073" cm="1">
        <f t="array" ref="G6073">PRODUCT( _xlfn._xlws.FILTER($E:$E, ($C:$C=C6073)*($F:$F=F6073)) ) - 1</f>
        <v>5.3464110838026269E-2</v>
      </c>
    </row>
    <row r="6074" spans="1:7" x14ac:dyDescent="0.2">
      <c r="A6074" s="1">
        <v>42439</v>
      </c>
      <c r="B6074">
        <v>2</v>
      </c>
      <c r="C6074" t="s">
        <v>15</v>
      </c>
      <c r="D6074">
        <v>1.487E-3</v>
      </c>
      <c r="E6074">
        <f t="shared" si="188"/>
        <v>1.001487</v>
      </c>
      <c r="F6074" s="1">
        <f t="shared" si="189"/>
        <v>42436</v>
      </c>
      <c r="G6074" cm="1">
        <f t="array" ref="G6074">PRODUCT( _xlfn._xlws.FILTER($E:$E, ($C:$C=C6074)*($F:$F=F6074)) ) - 1</f>
        <v>5.3464110838026269E-2</v>
      </c>
    </row>
    <row r="6075" spans="1:7" x14ac:dyDescent="0.2">
      <c r="A6075" s="1">
        <v>42440</v>
      </c>
      <c r="B6075">
        <v>2</v>
      </c>
      <c r="C6075" t="s">
        <v>15</v>
      </c>
      <c r="D6075">
        <v>1.0390999999999999E-2</v>
      </c>
      <c r="E6075">
        <f t="shared" si="188"/>
        <v>1.010391</v>
      </c>
      <c r="F6075" s="1">
        <f t="shared" si="189"/>
        <v>42436</v>
      </c>
      <c r="G6075" cm="1">
        <f t="array" ref="G6075">PRODUCT( _xlfn._xlws.FILTER($E:$E, ($C:$C=C6075)*($F:$F=F6075)) ) - 1</f>
        <v>5.3464110838026269E-2</v>
      </c>
    </row>
    <row r="6076" spans="1:7" x14ac:dyDescent="0.2">
      <c r="A6076" s="1">
        <v>42443</v>
      </c>
      <c r="B6076">
        <v>2</v>
      </c>
      <c r="C6076" t="s">
        <v>15</v>
      </c>
      <c r="D6076">
        <v>-7.3499999999999998E-4</v>
      </c>
      <c r="E6076">
        <f t="shared" si="188"/>
        <v>0.99926499999999996</v>
      </c>
      <c r="F6076" s="1">
        <f t="shared" si="189"/>
        <v>42443</v>
      </c>
      <c r="G6076" cm="1">
        <f t="array" ref="G6076">PRODUCT( _xlfn._xlws.FILTER($E:$E, ($C:$C=C6076)*($F:$F=F6076)) ) - 1</f>
        <v>4.895934088331666E-3</v>
      </c>
    </row>
    <row r="6077" spans="1:7" x14ac:dyDescent="0.2">
      <c r="A6077" s="1">
        <v>42444</v>
      </c>
      <c r="B6077">
        <v>2</v>
      </c>
      <c r="C6077" t="s">
        <v>15</v>
      </c>
      <c r="D6077">
        <v>8.5760000000000003E-3</v>
      </c>
      <c r="E6077">
        <f t="shared" si="188"/>
        <v>1.0085759999999999</v>
      </c>
      <c r="F6077" s="1">
        <f t="shared" si="189"/>
        <v>42443</v>
      </c>
      <c r="G6077" cm="1">
        <f t="array" ref="G6077">PRODUCT( _xlfn._xlws.FILTER($E:$E, ($C:$C=C6077)*($F:$F=F6077)) ) - 1</f>
        <v>4.895934088331666E-3</v>
      </c>
    </row>
    <row r="6078" spans="1:7" x14ac:dyDescent="0.2">
      <c r="A6078" s="1">
        <v>42445</v>
      </c>
      <c r="B6078">
        <v>2</v>
      </c>
      <c r="C6078" t="s">
        <v>15</v>
      </c>
      <c r="D6078">
        <v>-7.0460000000000002E-3</v>
      </c>
      <c r="E6078">
        <f t="shared" si="188"/>
        <v>0.992954</v>
      </c>
      <c r="F6078" s="1">
        <f t="shared" si="189"/>
        <v>42443</v>
      </c>
      <c r="G6078" cm="1">
        <f t="array" ref="G6078">PRODUCT( _xlfn._xlws.FILTER($E:$E, ($C:$C=C6078)*($F:$F=F6078)) ) - 1</f>
        <v>4.895934088331666E-3</v>
      </c>
    </row>
    <row r="6079" spans="1:7" x14ac:dyDescent="0.2">
      <c r="A6079" s="1">
        <v>42446</v>
      </c>
      <c r="B6079">
        <v>2</v>
      </c>
      <c r="C6079" t="s">
        <v>15</v>
      </c>
      <c r="D6079">
        <v>1.7371999999999999E-2</v>
      </c>
      <c r="E6079">
        <f t="shared" si="188"/>
        <v>1.0173719999999999</v>
      </c>
      <c r="F6079" s="1">
        <f t="shared" si="189"/>
        <v>42443</v>
      </c>
      <c r="G6079" cm="1">
        <f t="array" ref="G6079">PRODUCT( _xlfn._xlws.FILTER($E:$E, ($C:$C=C6079)*($F:$F=F6079)) ) - 1</f>
        <v>4.895934088331666E-3</v>
      </c>
    </row>
    <row r="6080" spans="1:7" x14ac:dyDescent="0.2">
      <c r="A6080" s="1">
        <v>42447</v>
      </c>
      <c r="B6080">
        <v>2</v>
      </c>
      <c r="C6080" t="s">
        <v>15</v>
      </c>
      <c r="D6080">
        <v>-1.2987E-2</v>
      </c>
      <c r="E6080">
        <f t="shared" si="188"/>
        <v>0.98701300000000003</v>
      </c>
      <c r="F6080" s="1">
        <f t="shared" si="189"/>
        <v>42443</v>
      </c>
      <c r="G6080" cm="1">
        <f t="array" ref="G6080">PRODUCT( _xlfn._xlws.FILTER($E:$E, ($C:$C=C6080)*($F:$F=F6080)) ) - 1</f>
        <v>4.895934088331666E-3</v>
      </c>
    </row>
    <row r="6081" spans="1:7" x14ac:dyDescent="0.2">
      <c r="A6081" s="1">
        <v>42450</v>
      </c>
      <c r="B6081">
        <v>2</v>
      </c>
      <c r="C6081" t="s">
        <v>15</v>
      </c>
      <c r="D6081">
        <v>1.5107000000000001E-2</v>
      </c>
      <c r="E6081">
        <f t="shared" si="188"/>
        <v>1.015107</v>
      </c>
      <c r="F6081" s="1">
        <f t="shared" si="189"/>
        <v>42450</v>
      </c>
      <c r="G6081" cm="1">
        <f t="array" ref="G6081">PRODUCT( _xlfn._xlws.FILTER($E:$E, ($C:$C=C6081)*($F:$F=F6081)) ) - 1</f>
        <v>1.4863624354912952E-2</v>
      </c>
    </row>
    <row r="6082" spans="1:7" x14ac:dyDescent="0.2">
      <c r="A6082" s="1">
        <v>42451</v>
      </c>
      <c r="B6082">
        <v>2</v>
      </c>
      <c r="C6082" t="s">
        <v>15</v>
      </c>
      <c r="D6082">
        <v>-3.8409999999999998E-3</v>
      </c>
      <c r="E6082">
        <f t="shared" si="188"/>
        <v>0.99615900000000002</v>
      </c>
      <c r="F6082" s="1">
        <f t="shared" si="189"/>
        <v>42450</v>
      </c>
      <c r="G6082" cm="1">
        <f t="array" ref="G6082">PRODUCT( _xlfn._xlws.FILTER($E:$E, ($C:$C=C6082)*($F:$F=F6082)) ) - 1</f>
        <v>1.4863624354912952E-2</v>
      </c>
    </row>
    <row r="6083" spans="1:7" x14ac:dyDescent="0.2">
      <c r="A6083" s="1">
        <v>42452</v>
      </c>
      <c r="B6083">
        <v>2</v>
      </c>
      <c r="C6083" t="s">
        <v>15</v>
      </c>
      <c r="D6083">
        <v>1.446E-3</v>
      </c>
      <c r="E6083">
        <f t="shared" si="188"/>
        <v>1.0014460000000001</v>
      </c>
      <c r="F6083" s="1">
        <f t="shared" si="189"/>
        <v>42450</v>
      </c>
      <c r="G6083" cm="1">
        <f t="array" ref="G6083">PRODUCT( _xlfn._xlws.FILTER($E:$E, ($C:$C=C6083)*($F:$F=F6083)) ) - 1</f>
        <v>1.4863624354912952E-2</v>
      </c>
    </row>
    <row r="6084" spans="1:7" x14ac:dyDescent="0.2">
      <c r="A6084" s="1">
        <v>42453</v>
      </c>
      <c r="B6084">
        <v>2</v>
      </c>
      <c r="C6084" t="s">
        <v>15</v>
      </c>
      <c r="D6084">
        <v>2.166E-3</v>
      </c>
      <c r="E6084">
        <f t="shared" ref="E6084:E6147" si="190">D6084+1</f>
        <v>1.0021659999999999</v>
      </c>
      <c r="F6084" s="1">
        <f t="shared" ref="F6084:F6147" si="191">A6084 - (WEEKDAY(A6084, 2) - 1)</f>
        <v>42450</v>
      </c>
      <c r="G6084" cm="1">
        <f t="array" ref="G6084">PRODUCT( _xlfn._xlws.FILTER($E:$E, ($C:$C=C6084)*($F:$F=F6084)) ) - 1</f>
        <v>1.4863624354912952E-2</v>
      </c>
    </row>
    <row r="6085" spans="1:7" x14ac:dyDescent="0.2">
      <c r="A6085" s="1">
        <v>42457</v>
      </c>
      <c r="B6085">
        <v>2</v>
      </c>
      <c r="C6085" t="s">
        <v>15</v>
      </c>
      <c r="D6085">
        <v>8.4030000000000007E-3</v>
      </c>
      <c r="E6085">
        <f t="shared" si="190"/>
        <v>1.0084029999999999</v>
      </c>
      <c r="F6085" s="1">
        <f t="shared" si="191"/>
        <v>42457</v>
      </c>
      <c r="G6085" cm="1">
        <f t="array" ref="G6085">PRODUCT( _xlfn._xlws.FILTER($E:$E, ($C:$C=C6085)*($F:$F=F6085)) ) - 1</f>
        <v>1.1524797737911152E-2</v>
      </c>
    </row>
    <row r="6086" spans="1:7" x14ac:dyDescent="0.2">
      <c r="A6086" s="1">
        <v>42458</v>
      </c>
      <c r="B6086">
        <v>2</v>
      </c>
      <c r="C6086" t="s">
        <v>15</v>
      </c>
      <c r="D6086">
        <v>2.8570000000000002E-3</v>
      </c>
      <c r="E6086">
        <f t="shared" si="190"/>
        <v>1.0028570000000001</v>
      </c>
      <c r="F6086" s="1">
        <f t="shared" si="191"/>
        <v>42457</v>
      </c>
      <c r="G6086" cm="1">
        <f t="array" ref="G6086">PRODUCT( _xlfn._xlws.FILTER($E:$E, ($C:$C=C6086)*($F:$F=F6086)) ) - 1</f>
        <v>1.1524797737911152E-2</v>
      </c>
    </row>
    <row r="6087" spans="1:7" x14ac:dyDescent="0.2">
      <c r="A6087" s="1">
        <v>42459</v>
      </c>
      <c r="B6087">
        <v>2</v>
      </c>
      <c r="C6087" t="s">
        <v>15</v>
      </c>
      <c r="D6087">
        <v>8.7849999999999994E-3</v>
      </c>
      <c r="E6087">
        <f t="shared" si="190"/>
        <v>1.008785</v>
      </c>
      <c r="F6087" s="1">
        <f t="shared" si="191"/>
        <v>42457</v>
      </c>
      <c r="G6087" cm="1">
        <f t="array" ref="G6087">PRODUCT( _xlfn._xlws.FILTER($E:$E, ($C:$C=C6087)*($F:$F=F6087)) ) - 1</f>
        <v>1.1524797737911152E-2</v>
      </c>
    </row>
    <row r="6088" spans="1:7" x14ac:dyDescent="0.2">
      <c r="A6088" s="1">
        <v>42460</v>
      </c>
      <c r="B6088">
        <v>2</v>
      </c>
      <c r="C6088" t="s">
        <v>15</v>
      </c>
      <c r="D6088">
        <v>-4.9420000000000002E-3</v>
      </c>
      <c r="E6088">
        <f t="shared" si="190"/>
        <v>0.995058</v>
      </c>
      <c r="F6088" s="1">
        <f t="shared" si="191"/>
        <v>42457</v>
      </c>
      <c r="G6088" cm="1">
        <f t="array" ref="G6088">PRODUCT( _xlfn._xlws.FILTER($E:$E, ($C:$C=C6088)*($F:$F=F6088)) ) - 1</f>
        <v>1.1524797737911152E-2</v>
      </c>
    </row>
    <row r="6089" spans="1:7" x14ac:dyDescent="0.2">
      <c r="A6089" s="1">
        <v>42461</v>
      </c>
      <c r="B6089">
        <v>2</v>
      </c>
      <c r="C6089" t="s">
        <v>15</v>
      </c>
      <c r="D6089">
        <v>-3.5479999999999999E-3</v>
      </c>
      <c r="E6089">
        <f t="shared" si="190"/>
        <v>0.996452</v>
      </c>
      <c r="F6089" s="1">
        <f t="shared" si="191"/>
        <v>42457</v>
      </c>
      <c r="G6089" cm="1">
        <f t="array" ref="G6089">PRODUCT( _xlfn._xlws.FILTER($E:$E, ($C:$C=C6089)*($F:$F=F6089)) ) - 1</f>
        <v>1.1524797737911152E-2</v>
      </c>
    </row>
    <row r="6090" spans="1:7" x14ac:dyDescent="0.2">
      <c r="A6090" s="1">
        <v>42464</v>
      </c>
      <c r="B6090">
        <v>2</v>
      </c>
      <c r="C6090" t="s">
        <v>15</v>
      </c>
      <c r="D6090">
        <v>-1.4239999999999999E-3</v>
      </c>
      <c r="E6090">
        <f t="shared" si="190"/>
        <v>0.99857600000000002</v>
      </c>
      <c r="F6090" s="1">
        <f t="shared" si="191"/>
        <v>42464</v>
      </c>
      <c r="G6090" cm="1">
        <f t="array" ref="G6090">PRODUCT( _xlfn._xlws.FILTER($E:$E, ($C:$C=C6090)*($F:$F=F6090)) ) - 1</f>
        <v>-1.827581079283469E-2</v>
      </c>
    </row>
    <row r="6091" spans="1:7" x14ac:dyDescent="0.2">
      <c r="A6091" s="1">
        <v>42465</v>
      </c>
      <c r="B6091">
        <v>2</v>
      </c>
      <c r="C6091" t="s">
        <v>15</v>
      </c>
      <c r="D6091">
        <v>-4.75E-4</v>
      </c>
      <c r="E6091">
        <f t="shared" si="190"/>
        <v>0.999525</v>
      </c>
      <c r="F6091" s="1">
        <f t="shared" si="191"/>
        <v>42464</v>
      </c>
      <c r="G6091" cm="1">
        <f t="array" ref="G6091">PRODUCT( _xlfn._xlws.FILTER($E:$E, ($C:$C=C6091)*($F:$F=F6091)) ) - 1</f>
        <v>-1.827581079283469E-2</v>
      </c>
    </row>
    <row r="6092" spans="1:7" x14ac:dyDescent="0.2">
      <c r="A6092" s="1">
        <v>42466</v>
      </c>
      <c r="B6092">
        <v>2</v>
      </c>
      <c r="C6092" t="s">
        <v>15</v>
      </c>
      <c r="D6092">
        <v>-2.14E-3</v>
      </c>
      <c r="E6092">
        <f t="shared" si="190"/>
        <v>0.99785999999999997</v>
      </c>
      <c r="F6092" s="1">
        <f t="shared" si="191"/>
        <v>42464</v>
      </c>
      <c r="G6092" cm="1">
        <f t="array" ref="G6092">PRODUCT( _xlfn._xlws.FILTER($E:$E, ($C:$C=C6092)*($F:$F=F6092)) ) - 1</f>
        <v>-1.827581079283469E-2</v>
      </c>
    </row>
    <row r="6093" spans="1:7" x14ac:dyDescent="0.2">
      <c r="A6093" s="1">
        <v>42467</v>
      </c>
      <c r="B6093">
        <v>2</v>
      </c>
      <c r="C6093" t="s">
        <v>15</v>
      </c>
      <c r="D6093">
        <v>-8.8179999999999994E-3</v>
      </c>
      <c r="E6093">
        <f t="shared" si="190"/>
        <v>0.99118200000000001</v>
      </c>
      <c r="F6093" s="1">
        <f t="shared" si="191"/>
        <v>42464</v>
      </c>
      <c r="G6093" cm="1">
        <f t="array" ref="G6093">PRODUCT( _xlfn._xlws.FILTER($E:$E, ($C:$C=C6093)*($F:$F=F6093)) ) - 1</f>
        <v>-1.827581079283469E-2</v>
      </c>
    </row>
    <row r="6094" spans="1:7" x14ac:dyDescent="0.2">
      <c r="A6094" s="1">
        <v>42468</v>
      </c>
      <c r="B6094">
        <v>2</v>
      </c>
      <c r="C6094" t="s">
        <v>15</v>
      </c>
      <c r="D6094">
        <v>-5.5300000000000002E-3</v>
      </c>
      <c r="E6094">
        <f t="shared" si="190"/>
        <v>0.99446999999999997</v>
      </c>
      <c r="F6094" s="1">
        <f t="shared" si="191"/>
        <v>42464</v>
      </c>
      <c r="G6094" cm="1">
        <f t="array" ref="G6094">PRODUCT( _xlfn._xlws.FILTER($E:$E, ($C:$C=C6094)*($F:$F=F6094)) ) - 1</f>
        <v>-1.827581079283469E-2</v>
      </c>
    </row>
    <row r="6095" spans="1:7" x14ac:dyDescent="0.2">
      <c r="A6095" s="1">
        <v>42471</v>
      </c>
      <c r="B6095">
        <v>2</v>
      </c>
      <c r="C6095" t="s">
        <v>15</v>
      </c>
      <c r="D6095">
        <v>-4.594E-3</v>
      </c>
      <c r="E6095">
        <f t="shared" si="190"/>
        <v>0.99540600000000001</v>
      </c>
      <c r="F6095" s="1">
        <f t="shared" si="191"/>
        <v>42471</v>
      </c>
      <c r="G6095" cm="1">
        <f t="array" ref="G6095">PRODUCT( _xlfn._xlws.FILTER($E:$E, ($C:$C=C6095)*($F:$F=F6095)) ) - 1</f>
        <v>-2.3936490852118575E-2</v>
      </c>
    </row>
    <row r="6096" spans="1:7" x14ac:dyDescent="0.2">
      <c r="A6096" s="1">
        <v>42472</v>
      </c>
      <c r="B6096">
        <v>2</v>
      </c>
      <c r="C6096" t="s">
        <v>15</v>
      </c>
      <c r="D6096">
        <v>-5.1009999999999996E-3</v>
      </c>
      <c r="E6096">
        <f t="shared" si="190"/>
        <v>0.99489899999999998</v>
      </c>
      <c r="F6096" s="1">
        <f t="shared" si="191"/>
        <v>42471</v>
      </c>
      <c r="G6096" cm="1">
        <f t="array" ref="G6096">PRODUCT( _xlfn._xlws.FILTER($E:$E, ($C:$C=C6096)*($F:$F=F6096)) ) - 1</f>
        <v>-2.3936490852118575E-2</v>
      </c>
    </row>
    <row r="6097" spans="1:7" x14ac:dyDescent="0.2">
      <c r="A6097" s="1">
        <v>42473</v>
      </c>
      <c r="B6097">
        <v>2</v>
      </c>
      <c r="C6097" t="s">
        <v>15</v>
      </c>
      <c r="D6097">
        <v>-6.1040000000000001E-3</v>
      </c>
      <c r="E6097">
        <f t="shared" si="190"/>
        <v>0.993896</v>
      </c>
      <c r="F6097" s="1">
        <f t="shared" si="191"/>
        <v>42471</v>
      </c>
      <c r="G6097" cm="1">
        <f t="array" ref="G6097">PRODUCT( _xlfn._xlws.FILTER($E:$E, ($C:$C=C6097)*($F:$F=F6097)) ) - 1</f>
        <v>-2.3936490852118575E-2</v>
      </c>
    </row>
    <row r="6098" spans="1:7" x14ac:dyDescent="0.2">
      <c r="A6098" s="1">
        <v>42474</v>
      </c>
      <c r="B6098">
        <v>2</v>
      </c>
      <c r="C6098" t="s">
        <v>15</v>
      </c>
      <c r="D6098">
        <v>2.9480000000000001E-3</v>
      </c>
      <c r="E6098">
        <f t="shared" si="190"/>
        <v>1.002948</v>
      </c>
      <c r="F6098" s="1">
        <f t="shared" si="191"/>
        <v>42471</v>
      </c>
      <c r="G6098" cm="1">
        <f t="array" ref="G6098">PRODUCT( _xlfn._xlws.FILTER($E:$E, ($C:$C=C6098)*($F:$F=F6098)) ) - 1</f>
        <v>-2.3936490852118575E-2</v>
      </c>
    </row>
    <row r="6099" spans="1:7" x14ac:dyDescent="0.2">
      <c r="A6099" s="1">
        <v>42475</v>
      </c>
      <c r="B6099">
        <v>2</v>
      </c>
      <c r="C6099" t="s">
        <v>15</v>
      </c>
      <c r="D6099">
        <v>-1.1266E-2</v>
      </c>
      <c r="E6099">
        <f t="shared" si="190"/>
        <v>0.988734</v>
      </c>
      <c r="F6099" s="1">
        <f t="shared" si="191"/>
        <v>42471</v>
      </c>
      <c r="G6099" cm="1">
        <f t="array" ref="G6099">PRODUCT( _xlfn._xlws.FILTER($E:$E, ($C:$C=C6099)*($F:$F=F6099)) ) - 1</f>
        <v>-2.3936490852118575E-2</v>
      </c>
    </row>
    <row r="6100" spans="1:7" x14ac:dyDescent="0.2">
      <c r="A6100" s="1">
        <v>42478</v>
      </c>
      <c r="B6100">
        <v>2</v>
      </c>
      <c r="C6100" t="s">
        <v>15</v>
      </c>
      <c r="D6100">
        <v>8.6700000000000006E-3</v>
      </c>
      <c r="E6100">
        <f t="shared" si="190"/>
        <v>1.00867</v>
      </c>
      <c r="F6100" s="1">
        <f t="shared" si="191"/>
        <v>42478</v>
      </c>
      <c r="G6100" cm="1">
        <f t="array" ref="G6100">PRODUCT( _xlfn._xlws.FILTER($E:$E, ($C:$C=C6100)*($F:$F=F6100)) ) - 1</f>
        <v>-2.4027301435177506E-2</v>
      </c>
    </row>
    <row r="6101" spans="1:7" x14ac:dyDescent="0.2">
      <c r="A6101" s="1">
        <v>42479</v>
      </c>
      <c r="B6101">
        <v>2</v>
      </c>
      <c r="C6101" t="s">
        <v>15</v>
      </c>
      <c r="D6101">
        <v>-1.1542E-2</v>
      </c>
      <c r="E6101">
        <f t="shared" si="190"/>
        <v>0.98845799999999995</v>
      </c>
      <c r="F6101" s="1">
        <f t="shared" si="191"/>
        <v>42478</v>
      </c>
      <c r="G6101" cm="1">
        <f t="array" ref="G6101">PRODUCT( _xlfn._xlws.FILTER($E:$E, ($C:$C=C6101)*($F:$F=F6101)) ) - 1</f>
        <v>-2.4027301435177506E-2</v>
      </c>
    </row>
    <row r="6102" spans="1:7" x14ac:dyDescent="0.2">
      <c r="A6102" s="1">
        <v>42480</v>
      </c>
      <c r="B6102">
        <v>2</v>
      </c>
      <c r="C6102" t="s">
        <v>15</v>
      </c>
      <c r="D6102">
        <v>-5.7140000000000003E-3</v>
      </c>
      <c r="E6102">
        <f t="shared" si="190"/>
        <v>0.994286</v>
      </c>
      <c r="F6102" s="1">
        <f t="shared" si="191"/>
        <v>42478</v>
      </c>
      <c r="G6102" cm="1">
        <f t="array" ref="G6102">PRODUCT( _xlfn._xlws.FILTER($E:$E, ($C:$C=C6102)*($F:$F=F6102)) ) - 1</f>
        <v>-2.4027301435177506E-2</v>
      </c>
    </row>
    <row r="6103" spans="1:7" x14ac:dyDescent="0.2">
      <c r="A6103" s="1">
        <v>42481</v>
      </c>
      <c r="B6103">
        <v>2</v>
      </c>
      <c r="C6103" t="s">
        <v>15</v>
      </c>
      <c r="D6103">
        <v>-1.2744E-2</v>
      </c>
      <c r="E6103">
        <f t="shared" si="190"/>
        <v>0.98725600000000002</v>
      </c>
      <c r="F6103" s="1">
        <f t="shared" si="191"/>
        <v>42478</v>
      </c>
      <c r="G6103" cm="1">
        <f t="array" ref="G6103">PRODUCT( _xlfn._xlws.FILTER($E:$E, ($C:$C=C6103)*($F:$F=F6103)) ) - 1</f>
        <v>-2.4027301435177506E-2</v>
      </c>
    </row>
    <row r="6104" spans="1:7" x14ac:dyDescent="0.2">
      <c r="A6104" s="1">
        <v>42482</v>
      </c>
      <c r="B6104">
        <v>2</v>
      </c>
      <c r="C6104" t="s">
        <v>15</v>
      </c>
      <c r="D6104">
        <v>-2.784E-3</v>
      </c>
      <c r="E6104">
        <f t="shared" si="190"/>
        <v>0.99721599999999999</v>
      </c>
      <c r="F6104" s="1">
        <f t="shared" si="191"/>
        <v>42478</v>
      </c>
      <c r="G6104" cm="1">
        <f t="array" ref="G6104">PRODUCT( _xlfn._xlws.FILTER($E:$E, ($C:$C=C6104)*($F:$F=F6104)) ) - 1</f>
        <v>-2.4027301435177506E-2</v>
      </c>
    </row>
    <row r="6105" spans="1:7" x14ac:dyDescent="0.2">
      <c r="A6105" s="1">
        <v>42485</v>
      </c>
      <c r="B6105">
        <v>2</v>
      </c>
      <c r="C6105" t="s">
        <v>15</v>
      </c>
      <c r="D6105">
        <v>4.3150000000000003E-3</v>
      </c>
      <c r="E6105">
        <f t="shared" si="190"/>
        <v>1.0043150000000001</v>
      </c>
      <c r="F6105" s="1">
        <f t="shared" si="191"/>
        <v>42485</v>
      </c>
      <c r="G6105" cm="1">
        <f t="array" ref="G6105">PRODUCT( _xlfn._xlws.FILTER($E:$E, ($C:$C=C6105)*($F:$F=F6105)) ) - 1</f>
        <v>9.6453076146316707E-3</v>
      </c>
    </row>
    <row r="6106" spans="1:7" x14ac:dyDescent="0.2">
      <c r="A6106" s="1">
        <v>42486</v>
      </c>
      <c r="B6106">
        <v>2</v>
      </c>
      <c r="C6106" t="s">
        <v>15</v>
      </c>
      <c r="D6106">
        <v>-8.0870000000000004E-3</v>
      </c>
      <c r="E6106">
        <f t="shared" si="190"/>
        <v>0.99191300000000004</v>
      </c>
      <c r="F6106" s="1">
        <f t="shared" si="191"/>
        <v>42485</v>
      </c>
      <c r="G6106" cm="1">
        <f t="array" ref="G6106">PRODUCT( _xlfn._xlws.FILTER($E:$E, ($C:$C=C6106)*($F:$F=F6106)) ) - 1</f>
        <v>9.6453076146316707E-3</v>
      </c>
    </row>
    <row r="6107" spans="1:7" x14ac:dyDescent="0.2">
      <c r="A6107" s="1">
        <v>42487</v>
      </c>
      <c r="B6107">
        <v>2</v>
      </c>
      <c r="C6107" t="s">
        <v>15</v>
      </c>
      <c r="D6107">
        <v>5.3499999999999997E-3</v>
      </c>
      <c r="E6107">
        <f t="shared" si="190"/>
        <v>1.00535</v>
      </c>
      <c r="F6107" s="1">
        <f t="shared" si="191"/>
        <v>42485</v>
      </c>
      <c r="G6107" cm="1">
        <f t="array" ref="G6107">PRODUCT( _xlfn._xlws.FILTER($E:$E, ($C:$C=C6107)*($F:$F=F6107)) ) - 1</f>
        <v>9.6453076146316707E-3</v>
      </c>
    </row>
    <row r="6108" spans="1:7" x14ac:dyDescent="0.2">
      <c r="A6108" s="1">
        <v>42488</v>
      </c>
      <c r="B6108">
        <v>2</v>
      </c>
      <c r="C6108" t="s">
        <v>15</v>
      </c>
      <c r="D6108">
        <v>5.829E-3</v>
      </c>
      <c r="E6108">
        <f t="shared" si="190"/>
        <v>1.0058290000000001</v>
      </c>
      <c r="F6108" s="1">
        <f t="shared" si="191"/>
        <v>42485</v>
      </c>
      <c r="G6108" cm="1">
        <f t="array" ref="G6108">PRODUCT( _xlfn._xlws.FILTER($E:$E, ($C:$C=C6108)*($F:$F=F6108)) ) - 1</f>
        <v>9.6453076146316707E-3</v>
      </c>
    </row>
    <row r="6109" spans="1:7" x14ac:dyDescent="0.2">
      <c r="A6109" s="1">
        <v>42489</v>
      </c>
      <c r="B6109">
        <v>2</v>
      </c>
      <c r="C6109" t="s">
        <v>15</v>
      </c>
      <c r="D6109">
        <v>2.2680000000000001E-3</v>
      </c>
      <c r="E6109">
        <f t="shared" si="190"/>
        <v>1.0022679999999999</v>
      </c>
      <c r="F6109" s="1">
        <f t="shared" si="191"/>
        <v>42485</v>
      </c>
      <c r="G6109" cm="1">
        <f t="array" ref="G6109">PRODUCT( _xlfn._xlws.FILTER($E:$E, ($C:$C=C6109)*($F:$F=F6109)) ) - 1</f>
        <v>9.6453076146316707E-3</v>
      </c>
    </row>
    <row r="6110" spans="1:7" x14ac:dyDescent="0.2">
      <c r="A6110" s="1">
        <v>42492</v>
      </c>
      <c r="B6110">
        <v>2</v>
      </c>
      <c r="C6110" t="s">
        <v>15</v>
      </c>
      <c r="D6110">
        <v>1.508E-3</v>
      </c>
      <c r="E6110">
        <f t="shared" si="190"/>
        <v>1.0015080000000001</v>
      </c>
      <c r="F6110" s="1">
        <f t="shared" si="191"/>
        <v>42492</v>
      </c>
      <c r="G6110" cm="1">
        <f t="array" ref="G6110">PRODUCT( _xlfn._xlws.FILTER($E:$E, ($C:$C=C6110)*($F:$F=F6110)) ) - 1</f>
        <v>3.7715021804534121E-3</v>
      </c>
    </row>
    <row r="6111" spans="1:7" x14ac:dyDescent="0.2">
      <c r="A6111" s="1">
        <v>42493</v>
      </c>
      <c r="B6111">
        <v>2</v>
      </c>
      <c r="C6111" t="s">
        <v>15</v>
      </c>
      <c r="D6111">
        <v>-1.1294999999999999E-2</v>
      </c>
      <c r="E6111">
        <f t="shared" si="190"/>
        <v>0.98870499999999995</v>
      </c>
      <c r="F6111" s="1">
        <f t="shared" si="191"/>
        <v>42492</v>
      </c>
      <c r="G6111" cm="1">
        <f t="array" ref="G6111">PRODUCT( _xlfn._xlws.FILTER($E:$E, ($C:$C=C6111)*($F:$F=F6111)) ) - 1</f>
        <v>3.7715021804534121E-3</v>
      </c>
    </row>
    <row r="6112" spans="1:7" x14ac:dyDescent="0.2">
      <c r="A6112" s="1">
        <v>42494</v>
      </c>
      <c r="B6112">
        <v>2</v>
      </c>
      <c r="C6112" t="s">
        <v>15</v>
      </c>
      <c r="D6112">
        <v>6.855E-3</v>
      </c>
      <c r="E6112">
        <f t="shared" si="190"/>
        <v>1.0068550000000001</v>
      </c>
      <c r="F6112" s="1">
        <f t="shared" si="191"/>
        <v>42492</v>
      </c>
      <c r="G6112" cm="1">
        <f t="array" ref="G6112">PRODUCT( _xlfn._xlws.FILTER($E:$E, ($C:$C=C6112)*($F:$F=F6112)) ) - 1</f>
        <v>3.7715021804534121E-3</v>
      </c>
    </row>
    <row r="6113" spans="1:7" x14ac:dyDescent="0.2">
      <c r="A6113" s="1">
        <v>42495</v>
      </c>
      <c r="B6113">
        <v>2</v>
      </c>
      <c r="C6113" t="s">
        <v>15</v>
      </c>
      <c r="D6113">
        <v>-7.5600000000000005E-4</v>
      </c>
      <c r="E6113">
        <f t="shared" si="190"/>
        <v>0.99924400000000002</v>
      </c>
      <c r="F6113" s="1">
        <f t="shared" si="191"/>
        <v>42492</v>
      </c>
      <c r="G6113" cm="1">
        <f t="array" ref="G6113">PRODUCT( _xlfn._xlws.FILTER($E:$E, ($C:$C=C6113)*($F:$F=F6113)) ) - 1</f>
        <v>3.7715021804534121E-3</v>
      </c>
    </row>
    <row r="6114" spans="1:7" x14ac:dyDescent="0.2">
      <c r="A6114" s="1">
        <v>42496</v>
      </c>
      <c r="B6114">
        <v>2</v>
      </c>
      <c r="C6114" t="s">
        <v>15</v>
      </c>
      <c r="D6114">
        <v>7.5700000000000003E-3</v>
      </c>
      <c r="E6114">
        <f t="shared" si="190"/>
        <v>1.0075700000000001</v>
      </c>
      <c r="F6114" s="1">
        <f t="shared" si="191"/>
        <v>42492</v>
      </c>
      <c r="G6114" cm="1">
        <f t="array" ref="G6114">PRODUCT( _xlfn._xlws.FILTER($E:$E, ($C:$C=C6114)*($F:$F=F6114)) ) - 1</f>
        <v>3.7715021804534121E-3</v>
      </c>
    </row>
    <row r="6115" spans="1:7" x14ac:dyDescent="0.2">
      <c r="A6115" s="1">
        <v>42499</v>
      </c>
      <c r="B6115">
        <v>2</v>
      </c>
      <c r="C6115" t="s">
        <v>15</v>
      </c>
      <c r="D6115">
        <v>7.5100000000000004E-4</v>
      </c>
      <c r="E6115">
        <f t="shared" si="190"/>
        <v>1.0007509999999999</v>
      </c>
      <c r="F6115" s="1">
        <f t="shared" si="191"/>
        <v>42499</v>
      </c>
      <c r="G6115" cm="1">
        <f t="array" ref="G6115">PRODUCT( _xlfn._xlws.FILTER($E:$E, ($C:$C=C6115)*($F:$F=F6115)) ) - 1</f>
        <v>1.5026193065536431E-2</v>
      </c>
    </row>
    <row r="6116" spans="1:7" x14ac:dyDescent="0.2">
      <c r="A6116" s="1">
        <v>42500</v>
      </c>
      <c r="B6116">
        <v>2</v>
      </c>
      <c r="C6116" t="s">
        <v>15</v>
      </c>
      <c r="D6116">
        <v>1.1261E-2</v>
      </c>
      <c r="E6116">
        <f t="shared" si="190"/>
        <v>1.011261</v>
      </c>
      <c r="F6116" s="1">
        <f t="shared" si="191"/>
        <v>42499</v>
      </c>
      <c r="G6116" cm="1">
        <f t="array" ref="G6116">PRODUCT( _xlfn._xlws.FILTER($E:$E, ($C:$C=C6116)*($F:$F=F6116)) ) - 1</f>
        <v>1.5026193065536431E-2</v>
      </c>
    </row>
    <row r="6117" spans="1:7" x14ac:dyDescent="0.2">
      <c r="A6117" s="1">
        <v>42501</v>
      </c>
      <c r="B6117">
        <v>2</v>
      </c>
      <c r="C6117" t="s">
        <v>15</v>
      </c>
      <c r="D6117">
        <v>5.1970000000000002E-3</v>
      </c>
      <c r="E6117">
        <f t="shared" si="190"/>
        <v>1.0051969999999999</v>
      </c>
      <c r="F6117" s="1">
        <f t="shared" si="191"/>
        <v>42499</v>
      </c>
      <c r="G6117" cm="1">
        <f t="array" ref="G6117">PRODUCT( _xlfn._xlws.FILTER($E:$E, ($C:$C=C6117)*($F:$F=F6117)) ) - 1</f>
        <v>1.5026193065536431E-2</v>
      </c>
    </row>
    <row r="6118" spans="1:7" x14ac:dyDescent="0.2">
      <c r="A6118" s="1">
        <v>42502</v>
      </c>
      <c r="B6118">
        <v>2</v>
      </c>
      <c r="C6118" t="s">
        <v>15</v>
      </c>
      <c r="D6118">
        <v>3.447E-3</v>
      </c>
      <c r="E6118">
        <f t="shared" si="190"/>
        <v>1.003447</v>
      </c>
      <c r="F6118" s="1">
        <f t="shared" si="191"/>
        <v>42499</v>
      </c>
      <c r="G6118" cm="1">
        <f t="array" ref="G6118">PRODUCT( _xlfn._xlws.FILTER($E:$E, ($C:$C=C6118)*($F:$F=F6118)) ) - 1</f>
        <v>1.5026193065536431E-2</v>
      </c>
    </row>
    <row r="6119" spans="1:7" x14ac:dyDescent="0.2">
      <c r="A6119" s="1">
        <v>42503</v>
      </c>
      <c r="B6119">
        <v>2</v>
      </c>
      <c r="C6119" t="s">
        <v>15</v>
      </c>
      <c r="D6119">
        <v>-5.6429999999999996E-3</v>
      </c>
      <c r="E6119">
        <f t="shared" si="190"/>
        <v>0.99435700000000005</v>
      </c>
      <c r="F6119" s="1">
        <f t="shared" si="191"/>
        <v>42499</v>
      </c>
      <c r="G6119" cm="1">
        <f t="array" ref="G6119">PRODUCT( _xlfn._xlws.FILTER($E:$E, ($C:$C=C6119)*($F:$F=F6119)) ) - 1</f>
        <v>1.5026193065536431E-2</v>
      </c>
    </row>
    <row r="6120" spans="1:7" x14ac:dyDescent="0.2">
      <c r="A6120" s="1">
        <v>42506</v>
      </c>
      <c r="B6120">
        <v>2</v>
      </c>
      <c r="C6120" t="s">
        <v>15</v>
      </c>
      <c r="D6120">
        <v>5.6750000000000004E-3</v>
      </c>
      <c r="E6120">
        <f t="shared" si="190"/>
        <v>1.0056750000000001</v>
      </c>
      <c r="F6120" s="1">
        <f t="shared" si="191"/>
        <v>42506</v>
      </c>
      <c r="G6120" cm="1">
        <f t="array" ref="G6120">PRODUCT( _xlfn._xlws.FILTER($E:$E, ($C:$C=C6120)*($F:$F=F6120)) ) - 1</f>
        <v>1.72695767305453E-3</v>
      </c>
    </row>
    <row r="6121" spans="1:7" x14ac:dyDescent="0.2">
      <c r="A6121" s="1">
        <v>42507</v>
      </c>
      <c r="B6121">
        <v>2</v>
      </c>
      <c r="C6121" t="s">
        <v>15</v>
      </c>
      <c r="D6121">
        <v>-5.888E-3</v>
      </c>
      <c r="E6121">
        <f t="shared" si="190"/>
        <v>0.994112</v>
      </c>
      <c r="F6121" s="1">
        <f t="shared" si="191"/>
        <v>42506</v>
      </c>
      <c r="G6121" cm="1">
        <f t="array" ref="G6121">PRODUCT( _xlfn._xlws.FILTER($E:$E, ($C:$C=C6121)*($F:$F=F6121)) ) - 1</f>
        <v>1.72695767305453E-3</v>
      </c>
    </row>
    <row r="6122" spans="1:7" x14ac:dyDescent="0.2">
      <c r="A6122" s="1">
        <v>42508</v>
      </c>
      <c r="B6122">
        <v>2</v>
      </c>
      <c r="C6122" t="s">
        <v>15</v>
      </c>
      <c r="D6122">
        <v>3.2079999999999999E-3</v>
      </c>
      <c r="E6122">
        <f t="shared" si="190"/>
        <v>1.0032080000000001</v>
      </c>
      <c r="F6122" s="1">
        <f t="shared" si="191"/>
        <v>42506</v>
      </c>
      <c r="G6122" cm="1">
        <f t="array" ref="G6122">PRODUCT( _xlfn._xlws.FILTER($E:$E, ($C:$C=C6122)*($F:$F=F6122)) ) - 1</f>
        <v>1.72695767305453E-3</v>
      </c>
    </row>
    <row r="6123" spans="1:7" x14ac:dyDescent="0.2">
      <c r="A6123" s="1">
        <v>42509</v>
      </c>
      <c r="B6123">
        <v>2</v>
      </c>
      <c r="C6123" t="s">
        <v>15</v>
      </c>
      <c r="D6123">
        <v>-5.6579999999999998E-3</v>
      </c>
      <c r="E6123">
        <f t="shared" si="190"/>
        <v>0.99434199999999995</v>
      </c>
      <c r="F6123" s="1">
        <f t="shared" si="191"/>
        <v>42506</v>
      </c>
      <c r="G6123" cm="1">
        <f t="array" ref="G6123">PRODUCT( _xlfn._xlws.FILTER($E:$E, ($C:$C=C6123)*($F:$F=F6123)) ) - 1</f>
        <v>1.72695767305453E-3</v>
      </c>
    </row>
    <row r="6124" spans="1:7" x14ac:dyDescent="0.2">
      <c r="A6124" s="1">
        <v>42510</v>
      </c>
      <c r="B6124">
        <v>2</v>
      </c>
      <c r="C6124" t="s">
        <v>15</v>
      </c>
      <c r="D6124">
        <v>4.4530000000000004E-3</v>
      </c>
      <c r="E6124">
        <f t="shared" si="190"/>
        <v>1.004453</v>
      </c>
      <c r="F6124" s="1">
        <f t="shared" si="191"/>
        <v>42506</v>
      </c>
      <c r="G6124" cm="1">
        <f t="array" ref="G6124">PRODUCT( _xlfn._xlws.FILTER($E:$E, ($C:$C=C6124)*($F:$F=F6124)) ) - 1</f>
        <v>1.72695767305453E-3</v>
      </c>
    </row>
    <row r="6125" spans="1:7" x14ac:dyDescent="0.2">
      <c r="A6125" s="1">
        <v>42514</v>
      </c>
      <c r="B6125">
        <v>2</v>
      </c>
      <c r="C6125" t="s">
        <v>15</v>
      </c>
      <c r="D6125">
        <v>1.3301E-2</v>
      </c>
      <c r="E6125">
        <f t="shared" si="190"/>
        <v>1.013301</v>
      </c>
      <c r="F6125" s="1">
        <f t="shared" si="191"/>
        <v>42513</v>
      </c>
      <c r="G6125" cm="1">
        <f t="array" ref="G6125">PRODUCT( _xlfn._xlws.FILTER($E:$E, ($C:$C=C6125)*($F:$F=F6125)) ) - 1</f>
        <v>2.3891833400686568E-2</v>
      </c>
    </row>
    <row r="6126" spans="1:7" x14ac:dyDescent="0.2">
      <c r="A6126" s="1">
        <v>42515</v>
      </c>
      <c r="B6126">
        <v>2</v>
      </c>
      <c r="C6126" t="s">
        <v>15</v>
      </c>
      <c r="D6126">
        <v>0</v>
      </c>
      <c r="E6126">
        <f t="shared" si="190"/>
        <v>1</v>
      </c>
      <c r="F6126" s="1">
        <f t="shared" si="191"/>
        <v>42513</v>
      </c>
      <c r="G6126" cm="1">
        <f t="array" ref="G6126">PRODUCT( _xlfn._xlws.FILTER($E:$E, ($C:$C=C6126)*($F:$F=F6126)) ) - 1</f>
        <v>2.3891833400686568E-2</v>
      </c>
    </row>
    <row r="6127" spans="1:7" x14ac:dyDescent="0.2">
      <c r="A6127" s="1">
        <v>42516</v>
      </c>
      <c r="B6127">
        <v>2</v>
      </c>
      <c r="C6127" t="s">
        <v>15</v>
      </c>
      <c r="D6127">
        <v>7.535E-3</v>
      </c>
      <c r="E6127">
        <f t="shared" si="190"/>
        <v>1.0075350000000001</v>
      </c>
      <c r="F6127" s="1">
        <f t="shared" si="191"/>
        <v>42513</v>
      </c>
      <c r="G6127" cm="1">
        <f t="array" ref="G6127">PRODUCT( _xlfn._xlws.FILTER($E:$E, ($C:$C=C6127)*($F:$F=F6127)) ) - 1</f>
        <v>2.3891833400686568E-2</v>
      </c>
    </row>
    <row r="6128" spans="1:7" x14ac:dyDescent="0.2">
      <c r="A6128" s="1">
        <v>42517</v>
      </c>
      <c r="B6128">
        <v>2</v>
      </c>
      <c r="C6128" t="s">
        <v>15</v>
      </c>
      <c r="D6128">
        <v>2.895E-3</v>
      </c>
      <c r="E6128">
        <f t="shared" si="190"/>
        <v>1.0028950000000001</v>
      </c>
      <c r="F6128" s="1">
        <f t="shared" si="191"/>
        <v>42513</v>
      </c>
      <c r="G6128" cm="1">
        <f t="array" ref="G6128">PRODUCT( _xlfn._xlws.FILTER($E:$E, ($C:$C=C6128)*($F:$F=F6128)) ) - 1</f>
        <v>2.3891833400686568E-2</v>
      </c>
    </row>
    <row r="6129" spans="1:7" x14ac:dyDescent="0.2">
      <c r="A6129" s="1">
        <v>42520</v>
      </c>
      <c r="B6129">
        <v>2</v>
      </c>
      <c r="C6129" t="s">
        <v>15</v>
      </c>
      <c r="D6129">
        <v>1.4430000000000001E-3</v>
      </c>
      <c r="E6129">
        <f t="shared" si="190"/>
        <v>1.0014430000000001</v>
      </c>
      <c r="F6129" s="1">
        <f t="shared" si="191"/>
        <v>42520</v>
      </c>
      <c r="G6129" cm="1">
        <f t="array" ref="G6129">PRODUCT( _xlfn._xlws.FILTER($E:$E, ($C:$C=C6129)*($F:$F=F6129)) ) - 1</f>
        <v>1.2026178841586521E-3</v>
      </c>
    </row>
    <row r="6130" spans="1:7" x14ac:dyDescent="0.2">
      <c r="A6130" s="1">
        <v>42521</v>
      </c>
      <c r="B6130">
        <v>2</v>
      </c>
      <c r="C6130" t="s">
        <v>15</v>
      </c>
      <c r="D6130">
        <v>-1.441E-3</v>
      </c>
      <c r="E6130">
        <f t="shared" si="190"/>
        <v>0.99855899999999997</v>
      </c>
      <c r="F6130" s="1">
        <f t="shared" si="191"/>
        <v>42520</v>
      </c>
      <c r="G6130" cm="1">
        <f t="array" ref="G6130">PRODUCT( _xlfn._xlws.FILTER($E:$E, ($C:$C=C6130)*($F:$F=F6130)) ) - 1</f>
        <v>1.2026178841586521E-3</v>
      </c>
    </row>
    <row r="6131" spans="1:7" x14ac:dyDescent="0.2">
      <c r="A6131" s="1">
        <v>42522</v>
      </c>
      <c r="B6131">
        <v>2</v>
      </c>
      <c r="C6131" t="s">
        <v>15</v>
      </c>
      <c r="D6131">
        <v>-1.684E-3</v>
      </c>
      <c r="E6131">
        <f t="shared" si="190"/>
        <v>0.99831599999999998</v>
      </c>
      <c r="F6131" s="1">
        <f t="shared" si="191"/>
        <v>42520</v>
      </c>
      <c r="G6131" cm="1">
        <f t="array" ref="G6131">PRODUCT( _xlfn._xlws.FILTER($E:$E, ($C:$C=C6131)*($F:$F=F6131)) ) - 1</f>
        <v>1.2026178841586521E-3</v>
      </c>
    </row>
    <row r="6132" spans="1:7" x14ac:dyDescent="0.2">
      <c r="A6132" s="1">
        <v>42523</v>
      </c>
      <c r="B6132">
        <v>2</v>
      </c>
      <c r="C6132" t="s">
        <v>15</v>
      </c>
      <c r="D6132">
        <v>7.2300000000000001E-4</v>
      </c>
      <c r="E6132">
        <f t="shared" si="190"/>
        <v>1.000723</v>
      </c>
      <c r="F6132" s="1">
        <f t="shared" si="191"/>
        <v>42520</v>
      </c>
      <c r="G6132" cm="1">
        <f t="array" ref="G6132">PRODUCT( _xlfn._xlws.FILTER($E:$E, ($C:$C=C6132)*($F:$F=F6132)) ) - 1</f>
        <v>1.2026178841586521E-3</v>
      </c>
    </row>
    <row r="6133" spans="1:7" x14ac:dyDescent="0.2">
      <c r="A6133" s="1">
        <v>42524</v>
      </c>
      <c r="B6133">
        <v>2</v>
      </c>
      <c r="C6133" t="s">
        <v>15</v>
      </c>
      <c r="D6133">
        <v>2.1670000000000001E-3</v>
      </c>
      <c r="E6133">
        <f t="shared" si="190"/>
        <v>1.002167</v>
      </c>
      <c r="F6133" s="1">
        <f t="shared" si="191"/>
        <v>42520</v>
      </c>
      <c r="G6133" cm="1">
        <f t="array" ref="G6133">PRODUCT( _xlfn._xlws.FILTER($E:$E, ($C:$C=C6133)*($F:$F=F6133)) ) - 1</f>
        <v>1.2026178841586521E-3</v>
      </c>
    </row>
    <row r="6134" spans="1:7" x14ac:dyDescent="0.2">
      <c r="A6134" s="1">
        <v>42527</v>
      </c>
      <c r="B6134">
        <v>2</v>
      </c>
      <c r="C6134" t="s">
        <v>15</v>
      </c>
      <c r="D6134">
        <v>-1.4419999999999999E-3</v>
      </c>
      <c r="E6134">
        <f t="shared" si="190"/>
        <v>0.99855799999999995</v>
      </c>
      <c r="F6134" s="1">
        <f t="shared" si="191"/>
        <v>42527</v>
      </c>
      <c r="G6134" cm="1">
        <f t="array" ref="G6134">PRODUCT( _xlfn._xlws.FILTER($E:$E, ($C:$C=C6134)*($F:$F=F6134)) ) - 1</f>
        <v>-1.404894597272266E-2</v>
      </c>
    </row>
    <row r="6135" spans="1:7" x14ac:dyDescent="0.2">
      <c r="A6135" s="1">
        <v>42528</v>
      </c>
      <c r="B6135">
        <v>2</v>
      </c>
      <c r="C6135" t="s">
        <v>15</v>
      </c>
      <c r="D6135">
        <v>6.7369999999999999E-3</v>
      </c>
      <c r="E6135">
        <f t="shared" si="190"/>
        <v>1.006737</v>
      </c>
      <c r="F6135" s="1">
        <f t="shared" si="191"/>
        <v>42527</v>
      </c>
      <c r="G6135" cm="1">
        <f t="array" ref="G6135">PRODUCT( _xlfn._xlws.FILTER($E:$E, ($C:$C=C6135)*($F:$F=F6135)) ) - 1</f>
        <v>-1.404894597272266E-2</v>
      </c>
    </row>
    <row r="6136" spans="1:7" x14ac:dyDescent="0.2">
      <c r="A6136" s="1">
        <v>42529</v>
      </c>
      <c r="B6136">
        <v>2</v>
      </c>
      <c r="C6136" t="s">
        <v>15</v>
      </c>
      <c r="D6136">
        <v>-9.0819999999999998E-3</v>
      </c>
      <c r="E6136">
        <f t="shared" si="190"/>
        <v>0.99091799999999997</v>
      </c>
      <c r="F6136" s="1">
        <f t="shared" si="191"/>
        <v>42527</v>
      </c>
      <c r="G6136" cm="1">
        <f t="array" ref="G6136">PRODUCT( _xlfn._xlws.FILTER($E:$E, ($C:$C=C6136)*($F:$F=F6136)) ) - 1</f>
        <v>-1.404894597272266E-2</v>
      </c>
    </row>
    <row r="6137" spans="1:7" x14ac:dyDescent="0.2">
      <c r="A6137" s="1">
        <v>42530</v>
      </c>
      <c r="B6137">
        <v>2</v>
      </c>
      <c r="C6137" t="s">
        <v>15</v>
      </c>
      <c r="D6137">
        <v>-4.1460000000000004E-3</v>
      </c>
      <c r="E6137">
        <f t="shared" si="190"/>
        <v>0.99585400000000002</v>
      </c>
      <c r="F6137" s="1">
        <f t="shared" si="191"/>
        <v>42527</v>
      </c>
      <c r="G6137" cm="1">
        <f t="array" ref="G6137">PRODUCT( _xlfn._xlws.FILTER($E:$E, ($C:$C=C6137)*($F:$F=F6137)) ) - 1</f>
        <v>-1.404894597272266E-2</v>
      </c>
    </row>
    <row r="6138" spans="1:7" x14ac:dyDescent="0.2">
      <c r="A6138" s="1">
        <v>42531</v>
      </c>
      <c r="B6138">
        <v>2</v>
      </c>
      <c r="C6138" t="s">
        <v>15</v>
      </c>
      <c r="D6138">
        <v>-6.123E-3</v>
      </c>
      <c r="E6138">
        <f t="shared" si="190"/>
        <v>0.99387700000000001</v>
      </c>
      <c r="F6138" s="1">
        <f t="shared" si="191"/>
        <v>42527</v>
      </c>
      <c r="G6138" cm="1">
        <f t="array" ref="G6138">PRODUCT( _xlfn._xlws.FILTER($E:$E, ($C:$C=C6138)*($F:$F=F6138)) ) - 1</f>
        <v>-1.404894597272266E-2</v>
      </c>
    </row>
    <row r="6139" spans="1:7" x14ac:dyDescent="0.2">
      <c r="A6139" s="1">
        <v>42534</v>
      </c>
      <c r="B6139">
        <v>2</v>
      </c>
      <c r="C6139" t="s">
        <v>15</v>
      </c>
      <c r="D6139">
        <v>-1.1336000000000001E-2</v>
      </c>
      <c r="E6139">
        <f t="shared" si="190"/>
        <v>0.98866399999999999</v>
      </c>
      <c r="F6139" s="1">
        <f t="shared" si="191"/>
        <v>42534</v>
      </c>
      <c r="G6139" cm="1">
        <f t="array" ref="G6139">PRODUCT( _xlfn._xlws.FILTER($E:$E, ($C:$C=C6139)*($F:$F=F6139)) ) - 1</f>
        <v>1.9713504638884993E-2</v>
      </c>
    </row>
    <row r="6140" spans="1:7" x14ac:dyDescent="0.2">
      <c r="A6140" s="1">
        <v>42535</v>
      </c>
      <c r="B6140">
        <v>2</v>
      </c>
      <c r="C6140" t="s">
        <v>15</v>
      </c>
      <c r="D6140">
        <v>1.5952000000000001E-2</v>
      </c>
      <c r="E6140">
        <f t="shared" si="190"/>
        <v>1.015952</v>
      </c>
      <c r="F6140" s="1">
        <f t="shared" si="191"/>
        <v>42534</v>
      </c>
      <c r="G6140" cm="1">
        <f t="array" ref="G6140">PRODUCT( _xlfn._xlws.FILTER($E:$E, ($C:$C=C6140)*($F:$F=F6140)) ) - 1</f>
        <v>1.9713504638884993E-2</v>
      </c>
    </row>
    <row r="6141" spans="1:7" x14ac:dyDescent="0.2">
      <c r="A6141" s="1">
        <v>42536</v>
      </c>
      <c r="B6141">
        <v>2</v>
      </c>
      <c r="C6141" t="s">
        <v>15</v>
      </c>
      <c r="D6141">
        <v>4.9069999999999999E-3</v>
      </c>
      <c r="E6141">
        <f t="shared" si="190"/>
        <v>1.004907</v>
      </c>
      <c r="F6141" s="1">
        <f t="shared" si="191"/>
        <v>42534</v>
      </c>
      <c r="G6141" cm="1">
        <f t="array" ref="G6141">PRODUCT( _xlfn._xlws.FILTER($E:$E, ($C:$C=C6141)*($F:$F=F6141)) ) - 1</f>
        <v>1.9713504638884993E-2</v>
      </c>
    </row>
    <row r="6142" spans="1:7" x14ac:dyDescent="0.2">
      <c r="A6142" s="1">
        <v>42537</v>
      </c>
      <c r="B6142">
        <v>2</v>
      </c>
      <c r="C6142" t="s">
        <v>15</v>
      </c>
      <c r="D6142">
        <v>1.4648E-2</v>
      </c>
      <c r="E6142">
        <f t="shared" si="190"/>
        <v>1.014648</v>
      </c>
      <c r="F6142" s="1">
        <f t="shared" si="191"/>
        <v>42534</v>
      </c>
      <c r="G6142" cm="1">
        <f t="array" ref="G6142">PRODUCT( _xlfn._xlws.FILTER($E:$E, ($C:$C=C6142)*($F:$F=F6142)) ) - 1</f>
        <v>1.9713504638884993E-2</v>
      </c>
    </row>
    <row r="6143" spans="1:7" x14ac:dyDescent="0.2">
      <c r="A6143" s="1">
        <v>42538</v>
      </c>
      <c r="B6143">
        <v>2</v>
      </c>
      <c r="C6143" t="s">
        <v>15</v>
      </c>
      <c r="D6143">
        <v>-4.3309999999999998E-3</v>
      </c>
      <c r="E6143">
        <f t="shared" si="190"/>
        <v>0.99566900000000003</v>
      </c>
      <c r="F6143" s="1">
        <f t="shared" si="191"/>
        <v>42534</v>
      </c>
      <c r="G6143" cm="1">
        <f t="array" ref="G6143">PRODUCT( _xlfn._xlws.FILTER($E:$E, ($C:$C=C6143)*($F:$F=F6143)) ) - 1</f>
        <v>1.9713504638884993E-2</v>
      </c>
    </row>
    <row r="6144" spans="1:7" x14ac:dyDescent="0.2">
      <c r="A6144" s="1">
        <v>42541</v>
      </c>
      <c r="B6144">
        <v>2</v>
      </c>
      <c r="C6144" t="s">
        <v>15</v>
      </c>
      <c r="D6144">
        <v>6.7669999999999996E-3</v>
      </c>
      <c r="E6144">
        <f t="shared" si="190"/>
        <v>1.006767</v>
      </c>
      <c r="F6144" s="1">
        <f t="shared" si="191"/>
        <v>42541</v>
      </c>
      <c r="G6144" cm="1">
        <f t="array" ref="G6144">PRODUCT( _xlfn._xlws.FILTER($E:$E, ($C:$C=C6144)*($F:$F=F6144)) ) - 1</f>
        <v>-1.0633283300020113E-2</v>
      </c>
    </row>
    <row r="6145" spans="1:7" x14ac:dyDescent="0.2">
      <c r="A6145" s="1">
        <v>42542</v>
      </c>
      <c r="B6145">
        <v>2</v>
      </c>
      <c r="C6145" t="s">
        <v>15</v>
      </c>
      <c r="D6145">
        <v>-5.0410000000000003E-3</v>
      </c>
      <c r="E6145">
        <f t="shared" si="190"/>
        <v>0.99495900000000004</v>
      </c>
      <c r="F6145" s="1">
        <f t="shared" si="191"/>
        <v>42541</v>
      </c>
      <c r="G6145" cm="1">
        <f t="array" ref="G6145">PRODUCT( _xlfn._xlws.FILTER($E:$E, ($C:$C=C6145)*($F:$F=F6145)) ) - 1</f>
        <v>-1.0633283300020113E-2</v>
      </c>
    </row>
    <row r="6146" spans="1:7" x14ac:dyDescent="0.2">
      <c r="A6146" s="1">
        <v>42543</v>
      </c>
      <c r="B6146">
        <v>2</v>
      </c>
      <c r="C6146" t="s">
        <v>15</v>
      </c>
      <c r="D6146">
        <v>-3.6189999999999998E-3</v>
      </c>
      <c r="E6146">
        <f t="shared" si="190"/>
        <v>0.99638099999999996</v>
      </c>
      <c r="F6146" s="1">
        <f t="shared" si="191"/>
        <v>42541</v>
      </c>
      <c r="G6146" cm="1">
        <f t="array" ref="G6146">PRODUCT( _xlfn._xlws.FILTER($E:$E, ($C:$C=C6146)*($F:$F=F6146)) ) - 1</f>
        <v>-1.0633283300020113E-2</v>
      </c>
    </row>
    <row r="6147" spans="1:7" x14ac:dyDescent="0.2">
      <c r="A6147" s="1">
        <v>42544</v>
      </c>
      <c r="B6147">
        <v>2</v>
      </c>
      <c r="C6147" t="s">
        <v>15</v>
      </c>
      <c r="D6147">
        <v>2.421E-3</v>
      </c>
      <c r="E6147">
        <f t="shared" si="190"/>
        <v>1.002421</v>
      </c>
      <c r="F6147" s="1">
        <f t="shared" si="191"/>
        <v>42541</v>
      </c>
      <c r="G6147" cm="1">
        <f t="array" ref="G6147">PRODUCT( _xlfn._xlws.FILTER($E:$E, ($C:$C=C6147)*($F:$F=F6147)) ) - 1</f>
        <v>-1.0633283300020113E-2</v>
      </c>
    </row>
    <row r="6148" spans="1:7" x14ac:dyDescent="0.2">
      <c r="A6148" s="1">
        <v>42545</v>
      </c>
      <c r="B6148">
        <v>2</v>
      </c>
      <c r="C6148" t="s">
        <v>15</v>
      </c>
      <c r="D6148">
        <v>-1.1110999999999999E-2</v>
      </c>
      <c r="E6148">
        <f t="shared" ref="E6148:E6211" si="192">D6148+1</f>
        <v>0.98888900000000002</v>
      </c>
      <c r="F6148" s="1">
        <f t="shared" ref="F6148:F6211" si="193">A6148 - (WEEKDAY(A6148, 2) - 1)</f>
        <v>42541</v>
      </c>
      <c r="G6148" cm="1">
        <f t="array" ref="G6148">PRODUCT( _xlfn._xlws.FILTER($E:$E, ($C:$C=C6148)*($F:$F=F6148)) ) - 1</f>
        <v>-1.0633283300020113E-2</v>
      </c>
    </row>
    <row r="6149" spans="1:7" x14ac:dyDescent="0.2">
      <c r="A6149" s="1">
        <v>42548</v>
      </c>
      <c r="B6149">
        <v>2</v>
      </c>
      <c r="C6149" t="s">
        <v>15</v>
      </c>
      <c r="D6149">
        <v>2.6870000000000002E-3</v>
      </c>
      <c r="E6149">
        <f t="shared" si="192"/>
        <v>1.0026870000000001</v>
      </c>
      <c r="F6149" s="1">
        <f t="shared" si="193"/>
        <v>42548</v>
      </c>
      <c r="G6149" cm="1">
        <f t="array" ref="G6149">PRODUCT( _xlfn._xlws.FILTER($E:$E, ($C:$C=C6149)*($F:$F=F6149)) ) - 1</f>
        <v>1.6121356763388217E-2</v>
      </c>
    </row>
    <row r="6150" spans="1:7" x14ac:dyDescent="0.2">
      <c r="A6150" s="1">
        <v>42549</v>
      </c>
      <c r="B6150">
        <v>2</v>
      </c>
      <c r="C6150" t="s">
        <v>15</v>
      </c>
      <c r="D6150">
        <v>1.0962E-2</v>
      </c>
      <c r="E6150">
        <f t="shared" si="192"/>
        <v>1.0109619999999999</v>
      </c>
      <c r="F6150" s="1">
        <f t="shared" si="193"/>
        <v>42548</v>
      </c>
      <c r="G6150" cm="1">
        <f t="array" ref="G6150">PRODUCT( _xlfn._xlws.FILTER($E:$E, ($C:$C=C6150)*($F:$F=F6150)) ) - 1</f>
        <v>1.6121356763388217E-2</v>
      </c>
    </row>
    <row r="6151" spans="1:7" x14ac:dyDescent="0.2">
      <c r="A6151" s="1">
        <v>42550</v>
      </c>
      <c r="B6151">
        <v>2</v>
      </c>
      <c r="C6151" t="s">
        <v>15</v>
      </c>
      <c r="D6151">
        <v>9.3980000000000001E-3</v>
      </c>
      <c r="E6151">
        <f t="shared" si="192"/>
        <v>1.009398</v>
      </c>
      <c r="F6151" s="1">
        <f t="shared" si="193"/>
        <v>42548</v>
      </c>
      <c r="G6151" cm="1">
        <f t="array" ref="G6151">PRODUCT( _xlfn._xlws.FILTER($E:$E, ($C:$C=C6151)*($F:$F=F6151)) ) - 1</f>
        <v>1.6121356763388217E-2</v>
      </c>
    </row>
    <row r="6152" spans="1:7" x14ac:dyDescent="0.2">
      <c r="A6152" s="1">
        <v>42551</v>
      </c>
      <c r="B6152">
        <v>2</v>
      </c>
      <c r="C6152" t="s">
        <v>15</v>
      </c>
      <c r="D6152">
        <v>-6.9230000000000003E-3</v>
      </c>
      <c r="E6152">
        <f t="shared" si="192"/>
        <v>0.99307699999999999</v>
      </c>
      <c r="F6152" s="1">
        <f t="shared" si="193"/>
        <v>42548</v>
      </c>
      <c r="G6152" cm="1">
        <f t="array" ref="G6152">PRODUCT( _xlfn._xlws.FILTER($E:$E, ($C:$C=C6152)*($F:$F=F6152)) ) - 1</f>
        <v>1.6121356763388217E-2</v>
      </c>
    </row>
    <row r="6153" spans="1:7" x14ac:dyDescent="0.2">
      <c r="A6153" s="1">
        <v>42555</v>
      </c>
      <c r="B6153">
        <v>2</v>
      </c>
      <c r="C6153" t="s">
        <v>15</v>
      </c>
      <c r="D6153">
        <v>1.2980999999999999E-2</v>
      </c>
      <c r="E6153">
        <f t="shared" si="192"/>
        <v>1.0129809999999999</v>
      </c>
      <c r="F6153" s="1">
        <f t="shared" si="193"/>
        <v>42555</v>
      </c>
      <c r="G6153" cm="1">
        <f t="array" ref="G6153">PRODUCT( _xlfn._xlws.FILTER($E:$E, ($C:$C=C6153)*($F:$F=F6153)) ) - 1</f>
        <v>2.932747559711113E-2</v>
      </c>
    </row>
    <row r="6154" spans="1:7" x14ac:dyDescent="0.2">
      <c r="A6154" s="1">
        <v>42556</v>
      </c>
      <c r="B6154">
        <v>2</v>
      </c>
      <c r="C6154" t="s">
        <v>15</v>
      </c>
      <c r="D6154">
        <v>1.8747E-2</v>
      </c>
      <c r="E6154">
        <f t="shared" si="192"/>
        <v>1.0187470000000001</v>
      </c>
      <c r="F6154" s="1">
        <f t="shared" si="193"/>
        <v>42555</v>
      </c>
      <c r="G6154" cm="1">
        <f t="array" ref="G6154">PRODUCT( _xlfn._xlws.FILTER($E:$E, ($C:$C=C6154)*($F:$F=F6154)) ) - 1</f>
        <v>2.932747559711113E-2</v>
      </c>
    </row>
    <row r="6155" spans="1:7" x14ac:dyDescent="0.2">
      <c r="A6155" s="1">
        <v>42557</v>
      </c>
      <c r="B6155">
        <v>2</v>
      </c>
      <c r="C6155" t="s">
        <v>15</v>
      </c>
      <c r="D6155">
        <v>4.6589999999999999E-3</v>
      </c>
      <c r="E6155">
        <f t="shared" si="192"/>
        <v>1.004659</v>
      </c>
      <c r="F6155" s="1">
        <f t="shared" si="193"/>
        <v>42555</v>
      </c>
      <c r="G6155" cm="1">
        <f t="array" ref="G6155">PRODUCT( _xlfn._xlws.FILTER($E:$E, ($C:$C=C6155)*($F:$F=F6155)) ) - 1</f>
        <v>2.932747559711113E-2</v>
      </c>
    </row>
    <row r="6156" spans="1:7" x14ac:dyDescent="0.2">
      <c r="A6156" s="1">
        <v>42558</v>
      </c>
      <c r="B6156">
        <v>2</v>
      </c>
      <c r="C6156" t="s">
        <v>15</v>
      </c>
      <c r="D6156">
        <v>6.96E-4</v>
      </c>
      <c r="E6156">
        <f t="shared" si="192"/>
        <v>1.000696</v>
      </c>
      <c r="F6156" s="1">
        <f t="shared" si="193"/>
        <v>42555</v>
      </c>
      <c r="G6156" cm="1">
        <f t="array" ref="G6156">PRODUCT( _xlfn._xlws.FILTER($E:$E, ($C:$C=C6156)*($F:$F=F6156)) ) - 1</f>
        <v>2.932747559711113E-2</v>
      </c>
    </row>
    <row r="6157" spans="1:7" x14ac:dyDescent="0.2">
      <c r="A6157" s="1">
        <v>42559</v>
      </c>
      <c r="B6157">
        <v>2</v>
      </c>
      <c r="C6157" t="s">
        <v>15</v>
      </c>
      <c r="D6157">
        <v>-7.8779999999999996E-3</v>
      </c>
      <c r="E6157">
        <f t="shared" si="192"/>
        <v>0.99212199999999995</v>
      </c>
      <c r="F6157" s="1">
        <f t="shared" si="193"/>
        <v>42555</v>
      </c>
      <c r="G6157" cm="1">
        <f t="array" ref="G6157">PRODUCT( _xlfn._xlws.FILTER($E:$E, ($C:$C=C6157)*($F:$F=F6157)) ) - 1</f>
        <v>2.932747559711113E-2</v>
      </c>
    </row>
    <row r="6158" spans="1:7" x14ac:dyDescent="0.2">
      <c r="A6158" s="1">
        <v>42562</v>
      </c>
      <c r="B6158">
        <v>2</v>
      </c>
      <c r="C6158" t="s">
        <v>15</v>
      </c>
      <c r="D6158">
        <v>3.0360000000000001E-3</v>
      </c>
      <c r="E6158">
        <f t="shared" si="192"/>
        <v>1.003036</v>
      </c>
      <c r="F6158" s="1">
        <f t="shared" si="193"/>
        <v>42562</v>
      </c>
      <c r="G6158" cm="1">
        <f t="array" ref="G6158">PRODUCT( _xlfn._xlws.FILTER($E:$E, ($C:$C=C6158)*($F:$F=F6158)) ) - 1</f>
        <v>3.503683092844101E-3</v>
      </c>
    </row>
    <row r="6159" spans="1:7" x14ac:dyDescent="0.2">
      <c r="A6159" s="1">
        <v>42563</v>
      </c>
      <c r="B6159">
        <v>2</v>
      </c>
      <c r="C6159" t="s">
        <v>15</v>
      </c>
      <c r="D6159">
        <v>7.2179999999999996E-3</v>
      </c>
      <c r="E6159">
        <f t="shared" si="192"/>
        <v>1.0072179999999999</v>
      </c>
      <c r="F6159" s="1">
        <f t="shared" si="193"/>
        <v>42562</v>
      </c>
      <c r="G6159" cm="1">
        <f t="array" ref="G6159">PRODUCT( _xlfn._xlws.FILTER($E:$E, ($C:$C=C6159)*($F:$F=F6159)) ) - 1</f>
        <v>3.503683092844101E-3</v>
      </c>
    </row>
    <row r="6160" spans="1:7" x14ac:dyDescent="0.2">
      <c r="A6160" s="1">
        <v>42564</v>
      </c>
      <c r="B6160">
        <v>2</v>
      </c>
      <c r="C6160" t="s">
        <v>15</v>
      </c>
      <c r="D6160">
        <v>1.1559999999999999E-3</v>
      </c>
      <c r="E6160">
        <f t="shared" si="192"/>
        <v>1.0011559999999999</v>
      </c>
      <c r="F6160" s="1">
        <f t="shared" si="193"/>
        <v>42562</v>
      </c>
      <c r="G6160" cm="1">
        <f t="array" ref="G6160">PRODUCT( _xlfn._xlws.FILTER($E:$E, ($C:$C=C6160)*($F:$F=F6160)) ) - 1</f>
        <v>3.503683092844101E-3</v>
      </c>
    </row>
    <row r="6161" spans="1:7" x14ac:dyDescent="0.2">
      <c r="A6161" s="1">
        <v>42565</v>
      </c>
      <c r="B6161">
        <v>2</v>
      </c>
      <c r="C6161" t="s">
        <v>15</v>
      </c>
      <c r="D6161">
        <v>1.616E-3</v>
      </c>
      <c r="E6161">
        <f t="shared" si="192"/>
        <v>1.0016160000000001</v>
      </c>
      <c r="F6161" s="1">
        <f t="shared" si="193"/>
        <v>42562</v>
      </c>
      <c r="G6161" cm="1">
        <f t="array" ref="G6161">PRODUCT( _xlfn._xlws.FILTER($E:$E, ($C:$C=C6161)*($F:$F=F6161)) ) - 1</f>
        <v>3.503683092844101E-3</v>
      </c>
    </row>
    <row r="6162" spans="1:7" x14ac:dyDescent="0.2">
      <c r="A6162" s="1">
        <v>42566</v>
      </c>
      <c r="B6162">
        <v>2</v>
      </c>
      <c r="C6162" t="s">
        <v>15</v>
      </c>
      <c r="D6162">
        <v>-9.4509999999999993E-3</v>
      </c>
      <c r="E6162">
        <f t="shared" si="192"/>
        <v>0.99054900000000001</v>
      </c>
      <c r="F6162" s="1">
        <f t="shared" si="193"/>
        <v>42562</v>
      </c>
      <c r="G6162" cm="1">
        <f t="array" ref="G6162">PRODUCT( _xlfn._xlws.FILTER($E:$E, ($C:$C=C6162)*($F:$F=F6162)) ) - 1</f>
        <v>3.503683092844101E-3</v>
      </c>
    </row>
    <row r="6163" spans="1:7" x14ac:dyDescent="0.2">
      <c r="A6163" s="1">
        <v>42569</v>
      </c>
      <c r="B6163">
        <v>2</v>
      </c>
      <c r="C6163" t="s">
        <v>15</v>
      </c>
      <c r="D6163">
        <v>-2.33E-4</v>
      </c>
      <c r="E6163">
        <f t="shared" si="192"/>
        <v>0.99976699999999996</v>
      </c>
      <c r="F6163" s="1">
        <f t="shared" si="193"/>
        <v>42569</v>
      </c>
      <c r="G6163" cm="1">
        <f t="array" ref="G6163">PRODUCT( _xlfn._xlws.FILTER($E:$E, ($C:$C=C6163)*($F:$F=F6163)) ) - 1</f>
        <v>2.3038743422758579E-2</v>
      </c>
    </row>
    <row r="6164" spans="1:7" x14ac:dyDescent="0.2">
      <c r="A6164" s="1">
        <v>42570</v>
      </c>
      <c r="B6164">
        <v>2</v>
      </c>
      <c r="C6164" t="s">
        <v>15</v>
      </c>
      <c r="D6164">
        <v>3.7239999999999999E-3</v>
      </c>
      <c r="E6164">
        <f t="shared" si="192"/>
        <v>1.0037240000000001</v>
      </c>
      <c r="F6164" s="1">
        <f t="shared" si="193"/>
        <v>42569</v>
      </c>
      <c r="G6164" cm="1">
        <f t="array" ref="G6164">PRODUCT( _xlfn._xlws.FILTER($E:$E, ($C:$C=C6164)*($F:$F=F6164)) ) - 1</f>
        <v>2.3038743422758579E-2</v>
      </c>
    </row>
    <row r="6165" spans="1:7" x14ac:dyDescent="0.2">
      <c r="A6165" s="1">
        <v>42571</v>
      </c>
      <c r="B6165">
        <v>2</v>
      </c>
      <c r="C6165" t="s">
        <v>15</v>
      </c>
      <c r="D6165">
        <v>3.7109999999999999E-3</v>
      </c>
      <c r="E6165">
        <f t="shared" si="192"/>
        <v>1.003711</v>
      </c>
      <c r="F6165" s="1">
        <f t="shared" si="193"/>
        <v>42569</v>
      </c>
      <c r="G6165" cm="1">
        <f t="array" ref="G6165">PRODUCT( _xlfn._xlws.FILTER($E:$E, ($C:$C=C6165)*($F:$F=F6165)) ) - 1</f>
        <v>2.3038743422758579E-2</v>
      </c>
    </row>
    <row r="6166" spans="1:7" x14ac:dyDescent="0.2">
      <c r="A6166" s="1">
        <v>42572</v>
      </c>
      <c r="B6166">
        <v>2</v>
      </c>
      <c r="C6166" t="s">
        <v>15</v>
      </c>
      <c r="D6166">
        <v>-2.31E-4</v>
      </c>
      <c r="E6166">
        <f t="shared" si="192"/>
        <v>0.99976900000000002</v>
      </c>
      <c r="F6166" s="1">
        <f t="shared" si="193"/>
        <v>42569</v>
      </c>
      <c r="G6166" cm="1">
        <f t="array" ref="G6166">PRODUCT( _xlfn._xlws.FILTER($E:$E, ($C:$C=C6166)*($F:$F=F6166)) ) - 1</f>
        <v>2.3038743422758579E-2</v>
      </c>
    </row>
    <row r="6167" spans="1:7" x14ac:dyDescent="0.2">
      <c r="A6167" s="1">
        <v>42573</v>
      </c>
      <c r="B6167">
        <v>2</v>
      </c>
      <c r="C6167" t="s">
        <v>15</v>
      </c>
      <c r="D6167">
        <v>1.5945999999999998E-2</v>
      </c>
      <c r="E6167">
        <f t="shared" si="192"/>
        <v>1.015946</v>
      </c>
      <c r="F6167" s="1">
        <f t="shared" si="193"/>
        <v>42569</v>
      </c>
      <c r="G6167" cm="1">
        <f t="array" ref="G6167">PRODUCT( _xlfn._xlws.FILTER($E:$E, ($C:$C=C6167)*($F:$F=F6167)) ) - 1</f>
        <v>2.3038743422758579E-2</v>
      </c>
    </row>
    <row r="6168" spans="1:7" x14ac:dyDescent="0.2">
      <c r="A6168" s="1">
        <v>42576</v>
      </c>
      <c r="B6168">
        <v>2</v>
      </c>
      <c r="C6168" t="s">
        <v>15</v>
      </c>
      <c r="D6168">
        <v>-2.5019999999999999E-3</v>
      </c>
      <c r="E6168">
        <f t="shared" si="192"/>
        <v>0.997498</v>
      </c>
      <c r="F6168" s="1">
        <f t="shared" si="193"/>
        <v>42576</v>
      </c>
      <c r="G6168" cm="1">
        <f t="array" ref="G6168">PRODUCT( _xlfn._xlws.FILTER($E:$E, ($C:$C=C6168)*($F:$F=F6168)) ) - 1</f>
        <v>-6.1421069670650752E-3</v>
      </c>
    </row>
    <row r="6169" spans="1:7" x14ac:dyDescent="0.2">
      <c r="A6169" s="1">
        <v>42577</v>
      </c>
      <c r="B6169">
        <v>2</v>
      </c>
      <c r="C6169" t="s">
        <v>15</v>
      </c>
      <c r="D6169">
        <v>3.6489999999999999E-3</v>
      </c>
      <c r="E6169">
        <f t="shared" si="192"/>
        <v>1.003649</v>
      </c>
      <c r="F6169" s="1">
        <f t="shared" si="193"/>
        <v>42576</v>
      </c>
      <c r="G6169" cm="1">
        <f t="array" ref="G6169">PRODUCT( _xlfn._xlws.FILTER($E:$E, ($C:$C=C6169)*($F:$F=F6169)) ) - 1</f>
        <v>-6.1421069670650752E-3</v>
      </c>
    </row>
    <row r="6170" spans="1:7" x14ac:dyDescent="0.2">
      <c r="A6170" s="1">
        <v>42578</v>
      </c>
      <c r="B6170">
        <v>2</v>
      </c>
      <c r="C6170" t="s">
        <v>15</v>
      </c>
      <c r="D6170">
        <v>-3.6359999999999999E-3</v>
      </c>
      <c r="E6170">
        <f t="shared" si="192"/>
        <v>0.99636400000000003</v>
      </c>
      <c r="F6170" s="1">
        <f t="shared" si="193"/>
        <v>42576</v>
      </c>
      <c r="G6170" cm="1">
        <f t="array" ref="G6170">PRODUCT( _xlfn._xlws.FILTER($E:$E, ($C:$C=C6170)*($F:$F=F6170)) ) - 1</f>
        <v>-6.1421069670650752E-3</v>
      </c>
    </row>
    <row r="6171" spans="1:7" x14ac:dyDescent="0.2">
      <c r="A6171" s="1">
        <v>42579</v>
      </c>
      <c r="B6171">
        <v>2</v>
      </c>
      <c r="C6171" t="s">
        <v>15</v>
      </c>
      <c r="D6171">
        <v>-6.8400000000000004E-4</v>
      </c>
      <c r="E6171">
        <f t="shared" si="192"/>
        <v>0.99931599999999998</v>
      </c>
      <c r="F6171" s="1">
        <f t="shared" si="193"/>
        <v>42576</v>
      </c>
      <c r="G6171" cm="1">
        <f t="array" ref="G6171">PRODUCT( _xlfn._xlws.FILTER($E:$E, ($C:$C=C6171)*($F:$F=F6171)) ) - 1</f>
        <v>-6.1421069670650752E-3</v>
      </c>
    </row>
    <row r="6172" spans="1:7" x14ac:dyDescent="0.2">
      <c r="A6172" s="1">
        <v>42580</v>
      </c>
      <c r="B6172">
        <v>2</v>
      </c>
      <c r="C6172" t="s">
        <v>15</v>
      </c>
      <c r="D6172">
        <v>-2.967E-3</v>
      </c>
      <c r="E6172">
        <f t="shared" si="192"/>
        <v>0.99703299999999995</v>
      </c>
      <c r="F6172" s="1">
        <f t="shared" si="193"/>
        <v>42576</v>
      </c>
      <c r="G6172" cm="1">
        <f t="array" ref="G6172">PRODUCT( _xlfn._xlws.FILTER($E:$E, ($C:$C=C6172)*($F:$F=F6172)) ) - 1</f>
        <v>-6.1421069670650752E-3</v>
      </c>
    </row>
    <row r="6173" spans="1:7" x14ac:dyDescent="0.2">
      <c r="A6173" s="1">
        <v>42584</v>
      </c>
      <c r="B6173">
        <v>2</v>
      </c>
      <c r="C6173" t="s">
        <v>15</v>
      </c>
      <c r="D6173">
        <v>-1.6251000000000002E-2</v>
      </c>
      <c r="E6173">
        <f t="shared" si="192"/>
        <v>0.98374899999999998</v>
      </c>
      <c r="F6173" s="1">
        <f t="shared" si="193"/>
        <v>42583</v>
      </c>
      <c r="G6173" cm="1">
        <f t="array" ref="G6173">PRODUCT( _xlfn._xlws.FILTER($E:$E, ($C:$C=C6173)*($F:$F=F6173)) ) - 1</f>
        <v>-5.4929607697997707E-3</v>
      </c>
    </row>
    <row r="6174" spans="1:7" x14ac:dyDescent="0.2">
      <c r="A6174" s="1">
        <v>42585</v>
      </c>
      <c r="B6174">
        <v>2</v>
      </c>
      <c r="C6174" t="s">
        <v>15</v>
      </c>
      <c r="D6174">
        <v>-2.0939999999999999E-3</v>
      </c>
      <c r="E6174">
        <f t="shared" si="192"/>
        <v>0.99790599999999996</v>
      </c>
      <c r="F6174" s="1">
        <f t="shared" si="193"/>
        <v>42583</v>
      </c>
      <c r="G6174" cm="1">
        <f t="array" ref="G6174">PRODUCT( _xlfn._xlws.FILTER($E:$E, ($C:$C=C6174)*($F:$F=F6174)) ) - 1</f>
        <v>-5.4929607697997707E-3</v>
      </c>
    </row>
    <row r="6175" spans="1:7" x14ac:dyDescent="0.2">
      <c r="A6175" s="1">
        <v>42586</v>
      </c>
      <c r="B6175">
        <v>2</v>
      </c>
      <c r="C6175" t="s">
        <v>15</v>
      </c>
      <c r="D6175">
        <v>-6.7609999999999996E-3</v>
      </c>
      <c r="E6175">
        <f t="shared" si="192"/>
        <v>0.99323899999999998</v>
      </c>
      <c r="F6175" s="1">
        <f t="shared" si="193"/>
        <v>42583</v>
      </c>
      <c r="G6175" cm="1">
        <f t="array" ref="G6175">PRODUCT( _xlfn._xlws.FILTER($E:$E, ($C:$C=C6175)*($F:$F=F6175)) ) - 1</f>
        <v>-5.4929607697997707E-3</v>
      </c>
    </row>
    <row r="6176" spans="1:7" x14ac:dyDescent="0.2">
      <c r="A6176" s="1">
        <v>42587</v>
      </c>
      <c r="B6176">
        <v>2</v>
      </c>
      <c r="C6176" t="s">
        <v>15</v>
      </c>
      <c r="D6176">
        <v>1.9952999999999999E-2</v>
      </c>
      <c r="E6176">
        <f t="shared" si="192"/>
        <v>1.0199530000000001</v>
      </c>
      <c r="F6176" s="1">
        <f t="shared" si="193"/>
        <v>42583</v>
      </c>
      <c r="G6176" cm="1">
        <f t="array" ref="G6176">PRODUCT( _xlfn._xlws.FILTER($E:$E, ($C:$C=C6176)*($F:$F=F6176)) ) - 1</f>
        <v>-5.4929607697997707E-3</v>
      </c>
    </row>
    <row r="6177" spans="1:7" x14ac:dyDescent="0.2">
      <c r="A6177" s="1">
        <v>42590</v>
      </c>
      <c r="B6177">
        <v>2</v>
      </c>
      <c r="C6177" t="s">
        <v>15</v>
      </c>
      <c r="D6177">
        <v>1.1509999999999999E-3</v>
      </c>
      <c r="E6177">
        <f t="shared" si="192"/>
        <v>1.0011509999999999</v>
      </c>
      <c r="F6177" s="1">
        <f t="shared" si="193"/>
        <v>42590</v>
      </c>
      <c r="G6177" cm="1">
        <f t="array" ref="G6177">PRODUCT( _xlfn._xlws.FILTER($E:$E, ($C:$C=C6177)*($F:$F=F6177)) ) - 1</f>
        <v>5.293101262440647E-3</v>
      </c>
    </row>
    <row r="6178" spans="1:7" x14ac:dyDescent="0.2">
      <c r="A6178" s="1">
        <v>42591</v>
      </c>
      <c r="B6178">
        <v>2</v>
      </c>
      <c r="C6178" t="s">
        <v>15</v>
      </c>
      <c r="D6178">
        <v>7.1260000000000004E-3</v>
      </c>
      <c r="E6178">
        <f t="shared" si="192"/>
        <v>1.007126</v>
      </c>
      <c r="F6178" s="1">
        <f t="shared" si="193"/>
        <v>42590</v>
      </c>
      <c r="G6178" cm="1">
        <f t="array" ref="G6178">PRODUCT( _xlfn._xlws.FILTER($E:$E, ($C:$C=C6178)*($F:$F=F6178)) ) - 1</f>
        <v>5.293101262440647E-3</v>
      </c>
    </row>
    <row r="6179" spans="1:7" x14ac:dyDescent="0.2">
      <c r="A6179" s="1">
        <v>42592</v>
      </c>
      <c r="B6179">
        <v>2</v>
      </c>
      <c r="C6179" t="s">
        <v>15</v>
      </c>
      <c r="D6179">
        <v>3.424E-3</v>
      </c>
      <c r="E6179">
        <f t="shared" si="192"/>
        <v>1.0034240000000001</v>
      </c>
      <c r="F6179" s="1">
        <f t="shared" si="193"/>
        <v>42590</v>
      </c>
      <c r="G6179" cm="1">
        <f t="array" ref="G6179">PRODUCT( _xlfn._xlws.FILTER($E:$E, ($C:$C=C6179)*($F:$F=F6179)) ) - 1</f>
        <v>5.293101262440647E-3</v>
      </c>
    </row>
    <row r="6180" spans="1:7" x14ac:dyDescent="0.2">
      <c r="A6180" s="1">
        <v>42593</v>
      </c>
      <c r="B6180">
        <v>2</v>
      </c>
      <c r="C6180" t="s">
        <v>15</v>
      </c>
      <c r="D6180">
        <v>-1.82E-3</v>
      </c>
      <c r="E6180">
        <f t="shared" si="192"/>
        <v>0.99817999999999996</v>
      </c>
      <c r="F6180" s="1">
        <f t="shared" si="193"/>
        <v>42590</v>
      </c>
      <c r="G6180" cm="1">
        <f t="array" ref="G6180">PRODUCT( _xlfn._xlws.FILTER($E:$E, ($C:$C=C6180)*($F:$F=F6180)) ) - 1</f>
        <v>5.293101262440647E-3</v>
      </c>
    </row>
    <row r="6181" spans="1:7" x14ac:dyDescent="0.2">
      <c r="A6181" s="1">
        <v>42594</v>
      </c>
      <c r="B6181">
        <v>2</v>
      </c>
      <c r="C6181" t="s">
        <v>15</v>
      </c>
      <c r="D6181">
        <v>-4.5580000000000004E-3</v>
      </c>
      <c r="E6181">
        <f t="shared" si="192"/>
        <v>0.99544200000000005</v>
      </c>
      <c r="F6181" s="1">
        <f t="shared" si="193"/>
        <v>42590</v>
      </c>
      <c r="G6181" cm="1">
        <f t="array" ref="G6181">PRODUCT( _xlfn._xlws.FILTER($E:$E, ($C:$C=C6181)*($F:$F=F6181)) ) - 1</f>
        <v>5.293101262440647E-3</v>
      </c>
    </row>
    <row r="6182" spans="1:7" x14ac:dyDescent="0.2">
      <c r="A6182" s="1">
        <v>42597</v>
      </c>
      <c r="B6182">
        <v>2</v>
      </c>
      <c r="C6182" t="s">
        <v>15</v>
      </c>
      <c r="D6182">
        <v>-3.2049999999999999E-3</v>
      </c>
      <c r="E6182">
        <f t="shared" si="192"/>
        <v>0.99679499999999999</v>
      </c>
      <c r="F6182" s="1">
        <f t="shared" si="193"/>
        <v>42597</v>
      </c>
      <c r="G6182" cm="1">
        <f t="array" ref="G6182">PRODUCT( _xlfn._xlws.FILTER($E:$E, ($C:$C=C6182)*($F:$F=F6182)) ) - 1</f>
        <v>-1.2133420638558379E-2</v>
      </c>
    </row>
    <row r="6183" spans="1:7" x14ac:dyDescent="0.2">
      <c r="A6183" s="1">
        <v>42598</v>
      </c>
      <c r="B6183">
        <v>2</v>
      </c>
      <c r="C6183" t="s">
        <v>15</v>
      </c>
      <c r="D6183">
        <v>-8.9569999999999997E-3</v>
      </c>
      <c r="E6183">
        <f t="shared" si="192"/>
        <v>0.99104300000000001</v>
      </c>
      <c r="F6183" s="1">
        <f t="shared" si="193"/>
        <v>42597</v>
      </c>
      <c r="G6183" cm="1">
        <f t="array" ref="G6183">PRODUCT( _xlfn._xlws.FILTER($E:$E, ($C:$C=C6183)*($F:$F=F6183)) ) - 1</f>
        <v>-1.2133420638558379E-2</v>
      </c>
    </row>
    <row r="6184" spans="1:7" x14ac:dyDescent="0.2">
      <c r="A6184" s="1">
        <v>42599</v>
      </c>
      <c r="B6184">
        <v>2</v>
      </c>
      <c r="C6184" t="s">
        <v>15</v>
      </c>
      <c r="D6184">
        <v>-1.1590000000000001E-3</v>
      </c>
      <c r="E6184">
        <f t="shared" si="192"/>
        <v>0.99884099999999998</v>
      </c>
      <c r="F6184" s="1">
        <f t="shared" si="193"/>
        <v>42597</v>
      </c>
      <c r="G6184" cm="1">
        <f t="array" ref="G6184">PRODUCT( _xlfn._xlws.FILTER($E:$E, ($C:$C=C6184)*($F:$F=F6184)) ) - 1</f>
        <v>-1.2133420638558379E-2</v>
      </c>
    </row>
    <row r="6185" spans="1:7" x14ac:dyDescent="0.2">
      <c r="A6185" s="1">
        <v>42600</v>
      </c>
      <c r="B6185">
        <v>2</v>
      </c>
      <c r="C6185" t="s">
        <v>15</v>
      </c>
      <c r="D6185">
        <v>2.32E-4</v>
      </c>
      <c r="E6185">
        <f t="shared" si="192"/>
        <v>1.000232</v>
      </c>
      <c r="F6185" s="1">
        <f t="shared" si="193"/>
        <v>42597</v>
      </c>
      <c r="G6185" cm="1">
        <f t="array" ref="G6185">PRODUCT( _xlfn._xlws.FILTER($E:$E, ($C:$C=C6185)*($F:$F=F6185)) ) - 1</f>
        <v>-1.2133420638558379E-2</v>
      </c>
    </row>
    <row r="6186" spans="1:7" x14ac:dyDescent="0.2">
      <c r="A6186" s="1">
        <v>42601</v>
      </c>
      <c r="B6186">
        <v>2</v>
      </c>
      <c r="C6186" t="s">
        <v>15</v>
      </c>
      <c r="D6186">
        <v>9.2800000000000001E-4</v>
      </c>
      <c r="E6186">
        <f t="shared" si="192"/>
        <v>1.000928</v>
      </c>
      <c r="F6186" s="1">
        <f t="shared" si="193"/>
        <v>42597</v>
      </c>
      <c r="G6186" cm="1">
        <f t="array" ref="G6186">PRODUCT( _xlfn._xlws.FILTER($E:$E, ($C:$C=C6186)*($F:$F=F6186)) ) - 1</f>
        <v>-1.2133420638558379E-2</v>
      </c>
    </row>
    <row r="6187" spans="1:7" x14ac:dyDescent="0.2">
      <c r="A6187" s="1">
        <v>42604</v>
      </c>
      <c r="B6187">
        <v>2</v>
      </c>
      <c r="C6187" t="s">
        <v>15</v>
      </c>
      <c r="D6187">
        <v>7.6480000000000003E-3</v>
      </c>
      <c r="E6187">
        <f t="shared" si="192"/>
        <v>1.0076480000000001</v>
      </c>
      <c r="F6187" s="1">
        <f t="shared" si="193"/>
        <v>42604</v>
      </c>
      <c r="G6187" cm="1">
        <f t="array" ref="G6187">PRODUCT( _xlfn._xlws.FILTER($E:$E, ($C:$C=C6187)*($F:$F=F6187)) ) - 1</f>
        <v>-1.1590280542372877E-3</v>
      </c>
    </row>
    <row r="6188" spans="1:7" x14ac:dyDescent="0.2">
      <c r="A6188" s="1">
        <v>42605</v>
      </c>
      <c r="B6188">
        <v>2</v>
      </c>
      <c r="C6188" t="s">
        <v>15</v>
      </c>
      <c r="D6188">
        <v>-4.5999999999999999E-3</v>
      </c>
      <c r="E6188">
        <f t="shared" si="192"/>
        <v>0.99539999999999995</v>
      </c>
      <c r="F6188" s="1">
        <f t="shared" si="193"/>
        <v>42604</v>
      </c>
      <c r="G6188" cm="1">
        <f t="array" ref="G6188">PRODUCT( _xlfn._xlws.FILTER($E:$E, ($C:$C=C6188)*($F:$F=F6188)) ) - 1</f>
        <v>-1.1590280542372877E-3</v>
      </c>
    </row>
    <row r="6189" spans="1:7" x14ac:dyDescent="0.2">
      <c r="A6189" s="1">
        <v>42606</v>
      </c>
      <c r="B6189">
        <v>2</v>
      </c>
      <c r="C6189" t="s">
        <v>15</v>
      </c>
      <c r="D6189">
        <v>1.3860000000000001E-3</v>
      </c>
      <c r="E6189">
        <f t="shared" si="192"/>
        <v>1.0013860000000001</v>
      </c>
      <c r="F6189" s="1">
        <f t="shared" si="193"/>
        <v>42604</v>
      </c>
      <c r="G6189" cm="1">
        <f t="array" ref="G6189">PRODUCT( _xlfn._xlws.FILTER($E:$E, ($C:$C=C6189)*($F:$F=F6189)) ) - 1</f>
        <v>-1.1590280542372877E-3</v>
      </c>
    </row>
    <row r="6190" spans="1:7" x14ac:dyDescent="0.2">
      <c r="A6190" s="1">
        <v>42607</v>
      </c>
      <c r="B6190">
        <v>2</v>
      </c>
      <c r="C6190" t="s">
        <v>15</v>
      </c>
      <c r="D6190">
        <v>-3.9230000000000003E-3</v>
      </c>
      <c r="E6190">
        <f t="shared" si="192"/>
        <v>0.99607699999999999</v>
      </c>
      <c r="F6190" s="1">
        <f t="shared" si="193"/>
        <v>42604</v>
      </c>
      <c r="G6190" cm="1">
        <f t="array" ref="G6190">PRODUCT( _xlfn._xlws.FILTER($E:$E, ($C:$C=C6190)*($F:$F=F6190)) ) - 1</f>
        <v>-1.1590280542372877E-3</v>
      </c>
    </row>
    <row r="6191" spans="1:7" x14ac:dyDescent="0.2">
      <c r="A6191" s="1">
        <v>42608</v>
      </c>
      <c r="B6191">
        <v>2</v>
      </c>
      <c r="C6191" t="s">
        <v>15</v>
      </c>
      <c r="D6191">
        <v>-1.621E-3</v>
      </c>
      <c r="E6191">
        <f t="shared" si="192"/>
        <v>0.99837900000000002</v>
      </c>
      <c r="F6191" s="1">
        <f t="shared" si="193"/>
        <v>42604</v>
      </c>
      <c r="G6191" cm="1">
        <f t="array" ref="G6191">PRODUCT( _xlfn._xlws.FILTER($E:$E, ($C:$C=C6191)*($F:$F=F6191)) ) - 1</f>
        <v>-1.1590280542372877E-3</v>
      </c>
    </row>
    <row r="6192" spans="1:7" x14ac:dyDescent="0.2">
      <c r="A6192" s="1">
        <v>42611</v>
      </c>
      <c r="B6192">
        <v>2</v>
      </c>
      <c r="C6192" t="s">
        <v>15</v>
      </c>
      <c r="D6192">
        <v>5.3369999999999997E-3</v>
      </c>
      <c r="E6192">
        <f t="shared" si="192"/>
        <v>1.0053369999999999</v>
      </c>
      <c r="F6192" s="1">
        <f t="shared" si="193"/>
        <v>42611</v>
      </c>
      <c r="G6192" cm="1">
        <f t="array" ref="G6192">PRODUCT( _xlfn._xlws.FILTER($E:$E, ($C:$C=C6192)*($F:$F=F6192)) ) - 1</f>
        <v>1.9025232298690131E-2</v>
      </c>
    </row>
    <row r="6193" spans="1:7" x14ac:dyDescent="0.2">
      <c r="A6193" s="1">
        <v>42612</v>
      </c>
      <c r="B6193">
        <v>2</v>
      </c>
      <c r="C6193" t="s">
        <v>15</v>
      </c>
      <c r="D6193">
        <v>-1.3849999999999999E-3</v>
      </c>
      <c r="E6193">
        <f t="shared" si="192"/>
        <v>0.99861500000000003</v>
      </c>
      <c r="F6193" s="1">
        <f t="shared" si="193"/>
        <v>42611</v>
      </c>
      <c r="G6193" cm="1">
        <f t="array" ref="G6193">PRODUCT( _xlfn._xlws.FILTER($E:$E, ($C:$C=C6193)*($F:$F=F6193)) ) - 1</f>
        <v>1.9025232298690131E-2</v>
      </c>
    </row>
    <row r="6194" spans="1:7" x14ac:dyDescent="0.2">
      <c r="A6194" s="1">
        <v>42613</v>
      </c>
      <c r="B6194">
        <v>2</v>
      </c>
      <c r="C6194" t="s">
        <v>15</v>
      </c>
      <c r="D6194">
        <v>-5.7780000000000001E-3</v>
      </c>
      <c r="E6194">
        <f t="shared" si="192"/>
        <v>0.99422200000000005</v>
      </c>
      <c r="F6194" s="1">
        <f t="shared" si="193"/>
        <v>42611</v>
      </c>
      <c r="G6194" cm="1">
        <f t="array" ref="G6194">PRODUCT( _xlfn._xlws.FILTER($E:$E, ($C:$C=C6194)*($F:$F=F6194)) ) - 1</f>
        <v>1.9025232298690131E-2</v>
      </c>
    </row>
    <row r="6195" spans="1:7" x14ac:dyDescent="0.2">
      <c r="A6195" s="1">
        <v>42614</v>
      </c>
      <c r="B6195">
        <v>2</v>
      </c>
      <c r="C6195" t="s">
        <v>15</v>
      </c>
      <c r="D6195">
        <v>1.4179000000000001E-2</v>
      </c>
      <c r="E6195">
        <f t="shared" si="192"/>
        <v>1.0141789999999999</v>
      </c>
      <c r="F6195" s="1">
        <f t="shared" si="193"/>
        <v>42611</v>
      </c>
      <c r="G6195" cm="1">
        <f t="array" ref="G6195">PRODUCT( _xlfn._xlws.FILTER($E:$E, ($C:$C=C6195)*($F:$F=F6195)) ) - 1</f>
        <v>1.9025232298690131E-2</v>
      </c>
    </row>
    <row r="6196" spans="1:7" x14ac:dyDescent="0.2">
      <c r="A6196" s="1">
        <v>42615</v>
      </c>
      <c r="B6196">
        <v>2</v>
      </c>
      <c r="C6196" t="s">
        <v>15</v>
      </c>
      <c r="D6196">
        <v>6.6470000000000001E-3</v>
      </c>
      <c r="E6196">
        <f t="shared" si="192"/>
        <v>1.0066470000000001</v>
      </c>
      <c r="F6196" s="1">
        <f t="shared" si="193"/>
        <v>42611</v>
      </c>
      <c r="G6196" cm="1">
        <f t="array" ref="G6196">PRODUCT( _xlfn._xlws.FILTER($E:$E, ($C:$C=C6196)*($F:$F=F6196)) ) - 1</f>
        <v>1.9025232298690131E-2</v>
      </c>
    </row>
    <row r="6197" spans="1:7" x14ac:dyDescent="0.2">
      <c r="A6197" s="1">
        <v>42619</v>
      </c>
      <c r="B6197">
        <v>2</v>
      </c>
      <c r="C6197" t="s">
        <v>15</v>
      </c>
      <c r="D6197">
        <v>-2.96E-3</v>
      </c>
      <c r="E6197">
        <f t="shared" si="192"/>
        <v>0.99704000000000004</v>
      </c>
      <c r="F6197" s="1">
        <f t="shared" si="193"/>
        <v>42618</v>
      </c>
      <c r="G6197" cm="1">
        <f t="array" ref="G6197">PRODUCT( _xlfn._xlws.FILTER($E:$E, ($C:$C=C6197)*($F:$F=F6197)) ) - 1</f>
        <v>-3.2769513395765171E-2</v>
      </c>
    </row>
    <row r="6198" spans="1:7" x14ac:dyDescent="0.2">
      <c r="A6198" s="1">
        <v>42620</v>
      </c>
      <c r="B6198">
        <v>2</v>
      </c>
      <c r="C6198" t="s">
        <v>15</v>
      </c>
      <c r="D6198">
        <v>-1.0048E-2</v>
      </c>
      <c r="E6198">
        <f t="shared" si="192"/>
        <v>0.98995200000000005</v>
      </c>
      <c r="F6198" s="1">
        <f t="shared" si="193"/>
        <v>42618</v>
      </c>
      <c r="G6198" cm="1">
        <f t="array" ref="G6198">PRODUCT( _xlfn._xlws.FILTER($E:$E, ($C:$C=C6198)*($F:$F=F6198)) ) - 1</f>
        <v>-3.2769513395765171E-2</v>
      </c>
    </row>
    <row r="6199" spans="1:7" x14ac:dyDescent="0.2">
      <c r="A6199" s="1">
        <v>42621</v>
      </c>
      <c r="B6199">
        <v>2</v>
      </c>
      <c r="C6199" t="s">
        <v>15</v>
      </c>
      <c r="D6199">
        <v>-4.4299999999999999E-3</v>
      </c>
      <c r="E6199">
        <f t="shared" si="192"/>
        <v>0.99556999999999995</v>
      </c>
      <c r="F6199" s="1">
        <f t="shared" si="193"/>
        <v>42618</v>
      </c>
      <c r="G6199" cm="1">
        <f t="array" ref="G6199">PRODUCT( _xlfn._xlws.FILTER($E:$E, ($C:$C=C6199)*($F:$F=F6199)) ) - 1</f>
        <v>-3.2769513395765171E-2</v>
      </c>
    </row>
    <row r="6200" spans="1:7" x14ac:dyDescent="0.2">
      <c r="A6200" s="1">
        <v>42622</v>
      </c>
      <c r="B6200">
        <v>2</v>
      </c>
      <c r="C6200" t="s">
        <v>15</v>
      </c>
      <c r="D6200">
        <v>-1.5691E-2</v>
      </c>
      <c r="E6200">
        <f t="shared" si="192"/>
        <v>0.98430899999999999</v>
      </c>
      <c r="F6200" s="1">
        <f t="shared" si="193"/>
        <v>42618</v>
      </c>
      <c r="G6200" cm="1">
        <f t="array" ref="G6200">PRODUCT( _xlfn._xlws.FILTER($E:$E, ($C:$C=C6200)*($F:$F=F6200)) ) - 1</f>
        <v>-3.2769513395765171E-2</v>
      </c>
    </row>
    <row r="6201" spans="1:7" x14ac:dyDescent="0.2">
      <c r="A6201" s="1">
        <v>42625</v>
      </c>
      <c r="B6201">
        <v>2</v>
      </c>
      <c r="C6201" t="s">
        <v>15</v>
      </c>
      <c r="D6201">
        <v>1.665E-3</v>
      </c>
      <c r="E6201">
        <f t="shared" si="192"/>
        <v>1.001665</v>
      </c>
      <c r="F6201" s="1">
        <f t="shared" si="193"/>
        <v>42625</v>
      </c>
      <c r="G6201" cm="1">
        <f t="array" ref="G6201">PRODUCT( _xlfn._xlws.FILTER($E:$E, ($C:$C=C6201)*($F:$F=F6201)) ) - 1</f>
        <v>-4.3537559635264955E-7</v>
      </c>
    </row>
    <row r="6202" spans="1:7" x14ac:dyDescent="0.2">
      <c r="A6202" s="1">
        <v>42626</v>
      </c>
      <c r="B6202">
        <v>2</v>
      </c>
      <c r="C6202" t="s">
        <v>15</v>
      </c>
      <c r="D6202">
        <v>-9.5010000000000008E-3</v>
      </c>
      <c r="E6202">
        <f t="shared" si="192"/>
        <v>0.99049900000000002</v>
      </c>
      <c r="F6202" s="1">
        <f t="shared" si="193"/>
        <v>42625</v>
      </c>
      <c r="G6202" cm="1">
        <f t="array" ref="G6202">PRODUCT( _xlfn._xlws.FILTER($E:$E, ($C:$C=C6202)*($F:$F=F6202)) ) - 1</f>
        <v>-4.3537559635264955E-7</v>
      </c>
    </row>
    <row r="6203" spans="1:7" x14ac:dyDescent="0.2">
      <c r="A6203" s="1">
        <v>42627</v>
      </c>
      <c r="B6203">
        <v>2</v>
      </c>
      <c r="C6203" t="s">
        <v>15</v>
      </c>
      <c r="D6203">
        <v>0</v>
      </c>
      <c r="E6203">
        <f t="shared" si="192"/>
        <v>1</v>
      </c>
      <c r="F6203" s="1">
        <f t="shared" si="193"/>
        <v>42625</v>
      </c>
      <c r="G6203" cm="1">
        <f t="array" ref="G6203">PRODUCT( _xlfn._xlws.FILTER($E:$E, ($C:$C=C6203)*($F:$F=F6203)) ) - 1</f>
        <v>-4.3537559635264955E-7</v>
      </c>
    </row>
    <row r="6204" spans="1:7" x14ac:dyDescent="0.2">
      <c r="A6204" s="1">
        <v>42628</v>
      </c>
      <c r="B6204">
        <v>2</v>
      </c>
      <c r="C6204" t="s">
        <v>15</v>
      </c>
      <c r="D6204">
        <v>1.0312E-2</v>
      </c>
      <c r="E6204">
        <f t="shared" si="192"/>
        <v>1.0103120000000001</v>
      </c>
      <c r="F6204" s="1">
        <f t="shared" si="193"/>
        <v>42625</v>
      </c>
      <c r="G6204" cm="1">
        <f t="array" ref="G6204">PRODUCT( _xlfn._xlws.FILTER($E:$E, ($C:$C=C6204)*($F:$F=F6204)) ) - 1</f>
        <v>-4.3537559635264955E-7</v>
      </c>
    </row>
    <row r="6205" spans="1:7" x14ac:dyDescent="0.2">
      <c r="A6205" s="1">
        <v>42629</v>
      </c>
      <c r="B6205">
        <v>2</v>
      </c>
      <c r="C6205" t="s">
        <v>15</v>
      </c>
      <c r="D6205">
        <v>-2.3739999999999998E-3</v>
      </c>
      <c r="E6205">
        <f t="shared" si="192"/>
        <v>0.99762600000000001</v>
      </c>
      <c r="F6205" s="1">
        <f t="shared" si="193"/>
        <v>42625</v>
      </c>
      <c r="G6205" cm="1">
        <f t="array" ref="G6205">PRODUCT( _xlfn._xlws.FILTER($E:$E, ($C:$C=C6205)*($F:$F=F6205)) ) - 1</f>
        <v>-4.3537559635264955E-7</v>
      </c>
    </row>
    <row r="6206" spans="1:7" x14ac:dyDescent="0.2">
      <c r="A6206" s="1">
        <v>42632</v>
      </c>
      <c r="B6206">
        <v>2</v>
      </c>
      <c r="C6206" t="s">
        <v>15</v>
      </c>
      <c r="D6206">
        <v>2.3800000000000001E-4</v>
      </c>
      <c r="E6206">
        <f t="shared" si="192"/>
        <v>1.000238</v>
      </c>
      <c r="F6206" s="1">
        <f t="shared" si="193"/>
        <v>42632</v>
      </c>
      <c r="G6206" cm="1">
        <f t="array" ref="G6206">PRODUCT( _xlfn._xlws.FILTER($E:$E, ($C:$C=C6206)*($F:$F=F6206)) ) - 1</f>
        <v>2.1176389114542227E-2</v>
      </c>
    </row>
    <row r="6207" spans="1:7" x14ac:dyDescent="0.2">
      <c r="A6207" s="1">
        <v>42633</v>
      </c>
      <c r="B6207">
        <v>2</v>
      </c>
      <c r="C6207" t="s">
        <v>15</v>
      </c>
      <c r="D6207">
        <v>7.3740000000000003E-3</v>
      </c>
      <c r="E6207">
        <f t="shared" si="192"/>
        <v>1.007374</v>
      </c>
      <c r="F6207" s="1">
        <f t="shared" si="193"/>
        <v>42632</v>
      </c>
      <c r="G6207" cm="1">
        <f t="array" ref="G6207">PRODUCT( _xlfn._xlws.FILTER($E:$E, ($C:$C=C6207)*($F:$F=F6207)) ) - 1</f>
        <v>2.1176389114542227E-2</v>
      </c>
    </row>
    <row r="6208" spans="1:7" x14ac:dyDescent="0.2">
      <c r="A6208" s="1">
        <v>42634</v>
      </c>
      <c r="B6208">
        <v>2</v>
      </c>
      <c r="C6208" t="s">
        <v>15</v>
      </c>
      <c r="D6208">
        <v>8.9730000000000001E-3</v>
      </c>
      <c r="E6208">
        <f t="shared" si="192"/>
        <v>1.0089729999999999</v>
      </c>
      <c r="F6208" s="1">
        <f t="shared" si="193"/>
        <v>42632</v>
      </c>
      <c r="G6208" cm="1">
        <f t="array" ref="G6208">PRODUCT( _xlfn._xlws.FILTER($E:$E, ($C:$C=C6208)*($F:$F=F6208)) ) - 1</f>
        <v>2.1176389114542227E-2</v>
      </c>
    </row>
    <row r="6209" spans="1:7" x14ac:dyDescent="0.2">
      <c r="A6209" s="1">
        <v>42635</v>
      </c>
      <c r="B6209">
        <v>2</v>
      </c>
      <c r="C6209" t="s">
        <v>15</v>
      </c>
      <c r="D6209">
        <v>6.319E-3</v>
      </c>
      <c r="E6209">
        <f t="shared" si="192"/>
        <v>1.006319</v>
      </c>
      <c r="F6209" s="1">
        <f t="shared" si="193"/>
        <v>42632</v>
      </c>
      <c r="G6209" cm="1">
        <f t="array" ref="G6209">PRODUCT( _xlfn._xlws.FILTER($E:$E, ($C:$C=C6209)*($F:$F=F6209)) ) - 1</f>
        <v>2.1176389114542227E-2</v>
      </c>
    </row>
    <row r="6210" spans="1:7" x14ac:dyDescent="0.2">
      <c r="A6210" s="1">
        <v>42636</v>
      </c>
      <c r="B6210">
        <v>2</v>
      </c>
      <c r="C6210" t="s">
        <v>15</v>
      </c>
      <c r="D6210">
        <v>-1.8600000000000001E-3</v>
      </c>
      <c r="E6210">
        <f t="shared" si="192"/>
        <v>0.99814000000000003</v>
      </c>
      <c r="F6210" s="1">
        <f t="shared" si="193"/>
        <v>42632</v>
      </c>
      <c r="G6210" cm="1">
        <f t="array" ref="G6210">PRODUCT( _xlfn._xlws.FILTER($E:$E, ($C:$C=C6210)*($F:$F=F6210)) ) - 1</f>
        <v>2.1176389114542227E-2</v>
      </c>
    </row>
    <row r="6211" spans="1:7" x14ac:dyDescent="0.2">
      <c r="A6211" s="1">
        <v>42639</v>
      </c>
      <c r="B6211">
        <v>2</v>
      </c>
      <c r="C6211" t="s">
        <v>15</v>
      </c>
      <c r="D6211">
        <v>1.3979999999999999E-3</v>
      </c>
      <c r="E6211">
        <f t="shared" si="192"/>
        <v>1.001398</v>
      </c>
      <c r="F6211" s="1">
        <f t="shared" si="193"/>
        <v>42639</v>
      </c>
      <c r="G6211" cm="1">
        <f t="array" ref="G6211">PRODUCT( _xlfn._xlws.FILTER($E:$E, ($C:$C=C6211)*($F:$F=F6211)) ) - 1</f>
        <v>8.6208553647402208E-3</v>
      </c>
    </row>
    <row r="6212" spans="1:7" x14ac:dyDescent="0.2">
      <c r="A6212" s="1">
        <v>42640</v>
      </c>
      <c r="B6212">
        <v>2</v>
      </c>
      <c r="C6212" t="s">
        <v>15</v>
      </c>
      <c r="D6212">
        <v>6.9800000000000005E-4</v>
      </c>
      <c r="E6212">
        <f t="shared" ref="E6212:E6275" si="194">D6212+1</f>
        <v>1.0006980000000001</v>
      </c>
      <c r="F6212" s="1">
        <f t="shared" ref="F6212:F6275" si="195">A6212 - (WEEKDAY(A6212, 2) - 1)</f>
        <v>42639</v>
      </c>
      <c r="G6212" cm="1">
        <f t="array" ref="G6212">PRODUCT( _xlfn._xlws.FILTER($E:$E, ($C:$C=C6212)*($F:$F=F6212)) ) - 1</f>
        <v>8.6208553647402208E-3</v>
      </c>
    </row>
    <row r="6213" spans="1:7" x14ac:dyDescent="0.2">
      <c r="A6213" s="1">
        <v>42641</v>
      </c>
      <c r="B6213">
        <v>2</v>
      </c>
      <c r="C6213" t="s">
        <v>15</v>
      </c>
      <c r="D6213">
        <v>4.8830000000000002E-3</v>
      </c>
      <c r="E6213">
        <f t="shared" si="194"/>
        <v>1.004883</v>
      </c>
      <c r="F6213" s="1">
        <f t="shared" si="195"/>
        <v>42639</v>
      </c>
      <c r="G6213" cm="1">
        <f t="array" ref="G6213">PRODUCT( _xlfn._xlws.FILTER($E:$E, ($C:$C=C6213)*($F:$F=F6213)) ) - 1</f>
        <v>8.6208553647402208E-3</v>
      </c>
    </row>
    <row r="6214" spans="1:7" x14ac:dyDescent="0.2">
      <c r="A6214" s="1">
        <v>42642</v>
      </c>
      <c r="B6214">
        <v>2</v>
      </c>
      <c r="C6214" t="s">
        <v>15</v>
      </c>
      <c r="D6214">
        <v>1.3879999999999999E-3</v>
      </c>
      <c r="E6214">
        <f t="shared" si="194"/>
        <v>1.0013879999999999</v>
      </c>
      <c r="F6214" s="1">
        <f t="shared" si="195"/>
        <v>42639</v>
      </c>
      <c r="G6214" cm="1">
        <f t="array" ref="G6214">PRODUCT( _xlfn._xlws.FILTER($E:$E, ($C:$C=C6214)*($F:$F=F6214)) ) - 1</f>
        <v>8.6208553647402208E-3</v>
      </c>
    </row>
    <row r="6215" spans="1:7" x14ac:dyDescent="0.2">
      <c r="A6215" s="1">
        <v>42643</v>
      </c>
      <c r="B6215">
        <v>2</v>
      </c>
      <c r="C6215" t="s">
        <v>15</v>
      </c>
      <c r="D6215">
        <v>2.31E-4</v>
      </c>
      <c r="E6215">
        <f t="shared" si="194"/>
        <v>1.0002310000000001</v>
      </c>
      <c r="F6215" s="1">
        <f t="shared" si="195"/>
        <v>42639</v>
      </c>
      <c r="G6215" cm="1">
        <f t="array" ref="G6215">PRODUCT( _xlfn._xlws.FILTER($E:$E, ($C:$C=C6215)*($F:$F=F6215)) ) - 1</f>
        <v>8.6208553647402208E-3</v>
      </c>
    </row>
    <row r="6216" spans="1:7" x14ac:dyDescent="0.2">
      <c r="A6216" s="1">
        <v>42646</v>
      </c>
      <c r="B6216">
        <v>2</v>
      </c>
      <c r="C6216" t="s">
        <v>15</v>
      </c>
      <c r="D6216">
        <v>4.6200000000000001E-4</v>
      </c>
      <c r="E6216">
        <f t="shared" si="194"/>
        <v>1.000462</v>
      </c>
      <c r="F6216" s="1">
        <f t="shared" si="195"/>
        <v>42646</v>
      </c>
      <c r="G6216" cm="1">
        <f t="array" ref="G6216">PRODUCT( _xlfn._xlws.FILTER($E:$E, ($C:$C=C6216)*($F:$F=F6216)) ) - 1</f>
        <v>-2.2869765082562776E-2</v>
      </c>
    </row>
    <row r="6217" spans="1:7" x14ac:dyDescent="0.2">
      <c r="A6217" s="1">
        <v>42647</v>
      </c>
      <c r="B6217">
        <v>2</v>
      </c>
      <c r="C6217" t="s">
        <v>15</v>
      </c>
      <c r="D6217">
        <v>-4.849E-3</v>
      </c>
      <c r="E6217">
        <f t="shared" si="194"/>
        <v>0.99515100000000001</v>
      </c>
      <c r="F6217" s="1">
        <f t="shared" si="195"/>
        <v>42646</v>
      </c>
      <c r="G6217" cm="1">
        <f t="array" ref="G6217">PRODUCT( _xlfn._xlws.FILTER($E:$E, ($C:$C=C6217)*($F:$F=F6217)) ) - 1</f>
        <v>-2.2869765082562776E-2</v>
      </c>
    </row>
    <row r="6218" spans="1:7" x14ac:dyDescent="0.2">
      <c r="A6218" s="1">
        <v>42648</v>
      </c>
      <c r="B6218">
        <v>2</v>
      </c>
      <c r="C6218" t="s">
        <v>15</v>
      </c>
      <c r="D6218">
        <v>-6.9610000000000002E-3</v>
      </c>
      <c r="E6218">
        <f t="shared" si="194"/>
        <v>0.99303900000000001</v>
      </c>
      <c r="F6218" s="1">
        <f t="shared" si="195"/>
        <v>42646</v>
      </c>
      <c r="G6218" cm="1">
        <f t="array" ref="G6218">PRODUCT( _xlfn._xlws.FILTER($E:$E, ($C:$C=C6218)*($F:$F=F6218)) ) - 1</f>
        <v>-2.2869765082562776E-2</v>
      </c>
    </row>
    <row r="6219" spans="1:7" x14ac:dyDescent="0.2">
      <c r="A6219" s="1">
        <v>42649</v>
      </c>
      <c r="B6219">
        <v>2</v>
      </c>
      <c r="C6219" t="s">
        <v>15</v>
      </c>
      <c r="D6219">
        <v>1.402E-3</v>
      </c>
      <c r="E6219">
        <f t="shared" si="194"/>
        <v>1.0014019999999999</v>
      </c>
      <c r="F6219" s="1">
        <f t="shared" si="195"/>
        <v>42646</v>
      </c>
      <c r="G6219" cm="1">
        <f t="array" ref="G6219">PRODUCT( _xlfn._xlws.FILTER($E:$E, ($C:$C=C6219)*($F:$F=F6219)) ) - 1</f>
        <v>-2.2869765082562776E-2</v>
      </c>
    </row>
    <row r="6220" spans="1:7" x14ac:dyDescent="0.2">
      <c r="A6220" s="1">
        <v>42650</v>
      </c>
      <c r="B6220">
        <v>2</v>
      </c>
      <c r="C6220" t="s">
        <v>15</v>
      </c>
      <c r="D6220">
        <v>-1.3065999999999999E-2</v>
      </c>
      <c r="E6220">
        <f t="shared" si="194"/>
        <v>0.98693399999999998</v>
      </c>
      <c r="F6220" s="1">
        <f t="shared" si="195"/>
        <v>42646</v>
      </c>
      <c r="G6220" cm="1">
        <f t="array" ref="G6220">PRODUCT( _xlfn._xlws.FILTER($E:$E, ($C:$C=C6220)*($F:$F=F6220)) ) - 1</f>
        <v>-2.2869765082562776E-2</v>
      </c>
    </row>
    <row r="6221" spans="1:7" x14ac:dyDescent="0.2">
      <c r="A6221" s="1">
        <v>42654</v>
      </c>
      <c r="B6221">
        <v>2</v>
      </c>
      <c r="C6221" t="s">
        <v>15</v>
      </c>
      <c r="D6221">
        <v>9.4600000000000001E-4</v>
      </c>
      <c r="E6221">
        <f t="shared" si="194"/>
        <v>1.0009459999999999</v>
      </c>
      <c r="F6221" s="1">
        <f t="shared" si="195"/>
        <v>42653</v>
      </c>
      <c r="G6221" cm="1">
        <f t="array" ref="G6221">PRODUCT( _xlfn._xlws.FILTER($E:$E, ($C:$C=C6221)*($F:$F=F6221)) ) - 1</f>
        <v>9.6938607824752498E-3</v>
      </c>
    </row>
    <row r="6222" spans="1:7" x14ac:dyDescent="0.2">
      <c r="A6222" s="1">
        <v>42655</v>
      </c>
      <c r="B6222">
        <v>2</v>
      </c>
      <c r="C6222" t="s">
        <v>15</v>
      </c>
      <c r="D6222">
        <v>1.1337E-2</v>
      </c>
      <c r="E6222">
        <f t="shared" si="194"/>
        <v>1.0113369999999999</v>
      </c>
      <c r="F6222" s="1">
        <f t="shared" si="195"/>
        <v>42653</v>
      </c>
      <c r="G6222" cm="1">
        <f t="array" ref="G6222">PRODUCT( _xlfn._xlws.FILTER($E:$E, ($C:$C=C6222)*($F:$F=F6222)) ) - 1</f>
        <v>9.6938607824752498E-3</v>
      </c>
    </row>
    <row r="6223" spans="1:7" x14ac:dyDescent="0.2">
      <c r="A6223" s="1">
        <v>42656</v>
      </c>
      <c r="B6223">
        <v>2</v>
      </c>
      <c r="C6223" t="s">
        <v>15</v>
      </c>
      <c r="D6223">
        <v>7.0100000000000002E-4</v>
      </c>
      <c r="E6223">
        <f t="shared" si="194"/>
        <v>1.0007010000000001</v>
      </c>
      <c r="F6223" s="1">
        <f t="shared" si="195"/>
        <v>42653</v>
      </c>
      <c r="G6223" cm="1">
        <f t="array" ref="G6223">PRODUCT( _xlfn._xlws.FILTER($E:$E, ($C:$C=C6223)*($F:$F=F6223)) ) - 1</f>
        <v>9.6938607824752498E-3</v>
      </c>
    </row>
    <row r="6224" spans="1:7" x14ac:dyDescent="0.2">
      <c r="A6224" s="1">
        <v>42657</v>
      </c>
      <c r="B6224">
        <v>2</v>
      </c>
      <c r="C6224" t="s">
        <v>15</v>
      </c>
      <c r="D6224">
        <v>-3.2669999999999999E-3</v>
      </c>
      <c r="E6224">
        <f t="shared" si="194"/>
        <v>0.99673299999999998</v>
      </c>
      <c r="F6224" s="1">
        <f t="shared" si="195"/>
        <v>42653</v>
      </c>
      <c r="G6224" cm="1">
        <f t="array" ref="G6224">PRODUCT( _xlfn._xlws.FILTER($E:$E, ($C:$C=C6224)*($F:$F=F6224)) ) - 1</f>
        <v>9.6938607824752498E-3</v>
      </c>
    </row>
    <row r="6225" spans="1:7" x14ac:dyDescent="0.2">
      <c r="A6225" s="1">
        <v>42660</v>
      </c>
      <c r="B6225">
        <v>2</v>
      </c>
      <c r="C6225" t="s">
        <v>15</v>
      </c>
      <c r="D6225">
        <v>-6.5560000000000002E-3</v>
      </c>
      <c r="E6225">
        <f t="shared" si="194"/>
        <v>0.99344399999999999</v>
      </c>
      <c r="F6225" s="1">
        <f t="shared" si="195"/>
        <v>42660</v>
      </c>
      <c r="G6225" cm="1">
        <f t="array" ref="G6225">PRODUCT( _xlfn._xlws.FILTER($E:$E, ($C:$C=C6225)*($F:$F=F6225)) ) - 1</f>
        <v>4.9164168693911492E-3</v>
      </c>
    </row>
    <row r="6226" spans="1:7" x14ac:dyDescent="0.2">
      <c r="A6226" s="1">
        <v>42661</v>
      </c>
      <c r="B6226">
        <v>2</v>
      </c>
      <c r="C6226" t="s">
        <v>15</v>
      </c>
      <c r="D6226">
        <v>8.7200000000000003E-3</v>
      </c>
      <c r="E6226">
        <f t="shared" si="194"/>
        <v>1.0087200000000001</v>
      </c>
      <c r="F6226" s="1">
        <f t="shared" si="195"/>
        <v>42660</v>
      </c>
      <c r="G6226" cm="1">
        <f t="array" ref="G6226">PRODUCT( _xlfn._xlws.FILTER($E:$E, ($C:$C=C6226)*($F:$F=F6226)) ) - 1</f>
        <v>4.9164168693911492E-3</v>
      </c>
    </row>
    <row r="6227" spans="1:7" x14ac:dyDescent="0.2">
      <c r="A6227" s="1">
        <v>42662</v>
      </c>
      <c r="B6227">
        <v>2</v>
      </c>
      <c r="C6227" t="s">
        <v>15</v>
      </c>
      <c r="D6227">
        <v>-2.336E-3</v>
      </c>
      <c r="E6227">
        <f t="shared" si="194"/>
        <v>0.997664</v>
      </c>
      <c r="F6227" s="1">
        <f t="shared" si="195"/>
        <v>42660</v>
      </c>
      <c r="G6227" cm="1">
        <f t="array" ref="G6227">PRODUCT( _xlfn._xlws.FILTER($E:$E, ($C:$C=C6227)*($F:$F=F6227)) ) - 1</f>
        <v>4.9164168693911492E-3</v>
      </c>
    </row>
    <row r="6228" spans="1:7" x14ac:dyDescent="0.2">
      <c r="A6228" s="1">
        <v>42663</v>
      </c>
      <c r="B6228">
        <v>2</v>
      </c>
      <c r="C6228" t="s">
        <v>15</v>
      </c>
      <c r="D6228">
        <v>-4.6839999999999998E-3</v>
      </c>
      <c r="E6228">
        <f t="shared" si="194"/>
        <v>0.99531599999999998</v>
      </c>
      <c r="F6228" s="1">
        <f t="shared" si="195"/>
        <v>42660</v>
      </c>
      <c r="G6228" cm="1">
        <f t="array" ref="G6228">PRODUCT( _xlfn._xlws.FILTER($E:$E, ($C:$C=C6228)*($F:$F=F6228)) ) - 1</f>
        <v>4.9164168693911492E-3</v>
      </c>
    </row>
    <row r="6229" spans="1:7" x14ac:dyDescent="0.2">
      <c r="A6229" s="1">
        <v>42664</v>
      </c>
      <c r="B6229">
        <v>2</v>
      </c>
      <c r="C6229" t="s">
        <v>15</v>
      </c>
      <c r="D6229">
        <v>9.8820000000000002E-3</v>
      </c>
      <c r="E6229">
        <f t="shared" si="194"/>
        <v>1.0098819999999999</v>
      </c>
      <c r="F6229" s="1">
        <f t="shared" si="195"/>
        <v>42660</v>
      </c>
      <c r="G6229" cm="1">
        <f t="array" ref="G6229">PRODUCT( _xlfn._xlws.FILTER($E:$E, ($C:$C=C6229)*($F:$F=F6229)) ) - 1</f>
        <v>4.9164168693911492E-3</v>
      </c>
    </row>
    <row r="6230" spans="1:7" x14ac:dyDescent="0.2">
      <c r="A6230" s="1">
        <v>42667</v>
      </c>
      <c r="B6230">
        <v>2</v>
      </c>
      <c r="C6230" t="s">
        <v>15</v>
      </c>
      <c r="D6230">
        <v>4.8929999999999998E-3</v>
      </c>
      <c r="E6230">
        <f t="shared" si="194"/>
        <v>1.004893</v>
      </c>
      <c r="F6230" s="1">
        <f t="shared" si="195"/>
        <v>42667</v>
      </c>
      <c r="G6230" cm="1">
        <f t="array" ref="G6230">PRODUCT( _xlfn._xlws.FILTER($E:$E, ($C:$C=C6230)*($F:$F=F6230)) ) - 1</f>
        <v>8.154592563452745E-3</v>
      </c>
    </row>
    <row r="6231" spans="1:7" x14ac:dyDescent="0.2">
      <c r="A6231" s="1">
        <v>42668</v>
      </c>
      <c r="B6231">
        <v>2</v>
      </c>
      <c r="C6231" t="s">
        <v>15</v>
      </c>
      <c r="D6231">
        <v>-5.1009999999999996E-3</v>
      </c>
      <c r="E6231">
        <f t="shared" si="194"/>
        <v>0.99489899999999998</v>
      </c>
      <c r="F6231" s="1">
        <f t="shared" si="195"/>
        <v>42667</v>
      </c>
      <c r="G6231" cm="1">
        <f t="array" ref="G6231">PRODUCT( _xlfn._xlws.FILTER($E:$E, ($C:$C=C6231)*($F:$F=F6231)) ) - 1</f>
        <v>8.154592563452745E-3</v>
      </c>
    </row>
    <row r="6232" spans="1:7" x14ac:dyDescent="0.2">
      <c r="A6232" s="1">
        <v>42669</v>
      </c>
      <c r="B6232">
        <v>2</v>
      </c>
      <c r="C6232" t="s">
        <v>15</v>
      </c>
      <c r="D6232">
        <v>4.66E-4</v>
      </c>
      <c r="E6232">
        <f t="shared" si="194"/>
        <v>1.0004660000000001</v>
      </c>
      <c r="F6232" s="1">
        <f t="shared" si="195"/>
        <v>42667</v>
      </c>
      <c r="G6232" cm="1">
        <f t="array" ref="G6232">PRODUCT( _xlfn._xlws.FILTER($E:$E, ($C:$C=C6232)*($F:$F=F6232)) ) - 1</f>
        <v>8.154592563452745E-3</v>
      </c>
    </row>
    <row r="6233" spans="1:7" x14ac:dyDescent="0.2">
      <c r="A6233" s="1">
        <v>42670</v>
      </c>
      <c r="B6233">
        <v>2</v>
      </c>
      <c r="C6233" t="s">
        <v>15</v>
      </c>
      <c r="D6233">
        <v>6.7549999999999997E-3</v>
      </c>
      <c r="E6233">
        <f t="shared" si="194"/>
        <v>1.0067550000000001</v>
      </c>
      <c r="F6233" s="1">
        <f t="shared" si="195"/>
        <v>42667</v>
      </c>
      <c r="G6233" cm="1">
        <f t="array" ref="G6233">PRODUCT( _xlfn._xlws.FILTER($E:$E, ($C:$C=C6233)*($F:$F=F6233)) ) - 1</f>
        <v>8.154592563452745E-3</v>
      </c>
    </row>
    <row r="6234" spans="1:7" x14ac:dyDescent="0.2">
      <c r="A6234" s="1">
        <v>42671</v>
      </c>
      <c r="B6234">
        <v>2</v>
      </c>
      <c r="C6234" t="s">
        <v>15</v>
      </c>
      <c r="D6234">
        <v>1.157E-3</v>
      </c>
      <c r="E6234">
        <f t="shared" si="194"/>
        <v>1.0011570000000001</v>
      </c>
      <c r="F6234" s="1">
        <f t="shared" si="195"/>
        <v>42667</v>
      </c>
      <c r="G6234" cm="1">
        <f t="array" ref="G6234">PRODUCT( _xlfn._xlws.FILTER($E:$E, ($C:$C=C6234)*($F:$F=F6234)) ) - 1</f>
        <v>8.154592563452745E-3</v>
      </c>
    </row>
    <row r="6235" spans="1:7" x14ac:dyDescent="0.2">
      <c r="A6235" s="1">
        <v>42674</v>
      </c>
      <c r="B6235">
        <v>2</v>
      </c>
      <c r="C6235" t="s">
        <v>15</v>
      </c>
      <c r="D6235">
        <v>3.6979999999999999E-3</v>
      </c>
      <c r="E6235">
        <f t="shared" si="194"/>
        <v>1.003698</v>
      </c>
      <c r="F6235" s="1">
        <f t="shared" si="195"/>
        <v>42674</v>
      </c>
      <c r="G6235" cm="1">
        <f t="array" ref="G6235">PRODUCT( _xlfn._xlws.FILTER($E:$E, ($C:$C=C6235)*($F:$F=F6235)) ) - 1</f>
        <v>-2.0104963442076684E-2</v>
      </c>
    </row>
    <row r="6236" spans="1:7" x14ac:dyDescent="0.2">
      <c r="A6236" s="1">
        <v>42675</v>
      </c>
      <c r="B6236">
        <v>2</v>
      </c>
      <c r="C6236" t="s">
        <v>15</v>
      </c>
      <c r="D6236">
        <v>-2.993E-3</v>
      </c>
      <c r="E6236">
        <f t="shared" si="194"/>
        <v>0.99700699999999998</v>
      </c>
      <c r="F6236" s="1">
        <f t="shared" si="195"/>
        <v>42674</v>
      </c>
      <c r="G6236" cm="1">
        <f t="array" ref="G6236">PRODUCT( _xlfn._xlws.FILTER($E:$E, ($C:$C=C6236)*($F:$F=F6236)) ) - 1</f>
        <v>-2.0104963442076684E-2</v>
      </c>
    </row>
    <row r="6237" spans="1:7" x14ac:dyDescent="0.2">
      <c r="A6237" s="1">
        <v>42676</v>
      </c>
      <c r="B6237">
        <v>2</v>
      </c>
      <c r="C6237" t="s">
        <v>15</v>
      </c>
      <c r="D6237">
        <v>-1.5935000000000001E-2</v>
      </c>
      <c r="E6237">
        <f t="shared" si="194"/>
        <v>0.98406499999999997</v>
      </c>
      <c r="F6237" s="1">
        <f t="shared" si="195"/>
        <v>42674</v>
      </c>
      <c r="G6237" cm="1">
        <f t="array" ref="G6237">PRODUCT( _xlfn._xlws.FILTER($E:$E, ($C:$C=C6237)*($F:$F=F6237)) ) - 1</f>
        <v>-2.0104963442076684E-2</v>
      </c>
    </row>
    <row r="6238" spans="1:7" x14ac:dyDescent="0.2">
      <c r="A6238" s="1">
        <v>42677</v>
      </c>
      <c r="B6238">
        <v>2</v>
      </c>
      <c r="C6238" t="s">
        <v>15</v>
      </c>
      <c r="D6238">
        <v>-4.9280000000000001E-3</v>
      </c>
      <c r="E6238">
        <f t="shared" si="194"/>
        <v>0.99507199999999996</v>
      </c>
      <c r="F6238" s="1">
        <f t="shared" si="195"/>
        <v>42674</v>
      </c>
      <c r="G6238" cm="1">
        <f t="array" ref="G6238">PRODUCT( _xlfn._xlws.FILTER($E:$E, ($C:$C=C6238)*($F:$F=F6238)) ) - 1</f>
        <v>-2.0104963442076684E-2</v>
      </c>
    </row>
    <row r="6239" spans="1:7" x14ac:dyDescent="0.2">
      <c r="A6239" s="1">
        <v>42678</v>
      </c>
      <c r="B6239">
        <v>2</v>
      </c>
      <c r="C6239" t="s">
        <v>15</v>
      </c>
      <c r="D6239">
        <v>0</v>
      </c>
      <c r="E6239">
        <f t="shared" si="194"/>
        <v>1</v>
      </c>
      <c r="F6239" s="1">
        <f t="shared" si="195"/>
        <v>42674</v>
      </c>
      <c r="G6239" cm="1">
        <f t="array" ref="G6239">PRODUCT( _xlfn._xlws.FILTER($E:$E, ($C:$C=C6239)*($F:$F=F6239)) ) - 1</f>
        <v>-2.0104963442076684E-2</v>
      </c>
    </row>
    <row r="6240" spans="1:7" x14ac:dyDescent="0.2">
      <c r="A6240" s="1">
        <v>42681</v>
      </c>
      <c r="B6240">
        <v>2</v>
      </c>
      <c r="C6240" t="s">
        <v>15</v>
      </c>
      <c r="D6240">
        <v>1.3443E-2</v>
      </c>
      <c r="E6240">
        <f t="shared" si="194"/>
        <v>1.0134430000000001</v>
      </c>
      <c r="F6240" s="1">
        <f t="shared" si="195"/>
        <v>42681</v>
      </c>
      <c r="G6240" cm="1">
        <f t="array" ref="G6240">PRODUCT( _xlfn._xlws.FILTER($E:$E, ($C:$C=C6240)*($F:$F=F6240)) ) - 1</f>
        <v>-1.6509795483198086E-2</v>
      </c>
    </row>
    <row r="6241" spans="1:7" x14ac:dyDescent="0.2">
      <c r="A6241" s="1">
        <v>42682</v>
      </c>
      <c r="B6241">
        <v>2</v>
      </c>
      <c r="C6241" t="s">
        <v>15</v>
      </c>
      <c r="D6241">
        <v>1.1640000000000001E-3</v>
      </c>
      <c r="E6241">
        <f t="shared" si="194"/>
        <v>1.0011639999999999</v>
      </c>
      <c r="F6241" s="1">
        <f t="shared" si="195"/>
        <v>42681</v>
      </c>
      <c r="G6241" cm="1">
        <f t="array" ref="G6241">PRODUCT( _xlfn._xlws.FILTER($E:$E, ($C:$C=C6241)*($F:$F=F6241)) ) - 1</f>
        <v>-1.6509795483198086E-2</v>
      </c>
    </row>
    <row r="6242" spans="1:7" x14ac:dyDescent="0.2">
      <c r="A6242" s="1">
        <v>42683</v>
      </c>
      <c r="B6242">
        <v>2</v>
      </c>
      <c r="C6242" t="s">
        <v>15</v>
      </c>
      <c r="D6242">
        <v>-1.0460000000000001E-2</v>
      </c>
      <c r="E6242">
        <f t="shared" si="194"/>
        <v>0.98953999999999998</v>
      </c>
      <c r="F6242" s="1">
        <f t="shared" si="195"/>
        <v>42681</v>
      </c>
      <c r="G6242" cm="1">
        <f t="array" ref="G6242">PRODUCT( _xlfn._xlws.FILTER($E:$E, ($C:$C=C6242)*($F:$F=F6242)) ) - 1</f>
        <v>-1.6509795483198086E-2</v>
      </c>
    </row>
    <row r="6243" spans="1:7" x14ac:dyDescent="0.2">
      <c r="A6243" s="1">
        <v>42684</v>
      </c>
      <c r="B6243">
        <v>2</v>
      </c>
      <c r="C6243" t="s">
        <v>15</v>
      </c>
      <c r="D6243">
        <v>-1.5973999999999999E-2</v>
      </c>
      <c r="E6243">
        <f t="shared" si="194"/>
        <v>0.98402599999999996</v>
      </c>
      <c r="F6243" s="1">
        <f t="shared" si="195"/>
        <v>42681</v>
      </c>
      <c r="G6243" cm="1">
        <f t="array" ref="G6243">PRODUCT( _xlfn._xlws.FILTER($E:$E, ($C:$C=C6243)*($F:$F=F6243)) ) - 1</f>
        <v>-1.6509795483198086E-2</v>
      </c>
    </row>
    <row r="6244" spans="1:7" x14ac:dyDescent="0.2">
      <c r="A6244" s="1">
        <v>42685</v>
      </c>
      <c r="B6244">
        <v>2</v>
      </c>
      <c r="C6244" t="s">
        <v>15</v>
      </c>
      <c r="D6244">
        <v>-4.5360000000000001E-3</v>
      </c>
      <c r="E6244">
        <f t="shared" si="194"/>
        <v>0.99546400000000002</v>
      </c>
      <c r="F6244" s="1">
        <f t="shared" si="195"/>
        <v>42681</v>
      </c>
      <c r="G6244" cm="1">
        <f t="array" ref="G6244">PRODUCT( _xlfn._xlws.FILTER($E:$E, ($C:$C=C6244)*($F:$F=F6244)) ) - 1</f>
        <v>-1.6509795483198086E-2</v>
      </c>
    </row>
    <row r="6245" spans="1:7" x14ac:dyDescent="0.2">
      <c r="A6245" s="1">
        <v>42688</v>
      </c>
      <c r="B6245">
        <v>2</v>
      </c>
      <c r="C6245" t="s">
        <v>15</v>
      </c>
      <c r="D6245">
        <v>-1.1271E-2</v>
      </c>
      <c r="E6245">
        <f t="shared" si="194"/>
        <v>0.98872899999999997</v>
      </c>
      <c r="F6245" s="1">
        <f t="shared" si="195"/>
        <v>42688</v>
      </c>
      <c r="G6245" cm="1">
        <f t="array" ref="G6245">PRODUCT( _xlfn._xlws.FILTER($E:$E, ($C:$C=C6245)*($F:$F=F6245)) ) - 1</f>
        <v>3.1178151814241772E-3</v>
      </c>
    </row>
    <row r="6246" spans="1:7" x14ac:dyDescent="0.2">
      <c r="A6246" s="1">
        <v>42689</v>
      </c>
      <c r="B6246">
        <v>2</v>
      </c>
      <c r="C6246" t="s">
        <v>15</v>
      </c>
      <c r="D6246">
        <v>9.4590000000000004E-3</v>
      </c>
      <c r="E6246">
        <f t="shared" si="194"/>
        <v>1.0094590000000001</v>
      </c>
      <c r="F6246" s="1">
        <f t="shared" si="195"/>
        <v>42688</v>
      </c>
      <c r="G6246" cm="1">
        <f t="array" ref="G6246">PRODUCT( _xlfn._xlws.FILTER($E:$E, ($C:$C=C6246)*($F:$F=F6246)) ) - 1</f>
        <v>3.1178151814241772E-3</v>
      </c>
    </row>
    <row r="6247" spans="1:7" x14ac:dyDescent="0.2">
      <c r="A6247" s="1">
        <v>42690</v>
      </c>
      <c r="B6247">
        <v>2</v>
      </c>
      <c r="C6247" t="s">
        <v>15</v>
      </c>
      <c r="D6247">
        <v>1.4419999999999999E-3</v>
      </c>
      <c r="E6247">
        <f t="shared" si="194"/>
        <v>1.0014419999999999</v>
      </c>
      <c r="F6247" s="1">
        <f t="shared" si="195"/>
        <v>42688</v>
      </c>
      <c r="G6247" cm="1">
        <f t="array" ref="G6247">PRODUCT( _xlfn._xlws.FILTER($E:$E, ($C:$C=C6247)*($F:$F=F6247)) ) - 1</f>
        <v>3.1178151814241772E-3</v>
      </c>
    </row>
    <row r="6248" spans="1:7" x14ac:dyDescent="0.2">
      <c r="A6248" s="1">
        <v>42691</v>
      </c>
      <c r="B6248">
        <v>2</v>
      </c>
      <c r="C6248" t="s">
        <v>15</v>
      </c>
      <c r="D6248">
        <v>7.6779999999999999E-3</v>
      </c>
      <c r="E6248">
        <f t="shared" si="194"/>
        <v>1.0076780000000001</v>
      </c>
      <c r="F6248" s="1">
        <f t="shared" si="195"/>
        <v>42688</v>
      </c>
      <c r="G6248" cm="1">
        <f t="array" ref="G6248">PRODUCT( _xlfn._xlws.FILTER($E:$E, ($C:$C=C6248)*($F:$F=F6248)) ) - 1</f>
        <v>3.1178151814241772E-3</v>
      </c>
    </row>
    <row r="6249" spans="1:7" x14ac:dyDescent="0.2">
      <c r="A6249" s="1">
        <v>42692</v>
      </c>
      <c r="B6249">
        <v>2</v>
      </c>
      <c r="C6249" t="s">
        <v>15</v>
      </c>
      <c r="D6249">
        <v>-4.0480000000000004E-3</v>
      </c>
      <c r="E6249">
        <f t="shared" si="194"/>
        <v>0.99595199999999995</v>
      </c>
      <c r="F6249" s="1">
        <f t="shared" si="195"/>
        <v>42688</v>
      </c>
      <c r="G6249" cm="1">
        <f t="array" ref="G6249">PRODUCT( _xlfn._xlws.FILTER($E:$E, ($C:$C=C6249)*($F:$F=F6249)) ) - 1</f>
        <v>3.1178151814241772E-3</v>
      </c>
    </row>
    <row r="6250" spans="1:7" x14ac:dyDescent="0.2">
      <c r="A6250" s="1">
        <v>42695</v>
      </c>
      <c r="B6250">
        <v>2</v>
      </c>
      <c r="C6250" t="s">
        <v>15</v>
      </c>
      <c r="D6250">
        <v>3.5860000000000002E-3</v>
      </c>
      <c r="E6250">
        <f t="shared" si="194"/>
        <v>1.0035860000000001</v>
      </c>
      <c r="F6250" s="1">
        <f t="shared" si="195"/>
        <v>42695</v>
      </c>
      <c r="G6250" cm="1">
        <f t="array" ref="G6250">PRODUCT( _xlfn._xlws.FILTER($E:$E, ($C:$C=C6250)*($F:$F=F6250)) ) - 1</f>
        <v>1.4582890822705696E-2</v>
      </c>
    </row>
    <row r="6251" spans="1:7" x14ac:dyDescent="0.2">
      <c r="A6251" s="1">
        <v>42696</v>
      </c>
      <c r="B6251">
        <v>2</v>
      </c>
      <c r="C6251" t="s">
        <v>15</v>
      </c>
      <c r="D6251">
        <v>-7.1500000000000003E-4</v>
      </c>
      <c r="E6251">
        <f t="shared" si="194"/>
        <v>0.99928499999999998</v>
      </c>
      <c r="F6251" s="1">
        <f t="shared" si="195"/>
        <v>42695</v>
      </c>
      <c r="G6251" cm="1">
        <f t="array" ref="G6251">PRODUCT( _xlfn._xlws.FILTER($E:$E, ($C:$C=C6251)*($F:$F=F6251)) ) - 1</f>
        <v>1.4582890822705696E-2</v>
      </c>
    </row>
    <row r="6252" spans="1:7" x14ac:dyDescent="0.2">
      <c r="A6252" s="1">
        <v>42697</v>
      </c>
      <c r="B6252">
        <v>2</v>
      </c>
      <c r="C6252" t="s">
        <v>15</v>
      </c>
      <c r="D6252">
        <v>7.3899999999999999E-3</v>
      </c>
      <c r="E6252">
        <f t="shared" si="194"/>
        <v>1.00739</v>
      </c>
      <c r="F6252" s="1">
        <f t="shared" si="195"/>
        <v>42695</v>
      </c>
      <c r="G6252" cm="1">
        <f t="array" ref="G6252">PRODUCT( _xlfn._xlws.FILTER($E:$E, ($C:$C=C6252)*($F:$F=F6252)) ) - 1</f>
        <v>1.4582890822705696E-2</v>
      </c>
    </row>
    <row r="6253" spans="1:7" x14ac:dyDescent="0.2">
      <c r="A6253" s="1">
        <v>42698</v>
      </c>
      <c r="B6253">
        <v>2</v>
      </c>
      <c r="C6253" t="s">
        <v>15</v>
      </c>
      <c r="D6253">
        <v>1.8929999999999999E-3</v>
      </c>
      <c r="E6253">
        <f t="shared" si="194"/>
        <v>1.0018929999999999</v>
      </c>
      <c r="F6253" s="1">
        <f t="shared" si="195"/>
        <v>42695</v>
      </c>
      <c r="G6253" cm="1">
        <f t="array" ref="G6253">PRODUCT( _xlfn._xlws.FILTER($E:$E, ($C:$C=C6253)*($F:$F=F6253)) ) - 1</f>
        <v>1.4582890822705696E-2</v>
      </c>
    </row>
    <row r="6254" spans="1:7" x14ac:dyDescent="0.2">
      <c r="A6254" s="1">
        <v>42699</v>
      </c>
      <c r="B6254">
        <v>2</v>
      </c>
      <c r="C6254" t="s">
        <v>15</v>
      </c>
      <c r="D6254">
        <v>2.362E-3</v>
      </c>
      <c r="E6254">
        <f t="shared" si="194"/>
        <v>1.002362</v>
      </c>
      <c r="F6254" s="1">
        <f t="shared" si="195"/>
        <v>42695</v>
      </c>
      <c r="G6254" cm="1">
        <f t="array" ref="G6254">PRODUCT( _xlfn._xlws.FILTER($E:$E, ($C:$C=C6254)*($F:$F=F6254)) ) - 1</f>
        <v>1.4582890822705696E-2</v>
      </c>
    </row>
    <row r="6255" spans="1:7" x14ac:dyDescent="0.2">
      <c r="A6255" s="1">
        <v>42702</v>
      </c>
      <c r="B6255">
        <v>2</v>
      </c>
      <c r="C6255" t="s">
        <v>15</v>
      </c>
      <c r="D6255">
        <v>-3.7699999999999999E-3</v>
      </c>
      <c r="E6255">
        <f t="shared" si="194"/>
        <v>0.99622999999999995</v>
      </c>
      <c r="F6255" s="1">
        <f t="shared" si="195"/>
        <v>42702</v>
      </c>
      <c r="G6255" cm="1">
        <f t="array" ref="G6255">PRODUCT( _xlfn._xlws.FILTER($E:$E, ($C:$C=C6255)*($F:$F=F6255)) ) - 1</f>
        <v>-8.247196867121942E-3</v>
      </c>
    </row>
    <row r="6256" spans="1:7" x14ac:dyDescent="0.2">
      <c r="A6256" s="1">
        <v>42703</v>
      </c>
      <c r="B6256">
        <v>2</v>
      </c>
      <c r="C6256" t="s">
        <v>15</v>
      </c>
      <c r="D6256">
        <v>3.075E-3</v>
      </c>
      <c r="E6256">
        <f t="shared" si="194"/>
        <v>1.0030749999999999</v>
      </c>
      <c r="F6256" s="1">
        <f t="shared" si="195"/>
        <v>42702</v>
      </c>
      <c r="G6256" cm="1">
        <f t="array" ref="G6256">PRODUCT( _xlfn._xlws.FILTER($E:$E, ($C:$C=C6256)*($F:$F=F6256)) ) - 1</f>
        <v>-8.247196867121942E-3</v>
      </c>
    </row>
    <row r="6257" spans="1:7" x14ac:dyDescent="0.2">
      <c r="A6257" s="1">
        <v>42704</v>
      </c>
      <c r="B6257">
        <v>2</v>
      </c>
      <c r="C6257" t="s">
        <v>15</v>
      </c>
      <c r="D6257">
        <v>-1.0611000000000001E-2</v>
      </c>
      <c r="E6257">
        <f t="shared" si="194"/>
        <v>0.98938899999999996</v>
      </c>
      <c r="F6257" s="1">
        <f t="shared" si="195"/>
        <v>42702</v>
      </c>
      <c r="G6257" cm="1">
        <f t="array" ref="G6257">PRODUCT( _xlfn._xlws.FILTER($E:$E, ($C:$C=C6257)*($F:$F=F6257)) ) - 1</f>
        <v>-8.247196867121942E-3</v>
      </c>
    </row>
    <row r="6258" spans="1:7" x14ac:dyDescent="0.2">
      <c r="A6258" s="1">
        <v>42705</v>
      </c>
      <c r="B6258">
        <v>2</v>
      </c>
      <c r="C6258" t="s">
        <v>15</v>
      </c>
      <c r="D6258">
        <v>-8.5800000000000008E-3</v>
      </c>
      <c r="E6258">
        <f t="shared" si="194"/>
        <v>0.99141999999999997</v>
      </c>
      <c r="F6258" s="1">
        <f t="shared" si="195"/>
        <v>42702</v>
      </c>
      <c r="G6258" cm="1">
        <f t="array" ref="G6258">PRODUCT( _xlfn._xlws.FILTER($E:$E, ($C:$C=C6258)*($F:$F=F6258)) ) - 1</f>
        <v>-8.247196867121942E-3</v>
      </c>
    </row>
    <row r="6259" spans="1:7" x14ac:dyDescent="0.2">
      <c r="A6259" s="1">
        <v>42706</v>
      </c>
      <c r="B6259">
        <v>2</v>
      </c>
      <c r="C6259" t="s">
        <v>15</v>
      </c>
      <c r="D6259">
        <v>1.1779E-2</v>
      </c>
      <c r="E6259">
        <f t="shared" si="194"/>
        <v>1.011779</v>
      </c>
      <c r="F6259" s="1">
        <f t="shared" si="195"/>
        <v>42702</v>
      </c>
      <c r="G6259" cm="1">
        <f t="array" ref="G6259">PRODUCT( _xlfn._xlws.FILTER($E:$E, ($C:$C=C6259)*($F:$F=F6259)) ) - 1</f>
        <v>-8.247196867121942E-3</v>
      </c>
    </row>
    <row r="6260" spans="1:7" x14ac:dyDescent="0.2">
      <c r="A6260" s="1">
        <v>42709</v>
      </c>
      <c r="B6260">
        <v>2</v>
      </c>
      <c r="C6260" t="s">
        <v>15</v>
      </c>
      <c r="D6260">
        <v>2.3760000000000001E-3</v>
      </c>
      <c r="E6260">
        <f t="shared" si="194"/>
        <v>1.0023759999999999</v>
      </c>
      <c r="F6260" s="1">
        <f t="shared" si="195"/>
        <v>42709</v>
      </c>
      <c r="G6260" cm="1">
        <f t="array" ref="G6260">PRODUCT( _xlfn._xlws.FILTER($E:$E, ($C:$C=C6260)*($F:$F=F6260)) ) - 1</f>
        <v>2.1254127897932351E-2</v>
      </c>
    </row>
    <row r="6261" spans="1:7" x14ac:dyDescent="0.2">
      <c r="A6261" s="1">
        <v>42710</v>
      </c>
      <c r="B6261">
        <v>2</v>
      </c>
      <c r="C6261" t="s">
        <v>15</v>
      </c>
      <c r="D6261">
        <v>2.1329999999999999E-3</v>
      </c>
      <c r="E6261">
        <f t="shared" si="194"/>
        <v>1.0021329999999999</v>
      </c>
      <c r="F6261" s="1">
        <f t="shared" si="195"/>
        <v>42709</v>
      </c>
      <c r="G6261" cm="1">
        <f t="array" ref="G6261">PRODUCT( _xlfn._xlws.FILTER($E:$E, ($C:$C=C6261)*($F:$F=F6261)) ) - 1</f>
        <v>2.1254127897932351E-2</v>
      </c>
    </row>
    <row r="6262" spans="1:7" x14ac:dyDescent="0.2">
      <c r="A6262" s="1">
        <v>42711</v>
      </c>
      <c r="B6262">
        <v>2</v>
      </c>
      <c r="C6262" t="s">
        <v>15</v>
      </c>
      <c r="D6262">
        <v>7.0959999999999999E-3</v>
      </c>
      <c r="E6262">
        <f t="shared" si="194"/>
        <v>1.007096</v>
      </c>
      <c r="F6262" s="1">
        <f t="shared" si="195"/>
        <v>42709</v>
      </c>
      <c r="G6262" cm="1">
        <f t="array" ref="G6262">PRODUCT( _xlfn._xlws.FILTER($E:$E, ($C:$C=C6262)*($F:$F=F6262)) ) - 1</f>
        <v>2.1254127897932351E-2</v>
      </c>
    </row>
    <row r="6263" spans="1:7" x14ac:dyDescent="0.2">
      <c r="A6263" s="1">
        <v>42712</v>
      </c>
      <c r="B6263">
        <v>2</v>
      </c>
      <c r="C6263" t="s">
        <v>15</v>
      </c>
      <c r="D6263">
        <v>6.1760000000000001E-3</v>
      </c>
      <c r="E6263">
        <f t="shared" si="194"/>
        <v>1.006176</v>
      </c>
      <c r="F6263" s="1">
        <f t="shared" si="195"/>
        <v>42709</v>
      </c>
      <c r="G6263" cm="1">
        <f t="array" ref="G6263">PRODUCT( _xlfn._xlws.FILTER($E:$E, ($C:$C=C6263)*($F:$F=F6263)) ) - 1</f>
        <v>2.1254127897932351E-2</v>
      </c>
    </row>
    <row r="6264" spans="1:7" x14ac:dyDescent="0.2">
      <c r="A6264" s="1">
        <v>42713</v>
      </c>
      <c r="B6264">
        <v>2</v>
      </c>
      <c r="C6264" t="s">
        <v>15</v>
      </c>
      <c r="D6264">
        <v>3.3050000000000002E-3</v>
      </c>
      <c r="E6264">
        <f t="shared" si="194"/>
        <v>1.0033049999999999</v>
      </c>
      <c r="F6264" s="1">
        <f t="shared" si="195"/>
        <v>42709</v>
      </c>
      <c r="G6264" cm="1">
        <f t="array" ref="G6264">PRODUCT( _xlfn._xlws.FILTER($E:$E, ($C:$C=C6264)*($F:$F=F6264)) ) - 1</f>
        <v>2.1254127897932351E-2</v>
      </c>
    </row>
    <row r="6265" spans="1:7" x14ac:dyDescent="0.2">
      <c r="A6265" s="1">
        <v>42716</v>
      </c>
      <c r="B6265">
        <v>2</v>
      </c>
      <c r="C6265" t="s">
        <v>15</v>
      </c>
      <c r="D6265">
        <v>2.1180000000000001E-3</v>
      </c>
      <c r="E6265">
        <f t="shared" si="194"/>
        <v>1.0021180000000001</v>
      </c>
      <c r="F6265" s="1">
        <f t="shared" si="195"/>
        <v>42716</v>
      </c>
      <c r="G6265" cm="1">
        <f t="array" ref="G6265">PRODUCT( _xlfn._xlws.FILTER($E:$E, ($C:$C=C6265)*($F:$F=F6265)) ) - 1</f>
        <v>3.5299314062238185E-3</v>
      </c>
    </row>
    <row r="6266" spans="1:7" x14ac:dyDescent="0.2">
      <c r="A6266" s="1">
        <v>42717</v>
      </c>
      <c r="B6266">
        <v>2</v>
      </c>
      <c r="C6266" t="s">
        <v>15</v>
      </c>
      <c r="D6266">
        <v>9.3919999999999993E-3</v>
      </c>
      <c r="E6266">
        <f t="shared" si="194"/>
        <v>1.0093920000000001</v>
      </c>
      <c r="F6266" s="1">
        <f t="shared" si="195"/>
        <v>42716</v>
      </c>
      <c r="G6266" cm="1">
        <f t="array" ref="G6266">PRODUCT( _xlfn._xlws.FILTER($E:$E, ($C:$C=C6266)*($F:$F=F6266)) ) - 1</f>
        <v>3.5299314062238185E-3</v>
      </c>
    </row>
    <row r="6267" spans="1:7" x14ac:dyDescent="0.2">
      <c r="A6267" s="1">
        <v>42718</v>
      </c>
      <c r="B6267">
        <v>2</v>
      </c>
      <c r="C6267" t="s">
        <v>15</v>
      </c>
      <c r="D6267">
        <v>-1.0933E-2</v>
      </c>
      <c r="E6267">
        <f t="shared" si="194"/>
        <v>0.98906700000000003</v>
      </c>
      <c r="F6267" s="1">
        <f t="shared" si="195"/>
        <v>42716</v>
      </c>
      <c r="G6267" cm="1">
        <f t="array" ref="G6267">PRODUCT( _xlfn._xlws.FILTER($E:$E, ($C:$C=C6267)*($F:$F=F6267)) ) - 1</f>
        <v>3.5299314062238185E-3</v>
      </c>
    </row>
    <row r="6268" spans="1:7" x14ac:dyDescent="0.2">
      <c r="A6268" s="1">
        <v>42719</v>
      </c>
      <c r="B6268">
        <v>2</v>
      </c>
      <c r="C6268" t="s">
        <v>15</v>
      </c>
      <c r="D6268">
        <v>2.3519999999999999E-3</v>
      </c>
      <c r="E6268">
        <f t="shared" si="194"/>
        <v>1.0023519999999999</v>
      </c>
      <c r="F6268" s="1">
        <f t="shared" si="195"/>
        <v>42716</v>
      </c>
      <c r="G6268" cm="1">
        <f t="array" ref="G6268">PRODUCT( _xlfn._xlws.FILTER($E:$E, ($C:$C=C6268)*($F:$F=F6268)) ) - 1</f>
        <v>3.5299314062238185E-3</v>
      </c>
    </row>
    <row r="6269" spans="1:7" x14ac:dyDescent="0.2">
      <c r="A6269" s="1">
        <v>42720</v>
      </c>
      <c r="B6269">
        <v>2</v>
      </c>
      <c r="C6269" t="s">
        <v>15</v>
      </c>
      <c r="D6269">
        <v>7.0399999999999998E-4</v>
      </c>
      <c r="E6269">
        <f t="shared" si="194"/>
        <v>1.000704</v>
      </c>
      <c r="F6269" s="1">
        <f t="shared" si="195"/>
        <v>42716</v>
      </c>
      <c r="G6269" cm="1">
        <f t="array" ref="G6269">PRODUCT( _xlfn._xlws.FILTER($E:$E, ($C:$C=C6269)*($F:$F=F6269)) ) - 1</f>
        <v>3.5299314062238185E-3</v>
      </c>
    </row>
    <row r="6270" spans="1:7" x14ac:dyDescent="0.2">
      <c r="A6270" s="1">
        <v>42723</v>
      </c>
      <c r="B6270">
        <v>2</v>
      </c>
      <c r="C6270" t="s">
        <v>15</v>
      </c>
      <c r="D6270">
        <v>3.0479999999999999E-3</v>
      </c>
      <c r="E6270">
        <f t="shared" si="194"/>
        <v>1.0030479999999999</v>
      </c>
      <c r="F6270" s="1">
        <f t="shared" si="195"/>
        <v>42723</v>
      </c>
      <c r="G6270" cm="1">
        <f t="array" ref="G6270">PRODUCT( _xlfn._xlws.FILTER($E:$E, ($C:$C=C6270)*($F:$F=F6270)) ) - 1</f>
        <v>2.8136637186984004E-3</v>
      </c>
    </row>
    <row r="6271" spans="1:7" x14ac:dyDescent="0.2">
      <c r="A6271" s="1">
        <v>42724</v>
      </c>
      <c r="B6271">
        <v>2</v>
      </c>
      <c r="C6271" t="s">
        <v>15</v>
      </c>
      <c r="D6271">
        <v>-9.3500000000000007E-3</v>
      </c>
      <c r="E6271">
        <f t="shared" si="194"/>
        <v>0.99065000000000003</v>
      </c>
      <c r="F6271" s="1">
        <f t="shared" si="195"/>
        <v>42723</v>
      </c>
      <c r="G6271" cm="1">
        <f t="array" ref="G6271">PRODUCT( _xlfn._xlws.FILTER($E:$E, ($C:$C=C6271)*($F:$F=F6271)) ) - 1</f>
        <v>2.8136637186984004E-3</v>
      </c>
    </row>
    <row r="6272" spans="1:7" x14ac:dyDescent="0.2">
      <c r="A6272" s="1">
        <v>42725</v>
      </c>
      <c r="B6272">
        <v>2</v>
      </c>
      <c r="C6272" t="s">
        <v>15</v>
      </c>
      <c r="D6272">
        <v>-2.3599999999999999E-4</v>
      </c>
      <c r="E6272">
        <f t="shared" si="194"/>
        <v>0.99976399999999999</v>
      </c>
      <c r="F6272" s="1">
        <f t="shared" si="195"/>
        <v>42723</v>
      </c>
      <c r="G6272" cm="1">
        <f t="array" ref="G6272">PRODUCT( _xlfn._xlws.FILTER($E:$E, ($C:$C=C6272)*($F:$F=F6272)) ) - 1</f>
        <v>2.8136637186984004E-3</v>
      </c>
    </row>
    <row r="6273" spans="1:7" x14ac:dyDescent="0.2">
      <c r="A6273" s="1">
        <v>42726</v>
      </c>
      <c r="B6273">
        <v>2</v>
      </c>
      <c r="C6273" t="s">
        <v>15</v>
      </c>
      <c r="D6273">
        <v>6.8450000000000004E-3</v>
      </c>
      <c r="E6273">
        <f t="shared" si="194"/>
        <v>1.006845</v>
      </c>
      <c r="F6273" s="1">
        <f t="shared" si="195"/>
        <v>42723</v>
      </c>
      <c r="G6273" cm="1">
        <f t="array" ref="G6273">PRODUCT( _xlfn._xlws.FILTER($E:$E, ($C:$C=C6273)*($F:$F=F6273)) ) - 1</f>
        <v>2.8136637186984004E-3</v>
      </c>
    </row>
    <row r="6274" spans="1:7" x14ac:dyDescent="0.2">
      <c r="A6274" s="1">
        <v>42727</v>
      </c>
      <c r="B6274">
        <v>2</v>
      </c>
      <c r="C6274" t="s">
        <v>15</v>
      </c>
      <c r="D6274">
        <v>2.578E-3</v>
      </c>
      <c r="E6274">
        <f t="shared" si="194"/>
        <v>1.002578</v>
      </c>
      <c r="F6274" s="1">
        <f t="shared" si="195"/>
        <v>42723</v>
      </c>
      <c r="G6274" cm="1">
        <f t="array" ref="G6274">PRODUCT( _xlfn._xlws.FILTER($E:$E, ($C:$C=C6274)*($F:$F=F6274)) ) - 1</f>
        <v>2.8136637186984004E-3</v>
      </c>
    </row>
    <row r="6275" spans="1:7" x14ac:dyDescent="0.2">
      <c r="A6275" s="1">
        <v>42732</v>
      </c>
      <c r="B6275">
        <v>2</v>
      </c>
      <c r="C6275" t="s">
        <v>15</v>
      </c>
      <c r="D6275">
        <v>-4.6799999999999999E-4</v>
      </c>
      <c r="E6275">
        <f t="shared" si="194"/>
        <v>0.99953199999999998</v>
      </c>
      <c r="F6275" s="1">
        <f t="shared" si="195"/>
        <v>42730</v>
      </c>
      <c r="G6275" cm="1">
        <f t="array" ref="G6275">PRODUCT( _xlfn._xlws.FILTER($E:$E, ($C:$C=C6275)*($F:$F=F6275)) ) - 1</f>
        <v>-4.6763938484695178E-4</v>
      </c>
    </row>
    <row r="6276" spans="1:7" x14ac:dyDescent="0.2">
      <c r="A6276" s="1">
        <v>42733</v>
      </c>
      <c r="B6276">
        <v>2</v>
      </c>
      <c r="C6276" t="s">
        <v>15</v>
      </c>
      <c r="D6276">
        <v>6.3160000000000004E-3</v>
      </c>
      <c r="E6276">
        <f t="shared" ref="E6276:E6339" si="196">D6276+1</f>
        <v>1.006316</v>
      </c>
      <c r="F6276" s="1">
        <f t="shared" ref="F6276:F6339" si="197">A6276 - (WEEKDAY(A6276, 2) - 1)</f>
        <v>42730</v>
      </c>
      <c r="G6276" cm="1">
        <f t="array" ref="G6276">PRODUCT( _xlfn._xlws.FILTER($E:$E, ($C:$C=C6276)*($F:$F=F6276)) ) - 1</f>
        <v>-4.6763938484695178E-4</v>
      </c>
    </row>
    <row r="6277" spans="1:7" x14ac:dyDescent="0.2">
      <c r="A6277" s="1">
        <v>42734</v>
      </c>
      <c r="B6277">
        <v>2</v>
      </c>
      <c r="C6277" t="s">
        <v>15</v>
      </c>
      <c r="D6277">
        <v>-6.2760000000000003E-3</v>
      </c>
      <c r="E6277">
        <f t="shared" si="196"/>
        <v>0.99372400000000005</v>
      </c>
      <c r="F6277" s="1">
        <f t="shared" si="197"/>
        <v>42730</v>
      </c>
      <c r="G6277" cm="1">
        <f t="array" ref="G6277">PRODUCT( _xlfn._xlws.FILTER($E:$E, ($C:$C=C6277)*($F:$F=F6277)) ) - 1</f>
        <v>-4.6763938484695178E-4</v>
      </c>
    </row>
    <row r="6278" spans="1:7" x14ac:dyDescent="0.2">
      <c r="A6278" s="1">
        <v>40911</v>
      </c>
      <c r="B6278">
        <v>2</v>
      </c>
      <c r="C6278" t="s">
        <v>16</v>
      </c>
      <c r="D6278">
        <v>4.7739999999999996E-3</v>
      </c>
      <c r="E6278">
        <f t="shared" si="196"/>
        <v>1.0047740000000001</v>
      </c>
      <c r="F6278" s="1">
        <f t="shared" si="197"/>
        <v>40910</v>
      </c>
      <c r="G6278" cm="1">
        <f t="array" ref="G6278">PRODUCT( _xlfn._xlws.FILTER($E:$E, ($C:$C=C6278)*($F:$F=F6278)) ) - 1</f>
        <v>1.7259274422254611E-2</v>
      </c>
    </row>
    <row r="6279" spans="1:7" x14ac:dyDescent="0.2">
      <c r="A6279" s="1">
        <v>40912</v>
      </c>
      <c r="B6279">
        <v>2</v>
      </c>
      <c r="C6279" t="s">
        <v>16</v>
      </c>
      <c r="D6279">
        <v>0</v>
      </c>
      <c r="E6279">
        <f t="shared" si="196"/>
        <v>1</v>
      </c>
      <c r="F6279" s="1">
        <f t="shared" si="197"/>
        <v>40910</v>
      </c>
      <c r="G6279" cm="1">
        <f t="array" ref="G6279">PRODUCT( _xlfn._xlws.FILTER($E:$E, ($C:$C=C6279)*($F:$F=F6279)) ) - 1</f>
        <v>1.7259274422254611E-2</v>
      </c>
    </row>
    <row r="6280" spans="1:7" x14ac:dyDescent="0.2">
      <c r="A6280" s="1">
        <v>40913</v>
      </c>
      <c r="B6280">
        <v>2</v>
      </c>
      <c r="C6280" t="s">
        <v>16</v>
      </c>
      <c r="D6280">
        <v>3.2889999999999998E-3</v>
      </c>
      <c r="E6280">
        <f t="shared" si="196"/>
        <v>1.0032890000000001</v>
      </c>
      <c r="F6280" s="1">
        <f t="shared" si="197"/>
        <v>40910</v>
      </c>
      <c r="G6280" cm="1">
        <f t="array" ref="G6280">PRODUCT( _xlfn._xlws.FILTER($E:$E, ($C:$C=C6280)*($F:$F=F6280)) ) - 1</f>
        <v>1.7259274422254611E-2</v>
      </c>
    </row>
    <row r="6281" spans="1:7" x14ac:dyDescent="0.2">
      <c r="A6281" s="1">
        <v>40914</v>
      </c>
      <c r="B6281">
        <v>2</v>
      </c>
      <c r="C6281" t="s">
        <v>16</v>
      </c>
      <c r="D6281">
        <v>9.1070000000000005E-3</v>
      </c>
      <c r="E6281">
        <f t="shared" si="196"/>
        <v>1.009107</v>
      </c>
      <c r="F6281" s="1">
        <f t="shared" si="197"/>
        <v>40910</v>
      </c>
      <c r="G6281" cm="1">
        <f t="array" ref="G6281">PRODUCT( _xlfn._xlws.FILTER($E:$E, ($C:$C=C6281)*($F:$F=F6281)) ) - 1</f>
        <v>1.7259274422254611E-2</v>
      </c>
    </row>
    <row r="6282" spans="1:7" x14ac:dyDescent="0.2">
      <c r="A6282" s="1">
        <v>40917</v>
      </c>
      <c r="B6282">
        <v>2</v>
      </c>
      <c r="C6282" t="s">
        <v>16</v>
      </c>
      <c r="D6282">
        <v>1.5883999999999999E-2</v>
      </c>
      <c r="E6282">
        <f t="shared" si="196"/>
        <v>1.015884</v>
      </c>
      <c r="F6282" s="1">
        <f t="shared" si="197"/>
        <v>40917</v>
      </c>
      <c r="G6282" cm="1">
        <f t="array" ref="G6282">PRODUCT( _xlfn._xlws.FILTER($E:$E, ($C:$C=C6282)*($F:$F=F6282)) ) - 1</f>
        <v>3.1046465263358414E-2</v>
      </c>
    </row>
    <row r="6283" spans="1:7" x14ac:dyDescent="0.2">
      <c r="A6283" s="1">
        <v>40918</v>
      </c>
      <c r="B6283">
        <v>2</v>
      </c>
      <c r="C6283" t="s">
        <v>16</v>
      </c>
      <c r="D6283">
        <v>8.1729999999999997E-3</v>
      </c>
      <c r="E6283">
        <f t="shared" si="196"/>
        <v>1.008173</v>
      </c>
      <c r="F6283" s="1">
        <f t="shared" si="197"/>
        <v>40917</v>
      </c>
      <c r="G6283" cm="1">
        <f t="array" ref="G6283">PRODUCT( _xlfn._xlws.FILTER($E:$E, ($C:$C=C6283)*($F:$F=F6283)) ) - 1</f>
        <v>3.1046465263358414E-2</v>
      </c>
    </row>
    <row r="6284" spans="1:7" x14ac:dyDescent="0.2">
      <c r="A6284" s="1">
        <v>40919</v>
      </c>
      <c r="B6284">
        <v>2</v>
      </c>
      <c r="C6284" t="s">
        <v>16</v>
      </c>
      <c r="D6284">
        <v>1.41E-3</v>
      </c>
      <c r="E6284">
        <f t="shared" si="196"/>
        <v>1.0014099999999999</v>
      </c>
      <c r="F6284" s="1">
        <f t="shared" si="197"/>
        <v>40917</v>
      </c>
      <c r="G6284" cm="1">
        <f t="array" ref="G6284">PRODUCT( _xlfn._xlws.FILTER($E:$E, ($C:$C=C6284)*($F:$F=F6284)) ) - 1</f>
        <v>3.1046465263358414E-2</v>
      </c>
    </row>
    <row r="6285" spans="1:7" x14ac:dyDescent="0.2">
      <c r="A6285" s="1">
        <v>40920</v>
      </c>
      <c r="B6285">
        <v>2</v>
      </c>
      <c r="C6285" t="s">
        <v>16</v>
      </c>
      <c r="D6285">
        <v>1.0208E-2</v>
      </c>
      <c r="E6285">
        <f t="shared" si="196"/>
        <v>1.010208</v>
      </c>
      <c r="F6285" s="1">
        <f t="shared" si="197"/>
        <v>40917</v>
      </c>
      <c r="G6285" cm="1">
        <f t="array" ref="G6285">PRODUCT( _xlfn._xlws.FILTER($E:$E, ($C:$C=C6285)*($F:$F=F6285)) ) - 1</f>
        <v>3.1046465263358414E-2</v>
      </c>
    </row>
    <row r="6286" spans="1:7" x14ac:dyDescent="0.2">
      <c r="A6286" s="1">
        <v>40921</v>
      </c>
      <c r="B6286">
        <v>2</v>
      </c>
      <c r="C6286" t="s">
        <v>16</v>
      </c>
      <c r="D6286">
        <v>-4.8780000000000004E-3</v>
      </c>
      <c r="E6286">
        <f t="shared" si="196"/>
        <v>0.99512199999999995</v>
      </c>
      <c r="F6286" s="1">
        <f t="shared" si="197"/>
        <v>40917</v>
      </c>
      <c r="G6286" cm="1">
        <f t="array" ref="G6286">PRODUCT( _xlfn._xlws.FILTER($E:$E, ($C:$C=C6286)*($F:$F=F6286)) ) - 1</f>
        <v>3.1046465263358414E-2</v>
      </c>
    </row>
    <row r="6287" spans="1:7" x14ac:dyDescent="0.2">
      <c r="A6287" s="1">
        <v>40924</v>
      </c>
      <c r="B6287">
        <v>2</v>
      </c>
      <c r="C6287" t="s">
        <v>16</v>
      </c>
      <c r="D6287">
        <v>-2.101E-3</v>
      </c>
      <c r="E6287">
        <f t="shared" si="196"/>
        <v>0.99789899999999998</v>
      </c>
      <c r="F6287" s="1">
        <f t="shared" si="197"/>
        <v>40924</v>
      </c>
      <c r="G6287" cm="1">
        <f t="array" ref="G6287">PRODUCT( _xlfn._xlws.FILTER($E:$E, ($C:$C=C6287)*($F:$F=F6287)) ) - 1</f>
        <v>2.346039486238638E-2</v>
      </c>
    </row>
    <row r="6288" spans="1:7" x14ac:dyDescent="0.2">
      <c r="A6288" s="1">
        <v>40925</v>
      </c>
      <c r="B6288">
        <v>2</v>
      </c>
      <c r="C6288" t="s">
        <v>16</v>
      </c>
      <c r="D6288">
        <v>2.0702000000000002E-2</v>
      </c>
      <c r="E6288">
        <f t="shared" si="196"/>
        <v>1.020702</v>
      </c>
      <c r="F6288" s="1">
        <f t="shared" si="197"/>
        <v>40924</v>
      </c>
      <c r="G6288" cm="1">
        <f t="array" ref="G6288">PRODUCT( _xlfn._xlws.FILTER($E:$E, ($C:$C=C6288)*($F:$F=F6288)) ) - 1</f>
        <v>2.346039486238638E-2</v>
      </c>
    </row>
    <row r="6289" spans="1:7" x14ac:dyDescent="0.2">
      <c r="A6289" s="1">
        <v>40926</v>
      </c>
      <c r="B6289">
        <v>2</v>
      </c>
      <c r="C6289" t="s">
        <v>16</v>
      </c>
      <c r="D6289">
        <v>-1.2375000000000001E-2</v>
      </c>
      <c r="E6289">
        <f t="shared" si="196"/>
        <v>0.98762499999999998</v>
      </c>
      <c r="F6289" s="1">
        <f t="shared" si="197"/>
        <v>40924</v>
      </c>
      <c r="G6289" cm="1">
        <f t="array" ref="G6289">PRODUCT( _xlfn._xlws.FILTER($E:$E, ($C:$C=C6289)*($F:$F=F6289)) ) - 1</f>
        <v>2.346039486238638E-2</v>
      </c>
    </row>
    <row r="6290" spans="1:7" x14ac:dyDescent="0.2">
      <c r="A6290" s="1">
        <v>40927</v>
      </c>
      <c r="B6290">
        <v>2</v>
      </c>
      <c r="C6290" t="s">
        <v>16</v>
      </c>
      <c r="D6290">
        <v>1.4966999999999999E-2</v>
      </c>
      <c r="E6290">
        <f t="shared" si="196"/>
        <v>1.014967</v>
      </c>
      <c r="F6290" s="1">
        <f t="shared" si="197"/>
        <v>40924</v>
      </c>
      <c r="G6290" cm="1">
        <f t="array" ref="G6290">PRODUCT( _xlfn._xlws.FILTER($E:$E, ($C:$C=C6290)*($F:$F=F6290)) ) - 1</f>
        <v>2.346039486238638E-2</v>
      </c>
    </row>
    <row r="6291" spans="1:7" x14ac:dyDescent="0.2">
      <c r="A6291" s="1">
        <v>40928</v>
      </c>
      <c r="B6291">
        <v>2</v>
      </c>
      <c r="C6291" t="s">
        <v>16</v>
      </c>
      <c r="D6291">
        <v>2.4009999999999999E-3</v>
      </c>
      <c r="E6291">
        <f t="shared" si="196"/>
        <v>1.0024010000000001</v>
      </c>
      <c r="F6291" s="1">
        <f t="shared" si="197"/>
        <v>40924</v>
      </c>
      <c r="G6291" cm="1">
        <f t="array" ref="G6291">PRODUCT( _xlfn._xlws.FILTER($E:$E, ($C:$C=C6291)*($F:$F=F6291)) ) - 1</f>
        <v>2.346039486238638E-2</v>
      </c>
    </row>
    <row r="6292" spans="1:7" x14ac:dyDescent="0.2">
      <c r="A6292" s="1">
        <v>40931</v>
      </c>
      <c r="B6292">
        <v>2</v>
      </c>
      <c r="C6292" t="s">
        <v>16</v>
      </c>
      <c r="D6292">
        <v>-1.026E-3</v>
      </c>
      <c r="E6292">
        <f t="shared" si="196"/>
        <v>0.99897400000000003</v>
      </c>
      <c r="F6292" s="1">
        <f t="shared" si="197"/>
        <v>40931</v>
      </c>
      <c r="G6292" cm="1">
        <f t="array" ref="G6292">PRODUCT( _xlfn._xlws.FILTER($E:$E, ($C:$C=C6292)*($F:$F=F6292)) ) - 1</f>
        <v>-4.8921983845872985E-2</v>
      </c>
    </row>
    <row r="6293" spans="1:7" x14ac:dyDescent="0.2">
      <c r="A6293" s="1">
        <v>40932</v>
      </c>
      <c r="B6293">
        <v>2</v>
      </c>
      <c r="C6293" t="s">
        <v>16</v>
      </c>
      <c r="D6293">
        <v>-1.0616E-2</v>
      </c>
      <c r="E6293">
        <f t="shared" si="196"/>
        <v>0.98938400000000004</v>
      </c>
      <c r="F6293" s="1">
        <f t="shared" si="197"/>
        <v>40931</v>
      </c>
      <c r="G6293" cm="1">
        <f t="array" ref="G6293">PRODUCT( _xlfn._xlws.FILTER($E:$E, ($C:$C=C6293)*($F:$F=F6293)) ) - 1</f>
        <v>-4.8921983845872985E-2</v>
      </c>
    </row>
    <row r="6294" spans="1:7" x14ac:dyDescent="0.2">
      <c r="A6294" s="1">
        <v>40933</v>
      </c>
      <c r="B6294">
        <v>2</v>
      </c>
      <c r="C6294" t="s">
        <v>16</v>
      </c>
      <c r="D6294">
        <v>3.4600000000000001E-4</v>
      </c>
      <c r="E6294">
        <f t="shared" si="196"/>
        <v>1.000346</v>
      </c>
      <c r="F6294" s="1">
        <f t="shared" si="197"/>
        <v>40931</v>
      </c>
      <c r="G6294" cm="1">
        <f t="array" ref="G6294">PRODUCT( _xlfn._xlws.FILTER($E:$E, ($C:$C=C6294)*($F:$F=F6294)) ) - 1</f>
        <v>-4.8921983845872985E-2</v>
      </c>
    </row>
    <row r="6295" spans="1:7" x14ac:dyDescent="0.2">
      <c r="A6295" s="1">
        <v>40934</v>
      </c>
      <c r="B6295">
        <v>2</v>
      </c>
      <c r="C6295" t="s">
        <v>16</v>
      </c>
      <c r="D6295">
        <v>-3.3217999999999998E-2</v>
      </c>
      <c r="E6295">
        <f t="shared" si="196"/>
        <v>0.96678200000000003</v>
      </c>
      <c r="F6295" s="1">
        <f t="shared" si="197"/>
        <v>40931</v>
      </c>
      <c r="G6295" cm="1">
        <f t="array" ref="G6295">PRODUCT( _xlfn._xlws.FILTER($E:$E, ($C:$C=C6295)*($F:$F=F6295)) ) - 1</f>
        <v>-4.8921983845872985E-2</v>
      </c>
    </row>
    <row r="6296" spans="1:7" x14ac:dyDescent="0.2">
      <c r="A6296" s="1">
        <v>40935</v>
      </c>
      <c r="B6296">
        <v>2</v>
      </c>
      <c r="C6296" t="s">
        <v>16</v>
      </c>
      <c r="D6296">
        <v>-5.0109999999999998E-3</v>
      </c>
      <c r="E6296">
        <f t="shared" si="196"/>
        <v>0.99498900000000001</v>
      </c>
      <c r="F6296" s="1">
        <f t="shared" si="197"/>
        <v>40931</v>
      </c>
      <c r="G6296" cm="1">
        <f t="array" ref="G6296">PRODUCT( _xlfn._xlws.FILTER($E:$E, ($C:$C=C6296)*($F:$F=F6296)) ) - 1</f>
        <v>-4.8921983845872985E-2</v>
      </c>
    </row>
    <row r="6297" spans="1:7" x14ac:dyDescent="0.2">
      <c r="A6297" s="1">
        <v>40938</v>
      </c>
      <c r="B6297">
        <v>2</v>
      </c>
      <c r="C6297" t="s">
        <v>16</v>
      </c>
      <c r="D6297">
        <v>0</v>
      </c>
      <c r="E6297">
        <f t="shared" si="196"/>
        <v>1</v>
      </c>
      <c r="F6297" s="1">
        <f t="shared" si="197"/>
        <v>40938</v>
      </c>
      <c r="G6297" cm="1">
        <f t="array" ref="G6297">PRODUCT( _xlfn._xlws.FILTER($E:$E, ($C:$C=C6297)*($F:$F=F6297)) ) - 1</f>
        <v>-2.1942279398883824E-2</v>
      </c>
    </row>
    <row r="6298" spans="1:7" x14ac:dyDescent="0.2">
      <c r="A6298" s="1">
        <v>40939</v>
      </c>
      <c r="B6298">
        <v>2</v>
      </c>
      <c r="C6298" t="s">
        <v>16</v>
      </c>
      <c r="D6298">
        <v>-9.3519999999999992E-3</v>
      </c>
      <c r="E6298">
        <f t="shared" si="196"/>
        <v>0.99064799999999997</v>
      </c>
      <c r="F6298" s="1">
        <f t="shared" si="197"/>
        <v>40938</v>
      </c>
      <c r="G6298" cm="1">
        <f t="array" ref="G6298">PRODUCT( _xlfn._xlws.FILTER($E:$E, ($C:$C=C6298)*($F:$F=F6298)) ) - 1</f>
        <v>-2.1942279398883824E-2</v>
      </c>
    </row>
    <row r="6299" spans="1:7" x14ac:dyDescent="0.2">
      <c r="A6299" s="1">
        <v>40940</v>
      </c>
      <c r="B6299">
        <v>2</v>
      </c>
      <c r="C6299" t="s">
        <v>16</v>
      </c>
      <c r="D6299">
        <v>1.0889999999999999E-3</v>
      </c>
      <c r="E6299">
        <f t="shared" si="196"/>
        <v>1.0010889999999999</v>
      </c>
      <c r="F6299" s="1">
        <f t="shared" si="197"/>
        <v>40938</v>
      </c>
      <c r="G6299" cm="1">
        <f t="array" ref="G6299">PRODUCT( _xlfn._xlws.FILTER($E:$E, ($C:$C=C6299)*($F:$F=F6299)) ) - 1</f>
        <v>-2.1942279398883824E-2</v>
      </c>
    </row>
    <row r="6300" spans="1:7" x14ac:dyDescent="0.2">
      <c r="A6300" s="1">
        <v>40941</v>
      </c>
      <c r="B6300">
        <v>2</v>
      </c>
      <c r="C6300" t="s">
        <v>16</v>
      </c>
      <c r="D6300">
        <v>-1.1244000000000001E-2</v>
      </c>
      <c r="E6300">
        <f t="shared" si="196"/>
        <v>0.98875599999999997</v>
      </c>
      <c r="F6300" s="1">
        <f t="shared" si="197"/>
        <v>40938</v>
      </c>
      <c r="G6300" cm="1">
        <f t="array" ref="G6300">PRODUCT( _xlfn._xlws.FILTER($E:$E, ($C:$C=C6300)*($F:$F=F6300)) ) - 1</f>
        <v>-2.1942279398883824E-2</v>
      </c>
    </row>
    <row r="6301" spans="1:7" x14ac:dyDescent="0.2">
      <c r="A6301" s="1">
        <v>40942</v>
      </c>
      <c r="B6301">
        <v>2</v>
      </c>
      <c r="C6301" t="s">
        <v>16</v>
      </c>
      <c r="D6301">
        <v>-2.568E-3</v>
      </c>
      <c r="E6301">
        <f t="shared" si="196"/>
        <v>0.99743199999999999</v>
      </c>
      <c r="F6301" s="1">
        <f t="shared" si="197"/>
        <v>40938</v>
      </c>
      <c r="G6301" cm="1">
        <f t="array" ref="G6301">PRODUCT( _xlfn._xlws.FILTER($E:$E, ($C:$C=C6301)*($F:$F=F6301)) ) - 1</f>
        <v>-2.1942279398883824E-2</v>
      </c>
    </row>
    <row r="6302" spans="1:7" x14ac:dyDescent="0.2">
      <c r="A6302" s="1">
        <v>40945</v>
      </c>
      <c r="B6302">
        <v>2</v>
      </c>
      <c r="C6302" t="s">
        <v>16</v>
      </c>
      <c r="D6302">
        <v>6.62E-3</v>
      </c>
      <c r="E6302">
        <f t="shared" si="196"/>
        <v>1.0066200000000001</v>
      </c>
      <c r="F6302" s="1">
        <f t="shared" si="197"/>
        <v>40945</v>
      </c>
      <c r="G6302" cm="1">
        <f t="array" ref="G6302">PRODUCT( _xlfn._xlws.FILTER($E:$E, ($C:$C=C6302)*($F:$F=F6302)) ) - 1</f>
        <v>-1.9492541792621831E-2</v>
      </c>
    </row>
    <row r="6303" spans="1:7" x14ac:dyDescent="0.2">
      <c r="A6303" s="1">
        <v>40946</v>
      </c>
      <c r="B6303">
        <v>2</v>
      </c>
      <c r="C6303" t="s">
        <v>16</v>
      </c>
      <c r="D6303">
        <v>-6.2110000000000004E-3</v>
      </c>
      <c r="E6303">
        <f t="shared" si="196"/>
        <v>0.99378900000000003</v>
      </c>
      <c r="F6303" s="1">
        <f t="shared" si="197"/>
        <v>40945</v>
      </c>
      <c r="G6303" cm="1">
        <f t="array" ref="G6303">PRODUCT( _xlfn._xlws.FILTER($E:$E, ($C:$C=C6303)*($F:$F=F6303)) ) - 1</f>
        <v>-1.9492541792621831E-2</v>
      </c>
    </row>
    <row r="6304" spans="1:7" x14ac:dyDescent="0.2">
      <c r="A6304" s="1">
        <v>40947</v>
      </c>
      <c r="B6304">
        <v>2</v>
      </c>
      <c r="C6304" t="s">
        <v>16</v>
      </c>
      <c r="D6304">
        <v>1.8381999999999999E-2</v>
      </c>
      <c r="E6304">
        <f t="shared" si="196"/>
        <v>1.0183819999999999</v>
      </c>
      <c r="F6304" s="1">
        <f t="shared" si="197"/>
        <v>40945</v>
      </c>
      <c r="G6304" cm="1">
        <f t="array" ref="G6304">PRODUCT( _xlfn._xlws.FILTER($E:$E, ($C:$C=C6304)*($F:$F=F6304)) ) - 1</f>
        <v>-1.9492541792621831E-2</v>
      </c>
    </row>
    <row r="6305" spans="1:7" x14ac:dyDescent="0.2">
      <c r="A6305" s="1">
        <v>40948</v>
      </c>
      <c r="B6305">
        <v>2</v>
      </c>
      <c r="C6305" t="s">
        <v>16</v>
      </c>
      <c r="D6305">
        <v>-1.2274E-2</v>
      </c>
      <c r="E6305">
        <f t="shared" si="196"/>
        <v>0.98772599999999999</v>
      </c>
      <c r="F6305" s="1">
        <f t="shared" si="197"/>
        <v>40945</v>
      </c>
      <c r="G6305" cm="1">
        <f t="array" ref="G6305">PRODUCT( _xlfn._xlws.FILTER($E:$E, ($C:$C=C6305)*($F:$F=F6305)) ) - 1</f>
        <v>-1.9492541792621831E-2</v>
      </c>
    </row>
    <row r="6306" spans="1:7" x14ac:dyDescent="0.2">
      <c r="A6306" s="1">
        <v>40949</v>
      </c>
      <c r="B6306">
        <v>2</v>
      </c>
      <c r="C6306" t="s">
        <v>16</v>
      </c>
      <c r="D6306">
        <v>-2.5585E-2</v>
      </c>
      <c r="E6306">
        <f t="shared" si="196"/>
        <v>0.97441500000000003</v>
      </c>
      <c r="F6306" s="1">
        <f t="shared" si="197"/>
        <v>40945</v>
      </c>
      <c r="G6306" cm="1">
        <f t="array" ref="G6306">PRODUCT( _xlfn._xlws.FILTER($E:$E, ($C:$C=C6306)*($F:$F=F6306)) ) - 1</f>
        <v>-1.9492541792621831E-2</v>
      </c>
    </row>
    <row r="6307" spans="1:7" x14ac:dyDescent="0.2">
      <c r="A6307" s="1">
        <v>40952</v>
      </c>
      <c r="B6307">
        <v>2</v>
      </c>
      <c r="C6307" t="s">
        <v>16</v>
      </c>
      <c r="D6307">
        <v>1.2003E-2</v>
      </c>
      <c r="E6307">
        <f t="shared" si="196"/>
        <v>1.012003</v>
      </c>
      <c r="F6307" s="1">
        <f t="shared" si="197"/>
        <v>40952</v>
      </c>
      <c r="G6307" cm="1">
        <f t="array" ref="G6307">PRODUCT( _xlfn._xlws.FILTER($E:$E, ($C:$C=C6307)*($F:$F=F6307)) ) - 1</f>
        <v>2.432949209682822E-2</v>
      </c>
    </row>
    <row r="6308" spans="1:7" x14ac:dyDescent="0.2">
      <c r="A6308" s="1">
        <v>40953</v>
      </c>
      <c r="B6308">
        <v>2</v>
      </c>
      <c r="C6308" t="s">
        <v>16</v>
      </c>
      <c r="D6308">
        <v>-1.1119999999999999E-3</v>
      </c>
      <c r="E6308">
        <f t="shared" si="196"/>
        <v>0.998888</v>
      </c>
      <c r="F6308" s="1">
        <f t="shared" si="197"/>
        <v>40952</v>
      </c>
      <c r="G6308" cm="1">
        <f t="array" ref="G6308">PRODUCT( _xlfn._xlws.FILTER($E:$E, ($C:$C=C6308)*($F:$F=F6308)) ) - 1</f>
        <v>2.432949209682822E-2</v>
      </c>
    </row>
    <row r="6309" spans="1:7" x14ac:dyDescent="0.2">
      <c r="A6309" s="1">
        <v>40954</v>
      </c>
      <c r="B6309">
        <v>2</v>
      </c>
      <c r="C6309" t="s">
        <v>16</v>
      </c>
      <c r="D6309">
        <v>-7.4200000000000004E-4</v>
      </c>
      <c r="E6309">
        <f t="shared" si="196"/>
        <v>0.99925799999999998</v>
      </c>
      <c r="F6309" s="1">
        <f t="shared" si="197"/>
        <v>40952</v>
      </c>
      <c r="G6309" cm="1">
        <f t="array" ref="G6309">PRODUCT( _xlfn._xlws.FILTER($E:$E, ($C:$C=C6309)*($F:$F=F6309)) ) - 1</f>
        <v>2.432949209682822E-2</v>
      </c>
    </row>
    <row r="6310" spans="1:7" x14ac:dyDescent="0.2">
      <c r="A6310" s="1">
        <v>40955</v>
      </c>
      <c r="B6310">
        <v>2</v>
      </c>
      <c r="C6310" t="s">
        <v>16</v>
      </c>
      <c r="D6310">
        <v>1.5225000000000001E-2</v>
      </c>
      <c r="E6310">
        <f t="shared" si="196"/>
        <v>1.015225</v>
      </c>
      <c r="F6310" s="1">
        <f t="shared" si="197"/>
        <v>40952</v>
      </c>
      <c r="G6310" cm="1">
        <f t="array" ref="G6310">PRODUCT( _xlfn._xlws.FILTER($E:$E, ($C:$C=C6310)*($F:$F=F6310)) ) - 1</f>
        <v>2.432949209682822E-2</v>
      </c>
    </row>
    <row r="6311" spans="1:7" x14ac:dyDescent="0.2">
      <c r="A6311" s="1">
        <v>40956</v>
      </c>
      <c r="B6311">
        <v>2</v>
      </c>
      <c r="C6311" t="s">
        <v>16</v>
      </c>
      <c r="D6311">
        <v>-1.1479999999999999E-3</v>
      </c>
      <c r="E6311">
        <f t="shared" si="196"/>
        <v>0.99885199999999996</v>
      </c>
      <c r="F6311" s="1">
        <f t="shared" si="197"/>
        <v>40952</v>
      </c>
      <c r="G6311" cm="1">
        <f t="array" ref="G6311">PRODUCT( _xlfn._xlws.FILTER($E:$E, ($C:$C=C6311)*($F:$F=F6311)) ) - 1</f>
        <v>2.432949209682822E-2</v>
      </c>
    </row>
    <row r="6312" spans="1:7" x14ac:dyDescent="0.2">
      <c r="A6312" s="1">
        <v>40960</v>
      </c>
      <c r="B6312">
        <v>2</v>
      </c>
      <c r="C6312" t="s">
        <v>16</v>
      </c>
      <c r="D6312">
        <v>2.5194999999999999E-2</v>
      </c>
      <c r="E6312">
        <f t="shared" si="196"/>
        <v>1.0251950000000001</v>
      </c>
      <c r="F6312" s="1">
        <f t="shared" si="197"/>
        <v>40959</v>
      </c>
      <c r="G6312" cm="1">
        <f t="array" ref="G6312">PRODUCT( _xlfn._xlws.FILTER($E:$E, ($C:$C=C6312)*($F:$F=F6312)) ) - 1</f>
        <v>5.7060089900017763E-2</v>
      </c>
    </row>
    <row r="6313" spans="1:7" x14ac:dyDescent="0.2">
      <c r="A6313" s="1">
        <v>40961</v>
      </c>
      <c r="B6313">
        <v>2</v>
      </c>
      <c r="C6313" t="s">
        <v>16</v>
      </c>
      <c r="D6313">
        <v>2.3852999999999999E-2</v>
      </c>
      <c r="E6313">
        <f t="shared" si="196"/>
        <v>1.0238529999999999</v>
      </c>
      <c r="F6313" s="1">
        <f t="shared" si="197"/>
        <v>40959</v>
      </c>
      <c r="G6313" cm="1">
        <f t="array" ref="G6313">PRODUCT( _xlfn._xlws.FILTER($E:$E, ($C:$C=C6313)*($F:$F=F6313)) ) - 1</f>
        <v>5.7060089900017763E-2</v>
      </c>
    </row>
    <row r="6314" spans="1:7" x14ac:dyDescent="0.2">
      <c r="A6314" s="1">
        <v>40962</v>
      </c>
      <c r="B6314">
        <v>2</v>
      </c>
      <c r="C6314" t="s">
        <v>16</v>
      </c>
      <c r="D6314">
        <v>7.7660000000000003E-3</v>
      </c>
      <c r="E6314">
        <f t="shared" si="196"/>
        <v>1.0077659999999999</v>
      </c>
      <c r="F6314" s="1">
        <f t="shared" si="197"/>
        <v>40959</v>
      </c>
      <c r="G6314" cm="1">
        <f t="array" ref="G6314">PRODUCT( _xlfn._xlws.FILTER($E:$E, ($C:$C=C6314)*($F:$F=F6314)) ) - 1</f>
        <v>5.7060089900017763E-2</v>
      </c>
    </row>
    <row r="6315" spans="1:7" x14ac:dyDescent="0.2">
      <c r="A6315" s="1">
        <v>40963</v>
      </c>
      <c r="B6315">
        <v>2</v>
      </c>
      <c r="C6315" t="s">
        <v>16</v>
      </c>
      <c r="D6315">
        <v>-6.9999999999999999E-4</v>
      </c>
      <c r="E6315">
        <f t="shared" si="196"/>
        <v>0.99929999999999997</v>
      </c>
      <c r="F6315" s="1">
        <f t="shared" si="197"/>
        <v>40959</v>
      </c>
      <c r="G6315" cm="1">
        <f t="array" ref="G6315">PRODUCT( _xlfn._xlws.FILTER($E:$E, ($C:$C=C6315)*($F:$F=F6315)) ) - 1</f>
        <v>5.7060089900017763E-2</v>
      </c>
    </row>
    <row r="6316" spans="1:7" x14ac:dyDescent="0.2">
      <c r="A6316" s="1">
        <v>40966</v>
      </c>
      <c r="B6316">
        <v>2</v>
      </c>
      <c r="C6316" t="s">
        <v>16</v>
      </c>
      <c r="D6316">
        <v>6.3090000000000004E-3</v>
      </c>
      <c r="E6316">
        <f t="shared" si="196"/>
        <v>1.0063089999999999</v>
      </c>
      <c r="F6316" s="1">
        <f t="shared" si="197"/>
        <v>40966</v>
      </c>
      <c r="G6316" cm="1">
        <f t="array" ref="G6316">PRODUCT( _xlfn._xlws.FILTER($E:$E, ($C:$C=C6316)*($F:$F=F6316)) ) - 1</f>
        <v>6.6587699210878259E-3</v>
      </c>
    </row>
    <row r="6317" spans="1:7" x14ac:dyDescent="0.2">
      <c r="A6317" s="1">
        <v>40967</v>
      </c>
      <c r="B6317">
        <v>2</v>
      </c>
      <c r="C6317" t="s">
        <v>16</v>
      </c>
      <c r="D6317">
        <v>-2.4380000000000001E-3</v>
      </c>
      <c r="E6317">
        <f t="shared" si="196"/>
        <v>0.99756199999999995</v>
      </c>
      <c r="F6317" s="1">
        <f t="shared" si="197"/>
        <v>40966</v>
      </c>
      <c r="G6317" cm="1">
        <f t="array" ref="G6317">PRODUCT( _xlfn._xlws.FILTER($E:$E, ($C:$C=C6317)*($F:$F=F6317)) ) - 1</f>
        <v>6.6587699210878259E-3</v>
      </c>
    </row>
    <row r="6318" spans="1:7" x14ac:dyDescent="0.2">
      <c r="A6318" s="1">
        <v>40968</v>
      </c>
      <c r="B6318">
        <v>2</v>
      </c>
      <c r="C6318" t="s">
        <v>16</v>
      </c>
      <c r="D6318">
        <v>2.444E-3</v>
      </c>
      <c r="E6318">
        <f t="shared" si="196"/>
        <v>1.0024439999999999</v>
      </c>
      <c r="F6318" s="1">
        <f t="shared" si="197"/>
        <v>40966</v>
      </c>
      <c r="G6318" cm="1">
        <f t="array" ref="G6318">PRODUCT( _xlfn._xlws.FILTER($E:$E, ($C:$C=C6318)*($F:$F=F6318)) ) - 1</f>
        <v>6.6587699210878259E-3</v>
      </c>
    </row>
    <row r="6319" spans="1:7" x14ac:dyDescent="0.2">
      <c r="A6319" s="1">
        <v>40969</v>
      </c>
      <c r="B6319">
        <v>2</v>
      </c>
      <c r="C6319" t="s">
        <v>16</v>
      </c>
      <c r="D6319">
        <v>-7.3150000000000003E-3</v>
      </c>
      <c r="E6319">
        <f t="shared" si="196"/>
        <v>0.99268500000000004</v>
      </c>
      <c r="F6319" s="1">
        <f t="shared" si="197"/>
        <v>40966</v>
      </c>
      <c r="G6319" cm="1">
        <f t="array" ref="G6319">PRODUCT( _xlfn._xlws.FILTER($E:$E, ($C:$C=C6319)*($F:$F=F6319)) ) - 1</f>
        <v>6.6587699210878259E-3</v>
      </c>
    </row>
    <row r="6320" spans="1:7" x14ac:dyDescent="0.2">
      <c r="A6320" s="1">
        <v>40970</v>
      </c>
      <c r="B6320">
        <v>2</v>
      </c>
      <c r="C6320" t="s">
        <v>16</v>
      </c>
      <c r="D6320">
        <v>7.7190000000000002E-3</v>
      </c>
      <c r="E6320">
        <f t="shared" si="196"/>
        <v>1.007719</v>
      </c>
      <c r="F6320" s="1">
        <f t="shared" si="197"/>
        <v>40966</v>
      </c>
      <c r="G6320" cm="1">
        <f t="array" ref="G6320">PRODUCT( _xlfn._xlws.FILTER($E:$E, ($C:$C=C6320)*($F:$F=F6320)) ) - 1</f>
        <v>6.6587699210878259E-3</v>
      </c>
    </row>
    <row r="6321" spans="1:7" x14ac:dyDescent="0.2">
      <c r="A6321" s="1">
        <v>40973</v>
      </c>
      <c r="B6321">
        <v>2</v>
      </c>
      <c r="C6321" t="s">
        <v>16</v>
      </c>
      <c r="D6321">
        <v>7.3119999999999999E-3</v>
      </c>
      <c r="E6321">
        <f t="shared" si="196"/>
        <v>1.007312</v>
      </c>
      <c r="F6321" s="1">
        <f t="shared" si="197"/>
        <v>40973</v>
      </c>
      <c r="G6321" cm="1">
        <f t="array" ref="G6321">PRODUCT( _xlfn._xlws.FILTER($E:$E, ($C:$C=C6321)*($F:$F=F6321)) ) - 1</f>
        <v>-8.7039969788693661E-3</v>
      </c>
    </row>
    <row r="6322" spans="1:7" x14ac:dyDescent="0.2">
      <c r="A6322" s="1">
        <v>40974</v>
      </c>
      <c r="B6322">
        <v>2</v>
      </c>
      <c r="C6322" t="s">
        <v>16</v>
      </c>
      <c r="D6322">
        <v>-2.0393999999999999E-2</v>
      </c>
      <c r="E6322">
        <f t="shared" si="196"/>
        <v>0.97960599999999998</v>
      </c>
      <c r="F6322" s="1">
        <f t="shared" si="197"/>
        <v>40973</v>
      </c>
      <c r="G6322" cm="1">
        <f t="array" ref="G6322">PRODUCT( _xlfn._xlws.FILTER($E:$E, ($C:$C=C6322)*($F:$F=F6322)) ) - 1</f>
        <v>-8.7039969788693661E-3</v>
      </c>
    </row>
    <row r="6323" spans="1:7" x14ac:dyDescent="0.2">
      <c r="A6323" s="1">
        <v>40975</v>
      </c>
      <c r="B6323">
        <v>2</v>
      </c>
      <c r="C6323" t="s">
        <v>16</v>
      </c>
      <c r="D6323">
        <v>5.646E-3</v>
      </c>
      <c r="E6323">
        <f t="shared" si="196"/>
        <v>1.005646</v>
      </c>
      <c r="F6323" s="1">
        <f t="shared" si="197"/>
        <v>40973</v>
      </c>
      <c r="G6323" cm="1">
        <f t="array" ref="G6323">PRODUCT( _xlfn._xlws.FILTER($E:$E, ($C:$C=C6323)*($F:$F=F6323)) ) - 1</f>
        <v>-8.7039969788693661E-3</v>
      </c>
    </row>
    <row r="6324" spans="1:7" x14ac:dyDescent="0.2">
      <c r="A6324" s="1">
        <v>40976</v>
      </c>
      <c r="B6324">
        <v>2</v>
      </c>
      <c r="C6324" t="s">
        <v>16</v>
      </c>
      <c r="D6324">
        <v>-1.7539999999999999E-3</v>
      </c>
      <c r="E6324">
        <f t="shared" si="196"/>
        <v>0.99824599999999997</v>
      </c>
      <c r="F6324" s="1">
        <f t="shared" si="197"/>
        <v>40973</v>
      </c>
      <c r="G6324" cm="1">
        <f t="array" ref="G6324">PRODUCT( _xlfn._xlws.FILTER($E:$E, ($C:$C=C6324)*($F:$F=F6324)) ) - 1</f>
        <v>-8.7039969788693661E-3</v>
      </c>
    </row>
    <row r="6325" spans="1:7" x14ac:dyDescent="0.2">
      <c r="A6325" s="1">
        <v>40977</v>
      </c>
      <c r="B6325">
        <v>2</v>
      </c>
      <c r="C6325" t="s">
        <v>16</v>
      </c>
      <c r="D6325">
        <v>7.0299999999999996E-4</v>
      </c>
      <c r="E6325">
        <f t="shared" si="196"/>
        <v>1.0007029999999999</v>
      </c>
      <c r="F6325" s="1">
        <f t="shared" si="197"/>
        <v>40973</v>
      </c>
      <c r="G6325" cm="1">
        <f t="array" ref="G6325">PRODUCT( _xlfn._xlws.FILTER($E:$E, ($C:$C=C6325)*($F:$F=F6325)) ) - 1</f>
        <v>-8.7039969788693661E-3</v>
      </c>
    </row>
    <row r="6326" spans="1:7" x14ac:dyDescent="0.2">
      <c r="A6326" s="1">
        <v>40980</v>
      </c>
      <c r="B6326">
        <v>2</v>
      </c>
      <c r="C6326" t="s">
        <v>16</v>
      </c>
      <c r="D6326">
        <v>1.5806000000000001E-2</v>
      </c>
      <c r="E6326">
        <f t="shared" si="196"/>
        <v>1.015806</v>
      </c>
      <c r="F6326" s="1">
        <f t="shared" si="197"/>
        <v>40980</v>
      </c>
      <c r="G6326" cm="1">
        <f t="array" ref="G6326">PRODUCT( _xlfn._xlws.FILTER($E:$E, ($C:$C=C6326)*($F:$F=F6326)) ) - 1</f>
        <v>2.4938184212271119E-2</v>
      </c>
    </row>
    <row r="6327" spans="1:7" x14ac:dyDescent="0.2">
      <c r="A6327" s="1">
        <v>40981</v>
      </c>
      <c r="B6327">
        <v>2</v>
      </c>
      <c r="C6327" t="s">
        <v>16</v>
      </c>
      <c r="D6327">
        <v>6.5700000000000003E-3</v>
      </c>
      <c r="E6327">
        <f t="shared" si="196"/>
        <v>1.00657</v>
      </c>
      <c r="F6327" s="1">
        <f t="shared" si="197"/>
        <v>40980</v>
      </c>
      <c r="G6327" cm="1">
        <f t="array" ref="G6327">PRODUCT( _xlfn._xlws.FILTER($E:$E, ($C:$C=C6327)*($F:$F=F6327)) ) - 1</f>
        <v>2.4938184212271119E-2</v>
      </c>
    </row>
    <row r="6328" spans="1:7" x14ac:dyDescent="0.2">
      <c r="A6328" s="1">
        <v>40982</v>
      </c>
      <c r="B6328">
        <v>2</v>
      </c>
      <c r="C6328" t="s">
        <v>16</v>
      </c>
      <c r="D6328">
        <v>-1.7520000000000001E-2</v>
      </c>
      <c r="E6328">
        <f t="shared" si="196"/>
        <v>0.98248000000000002</v>
      </c>
      <c r="F6328" s="1">
        <f t="shared" si="197"/>
        <v>40980</v>
      </c>
      <c r="G6328" cm="1">
        <f t="array" ref="G6328">PRODUCT( _xlfn._xlws.FILTER($E:$E, ($C:$C=C6328)*($F:$F=F6328)) ) - 1</f>
        <v>2.4938184212271119E-2</v>
      </c>
    </row>
    <row r="6329" spans="1:7" x14ac:dyDescent="0.2">
      <c r="A6329" s="1">
        <v>40983</v>
      </c>
      <c r="B6329">
        <v>2</v>
      </c>
      <c r="C6329" t="s">
        <v>16</v>
      </c>
      <c r="D6329">
        <v>1.1188999999999999E-2</v>
      </c>
      <c r="E6329">
        <f t="shared" si="196"/>
        <v>1.0111889999999999</v>
      </c>
      <c r="F6329" s="1">
        <f t="shared" si="197"/>
        <v>40980</v>
      </c>
      <c r="G6329" cm="1">
        <f t="array" ref="G6329">PRODUCT( _xlfn._xlws.FILTER($E:$E, ($C:$C=C6329)*($F:$F=F6329)) ) - 1</f>
        <v>2.4938184212271119E-2</v>
      </c>
    </row>
    <row r="6330" spans="1:7" x14ac:dyDescent="0.2">
      <c r="A6330" s="1">
        <v>40984</v>
      </c>
      <c r="B6330">
        <v>2</v>
      </c>
      <c r="C6330" t="s">
        <v>16</v>
      </c>
      <c r="D6330">
        <v>8.9899999999999997E-3</v>
      </c>
      <c r="E6330">
        <f t="shared" si="196"/>
        <v>1.0089900000000001</v>
      </c>
      <c r="F6330" s="1">
        <f t="shared" si="197"/>
        <v>40980</v>
      </c>
      <c r="G6330" cm="1">
        <f t="array" ref="G6330">PRODUCT( _xlfn._xlws.FILTER($E:$E, ($C:$C=C6330)*($F:$F=F6330)) ) - 1</f>
        <v>2.4938184212271119E-2</v>
      </c>
    </row>
    <row r="6331" spans="1:7" x14ac:dyDescent="0.2">
      <c r="A6331" s="1">
        <v>40987</v>
      </c>
      <c r="B6331">
        <v>2</v>
      </c>
      <c r="C6331" t="s">
        <v>16</v>
      </c>
      <c r="D6331">
        <v>-1.1995E-2</v>
      </c>
      <c r="E6331">
        <f t="shared" si="196"/>
        <v>0.98800500000000002</v>
      </c>
      <c r="F6331" s="1">
        <f t="shared" si="197"/>
        <v>40987</v>
      </c>
      <c r="G6331" cm="1">
        <f t="array" ref="G6331">PRODUCT( _xlfn._xlws.FILTER($E:$E, ($C:$C=C6331)*($F:$F=F6331)) ) - 1</f>
        <v>1.3363539097630994E-2</v>
      </c>
    </row>
    <row r="6332" spans="1:7" x14ac:dyDescent="0.2">
      <c r="A6332" s="1">
        <v>40988</v>
      </c>
      <c r="B6332">
        <v>2</v>
      </c>
      <c r="C6332" t="s">
        <v>16</v>
      </c>
      <c r="D6332">
        <v>4.1619999999999999E-3</v>
      </c>
      <c r="E6332">
        <f t="shared" si="196"/>
        <v>1.004162</v>
      </c>
      <c r="F6332" s="1">
        <f t="shared" si="197"/>
        <v>40987</v>
      </c>
      <c r="G6332" cm="1">
        <f t="array" ref="G6332">PRODUCT( _xlfn._xlws.FILTER($E:$E, ($C:$C=C6332)*($F:$F=F6332)) ) - 1</f>
        <v>1.3363539097630994E-2</v>
      </c>
    </row>
    <row r="6333" spans="1:7" x14ac:dyDescent="0.2">
      <c r="A6333" s="1">
        <v>40989</v>
      </c>
      <c r="B6333">
        <v>2</v>
      </c>
      <c r="C6333" t="s">
        <v>16</v>
      </c>
      <c r="D6333">
        <v>3.1433000000000003E-2</v>
      </c>
      <c r="E6333">
        <f t="shared" si="196"/>
        <v>1.031433</v>
      </c>
      <c r="F6333" s="1">
        <f t="shared" si="197"/>
        <v>40987</v>
      </c>
      <c r="G6333" cm="1">
        <f t="array" ref="G6333">PRODUCT( _xlfn._xlws.FILTER($E:$E, ($C:$C=C6333)*($F:$F=F6333)) ) - 1</f>
        <v>1.3363539097630994E-2</v>
      </c>
    </row>
    <row r="6334" spans="1:7" x14ac:dyDescent="0.2">
      <c r="A6334" s="1">
        <v>40990</v>
      </c>
      <c r="B6334">
        <v>2</v>
      </c>
      <c r="C6334" t="s">
        <v>16</v>
      </c>
      <c r="D6334">
        <v>-8.038E-3</v>
      </c>
      <c r="E6334">
        <f t="shared" si="196"/>
        <v>0.99196200000000001</v>
      </c>
      <c r="F6334" s="1">
        <f t="shared" si="197"/>
        <v>40987</v>
      </c>
      <c r="G6334" cm="1">
        <f t="array" ref="G6334">PRODUCT( _xlfn._xlws.FILTER($E:$E, ($C:$C=C6334)*($F:$F=F6334)) ) - 1</f>
        <v>1.3363539097630994E-2</v>
      </c>
    </row>
    <row r="6335" spans="1:7" x14ac:dyDescent="0.2">
      <c r="A6335" s="1">
        <v>40991</v>
      </c>
      <c r="B6335">
        <v>2</v>
      </c>
      <c r="C6335" t="s">
        <v>16</v>
      </c>
      <c r="D6335">
        <v>-1.688E-3</v>
      </c>
      <c r="E6335">
        <f t="shared" si="196"/>
        <v>0.99831199999999998</v>
      </c>
      <c r="F6335" s="1">
        <f t="shared" si="197"/>
        <v>40987</v>
      </c>
      <c r="G6335" cm="1">
        <f t="array" ref="G6335">PRODUCT( _xlfn._xlws.FILTER($E:$E, ($C:$C=C6335)*($F:$F=F6335)) ) - 1</f>
        <v>1.3363539097630994E-2</v>
      </c>
    </row>
    <row r="6336" spans="1:7" x14ac:dyDescent="0.2">
      <c r="A6336" s="1">
        <v>40994</v>
      </c>
      <c r="B6336">
        <v>2</v>
      </c>
      <c r="C6336" t="s">
        <v>16</v>
      </c>
      <c r="D6336">
        <v>8.7930000000000005E-3</v>
      </c>
      <c r="E6336">
        <f t="shared" si="196"/>
        <v>1.0087930000000001</v>
      </c>
      <c r="F6336" s="1">
        <f t="shared" si="197"/>
        <v>40994</v>
      </c>
      <c r="G6336" cm="1">
        <f t="array" ref="G6336">PRODUCT( _xlfn._xlws.FILTER($E:$E, ($C:$C=C6336)*($F:$F=F6336)) ) - 1</f>
        <v>-2.4685853300122185E-2</v>
      </c>
    </row>
    <row r="6337" spans="1:7" x14ac:dyDescent="0.2">
      <c r="A6337" s="1">
        <v>40995</v>
      </c>
      <c r="B6337">
        <v>2</v>
      </c>
      <c r="C6337" t="s">
        <v>16</v>
      </c>
      <c r="D6337">
        <v>-1.1398E-2</v>
      </c>
      <c r="E6337">
        <f t="shared" si="196"/>
        <v>0.98860199999999998</v>
      </c>
      <c r="F6337" s="1">
        <f t="shared" si="197"/>
        <v>40994</v>
      </c>
      <c r="G6337" cm="1">
        <f t="array" ref="G6337">PRODUCT( _xlfn._xlws.FILTER($E:$E, ($C:$C=C6337)*($F:$F=F6337)) ) - 1</f>
        <v>-2.4685853300122185E-2</v>
      </c>
    </row>
    <row r="6338" spans="1:7" x14ac:dyDescent="0.2">
      <c r="A6338" s="1">
        <v>40996</v>
      </c>
      <c r="B6338">
        <v>2</v>
      </c>
      <c r="C6338" t="s">
        <v>16</v>
      </c>
      <c r="D6338">
        <v>-4.7470000000000004E-3</v>
      </c>
      <c r="E6338">
        <f t="shared" si="196"/>
        <v>0.99525300000000005</v>
      </c>
      <c r="F6338" s="1">
        <f t="shared" si="197"/>
        <v>40994</v>
      </c>
      <c r="G6338" cm="1">
        <f t="array" ref="G6338">PRODUCT( _xlfn._xlws.FILTER($E:$E, ($C:$C=C6338)*($F:$F=F6338)) ) - 1</f>
        <v>-2.4685853300122185E-2</v>
      </c>
    </row>
    <row r="6339" spans="1:7" x14ac:dyDescent="0.2">
      <c r="A6339" s="1">
        <v>40997</v>
      </c>
      <c r="B6339">
        <v>2</v>
      </c>
      <c r="C6339" t="s">
        <v>16</v>
      </c>
      <c r="D6339">
        <v>-1.3969000000000001E-2</v>
      </c>
      <c r="E6339">
        <f t="shared" si="196"/>
        <v>0.98603099999999999</v>
      </c>
      <c r="F6339" s="1">
        <f t="shared" si="197"/>
        <v>40994</v>
      </c>
      <c r="G6339" cm="1">
        <f t="array" ref="G6339">PRODUCT( _xlfn._xlws.FILTER($E:$E, ($C:$C=C6339)*($F:$F=F6339)) ) - 1</f>
        <v>-2.4685853300122185E-2</v>
      </c>
    </row>
    <row r="6340" spans="1:7" x14ac:dyDescent="0.2">
      <c r="A6340" s="1">
        <v>40998</v>
      </c>
      <c r="B6340">
        <v>2</v>
      </c>
      <c r="C6340" t="s">
        <v>16</v>
      </c>
      <c r="D6340">
        <v>-3.4550000000000002E-3</v>
      </c>
      <c r="E6340">
        <f t="shared" ref="E6340:E6403" si="198">D6340+1</f>
        <v>0.99654500000000001</v>
      </c>
      <c r="F6340" s="1">
        <f t="shared" ref="F6340:F6403" si="199">A6340 - (WEEKDAY(A6340, 2) - 1)</f>
        <v>40994</v>
      </c>
      <c r="G6340" cm="1">
        <f t="array" ref="G6340">PRODUCT( _xlfn._xlws.FILTER($E:$E, ($C:$C=C6340)*($F:$F=F6340)) ) - 1</f>
        <v>-2.4685853300122185E-2</v>
      </c>
    </row>
    <row r="6341" spans="1:7" x14ac:dyDescent="0.2">
      <c r="A6341" s="1">
        <v>41001</v>
      </c>
      <c r="B6341">
        <v>2</v>
      </c>
      <c r="C6341" t="s">
        <v>16</v>
      </c>
      <c r="D6341">
        <v>1.0055E-2</v>
      </c>
      <c r="E6341">
        <f t="shared" si="198"/>
        <v>1.0100549999999999</v>
      </c>
      <c r="F6341" s="1">
        <f t="shared" si="199"/>
        <v>41001</v>
      </c>
      <c r="G6341" cm="1">
        <f t="array" ref="G6341">PRODUCT( _xlfn._xlws.FILTER($E:$E, ($C:$C=C6341)*($F:$F=F6341)) ) - 1</f>
        <v>-2.8432513644344404E-2</v>
      </c>
    </row>
    <row r="6342" spans="1:7" x14ac:dyDescent="0.2">
      <c r="A6342" s="1">
        <v>41002</v>
      </c>
      <c r="B6342">
        <v>2</v>
      </c>
      <c r="C6342" t="s">
        <v>16</v>
      </c>
      <c r="D6342">
        <v>-1.0985E-2</v>
      </c>
      <c r="E6342">
        <f t="shared" si="198"/>
        <v>0.98901499999999998</v>
      </c>
      <c r="F6342" s="1">
        <f t="shared" si="199"/>
        <v>41001</v>
      </c>
      <c r="G6342" cm="1">
        <f t="array" ref="G6342">PRODUCT( _xlfn._xlws.FILTER($E:$E, ($C:$C=C6342)*($F:$F=F6342)) ) - 1</f>
        <v>-2.8432513644344404E-2</v>
      </c>
    </row>
    <row r="6343" spans="1:7" x14ac:dyDescent="0.2">
      <c r="A6343" s="1">
        <v>41003</v>
      </c>
      <c r="B6343">
        <v>2</v>
      </c>
      <c r="C6343" t="s">
        <v>16</v>
      </c>
      <c r="D6343">
        <v>-1.5272000000000001E-2</v>
      </c>
      <c r="E6343">
        <f t="shared" si="198"/>
        <v>0.98472800000000005</v>
      </c>
      <c r="F6343" s="1">
        <f t="shared" si="199"/>
        <v>41001</v>
      </c>
      <c r="G6343" cm="1">
        <f t="array" ref="G6343">PRODUCT( _xlfn._xlws.FILTER($E:$E, ($C:$C=C6343)*($F:$F=F6343)) ) - 1</f>
        <v>-2.8432513644344404E-2</v>
      </c>
    </row>
    <row r="6344" spans="1:7" x14ac:dyDescent="0.2">
      <c r="A6344" s="1">
        <v>41004</v>
      </c>
      <c r="B6344">
        <v>2</v>
      </c>
      <c r="C6344" t="s">
        <v>16</v>
      </c>
      <c r="D6344">
        <v>-1.2337000000000001E-2</v>
      </c>
      <c r="E6344">
        <f t="shared" si="198"/>
        <v>0.98766299999999996</v>
      </c>
      <c r="F6344" s="1">
        <f t="shared" si="199"/>
        <v>41001</v>
      </c>
      <c r="G6344" cm="1">
        <f t="array" ref="G6344">PRODUCT( _xlfn._xlws.FILTER($E:$E, ($C:$C=C6344)*($F:$F=F6344)) ) - 1</f>
        <v>-2.8432513644344404E-2</v>
      </c>
    </row>
    <row r="6345" spans="1:7" x14ac:dyDescent="0.2">
      <c r="A6345" s="1">
        <v>41008</v>
      </c>
      <c r="B6345">
        <v>2</v>
      </c>
      <c r="C6345" t="s">
        <v>16</v>
      </c>
      <c r="D6345">
        <v>-8.5649999999999997E-3</v>
      </c>
      <c r="E6345">
        <f t="shared" si="198"/>
        <v>0.99143499999999996</v>
      </c>
      <c r="F6345" s="1">
        <f t="shared" si="199"/>
        <v>41008</v>
      </c>
      <c r="G6345" cm="1">
        <f t="array" ref="G6345">PRODUCT( _xlfn._xlws.FILTER($E:$E, ($C:$C=C6345)*($F:$F=F6345)) ) - 1</f>
        <v>8.2081618431202319E-3</v>
      </c>
    </row>
    <row r="6346" spans="1:7" x14ac:dyDescent="0.2">
      <c r="A6346" s="1">
        <v>41009</v>
      </c>
      <c r="B6346">
        <v>2</v>
      </c>
      <c r="C6346" t="s">
        <v>16</v>
      </c>
      <c r="D6346">
        <v>-1.08E-3</v>
      </c>
      <c r="E6346">
        <f t="shared" si="198"/>
        <v>0.99892000000000003</v>
      </c>
      <c r="F6346" s="1">
        <f t="shared" si="199"/>
        <v>41008</v>
      </c>
      <c r="G6346" cm="1">
        <f t="array" ref="G6346">PRODUCT( _xlfn._xlws.FILTER($E:$E, ($C:$C=C6346)*($F:$F=F6346)) ) - 1</f>
        <v>8.2081618431202319E-3</v>
      </c>
    </row>
    <row r="6347" spans="1:7" x14ac:dyDescent="0.2">
      <c r="A6347" s="1">
        <v>41010</v>
      </c>
      <c r="B6347">
        <v>2</v>
      </c>
      <c r="C6347" t="s">
        <v>16</v>
      </c>
      <c r="D6347">
        <v>2.0539999999999999E-2</v>
      </c>
      <c r="E6347">
        <f t="shared" si="198"/>
        <v>1.02054</v>
      </c>
      <c r="F6347" s="1">
        <f t="shared" si="199"/>
        <v>41008</v>
      </c>
      <c r="G6347" cm="1">
        <f t="array" ref="G6347">PRODUCT( _xlfn._xlws.FILTER($E:$E, ($C:$C=C6347)*($F:$F=F6347)) ) - 1</f>
        <v>8.2081618431202319E-3</v>
      </c>
    </row>
    <row r="6348" spans="1:7" x14ac:dyDescent="0.2">
      <c r="A6348" s="1">
        <v>41011</v>
      </c>
      <c r="B6348">
        <v>2</v>
      </c>
      <c r="C6348" t="s">
        <v>16</v>
      </c>
      <c r="D6348">
        <v>2.1189999999999998E-3</v>
      </c>
      <c r="E6348">
        <f t="shared" si="198"/>
        <v>1.002119</v>
      </c>
      <c r="F6348" s="1">
        <f t="shared" si="199"/>
        <v>41008</v>
      </c>
      <c r="G6348" cm="1">
        <f t="array" ref="G6348">PRODUCT( _xlfn._xlws.FILTER($E:$E, ($C:$C=C6348)*($F:$F=F6348)) ) - 1</f>
        <v>8.2081618431202319E-3</v>
      </c>
    </row>
    <row r="6349" spans="1:7" x14ac:dyDescent="0.2">
      <c r="A6349" s="1">
        <v>41012</v>
      </c>
      <c r="B6349">
        <v>2</v>
      </c>
      <c r="C6349" t="s">
        <v>16</v>
      </c>
      <c r="D6349">
        <v>-4.581E-3</v>
      </c>
      <c r="E6349">
        <f t="shared" si="198"/>
        <v>0.99541900000000005</v>
      </c>
      <c r="F6349" s="1">
        <f t="shared" si="199"/>
        <v>41008</v>
      </c>
      <c r="G6349" cm="1">
        <f t="array" ref="G6349">PRODUCT( _xlfn._xlws.FILTER($E:$E, ($C:$C=C6349)*($F:$F=F6349)) ) - 1</f>
        <v>8.2081618431202319E-3</v>
      </c>
    </row>
    <row r="6350" spans="1:7" x14ac:dyDescent="0.2">
      <c r="A6350" s="1">
        <v>41015</v>
      </c>
      <c r="B6350">
        <v>2</v>
      </c>
      <c r="C6350" t="s">
        <v>16</v>
      </c>
      <c r="D6350">
        <v>7.7879999999999998E-3</v>
      </c>
      <c r="E6350">
        <f t="shared" si="198"/>
        <v>1.0077879999999999</v>
      </c>
      <c r="F6350" s="1">
        <f t="shared" si="199"/>
        <v>41015</v>
      </c>
      <c r="G6350" cm="1">
        <f t="array" ref="G6350">PRODUCT( _xlfn._xlws.FILTER($E:$E, ($C:$C=C6350)*($F:$F=F6350)) ) - 1</f>
        <v>1.4160532104165346E-2</v>
      </c>
    </row>
    <row r="6351" spans="1:7" x14ac:dyDescent="0.2">
      <c r="A6351" s="1">
        <v>41016</v>
      </c>
      <c r="B6351">
        <v>2</v>
      </c>
      <c r="C6351" t="s">
        <v>16</v>
      </c>
      <c r="D6351">
        <v>6.3229999999999996E-3</v>
      </c>
      <c r="E6351">
        <f t="shared" si="198"/>
        <v>1.0063230000000001</v>
      </c>
      <c r="F6351" s="1">
        <f t="shared" si="199"/>
        <v>41015</v>
      </c>
      <c r="G6351" cm="1">
        <f t="array" ref="G6351">PRODUCT( _xlfn._xlws.FILTER($E:$E, ($C:$C=C6351)*($F:$F=F6351)) ) - 1</f>
        <v>1.4160532104165346E-2</v>
      </c>
    </row>
    <row r="6352" spans="1:7" x14ac:dyDescent="0.2">
      <c r="A6352" s="1">
        <v>41017</v>
      </c>
      <c r="B6352">
        <v>2</v>
      </c>
      <c r="C6352" t="s">
        <v>16</v>
      </c>
      <c r="D6352">
        <v>-1.2914E-2</v>
      </c>
      <c r="E6352">
        <f t="shared" si="198"/>
        <v>0.98708600000000002</v>
      </c>
      <c r="F6352" s="1">
        <f t="shared" si="199"/>
        <v>41015</v>
      </c>
      <c r="G6352" cm="1">
        <f t="array" ref="G6352">PRODUCT( _xlfn._xlws.FILTER($E:$E, ($C:$C=C6352)*($F:$F=F6352)) ) - 1</f>
        <v>1.4160532104165346E-2</v>
      </c>
    </row>
    <row r="6353" spans="1:7" x14ac:dyDescent="0.2">
      <c r="A6353" s="1">
        <v>41018</v>
      </c>
      <c r="B6353">
        <v>2</v>
      </c>
      <c r="C6353" t="s">
        <v>16</v>
      </c>
      <c r="D6353">
        <v>-3.5399999999999999E-4</v>
      </c>
      <c r="E6353">
        <f t="shared" si="198"/>
        <v>0.99964600000000003</v>
      </c>
      <c r="F6353" s="1">
        <f t="shared" si="199"/>
        <v>41015</v>
      </c>
      <c r="G6353" cm="1">
        <f t="array" ref="G6353">PRODUCT( _xlfn._xlws.FILTER($E:$E, ($C:$C=C6353)*($F:$F=F6353)) ) - 1</f>
        <v>1.4160532104165346E-2</v>
      </c>
    </row>
    <row r="6354" spans="1:7" x14ac:dyDescent="0.2">
      <c r="A6354" s="1">
        <v>41019</v>
      </c>
      <c r="B6354">
        <v>2</v>
      </c>
      <c r="C6354" t="s">
        <v>16</v>
      </c>
      <c r="D6354">
        <v>1.3442000000000001E-2</v>
      </c>
      <c r="E6354">
        <f t="shared" si="198"/>
        <v>1.013442</v>
      </c>
      <c r="F6354" s="1">
        <f t="shared" si="199"/>
        <v>41015</v>
      </c>
      <c r="G6354" cm="1">
        <f t="array" ref="G6354">PRODUCT( _xlfn._xlws.FILTER($E:$E, ($C:$C=C6354)*($F:$F=F6354)) ) - 1</f>
        <v>1.4160532104165346E-2</v>
      </c>
    </row>
    <row r="6355" spans="1:7" x14ac:dyDescent="0.2">
      <c r="A6355" s="1">
        <v>41022</v>
      </c>
      <c r="B6355">
        <v>2</v>
      </c>
      <c r="C6355" t="s">
        <v>16</v>
      </c>
      <c r="D6355">
        <v>-1.5706999999999999E-2</v>
      </c>
      <c r="E6355">
        <f t="shared" si="198"/>
        <v>0.98429299999999997</v>
      </c>
      <c r="F6355" s="1">
        <f t="shared" si="199"/>
        <v>41022</v>
      </c>
      <c r="G6355" cm="1">
        <f t="array" ref="G6355">PRODUCT( _xlfn._xlws.FILTER($E:$E, ($C:$C=C6355)*($F:$F=F6355)) ) - 1</f>
        <v>2.1639579454105773E-2</v>
      </c>
    </row>
    <row r="6356" spans="1:7" x14ac:dyDescent="0.2">
      <c r="A6356" s="1">
        <v>41023</v>
      </c>
      <c r="B6356">
        <v>2</v>
      </c>
      <c r="C6356" t="s">
        <v>16</v>
      </c>
      <c r="D6356">
        <v>1.4184E-2</v>
      </c>
      <c r="E6356">
        <f t="shared" si="198"/>
        <v>1.014184</v>
      </c>
      <c r="F6356" s="1">
        <f t="shared" si="199"/>
        <v>41022</v>
      </c>
      <c r="G6356" cm="1">
        <f t="array" ref="G6356">PRODUCT( _xlfn._xlws.FILTER($E:$E, ($C:$C=C6356)*($F:$F=F6356)) ) - 1</f>
        <v>2.1639579454105773E-2</v>
      </c>
    </row>
    <row r="6357" spans="1:7" x14ac:dyDescent="0.2">
      <c r="A6357" s="1">
        <v>41024</v>
      </c>
      <c r="B6357">
        <v>2</v>
      </c>
      <c r="C6357" t="s">
        <v>16</v>
      </c>
      <c r="D6357">
        <v>4.895E-3</v>
      </c>
      <c r="E6357">
        <f t="shared" si="198"/>
        <v>1.0048950000000001</v>
      </c>
      <c r="F6357" s="1">
        <f t="shared" si="199"/>
        <v>41022</v>
      </c>
      <c r="G6357" cm="1">
        <f t="array" ref="G6357">PRODUCT( _xlfn._xlws.FILTER($E:$E, ($C:$C=C6357)*($F:$F=F6357)) ) - 1</f>
        <v>2.1639579454105773E-2</v>
      </c>
    </row>
    <row r="6358" spans="1:7" x14ac:dyDescent="0.2">
      <c r="A6358" s="1">
        <v>41025</v>
      </c>
      <c r="B6358">
        <v>2</v>
      </c>
      <c r="C6358" t="s">
        <v>16</v>
      </c>
      <c r="D6358">
        <v>1.1481999999999999E-2</v>
      </c>
      <c r="E6358">
        <f t="shared" si="198"/>
        <v>1.011482</v>
      </c>
      <c r="F6358" s="1">
        <f t="shared" si="199"/>
        <v>41022</v>
      </c>
      <c r="G6358" cm="1">
        <f t="array" ref="G6358">PRODUCT( _xlfn._xlws.FILTER($E:$E, ($C:$C=C6358)*($F:$F=F6358)) ) - 1</f>
        <v>2.1639579454105773E-2</v>
      </c>
    </row>
    <row r="6359" spans="1:7" x14ac:dyDescent="0.2">
      <c r="A6359" s="1">
        <v>41026</v>
      </c>
      <c r="B6359">
        <v>2</v>
      </c>
      <c r="C6359" t="s">
        <v>16</v>
      </c>
      <c r="D6359">
        <v>6.8799999999999998E-3</v>
      </c>
      <c r="E6359">
        <f t="shared" si="198"/>
        <v>1.00688</v>
      </c>
      <c r="F6359" s="1">
        <f t="shared" si="199"/>
        <v>41022</v>
      </c>
      <c r="G6359" cm="1">
        <f t="array" ref="G6359">PRODUCT( _xlfn._xlws.FILTER($E:$E, ($C:$C=C6359)*($F:$F=F6359)) ) - 1</f>
        <v>2.1639579454105773E-2</v>
      </c>
    </row>
    <row r="6360" spans="1:7" x14ac:dyDescent="0.2">
      <c r="A6360" s="1">
        <v>41029</v>
      </c>
      <c r="B6360">
        <v>2</v>
      </c>
      <c r="C6360" t="s">
        <v>16</v>
      </c>
      <c r="D6360">
        <v>8.541E-3</v>
      </c>
      <c r="E6360">
        <f t="shared" si="198"/>
        <v>1.0085409999999999</v>
      </c>
      <c r="F6360" s="1">
        <f t="shared" si="199"/>
        <v>41029</v>
      </c>
      <c r="G6360" cm="1">
        <f t="array" ref="G6360">PRODUCT( _xlfn._xlws.FILTER($E:$E, ($C:$C=C6360)*($F:$F=F6360)) ) - 1</f>
        <v>4.7833097814162784E-3</v>
      </c>
    </row>
    <row r="6361" spans="1:7" x14ac:dyDescent="0.2">
      <c r="A6361" s="1">
        <v>41030</v>
      </c>
      <c r="B6361">
        <v>2</v>
      </c>
      <c r="C6361" t="s">
        <v>16</v>
      </c>
      <c r="D6361">
        <v>8.8079999999999999E-3</v>
      </c>
      <c r="E6361">
        <f t="shared" si="198"/>
        <v>1.0088079999999999</v>
      </c>
      <c r="F6361" s="1">
        <f t="shared" si="199"/>
        <v>41029</v>
      </c>
      <c r="G6361" cm="1">
        <f t="array" ref="G6361">PRODUCT( _xlfn._xlws.FILTER($E:$E, ($C:$C=C6361)*($F:$F=F6361)) ) - 1</f>
        <v>4.7833097814162784E-3</v>
      </c>
    </row>
    <row r="6362" spans="1:7" x14ac:dyDescent="0.2">
      <c r="A6362" s="1">
        <v>41031</v>
      </c>
      <c r="B6362">
        <v>2</v>
      </c>
      <c r="C6362" t="s">
        <v>16</v>
      </c>
      <c r="D6362">
        <v>8.0590000000000002E-3</v>
      </c>
      <c r="E6362">
        <f t="shared" si="198"/>
        <v>1.008059</v>
      </c>
      <c r="F6362" s="1">
        <f t="shared" si="199"/>
        <v>41029</v>
      </c>
      <c r="G6362" cm="1">
        <f t="array" ref="G6362">PRODUCT( _xlfn._xlws.FILTER($E:$E, ($C:$C=C6362)*($F:$F=F6362)) ) - 1</f>
        <v>4.7833097814162784E-3</v>
      </c>
    </row>
    <row r="6363" spans="1:7" x14ac:dyDescent="0.2">
      <c r="A6363" s="1">
        <v>41032</v>
      </c>
      <c r="B6363">
        <v>2</v>
      </c>
      <c r="C6363" t="s">
        <v>16</v>
      </c>
      <c r="D6363">
        <v>-5.3299999999999997E-3</v>
      </c>
      <c r="E6363">
        <f t="shared" si="198"/>
        <v>0.99467000000000005</v>
      </c>
      <c r="F6363" s="1">
        <f t="shared" si="199"/>
        <v>41029</v>
      </c>
      <c r="G6363" cm="1">
        <f t="array" ref="G6363">PRODUCT( _xlfn._xlws.FILTER($E:$E, ($C:$C=C6363)*($F:$F=F6363)) ) - 1</f>
        <v>4.7833097814162784E-3</v>
      </c>
    </row>
    <row r="6364" spans="1:7" x14ac:dyDescent="0.2">
      <c r="A6364" s="1">
        <v>41033</v>
      </c>
      <c r="B6364">
        <v>2</v>
      </c>
      <c r="C6364" t="s">
        <v>16</v>
      </c>
      <c r="D6364">
        <v>-1.507E-2</v>
      </c>
      <c r="E6364">
        <f t="shared" si="198"/>
        <v>0.98492999999999997</v>
      </c>
      <c r="F6364" s="1">
        <f t="shared" si="199"/>
        <v>41029</v>
      </c>
      <c r="G6364" cm="1">
        <f t="array" ref="G6364">PRODUCT( _xlfn._xlws.FILTER($E:$E, ($C:$C=C6364)*($F:$F=F6364)) ) - 1</f>
        <v>4.7833097814162784E-3</v>
      </c>
    </row>
    <row r="6365" spans="1:7" x14ac:dyDescent="0.2">
      <c r="A6365" s="1">
        <v>41036</v>
      </c>
      <c r="B6365">
        <v>2</v>
      </c>
      <c r="C6365" t="s">
        <v>16</v>
      </c>
      <c r="D6365">
        <v>2.7200000000000002E-3</v>
      </c>
      <c r="E6365">
        <f t="shared" si="198"/>
        <v>1.0027200000000001</v>
      </c>
      <c r="F6365" s="1">
        <f t="shared" si="199"/>
        <v>41036</v>
      </c>
      <c r="G6365" cm="1">
        <f t="array" ref="G6365">PRODUCT( _xlfn._xlws.FILTER($E:$E, ($C:$C=C6365)*($F:$F=F6365)) ) - 1</f>
        <v>3.7398953193765738E-3</v>
      </c>
    </row>
    <row r="6366" spans="1:7" x14ac:dyDescent="0.2">
      <c r="A6366" s="1">
        <v>41037</v>
      </c>
      <c r="B6366">
        <v>2</v>
      </c>
      <c r="C6366" t="s">
        <v>16</v>
      </c>
      <c r="D6366">
        <v>3.3909999999999999E-3</v>
      </c>
      <c r="E6366">
        <f t="shared" si="198"/>
        <v>1.0033909999999999</v>
      </c>
      <c r="F6366" s="1">
        <f t="shared" si="199"/>
        <v>41036</v>
      </c>
      <c r="G6366" cm="1">
        <f t="array" ref="G6366">PRODUCT( _xlfn._xlws.FILTER($E:$E, ($C:$C=C6366)*($F:$F=F6366)) ) - 1</f>
        <v>3.7398953193765738E-3</v>
      </c>
    </row>
    <row r="6367" spans="1:7" x14ac:dyDescent="0.2">
      <c r="A6367" s="1">
        <v>41038</v>
      </c>
      <c r="B6367">
        <v>2</v>
      </c>
      <c r="C6367" t="s">
        <v>16</v>
      </c>
      <c r="D6367">
        <v>1.6900000000000001E-3</v>
      </c>
      <c r="E6367">
        <f t="shared" si="198"/>
        <v>1.00169</v>
      </c>
      <c r="F6367" s="1">
        <f t="shared" si="199"/>
        <v>41036</v>
      </c>
      <c r="G6367" cm="1">
        <f t="array" ref="G6367">PRODUCT( _xlfn._xlws.FILTER($E:$E, ($C:$C=C6367)*($F:$F=F6367)) ) - 1</f>
        <v>3.7398953193765738E-3</v>
      </c>
    </row>
    <row r="6368" spans="1:7" x14ac:dyDescent="0.2">
      <c r="A6368" s="1">
        <v>41039</v>
      </c>
      <c r="B6368">
        <v>2</v>
      </c>
      <c r="C6368" t="s">
        <v>16</v>
      </c>
      <c r="D6368">
        <v>-2.362E-3</v>
      </c>
      <c r="E6368">
        <f t="shared" si="198"/>
        <v>0.99763800000000002</v>
      </c>
      <c r="F6368" s="1">
        <f t="shared" si="199"/>
        <v>41036</v>
      </c>
      <c r="G6368" cm="1">
        <f t="array" ref="G6368">PRODUCT( _xlfn._xlws.FILTER($E:$E, ($C:$C=C6368)*($F:$F=F6368)) ) - 1</f>
        <v>3.7398953193765738E-3</v>
      </c>
    </row>
    <row r="6369" spans="1:7" x14ac:dyDescent="0.2">
      <c r="A6369" s="1">
        <v>41040</v>
      </c>
      <c r="B6369">
        <v>2</v>
      </c>
      <c r="C6369" t="s">
        <v>16</v>
      </c>
      <c r="D6369">
        <v>-1.691E-3</v>
      </c>
      <c r="E6369">
        <f t="shared" si="198"/>
        <v>0.998309</v>
      </c>
      <c r="F6369" s="1">
        <f t="shared" si="199"/>
        <v>41036</v>
      </c>
      <c r="G6369" cm="1">
        <f t="array" ref="G6369">PRODUCT( _xlfn._xlws.FILTER($E:$E, ($C:$C=C6369)*($F:$F=F6369)) ) - 1</f>
        <v>3.7398953193765738E-3</v>
      </c>
    </row>
    <row r="6370" spans="1:7" x14ac:dyDescent="0.2">
      <c r="A6370" s="1">
        <v>41043</v>
      </c>
      <c r="B6370">
        <v>2</v>
      </c>
      <c r="C6370" t="s">
        <v>16</v>
      </c>
      <c r="D6370">
        <v>-1.5921000000000001E-2</v>
      </c>
      <c r="E6370">
        <f t="shared" si="198"/>
        <v>0.98407900000000004</v>
      </c>
      <c r="F6370" s="1">
        <f t="shared" si="199"/>
        <v>41043</v>
      </c>
      <c r="G6370" cm="1">
        <f t="array" ref="G6370">PRODUCT( _xlfn._xlws.FILTER($E:$E, ($C:$C=C6370)*($F:$F=F6370)) ) - 1</f>
        <v>-3.8617233600681811E-2</v>
      </c>
    </row>
    <row r="6371" spans="1:7" x14ac:dyDescent="0.2">
      <c r="A6371" s="1">
        <v>41044</v>
      </c>
      <c r="B6371">
        <v>2</v>
      </c>
      <c r="C6371" t="s">
        <v>16</v>
      </c>
      <c r="D6371">
        <v>-7.5729999999999999E-3</v>
      </c>
      <c r="E6371">
        <f t="shared" si="198"/>
        <v>0.99242699999999995</v>
      </c>
      <c r="F6371" s="1">
        <f t="shared" si="199"/>
        <v>41043</v>
      </c>
      <c r="G6371" cm="1">
        <f t="array" ref="G6371">PRODUCT( _xlfn._xlws.FILTER($E:$E, ($C:$C=C6371)*($F:$F=F6371)) ) - 1</f>
        <v>-3.8617233600681811E-2</v>
      </c>
    </row>
    <row r="6372" spans="1:7" x14ac:dyDescent="0.2">
      <c r="A6372" s="1">
        <v>41045</v>
      </c>
      <c r="B6372">
        <v>2</v>
      </c>
      <c r="C6372" t="s">
        <v>16</v>
      </c>
      <c r="D6372">
        <v>9.7120000000000001E-3</v>
      </c>
      <c r="E6372">
        <f t="shared" si="198"/>
        <v>1.0097119999999999</v>
      </c>
      <c r="F6372" s="1">
        <f t="shared" si="199"/>
        <v>41043</v>
      </c>
      <c r="G6372" cm="1">
        <f t="array" ref="G6372">PRODUCT( _xlfn._xlws.FILTER($E:$E, ($C:$C=C6372)*($F:$F=F6372)) ) - 1</f>
        <v>-3.8617233600681811E-2</v>
      </c>
    </row>
    <row r="6373" spans="1:7" x14ac:dyDescent="0.2">
      <c r="A6373" s="1">
        <v>41046</v>
      </c>
      <c r="B6373">
        <v>2</v>
      </c>
      <c r="C6373" t="s">
        <v>16</v>
      </c>
      <c r="D6373">
        <v>-1.5802E-2</v>
      </c>
      <c r="E6373">
        <f t="shared" si="198"/>
        <v>0.98419800000000002</v>
      </c>
      <c r="F6373" s="1">
        <f t="shared" si="199"/>
        <v>41043</v>
      </c>
      <c r="G6373" cm="1">
        <f t="array" ref="G6373">PRODUCT( _xlfn._xlws.FILTER($E:$E, ($C:$C=C6373)*($F:$F=F6373)) ) - 1</f>
        <v>-3.8617233600681811E-2</v>
      </c>
    </row>
    <row r="6374" spans="1:7" x14ac:dyDescent="0.2">
      <c r="A6374" s="1">
        <v>41047</v>
      </c>
      <c r="B6374">
        <v>2</v>
      </c>
      <c r="C6374" t="s">
        <v>16</v>
      </c>
      <c r="D6374">
        <v>-9.4240000000000001E-3</v>
      </c>
      <c r="E6374">
        <f t="shared" si="198"/>
        <v>0.99057600000000001</v>
      </c>
      <c r="F6374" s="1">
        <f t="shared" si="199"/>
        <v>41043</v>
      </c>
      <c r="G6374" cm="1">
        <f t="array" ref="G6374">PRODUCT( _xlfn._xlws.FILTER($E:$E, ($C:$C=C6374)*($F:$F=F6374)) ) - 1</f>
        <v>-3.8617233600681811E-2</v>
      </c>
    </row>
    <row r="6375" spans="1:7" x14ac:dyDescent="0.2">
      <c r="A6375" s="1">
        <v>41051</v>
      </c>
      <c r="B6375">
        <v>2</v>
      </c>
      <c r="C6375" t="s">
        <v>16</v>
      </c>
      <c r="D6375">
        <v>1.8568999999999999E-2</v>
      </c>
      <c r="E6375">
        <f t="shared" si="198"/>
        <v>1.0185690000000001</v>
      </c>
      <c r="F6375" s="1">
        <f t="shared" si="199"/>
        <v>41050</v>
      </c>
      <c r="G6375" cm="1">
        <f t="array" ref="G6375">PRODUCT( _xlfn._xlws.FILTER($E:$E, ($C:$C=C6375)*($F:$F=F6375)) ) - 1</f>
        <v>2.3558518553123964E-2</v>
      </c>
    </row>
    <row r="6376" spans="1:7" x14ac:dyDescent="0.2">
      <c r="A6376" s="1">
        <v>41052</v>
      </c>
      <c r="B6376">
        <v>2</v>
      </c>
      <c r="C6376" t="s">
        <v>16</v>
      </c>
      <c r="D6376">
        <v>1.0847000000000001E-2</v>
      </c>
      <c r="E6376">
        <f t="shared" si="198"/>
        <v>1.0108470000000001</v>
      </c>
      <c r="F6376" s="1">
        <f t="shared" si="199"/>
        <v>41050</v>
      </c>
      <c r="G6376" cm="1">
        <f t="array" ref="G6376">PRODUCT( _xlfn._xlws.FILTER($E:$E, ($C:$C=C6376)*($F:$F=F6376)) ) - 1</f>
        <v>2.3558518553123964E-2</v>
      </c>
    </row>
    <row r="6377" spans="1:7" x14ac:dyDescent="0.2">
      <c r="A6377" s="1">
        <v>41053</v>
      </c>
      <c r="B6377">
        <v>2</v>
      </c>
      <c r="C6377" t="s">
        <v>16</v>
      </c>
      <c r="D6377">
        <v>1.9037999999999999E-2</v>
      </c>
      <c r="E6377">
        <f t="shared" si="198"/>
        <v>1.0190380000000001</v>
      </c>
      <c r="F6377" s="1">
        <f t="shared" si="199"/>
        <v>41050</v>
      </c>
      <c r="G6377" cm="1">
        <f t="array" ref="G6377">PRODUCT( _xlfn._xlws.FILTER($E:$E, ($C:$C=C6377)*($F:$F=F6377)) ) - 1</f>
        <v>2.3558518553123964E-2</v>
      </c>
    </row>
    <row r="6378" spans="1:7" x14ac:dyDescent="0.2">
      <c r="A6378" s="1">
        <v>41054</v>
      </c>
      <c r="B6378">
        <v>2</v>
      </c>
      <c r="C6378" t="s">
        <v>16</v>
      </c>
      <c r="D6378">
        <v>-2.4457E-2</v>
      </c>
      <c r="E6378">
        <f t="shared" si="198"/>
        <v>0.97554300000000005</v>
      </c>
      <c r="F6378" s="1">
        <f t="shared" si="199"/>
        <v>41050</v>
      </c>
      <c r="G6378" cm="1">
        <f t="array" ref="G6378">PRODUCT( _xlfn._xlws.FILTER($E:$E, ($C:$C=C6378)*($F:$F=F6378)) ) - 1</f>
        <v>2.3558518553123964E-2</v>
      </c>
    </row>
    <row r="6379" spans="1:7" x14ac:dyDescent="0.2">
      <c r="A6379" s="1">
        <v>41057</v>
      </c>
      <c r="B6379">
        <v>2</v>
      </c>
      <c r="C6379" t="s">
        <v>16</v>
      </c>
      <c r="D6379">
        <v>1.0446E-2</v>
      </c>
      <c r="E6379">
        <f t="shared" si="198"/>
        <v>1.010446</v>
      </c>
      <c r="F6379" s="1">
        <f t="shared" si="199"/>
        <v>41057</v>
      </c>
      <c r="G6379" cm="1">
        <f t="array" ref="G6379">PRODUCT( _xlfn._xlws.FILTER($E:$E, ($C:$C=C6379)*($F:$F=F6379)) ) - 1</f>
        <v>-2.4023613017694068E-2</v>
      </c>
    </row>
    <row r="6380" spans="1:7" x14ac:dyDescent="0.2">
      <c r="A6380" s="1">
        <v>41058</v>
      </c>
      <c r="B6380">
        <v>2</v>
      </c>
      <c r="C6380" t="s">
        <v>16</v>
      </c>
      <c r="D6380">
        <v>-4.8240000000000002E-3</v>
      </c>
      <c r="E6380">
        <f t="shared" si="198"/>
        <v>0.99517599999999995</v>
      </c>
      <c r="F6380" s="1">
        <f t="shared" si="199"/>
        <v>41057</v>
      </c>
      <c r="G6380" cm="1">
        <f t="array" ref="G6380">PRODUCT( _xlfn._xlws.FILTER($E:$E, ($C:$C=C6380)*($F:$F=F6380)) ) - 1</f>
        <v>-2.4023613017694068E-2</v>
      </c>
    </row>
    <row r="6381" spans="1:7" x14ac:dyDescent="0.2">
      <c r="A6381" s="1">
        <v>41059</v>
      </c>
      <c r="B6381">
        <v>2</v>
      </c>
      <c r="C6381" t="s">
        <v>16</v>
      </c>
      <c r="D6381">
        <v>-1.0734E-2</v>
      </c>
      <c r="E6381">
        <f t="shared" si="198"/>
        <v>0.98926599999999998</v>
      </c>
      <c r="F6381" s="1">
        <f t="shared" si="199"/>
        <v>41057</v>
      </c>
      <c r="G6381" cm="1">
        <f t="array" ref="G6381">PRODUCT( _xlfn._xlws.FILTER($E:$E, ($C:$C=C6381)*($F:$F=F6381)) ) - 1</f>
        <v>-2.4023613017694068E-2</v>
      </c>
    </row>
    <row r="6382" spans="1:7" x14ac:dyDescent="0.2">
      <c r="A6382" s="1">
        <v>41060</v>
      </c>
      <c r="B6382">
        <v>2</v>
      </c>
      <c r="C6382" t="s">
        <v>16</v>
      </c>
      <c r="D6382">
        <v>-6.3E-3</v>
      </c>
      <c r="E6382">
        <f t="shared" si="198"/>
        <v>0.99370000000000003</v>
      </c>
      <c r="F6382" s="1">
        <f t="shared" si="199"/>
        <v>41057</v>
      </c>
      <c r="G6382" cm="1">
        <f t="array" ref="G6382">PRODUCT( _xlfn._xlws.FILTER($E:$E, ($C:$C=C6382)*($F:$F=F6382)) ) - 1</f>
        <v>-2.4023613017694068E-2</v>
      </c>
    </row>
    <row r="6383" spans="1:7" x14ac:dyDescent="0.2">
      <c r="A6383" s="1">
        <v>41061</v>
      </c>
      <c r="B6383">
        <v>2</v>
      </c>
      <c r="C6383" t="s">
        <v>16</v>
      </c>
      <c r="D6383">
        <v>-1.268E-2</v>
      </c>
      <c r="E6383">
        <f t="shared" si="198"/>
        <v>0.98731999999999998</v>
      </c>
      <c r="F6383" s="1">
        <f t="shared" si="199"/>
        <v>41057</v>
      </c>
      <c r="G6383" cm="1">
        <f t="array" ref="G6383">PRODUCT( _xlfn._xlws.FILTER($E:$E, ($C:$C=C6383)*($F:$F=F6383)) ) - 1</f>
        <v>-2.4023613017694068E-2</v>
      </c>
    </row>
    <row r="6384" spans="1:7" x14ac:dyDescent="0.2">
      <c r="A6384" s="1">
        <v>41064</v>
      </c>
      <c r="B6384">
        <v>2</v>
      </c>
      <c r="C6384" t="s">
        <v>16</v>
      </c>
      <c r="D6384">
        <v>1.1773E-2</v>
      </c>
      <c r="E6384">
        <f t="shared" si="198"/>
        <v>1.011773</v>
      </c>
      <c r="F6384" s="1">
        <f t="shared" si="199"/>
        <v>41064</v>
      </c>
      <c r="G6384" cm="1">
        <f t="array" ref="G6384">PRODUCT( _xlfn._xlws.FILTER($E:$E, ($C:$C=C6384)*($F:$F=F6384)) ) - 1</f>
        <v>3.424892563553783E-2</v>
      </c>
    </row>
    <row r="6385" spans="1:7" x14ac:dyDescent="0.2">
      <c r="A6385" s="1">
        <v>41065</v>
      </c>
      <c r="B6385">
        <v>2</v>
      </c>
      <c r="C6385" t="s">
        <v>16</v>
      </c>
      <c r="D6385">
        <v>8.463E-3</v>
      </c>
      <c r="E6385">
        <f t="shared" si="198"/>
        <v>1.0084630000000001</v>
      </c>
      <c r="F6385" s="1">
        <f t="shared" si="199"/>
        <v>41064</v>
      </c>
      <c r="G6385" cm="1">
        <f t="array" ref="G6385">PRODUCT( _xlfn._xlws.FILTER($E:$E, ($C:$C=C6385)*($F:$F=F6385)) ) - 1</f>
        <v>3.424892563553783E-2</v>
      </c>
    </row>
    <row r="6386" spans="1:7" x14ac:dyDescent="0.2">
      <c r="A6386" s="1">
        <v>41066</v>
      </c>
      <c r="B6386">
        <v>2</v>
      </c>
      <c r="C6386" t="s">
        <v>16</v>
      </c>
      <c r="D6386">
        <v>1.8880999999999998E-2</v>
      </c>
      <c r="E6386">
        <f t="shared" si="198"/>
        <v>1.0188809999999999</v>
      </c>
      <c r="F6386" s="1">
        <f t="shared" si="199"/>
        <v>41064</v>
      </c>
      <c r="G6386" cm="1">
        <f t="array" ref="G6386">PRODUCT( _xlfn._xlws.FILTER($E:$E, ($C:$C=C6386)*($F:$F=F6386)) ) - 1</f>
        <v>3.424892563553783E-2</v>
      </c>
    </row>
    <row r="6387" spans="1:7" x14ac:dyDescent="0.2">
      <c r="A6387" s="1">
        <v>41067</v>
      </c>
      <c r="B6387">
        <v>2</v>
      </c>
      <c r="C6387" t="s">
        <v>16</v>
      </c>
      <c r="D6387">
        <v>-1.3730000000000001E-3</v>
      </c>
      <c r="E6387">
        <f t="shared" si="198"/>
        <v>0.99862700000000004</v>
      </c>
      <c r="F6387" s="1">
        <f t="shared" si="199"/>
        <v>41064</v>
      </c>
      <c r="G6387" cm="1">
        <f t="array" ref="G6387">PRODUCT( _xlfn._xlws.FILTER($E:$E, ($C:$C=C6387)*($F:$F=F6387)) ) - 1</f>
        <v>3.424892563553783E-2</v>
      </c>
    </row>
    <row r="6388" spans="1:7" x14ac:dyDescent="0.2">
      <c r="A6388" s="1">
        <v>41068</v>
      </c>
      <c r="B6388">
        <v>2</v>
      </c>
      <c r="C6388" t="s">
        <v>16</v>
      </c>
      <c r="D6388">
        <v>-3.7799999999999999E-3</v>
      </c>
      <c r="E6388">
        <f t="shared" si="198"/>
        <v>0.99621999999999999</v>
      </c>
      <c r="F6388" s="1">
        <f t="shared" si="199"/>
        <v>41064</v>
      </c>
      <c r="G6388" cm="1">
        <f t="array" ref="G6388">PRODUCT( _xlfn._xlws.FILTER($E:$E, ($C:$C=C6388)*($F:$F=F6388)) ) - 1</f>
        <v>3.424892563553783E-2</v>
      </c>
    </row>
    <row r="6389" spans="1:7" x14ac:dyDescent="0.2">
      <c r="A6389" s="1">
        <v>41071</v>
      </c>
      <c r="B6389">
        <v>2</v>
      </c>
      <c r="C6389" t="s">
        <v>16</v>
      </c>
      <c r="D6389">
        <v>1.0349999999999999E-3</v>
      </c>
      <c r="E6389">
        <f t="shared" si="198"/>
        <v>1.0010349999999999</v>
      </c>
      <c r="F6389" s="1">
        <f t="shared" si="199"/>
        <v>41071</v>
      </c>
      <c r="G6389" cm="1">
        <f t="array" ref="G6389">PRODUCT( _xlfn._xlws.FILTER($E:$E, ($C:$C=C6389)*($F:$F=F6389)) ) - 1</f>
        <v>-3.0699732726972018E-2</v>
      </c>
    </row>
    <row r="6390" spans="1:7" x14ac:dyDescent="0.2">
      <c r="A6390" s="1">
        <v>41072</v>
      </c>
      <c r="B6390">
        <v>2</v>
      </c>
      <c r="C6390" t="s">
        <v>16</v>
      </c>
      <c r="D6390">
        <v>-3.101E-3</v>
      </c>
      <c r="E6390">
        <f t="shared" si="198"/>
        <v>0.99689899999999998</v>
      </c>
      <c r="F6390" s="1">
        <f t="shared" si="199"/>
        <v>41071</v>
      </c>
      <c r="G6390" cm="1">
        <f t="array" ref="G6390">PRODUCT( _xlfn._xlws.FILTER($E:$E, ($C:$C=C6390)*($F:$F=F6390)) ) - 1</f>
        <v>-3.0699732726972018E-2</v>
      </c>
    </row>
    <row r="6391" spans="1:7" x14ac:dyDescent="0.2">
      <c r="A6391" s="1">
        <v>41073</v>
      </c>
      <c r="B6391">
        <v>2</v>
      </c>
      <c r="C6391" t="s">
        <v>16</v>
      </c>
      <c r="D6391">
        <v>-1.1407E-2</v>
      </c>
      <c r="E6391">
        <f t="shared" si="198"/>
        <v>0.98859300000000006</v>
      </c>
      <c r="F6391" s="1">
        <f t="shared" si="199"/>
        <v>41071</v>
      </c>
      <c r="G6391" cm="1">
        <f t="array" ref="G6391">PRODUCT( _xlfn._xlws.FILTER($E:$E, ($C:$C=C6391)*($F:$F=F6391)) ) - 1</f>
        <v>-3.0699732726972018E-2</v>
      </c>
    </row>
    <row r="6392" spans="1:7" x14ac:dyDescent="0.2">
      <c r="A6392" s="1">
        <v>41074</v>
      </c>
      <c r="B6392">
        <v>2</v>
      </c>
      <c r="C6392" t="s">
        <v>16</v>
      </c>
      <c r="D6392">
        <v>-1.4685E-2</v>
      </c>
      <c r="E6392">
        <f t="shared" si="198"/>
        <v>0.98531500000000005</v>
      </c>
      <c r="F6392" s="1">
        <f t="shared" si="199"/>
        <v>41071</v>
      </c>
      <c r="G6392" cm="1">
        <f t="array" ref="G6392">PRODUCT( _xlfn._xlws.FILTER($E:$E, ($C:$C=C6392)*($F:$F=F6392)) ) - 1</f>
        <v>-3.0699732726972018E-2</v>
      </c>
    </row>
    <row r="6393" spans="1:7" x14ac:dyDescent="0.2">
      <c r="A6393" s="1">
        <v>41075</v>
      </c>
      <c r="B6393">
        <v>2</v>
      </c>
      <c r="C6393" t="s">
        <v>16</v>
      </c>
      <c r="D6393">
        <v>-2.8389999999999999E-3</v>
      </c>
      <c r="E6393">
        <f t="shared" si="198"/>
        <v>0.99716099999999996</v>
      </c>
      <c r="F6393" s="1">
        <f t="shared" si="199"/>
        <v>41071</v>
      </c>
      <c r="G6393" cm="1">
        <f t="array" ref="G6393">PRODUCT( _xlfn._xlws.FILTER($E:$E, ($C:$C=C6393)*($F:$F=F6393)) ) - 1</f>
        <v>-3.0699732726972018E-2</v>
      </c>
    </row>
    <row r="6394" spans="1:7" x14ac:dyDescent="0.2">
      <c r="A6394" s="1">
        <v>41078</v>
      </c>
      <c r="B6394">
        <v>2</v>
      </c>
      <c r="C6394" t="s">
        <v>16</v>
      </c>
      <c r="D6394">
        <v>1.2456E-2</v>
      </c>
      <c r="E6394">
        <f t="shared" si="198"/>
        <v>1.012456</v>
      </c>
      <c r="F6394" s="1">
        <f t="shared" si="199"/>
        <v>41078</v>
      </c>
      <c r="G6394" cm="1">
        <f t="array" ref="G6394">PRODUCT( _xlfn._xlws.FILTER($E:$E, ($C:$C=C6394)*($F:$F=F6394)) ) - 1</f>
        <v>1.5302042182374187E-2</v>
      </c>
    </row>
    <row r="6395" spans="1:7" x14ac:dyDescent="0.2">
      <c r="A6395" s="1">
        <v>41079</v>
      </c>
      <c r="B6395">
        <v>2</v>
      </c>
      <c r="C6395" t="s">
        <v>16</v>
      </c>
      <c r="D6395">
        <v>1.1247999999999999E-2</v>
      </c>
      <c r="E6395">
        <f t="shared" si="198"/>
        <v>1.0112479999999999</v>
      </c>
      <c r="F6395" s="1">
        <f t="shared" si="199"/>
        <v>41078</v>
      </c>
      <c r="G6395" cm="1">
        <f t="array" ref="G6395">PRODUCT( _xlfn._xlws.FILTER($E:$E, ($C:$C=C6395)*($F:$F=F6395)) ) - 1</f>
        <v>1.5302042182374187E-2</v>
      </c>
    </row>
    <row r="6396" spans="1:7" x14ac:dyDescent="0.2">
      <c r="A6396" s="1">
        <v>41080</v>
      </c>
      <c r="B6396">
        <v>2</v>
      </c>
      <c r="C6396" t="s">
        <v>16</v>
      </c>
      <c r="D6396">
        <v>7.2989999999999999E-3</v>
      </c>
      <c r="E6396">
        <f t="shared" si="198"/>
        <v>1.0072989999999999</v>
      </c>
      <c r="F6396" s="1">
        <f t="shared" si="199"/>
        <v>41078</v>
      </c>
      <c r="G6396" cm="1">
        <f t="array" ref="G6396">PRODUCT( _xlfn._xlws.FILTER($E:$E, ($C:$C=C6396)*($F:$F=F6396)) ) - 1</f>
        <v>1.5302042182374187E-2</v>
      </c>
    </row>
    <row r="6397" spans="1:7" x14ac:dyDescent="0.2">
      <c r="A6397" s="1">
        <v>41081</v>
      </c>
      <c r="B6397">
        <v>2</v>
      </c>
      <c r="C6397" t="s">
        <v>16</v>
      </c>
      <c r="D6397">
        <v>-1.9324000000000001E-2</v>
      </c>
      <c r="E6397">
        <f t="shared" si="198"/>
        <v>0.98067599999999999</v>
      </c>
      <c r="F6397" s="1">
        <f t="shared" si="199"/>
        <v>41078</v>
      </c>
      <c r="G6397" cm="1">
        <f t="array" ref="G6397">PRODUCT( _xlfn._xlws.FILTER($E:$E, ($C:$C=C6397)*($F:$F=F6397)) ) - 1</f>
        <v>1.5302042182374187E-2</v>
      </c>
    </row>
    <row r="6398" spans="1:7" x14ac:dyDescent="0.2">
      <c r="A6398" s="1">
        <v>41082</v>
      </c>
      <c r="B6398">
        <v>2</v>
      </c>
      <c r="C6398" t="s">
        <v>16</v>
      </c>
      <c r="D6398">
        <v>3.8700000000000002E-3</v>
      </c>
      <c r="E6398">
        <f t="shared" si="198"/>
        <v>1.00387</v>
      </c>
      <c r="F6398" s="1">
        <f t="shared" si="199"/>
        <v>41078</v>
      </c>
      <c r="G6398" cm="1">
        <f t="array" ref="G6398">PRODUCT( _xlfn._xlws.FILTER($E:$E, ($C:$C=C6398)*($F:$F=F6398)) ) - 1</f>
        <v>1.5302042182374187E-2</v>
      </c>
    </row>
    <row r="6399" spans="1:7" x14ac:dyDescent="0.2">
      <c r="A6399" s="1">
        <v>41085</v>
      </c>
      <c r="B6399">
        <v>2</v>
      </c>
      <c r="C6399" t="s">
        <v>16</v>
      </c>
      <c r="D6399">
        <v>-1.1917000000000001E-2</v>
      </c>
      <c r="E6399">
        <f t="shared" si="198"/>
        <v>0.98808300000000004</v>
      </c>
      <c r="F6399" s="1">
        <f t="shared" si="199"/>
        <v>41085</v>
      </c>
      <c r="G6399" cm="1">
        <f t="array" ref="G6399">PRODUCT( _xlfn._xlws.FILTER($E:$E, ($C:$C=C6399)*($F:$F=F6399)) ) - 1</f>
        <v>1.5422311350710149E-2</v>
      </c>
    </row>
    <row r="6400" spans="1:7" x14ac:dyDescent="0.2">
      <c r="A6400" s="1">
        <v>41086</v>
      </c>
      <c r="B6400">
        <v>2</v>
      </c>
      <c r="C6400" t="s">
        <v>16</v>
      </c>
      <c r="D6400">
        <v>1.0640000000000001E-3</v>
      </c>
      <c r="E6400">
        <f t="shared" si="198"/>
        <v>1.001064</v>
      </c>
      <c r="F6400" s="1">
        <f t="shared" si="199"/>
        <v>41085</v>
      </c>
      <c r="G6400" cm="1">
        <f t="array" ref="G6400">PRODUCT( _xlfn._xlws.FILTER($E:$E, ($C:$C=C6400)*($F:$F=F6400)) ) - 1</f>
        <v>1.5422311350710149E-2</v>
      </c>
    </row>
    <row r="6401" spans="1:7" x14ac:dyDescent="0.2">
      <c r="A6401" s="1">
        <v>41087</v>
      </c>
      <c r="B6401">
        <v>2</v>
      </c>
      <c r="C6401" t="s">
        <v>16</v>
      </c>
      <c r="D6401">
        <v>1.2048E-2</v>
      </c>
      <c r="E6401">
        <f t="shared" si="198"/>
        <v>1.0120480000000001</v>
      </c>
      <c r="F6401" s="1">
        <f t="shared" si="199"/>
        <v>41085</v>
      </c>
      <c r="G6401" cm="1">
        <f t="array" ref="G6401">PRODUCT( _xlfn._xlws.FILTER($E:$E, ($C:$C=C6401)*($F:$F=F6401)) ) - 1</f>
        <v>1.5422311350710149E-2</v>
      </c>
    </row>
    <row r="6402" spans="1:7" x14ac:dyDescent="0.2">
      <c r="A6402" s="1">
        <v>41088</v>
      </c>
      <c r="B6402">
        <v>2</v>
      </c>
      <c r="C6402" t="s">
        <v>16</v>
      </c>
      <c r="D6402">
        <v>-1.0499999999999999E-3</v>
      </c>
      <c r="E6402">
        <f t="shared" si="198"/>
        <v>0.99895</v>
      </c>
      <c r="F6402" s="1">
        <f t="shared" si="199"/>
        <v>41085</v>
      </c>
      <c r="G6402" cm="1">
        <f t="array" ref="G6402">PRODUCT( _xlfn._xlws.FILTER($E:$E, ($C:$C=C6402)*($F:$F=F6402)) ) - 1</f>
        <v>1.5422311350710149E-2</v>
      </c>
    </row>
    <row r="6403" spans="1:7" x14ac:dyDescent="0.2">
      <c r="A6403" s="1">
        <v>41089</v>
      </c>
      <c r="B6403">
        <v>2</v>
      </c>
      <c r="C6403" t="s">
        <v>16</v>
      </c>
      <c r="D6403">
        <v>1.5422E-2</v>
      </c>
      <c r="E6403">
        <f t="shared" si="198"/>
        <v>1.015422</v>
      </c>
      <c r="F6403" s="1">
        <f t="shared" si="199"/>
        <v>41085</v>
      </c>
      <c r="G6403" cm="1">
        <f t="array" ref="G6403">PRODUCT( _xlfn._xlws.FILTER($E:$E, ($C:$C=C6403)*($F:$F=F6403)) ) - 1</f>
        <v>1.5422311350710149E-2</v>
      </c>
    </row>
    <row r="6404" spans="1:7" x14ac:dyDescent="0.2">
      <c r="A6404" s="1">
        <v>41093</v>
      </c>
      <c r="B6404">
        <v>2</v>
      </c>
      <c r="C6404" t="s">
        <v>16</v>
      </c>
      <c r="D6404">
        <v>6.8999999999999997E-4</v>
      </c>
      <c r="E6404">
        <f t="shared" ref="E6404:E6467" si="200">D6404+1</f>
        <v>1.0006900000000001</v>
      </c>
      <c r="F6404" s="1">
        <f t="shared" ref="F6404:F6467" si="201">A6404 - (WEEKDAY(A6404, 2) - 1)</f>
        <v>41092</v>
      </c>
      <c r="G6404" cm="1">
        <f t="array" ref="G6404">PRODUCT( _xlfn._xlws.FILTER($E:$E, ($C:$C=C6404)*($F:$F=F6404)) ) - 1</f>
        <v>2.0712433017557874E-3</v>
      </c>
    </row>
    <row r="6405" spans="1:7" x14ac:dyDescent="0.2">
      <c r="A6405" s="1">
        <v>41094</v>
      </c>
      <c r="B6405">
        <v>2</v>
      </c>
      <c r="C6405" t="s">
        <v>16</v>
      </c>
      <c r="D6405">
        <v>1.4833000000000001E-2</v>
      </c>
      <c r="E6405">
        <f t="shared" si="200"/>
        <v>1.0148330000000001</v>
      </c>
      <c r="F6405" s="1">
        <f t="shared" si="201"/>
        <v>41092</v>
      </c>
      <c r="G6405" cm="1">
        <f t="array" ref="G6405">PRODUCT( _xlfn._xlws.FILTER($E:$E, ($C:$C=C6405)*($F:$F=F6405)) ) - 1</f>
        <v>2.0712433017557874E-3</v>
      </c>
    </row>
    <row r="6406" spans="1:7" x14ac:dyDescent="0.2">
      <c r="A6406" s="1">
        <v>41095</v>
      </c>
      <c r="B6406">
        <v>2</v>
      </c>
      <c r="C6406" t="s">
        <v>16</v>
      </c>
      <c r="D6406">
        <v>-2.039E-3</v>
      </c>
      <c r="E6406">
        <f t="shared" si="200"/>
        <v>0.99796099999999999</v>
      </c>
      <c r="F6406" s="1">
        <f t="shared" si="201"/>
        <v>41092</v>
      </c>
      <c r="G6406" cm="1">
        <f t="array" ref="G6406">PRODUCT( _xlfn._xlws.FILTER($E:$E, ($C:$C=C6406)*($F:$F=F6406)) ) - 1</f>
        <v>2.0712433017557874E-3</v>
      </c>
    </row>
    <row r="6407" spans="1:7" x14ac:dyDescent="0.2">
      <c r="A6407" s="1">
        <v>41096</v>
      </c>
      <c r="B6407">
        <v>2</v>
      </c>
      <c r="C6407" t="s">
        <v>16</v>
      </c>
      <c r="D6407">
        <v>-1.124E-2</v>
      </c>
      <c r="E6407">
        <f t="shared" si="200"/>
        <v>0.98875999999999997</v>
      </c>
      <c r="F6407" s="1">
        <f t="shared" si="201"/>
        <v>41092</v>
      </c>
      <c r="G6407" cm="1">
        <f t="array" ref="G6407">PRODUCT( _xlfn._xlws.FILTER($E:$E, ($C:$C=C6407)*($F:$F=F6407)) ) - 1</f>
        <v>2.0712433017557874E-3</v>
      </c>
    </row>
    <row r="6408" spans="1:7" x14ac:dyDescent="0.2">
      <c r="A6408" s="1">
        <v>41099</v>
      </c>
      <c r="B6408">
        <v>2</v>
      </c>
      <c r="C6408" t="s">
        <v>16</v>
      </c>
      <c r="D6408">
        <v>-1.3780000000000001E-3</v>
      </c>
      <c r="E6408">
        <f t="shared" si="200"/>
        <v>0.99862200000000001</v>
      </c>
      <c r="F6408" s="1">
        <f t="shared" si="201"/>
        <v>41099</v>
      </c>
      <c r="G6408" cm="1">
        <f t="array" ref="G6408">PRODUCT( _xlfn._xlws.FILTER($E:$E, ($C:$C=C6408)*($F:$F=F6408)) ) - 1</f>
        <v>8.955706725387591E-3</v>
      </c>
    </row>
    <row r="6409" spans="1:7" x14ac:dyDescent="0.2">
      <c r="A6409" s="1">
        <v>41100</v>
      </c>
      <c r="B6409">
        <v>2</v>
      </c>
      <c r="C6409" t="s">
        <v>16</v>
      </c>
      <c r="D6409">
        <v>-1.725E-3</v>
      </c>
      <c r="E6409">
        <f t="shared" si="200"/>
        <v>0.99827500000000002</v>
      </c>
      <c r="F6409" s="1">
        <f t="shared" si="201"/>
        <v>41099</v>
      </c>
      <c r="G6409" cm="1">
        <f t="array" ref="G6409">PRODUCT( _xlfn._xlws.FILTER($E:$E, ($C:$C=C6409)*($F:$F=F6409)) ) - 1</f>
        <v>8.955706725387591E-3</v>
      </c>
    </row>
    <row r="6410" spans="1:7" x14ac:dyDescent="0.2">
      <c r="A6410" s="1">
        <v>41101</v>
      </c>
      <c r="B6410">
        <v>2</v>
      </c>
      <c r="C6410" t="s">
        <v>16</v>
      </c>
      <c r="D6410">
        <v>6.5649999999999997E-3</v>
      </c>
      <c r="E6410">
        <f t="shared" si="200"/>
        <v>1.0065649999999999</v>
      </c>
      <c r="F6410" s="1">
        <f t="shared" si="201"/>
        <v>41099</v>
      </c>
      <c r="G6410" cm="1">
        <f t="array" ref="G6410">PRODUCT( _xlfn._xlws.FILTER($E:$E, ($C:$C=C6410)*($F:$F=F6410)) ) - 1</f>
        <v>8.955706725387591E-3</v>
      </c>
    </row>
    <row r="6411" spans="1:7" x14ac:dyDescent="0.2">
      <c r="A6411" s="1">
        <v>41102</v>
      </c>
      <c r="B6411">
        <v>2</v>
      </c>
      <c r="C6411" t="s">
        <v>16</v>
      </c>
      <c r="D6411">
        <v>-7.2090000000000001E-3</v>
      </c>
      <c r="E6411">
        <f t="shared" si="200"/>
        <v>0.99279099999999998</v>
      </c>
      <c r="F6411" s="1">
        <f t="shared" si="201"/>
        <v>41099</v>
      </c>
      <c r="G6411" cm="1">
        <f t="array" ref="G6411">PRODUCT( _xlfn._xlws.FILTER($E:$E, ($C:$C=C6411)*($F:$F=F6411)) ) - 1</f>
        <v>8.955706725387591E-3</v>
      </c>
    </row>
    <row r="6412" spans="1:7" x14ac:dyDescent="0.2">
      <c r="A6412" s="1">
        <v>41103</v>
      </c>
      <c r="B6412">
        <v>2</v>
      </c>
      <c r="C6412" t="s">
        <v>16</v>
      </c>
      <c r="D6412">
        <v>1.2794E-2</v>
      </c>
      <c r="E6412">
        <f t="shared" si="200"/>
        <v>1.012794</v>
      </c>
      <c r="F6412" s="1">
        <f t="shared" si="201"/>
        <v>41099</v>
      </c>
      <c r="G6412" cm="1">
        <f t="array" ref="G6412">PRODUCT( _xlfn._xlws.FILTER($E:$E, ($C:$C=C6412)*($F:$F=F6412)) ) - 1</f>
        <v>8.955706725387591E-3</v>
      </c>
    </row>
    <row r="6413" spans="1:7" x14ac:dyDescent="0.2">
      <c r="A6413" s="1">
        <v>41106</v>
      </c>
      <c r="B6413">
        <v>2</v>
      </c>
      <c r="C6413" t="s">
        <v>16</v>
      </c>
      <c r="D6413">
        <v>-3.4099999999999999E-4</v>
      </c>
      <c r="E6413">
        <f t="shared" si="200"/>
        <v>0.99965899999999996</v>
      </c>
      <c r="F6413" s="1">
        <f t="shared" si="201"/>
        <v>41106</v>
      </c>
      <c r="G6413" cm="1">
        <f t="array" ref="G6413">PRODUCT( _xlfn._xlws.FILTER($E:$E, ($C:$C=C6413)*($F:$F=F6413)) ) - 1</f>
        <v>-9.2190917318726306E-3</v>
      </c>
    </row>
    <row r="6414" spans="1:7" x14ac:dyDescent="0.2">
      <c r="A6414" s="1">
        <v>41107</v>
      </c>
      <c r="B6414">
        <v>2</v>
      </c>
      <c r="C6414" t="s">
        <v>16</v>
      </c>
      <c r="D6414">
        <v>1.0586999999999999E-2</v>
      </c>
      <c r="E6414">
        <f t="shared" si="200"/>
        <v>1.0105869999999999</v>
      </c>
      <c r="F6414" s="1">
        <f t="shared" si="201"/>
        <v>41106</v>
      </c>
      <c r="G6414" cm="1">
        <f t="array" ref="G6414">PRODUCT( _xlfn._xlws.FILTER($E:$E, ($C:$C=C6414)*($F:$F=F6414)) ) - 1</f>
        <v>-9.2190917318726306E-3</v>
      </c>
    </row>
    <row r="6415" spans="1:7" x14ac:dyDescent="0.2">
      <c r="A6415" s="1">
        <v>41108</v>
      </c>
      <c r="B6415">
        <v>2</v>
      </c>
      <c r="C6415" t="s">
        <v>16</v>
      </c>
      <c r="D6415">
        <v>4.731E-3</v>
      </c>
      <c r="E6415">
        <f t="shared" si="200"/>
        <v>1.004731</v>
      </c>
      <c r="F6415" s="1">
        <f t="shared" si="201"/>
        <v>41106</v>
      </c>
      <c r="G6415" cm="1">
        <f t="array" ref="G6415">PRODUCT( _xlfn._xlws.FILTER($E:$E, ($C:$C=C6415)*($F:$F=F6415)) ) - 1</f>
        <v>-9.2190917318726306E-3</v>
      </c>
    </row>
    <row r="6416" spans="1:7" x14ac:dyDescent="0.2">
      <c r="A6416" s="1">
        <v>41109</v>
      </c>
      <c r="B6416">
        <v>2</v>
      </c>
      <c r="C6416" t="s">
        <v>16</v>
      </c>
      <c r="D6416">
        <v>-2.3549999999999999E-3</v>
      </c>
      <c r="E6416">
        <f t="shared" si="200"/>
        <v>0.997645</v>
      </c>
      <c r="F6416" s="1">
        <f t="shared" si="201"/>
        <v>41106</v>
      </c>
      <c r="G6416" cm="1">
        <f t="array" ref="G6416">PRODUCT( _xlfn._xlws.FILTER($E:$E, ($C:$C=C6416)*($F:$F=F6416)) ) - 1</f>
        <v>-9.2190917318726306E-3</v>
      </c>
    </row>
    <row r="6417" spans="1:7" x14ac:dyDescent="0.2">
      <c r="A6417" s="1">
        <v>41110</v>
      </c>
      <c r="B6417">
        <v>2</v>
      </c>
      <c r="C6417" t="s">
        <v>16</v>
      </c>
      <c r="D6417">
        <v>-2.1578E-2</v>
      </c>
      <c r="E6417">
        <f t="shared" si="200"/>
        <v>0.97842200000000001</v>
      </c>
      <c r="F6417" s="1">
        <f t="shared" si="201"/>
        <v>41106</v>
      </c>
      <c r="G6417" cm="1">
        <f t="array" ref="G6417">PRODUCT( _xlfn._xlws.FILTER($E:$E, ($C:$C=C6417)*($F:$F=F6417)) ) - 1</f>
        <v>-9.2190917318726306E-3</v>
      </c>
    </row>
    <row r="6418" spans="1:7" x14ac:dyDescent="0.2">
      <c r="A6418" s="1">
        <v>41113</v>
      </c>
      <c r="B6418">
        <v>2</v>
      </c>
      <c r="C6418" t="s">
        <v>16</v>
      </c>
      <c r="D6418">
        <v>-9.3039999999999998E-3</v>
      </c>
      <c r="E6418">
        <f t="shared" si="200"/>
        <v>0.99069600000000002</v>
      </c>
      <c r="F6418" s="1">
        <f t="shared" si="201"/>
        <v>41113</v>
      </c>
      <c r="G6418" cm="1">
        <f t="array" ref="G6418">PRODUCT( _xlfn._xlws.FILTER($E:$E, ($C:$C=C6418)*($F:$F=F6418)) ) - 1</f>
        <v>8.9590207346175177E-3</v>
      </c>
    </row>
    <row r="6419" spans="1:7" x14ac:dyDescent="0.2">
      <c r="A6419" s="1">
        <v>41114</v>
      </c>
      <c r="B6419">
        <v>2</v>
      </c>
      <c r="C6419" t="s">
        <v>16</v>
      </c>
      <c r="D6419">
        <v>-2.1217E-2</v>
      </c>
      <c r="E6419">
        <f t="shared" si="200"/>
        <v>0.97878299999999996</v>
      </c>
      <c r="F6419" s="1">
        <f t="shared" si="201"/>
        <v>41113</v>
      </c>
      <c r="G6419" cm="1">
        <f t="array" ref="G6419">PRODUCT( _xlfn._xlws.FILTER($E:$E, ($C:$C=C6419)*($F:$F=F6419)) ) - 1</f>
        <v>8.9590207346175177E-3</v>
      </c>
    </row>
    <row r="6420" spans="1:7" x14ac:dyDescent="0.2">
      <c r="A6420" s="1">
        <v>41115</v>
      </c>
      <c r="B6420">
        <v>2</v>
      </c>
      <c r="C6420" t="s">
        <v>16</v>
      </c>
      <c r="D6420">
        <v>7.1069999999999996E-3</v>
      </c>
      <c r="E6420">
        <f t="shared" si="200"/>
        <v>1.007107</v>
      </c>
      <c r="F6420" s="1">
        <f t="shared" si="201"/>
        <v>41113</v>
      </c>
      <c r="G6420" cm="1">
        <f t="array" ref="G6420">PRODUCT( _xlfn._xlws.FILTER($E:$E, ($C:$C=C6420)*($F:$F=F6420)) ) - 1</f>
        <v>8.9590207346175177E-3</v>
      </c>
    </row>
    <row r="6421" spans="1:7" x14ac:dyDescent="0.2">
      <c r="A6421" s="1">
        <v>41116</v>
      </c>
      <c r="B6421">
        <v>2</v>
      </c>
      <c r="C6421" t="s">
        <v>16</v>
      </c>
      <c r="D6421">
        <v>1.6937000000000001E-2</v>
      </c>
      <c r="E6421">
        <f t="shared" si="200"/>
        <v>1.016937</v>
      </c>
      <c r="F6421" s="1">
        <f t="shared" si="201"/>
        <v>41113</v>
      </c>
      <c r="G6421" cm="1">
        <f t="array" ref="G6421">PRODUCT( _xlfn._xlws.FILTER($E:$E, ($C:$C=C6421)*($F:$F=F6421)) ) - 1</f>
        <v>8.9590207346175177E-3</v>
      </c>
    </row>
    <row r="6422" spans="1:7" x14ac:dyDescent="0.2">
      <c r="A6422" s="1">
        <v>41117</v>
      </c>
      <c r="B6422">
        <v>2</v>
      </c>
      <c r="C6422" t="s">
        <v>16</v>
      </c>
      <c r="D6422">
        <v>1.5960999999999999E-2</v>
      </c>
      <c r="E6422">
        <f t="shared" si="200"/>
        <v>1.0159609999999999</v>
      </c>
      <c r="F6422" s="1">
        <f t="shared" si="201"/>
        <v>41113</v>
      </c>
      <c r="G6422" cm="1">
        <f t="array" ref="G6422">PRODUCT( _xlfn._xlws.FILTER($E:$E, ($C:$C=C6422)*($F:$F=F6422)) ) - 1</f>
        <v>8.9590207346175177E-3</v>
      </c>
    </row>
    <row r="6423" spans="1:7" x14ac:dyDescent="0.2">
      <c r="A6423" s="1">
        <v>41120</v>
      </c>
      <c r="B6423">
        <v>2</v>
      </c>
      <c r="C6423" t="s">
        <v>16</v>
      </c>
      <c r="D6423">
        <v>-1.1612000000000001E-2</v>
      </c>
      <c r="E6423">
        <f t="shared" si="200"/>
        <v>0.98838800000000004</v>
      </c>
      <c r="F6423" s="1">
        <f t="shared" si="201"/>
        <v>41120</v>
      </c>
      <c r="G6423" cm="1">
        <f t="array" ref="G6423">PRODUCT( _xlfn._xlws.FILTER($E:$E, ($C:$C=C6423)*($F:$F=F6423)) ) - 1</f>
        <v>-3.1420546555083195E-2</v>
      </c>
    </row>
    <row r="6424" spans="1:7" x14ac:dyDescent="0.2">
      <c r="A6424" s="1">
        <v>41121</v>
      </c>
      <c r="B6424">
        <v>2</v>
      </c>
      <c r="C6424" t="s">
        <v>16</v>
      </c>
      <c r="D6424">
        <v>-1.7277000000000001E-2</v>
      </c>
      <c r="E6424">
        <f t="shared" si="200"/>
        <v>0.98272300000000001</v>
      </c>
      <c r="F6424" s="1">
        <f t="shared" si="201"/>
        <v>41120</v>
      </c>
      <c r="G6424" cm="1">
        <f t="array" ref="G6424">PRODUCT( _xlfn._xlws.FILTER($E:$E, ($C:$C=C6424)*($F:$F=F6424)) ) - 1</f>
        <v>-3.1420546555083195E-2</v>
      </c>
    </row>
    <row r="6425" spans="1:7" x14ac:dyDescent="0.2">
      <c r="A6425" s="1">
        <v>41122</v>
      </c>
      <c r="B6425">
        <v>2</v>
      </c>
      <c r="C6425" t="s">
        <v>16</v>
      </c>
      <c r="D6425">
        <v>-4.2189999999999997E-3</v>
      </c>
      <c r="E6425">
        <f t="shared" si="200"/>
        <v>0.99578100000000003</v>
      </c>
      <c r="F6425" s="1">
        <f t="shared" si="201"/>
        <v>41120</v>
      </c>
      <c r="G6425" cm="1">
        <f t="array" ref="G6425">PRODUCT( _xlfn._xlws.FILTER($E:$E, ($C:$C=C6425)*($F:$F=F6425)) ) - 1</f>
        <v>-3.1420546555083195E-2</v>
      </c>
    </row>
    <row r="6426" spans="1:7" x14ac:dyDescent="0.2">
      <c r="A6426" s="1">
        <v>41123</v>
      </c>
      <c r="B6426">
        <v>2</v>
      </c>
      <c r="C6426" t="s">
        <v>16</v>
      </c>
      <c r="D6426">
        <v>-1.6596E-2</v>
      </c>
      <c r="E6426">
        <f t="shared" si="200"/>
        <v>0.98340399999999994</v>
      </c>
      <c r="F6426" s="1">
        <f t="shared" si="201"/>
        <v>41120</v>
      </c>
      <c r="G6426" cm="1">
        <f t="array" ref="G6426">PRODUCT( _xlfn._xlws.FILTER($E:$E, ($C:$C=C6426)*($F:$F=F6426)) ) - 1</f>
        <v>-3.1420546555083195E-2</v>
      </c>
    </row>
    <row r="6427" spans="1:7" x14ac:dyDescent="0.2">
      <c r="A6427" s="1">
        <v>41124</v>
      </c>
      <c r="B6427">
        <v>2</v>
      </c>
      <c r="C6427" t="s">
        <v>16</v>
      </c>
      <c r="D6427">
        <v>1.8311999999999998E-2</v>
      </c>
      <c r="E6427">
        <f t="shared" si="200"/>
        <v>1.0183120000000001</v>
      </c>
      <c r="F6427" s="1">
        <f t="shared" si="201"/>
        <v>41120</v>
      </c>
      <c r="G6427" cm="1">
        <f t="array" ref="G6427">PRODUCT( _xlfn._xlws.FILTER($E:$E, ($C:$C=C6427)*($F:$F=F6427)) ) - 1</f>
        <v>-3.1420546555083195E-2</v>
      </c>
    </row>
    <row r="6428" spans="1:7" x14ac:dyDescent="0.2">
      <c r="A6428" s="1">
        <v>41128</v>
      </c>
      <c r="B6428">
        <v>2</v>
      </c>
      <c r="C6428" t="s">
        <v>16</v>
      </c>
      <c r="D6428">
        <v>1.5866999999999999E-2</v>
      </c>
      <c r="E6428">
        <f t="shared" si="200"/>
        <v>1.0158670000000001</v>
      </c>
      <c r="F6428" s="1">
        <f t="shared" si="201"/>
        <v>41127</v>
      </c>
      <c r="G6428" cm="1">
        <f t="array" ref="G6428">PRODUCT( _xlfn._xlws.FILTER($E:$E, ($C:$C=C6428)*($F:$F=F6428)) ) - 1</f>
        <v>2.0098699244450735E-2</v>
      </c>
    </row>
    <row r="6429" spans="1:7" x14ac:dyDescent="0.2">
      <c r="A6429" s="1">
        <v>41129</v>
      </c>
      <c r="B6429">
        <v>2</v>
      </c>
      <c r="C6429" t="s">
        <v>16</v>
      </c>
      <c r="D6429">
        <v>3.124E-3</v>
      </c>
      <c r="E6429">
        <f t="shared" si="200"/>
        <v>1.0031239999999999</v>
      </c>
      <c r="F6429" s="1">
        <f t="shared" si="201"/>
        <v>41127</v>
      </c>
      <c r="G6429" cm="1">
        <f t="array" ref="G6429">PRODUCT( _xlfn._xlws.FILTER($E:$E, ($C:$C=C6429)*($F:$F=F6429)) ) - 1</f>
        <v>2.0098699244450735E-2</v>
      </c>
    </row>
    <row r="6430" spans="1:7" x14ac:dyDescent="0.2">
      <c r="A6430" s="1">
        <v>41130</v>
      </c>
      <c r="B6430">
        <v>2</v>
      </c>
      <c r="C6430" t="s">
        <v>16</v>
      </c>
      <c r="D6430">
        <v>-4.1520000000000003E-3</v>
      </c>
      <c r="E6430">
        <f t="shared" si="200"/>
        <v>0.99584799999999996</v>
      </c>
      <c r="F6430" s="1">
        <f t="shared" si="201"/>
        <v>41127</v>
      </c>
      <c r="G6430" cm="1">
        <f t="array" ref="G6430">PRODUCT( _xlfn._xlws.FILTER($E:$E, ($C:$C=C6430)*($F:$F=F6430)) ) - 1</f>
        <v>2.0098699244450735E-2</v>
      </c>
    </row>
    <row r="6431" spans="1:7" x14ac:dyDescent="0.2">
      <c r="A6431" s="1">
        <v>41131</v>
      </c>
      <c r="B6431">
        <v>2</v>
      </c>
      <c r="C6431" t="s">
        <v>16</v>
      </c>
      <c r="D6431">
        <v>5.2119999999999996E-3</v>
      </c>
      <c r="E6431">
        <f t="shared" si="200"/>
        <v>1.005212</v>
      </c>
      <c r="F6431" s="1">
        <f t="shared" si="201"/>
        <v>41127</v>
      </c>
      <c r="G6431" cm="1">
        <f t="array" ref="G6431">PRODUCT( _xlfn._xlws.FILTER($E:$E, ($C:$C=C6431)*($F:$F=F6431)) ) - 1</f>
        <v>2.0098699244450735E-2</v>
      </c>
    </row>
    <row r="6432" spans="1:7" x14ac:dyDescent="0.2">
      <c r="A6432" s="1">
        <v>41134</v>
      </c>
      <c r="B6432">
        <v>2</v>
      </c>
      <c r="C6432" t="s">
        <v>16</v>
      </c>
      <c r="D6432">
        <v>2.0739999999999999E-3</v>
      </c>
      <c r="E6432">
        <f t="shared" si="200"/>
        <v>1.0020739999999999</v>
      </c>
      <c r="F6432" s="1">
        <f t="shared" si="201"/>
        <v>41134</v>
      </c>
      <c r="G6432" cm="1">
        <f t="array" ref="G6432">PRODUCT( _xlfn._xlws.FILTER($E:$E, ($C:$C=C6432)*($F:$F=F6432)) ) - 1</f>
        <v>2.4888412724529685E-2</v>
      </c>
    </row>
    <row r="6433" spans="1:7" x14ac:dyDescent="0.2">
      <c r="A6433" s="1">
        <v>41135</v>
      </c>
      <c r="B6433">
        <v>2</v>
      </c>
      <c r="C6433" t="s">
        <v>16</v>
      </c>
      <c r="D6433">
        <v>8.6239999999999997E-3</v>
      </c>
      <c r="E6433">
        <f t="shared" si="200"/>
        <v>1.008624</v>
      </c>
      <c r="F6433" s="1">
        <f t="shared" si="201"/>
        <v>41134</v>
      </c>
      <c r="G6433" cm="1">
        <f t="array" ref="G6433">PRODUCT( _xlfn._xlws.FILTER($E:$E, ($C:$C=C6433)*($F:$F=F6433)) ) - 1</f>
        <v>2.4888412724529685E-2</v>
      </c>
    </row>
    <row r="6434" spans="1:7" x14ac:dyDescent="0.2">
      <c r="A6434" s="1">
        <v>41136</v>
      </c>
      <c r="B6434">
        <v>2</v>
      </c>
      <c r="C6434" t="s">
        <v>16</v>
      </c>
      <c r="D6434">
        <v>1.026E-2</v>
      </c>
      <c r="E6434">
        <f t="shared" si="200"/>
        <v>1.0102599999999999</v>
      </c>
      <c r="F6434" s="1">
        <f t="shared" si="201"/>
        <v>41134</v>
      </c>
      <c r="G6434" cm="1">
        <f t="array" ref="G6434">PRODUCT( _xlfn._xlws.FILTER($E:$E, ($C:$C=C6434)*($F:$F=F6434)) ) - 1</f>
        <v>2.4888412724529685E-2</v>
      </c>
    </row>
    <row r="6435" spans="1:7" x14ac:dyDescent="0.2">
      <c r="A6435" s="1">
        <v>41137</v>
      </c>
      <c r="B6435">
        <v>2</v>
      </c>
      <c r="C6435" t="s">
        <v>16</v>
      </c>
      <c r="D6435">
        <v>3.0469999999999998E-3</v>
      </c>
      <c r="E6435">
        <f t="shared" si="200"/>
        <v>1.003047</v>
      </c>
      <c r="F6435" s="1">
        <f t="shared" si="201"/>
        <v>41134</v>
      </c>
      <c r="G6435" cm="1">
        <f t="array" ref="G6435">PRODUCT( _xlfn._xlws.FILTER($E:$E, ($C:$C=C6435)*($F:$F=F6435)) ) - 1</f>
        <v>2.4888412724529685E-2</v>
      </c>
    </row>
    <row r="6436" spans="1:7" x14ac:dyDescent="0.2">
      <c r="A6436" s="1">
        <v>41138</v>
      </c>
      <c r="B6436">
        <v>2</v>
      </c>
      <c r="C6436" t="s">
        <v>16</v>
      </c>
      <c r="D6436">
        <v>6.7500000000000004E-4</v>
      </c>
      <c r="E6436">
        <f t="shared" si="200"/>
        <v>1.000675</v>
      </c>
      <c r="F6436" s="1">
        <f t="shared" si="201"/>
        <v>41134</v>
      </c>
      <c r="G6436" cm="1">
        <f t="array" ref="G6436">PRODUCT( _xlfn._xlws.FILTER($E:$E, ($C:$C=C6436)*($F:$F=F6436)) ) - 1</f>
        <v>2.4888412724529685E-2</v>
      </c>
    </row>
    <row r="6437" spans="1:7" x14ac:dyDescent="0.2">
      <c r="A6437" s="1">
        <v>41141</v>
      </c>
      <c r="B6437">
        <v>2</v>
      </c>
      <c r="C6437" t="s">
        <v>16</v>
      </c>
      <c r="D6437">
        <v>-8.4320000000000003E-3</v>
      </c>
      <c r="E6437">
        <f t="shared" si="200"/>
        <v>0.991568</v>
      </c>
      <c r="F6437" s="1">
        <f t="shared" si="201"/>
        <v>41141</v>
      </c>
      <c r="G6437" cm="1">
        <f t="array" ref="G6437">PRODUCT( _xlfn._xlws.FILTER($E:$E, ($C:$C=C6437)*($F:$F=F6437)) ) - 1</f>
        <v>-2.2107591342331756E-2</v>
      </c>
    </row>
    <row r="6438" spans="1:7" x14ac:dyDescent="0.2">
      <c r="A6438" s="1">
        <v>41142</v>
      </c>
      <c r="B6438">
        <v>2</v>
      </c>
      <c r="C6438" t="s">
        <v>16</v>
      </c>
      <c r="D6438">
        <v>-6.9150000000000001E-3</v>
      </c>
      <c r="E6438">
        <f t="shared" si="200"/>
        <v>0.993085</v>
      </c>
      <c r="F6438" s="1">
        <f t="shared" si="201"/>
        <v>41141</v>
      </c>
      <c r="G6438" cm="1">
        <f t="array" ref="G6438">PRODUCT( _xlfn._xlws.FILTER($E:$E, ($C:$C=C6438)*($F:$F=F6438)) ) - 1</f>
        <v>-2.2107591342331756E-2</v>
      </c>
    </row>
    <row r="6439" spans="1:7" x14ac:dyDescent="0.2">
      <c r="A6439" s="1">
        <v>41143</v>
      </c>
      <c r="B6439">
        <v>2</v>
      </c>
      <c r="C6439" t="s">
        <v>16</v>
      </c>
      <c r="D6439">
        <v>-9.6950000000000005E-3</v>
      </c>
      <c r="E6439">
        <f t="shared" si="200"/>
        <v>0.99030499999999999</v>
      </c>
      <c r="F6439" s="1">
        <f t="shared" si="201"/>
        <v>41141</v>
      </c>
      <c r="G6439" cm="1">
        <f t="array" ref="G6439">PRODUCT( _xlfn._xlws.FILTER($E:$E, ($C:$C=C6439)*($F:$F=F6439)) ) - 1</f>
        <v>-2.2107591342331756E-2</v>
      </c>
    </row>
    <row r="6440" spans="1:7" x14ac:dyDescent="0.2">
      <c r="A6440" s="1">
        <v>41144</v>
      </c>
      <c r="B6440">
        <v>2</v>
      </c>
      <c r="C6440" t="s">
        <v>16</v>
      </c>
      <c r="D6440">
        <v>-3.846E-3</v>
      </c>
      <c r="E6440">
        <f t="shared" si="200"/>
        <v>0.99615399999999998</v>
      </c>
      <c r="F6440" s="1">
        <f t="shared" si="201"/>
        <v>41141</v>
      </c>
      <c r="G6440" cm="1">
        <f t="array" ref="G6440">PRODUCT( _xlfn._xlws.FILTER($E:$E, ($C:$C=C6440)*($F:$F=F6440)) ) - 1</f>
        <v>-2.2107591342331756E-2</v>
      </c>
    </row>
    <row r="6441" spans="1:7" x14ac:dyDescent="0.2">
      <c r="A6441" s="1">
        <v>41145</v>
      </c>
      <c r="B6441">
        <v>2</v>
      </c>
      <c r="C6441" t="s">
        <v>16</v>
      </c>
      <c r="D6441">
        <v>6.6689999999999996E-3</v>
      </c>
      <c r="E6441">
        <f t="shared" si="200"/>
        <v>1.006669</v>
      </c>
      <c r="F6441" s="1">
        <f t="shared" si="201"/>
        <v>41141</v>
      </c>
      <c r="G6441" cm="1">
        <f t="array" ref="G6441">PRODUCT( _xlfn._xlws.FILTER($E:$E, ($C:$C=C6441)*($F:$F=F6441)) ) - 1</f>
        <v>-2.2107591342331756E-2</v>
      </c>
    </row>
    <row r="6442" spans="1:7" x14ac:dyDescent="0.2">
      <c r="A6442" s="1">
        <v>41148</v>
      </c>
      <c r="B6442">
        <v>2</v>
      </c>
      <c r="C6442" t="s">
        <v>16</v>
      </c>
      <c r="D6442">
        <v>2.7889999999999998E-3</v>
      </c>
      <c r="E6442">
        <f t="shared" si="200"/>
        <v>1.0027889999999999</v>
      </c>
      <c r="F6442" s="1">
        <f t="shared" si="201"/>
        <v>41148</v>
      </c>
      <c r="G6442" cm="1">
        <f t="array" ref="G6442">PRODUCT( _xlfn._xlws.FILTER($E:$E, ($C:$C=C6442)*($F:$F=F6442)) ) - 1</f>
        <v>-2.4407464301576587E-2</v>
      </c>
    </row>
    <row r="6443" spans="1:7" x14ac:dyDescent="0.2">
      <c r="A6443" s="1">
        <v>41149</v>
      </c>
      <c r="B6443">
        <v>2</v>
      </c>
      <c r="C6443" t="s">
        <v>16</v>
      </c>
      <c r="D6443">
        <v>-2.434E-3</v>
      </c>
      <c r="E6443">
        <f t="shared" si="200"/>
        <v>0.99756599999999995</v>
      </c>
      <c r="F6443" s="1">
        <f t="shared" si="201"/>
        <v>41148</v>
      </c>
      <c r="G6443" cm="1">
        <f t="array" ref="G6443">PRODUCT( _xlfn._xlws.FILTER($E:$E, ($C:$C=C6443)*($F:$F=F6443)) ) - 1</f>
        <v>-2.4407464301576587E-2</v>
      </c>
    </row>
    <row r="6444" spans="1:7" x14ac:dyDescent="0.2">
      <c r="A6444" s="1">
        <v>41150</v>
      </c>
      <c r="B6444">
        <v>2</v>
      </c>
      <c r="C6444" t="s">
        <v>16</v>
      </c>
      <c r="D6444">
        <v>-9.4109999999999992E-3</v>
      </c>
      <c r="E6444">
        <f t="shared" si="200"/>
        <v>0.99058900000000005</v>
      </c>
      <c r="F6444" s="1">
        <f t="shared" si="201"/>
        <v>41148</v>
      </c>
      <c r="G6444" cm="1">
        <f t="array" ref="G6444">PRODUCT( _xlfn._xlws.FILTER($E:$E, ($C:$C=C6444)*($F:$F=F6444)) ) - 1</f>
        <v>-2.4407464301576587E-2</v>
      </c>
    </row>
    <row r="6445" spans="1:7" x14ac:dyDescent="0.2">
      <c r="A6445" s="1">
        <v>41151</v>
      </c>
      <c r="B6445">
        <v>2</v>
      </c>
      <c r="C6445" t="s">
        <v>16</v>
      </c>
      <c r="D6445">
        <v>-7.3889999999999997E-3</v>
      </c>
      <c r="E6445">
        <f t="shared" si="200"/>
        <v>0.99261100000000002</v>
      </c>
      <c r="F6445" s="1">
        <f t="shared" si="201"/>
        <v>41148</v>
      </c>
      <c r="G6445" cm="1">
        <f t="array" ref="G6445">PRODUCT( _xlfn._xlws.FILTER($E:$E, ($C:$C=C6445)*($F:$F=F6445)) ) - 1</f>
        <v>-2.4407464301576587E-2</v>
      </c>
    </row>
    <row r="6446" spans="1:7" x14ac:dyDescent="0.2">
      <c r="A6446" s="1">
        <v>41152</v>
      </c>
      <c r="B6446">
        <v>2</v>
      </c>
      <c r="C6446" t="s">
        <v>16</v>
      </c>
      <c r="D6446">
        <v>-8.1530000000000005E-3</v>
      </c>
      <c r="E6446">
        <f t="shared" si="200"/>
        <v>0.99184700000000003</v>
      </c>
      <c r="F6446" s="1">
        <f t="shared" si="201"/>
        <v>41148</v>
      </c>
      <c r="G6446" cm="1">
        <f t="array" ref="G6446">PRODUCT( _xlfn._xlws.FILTER($E:$E, ($C:$C=C6446)*($F:$F=F6446)) ) - 1</f>
        <v>-2.4407464301576587E-2</v>
      </c>
    </row>
    <row r="6447" spans="1:7" x14ac:dyDescent="0.2">
      <c r="A6447" s="1">
        <v>41156</v>
      </c>
      <c r="B6447">
        <v>2</v>
      </c>
      <c r="C6447" t="s">
        <v>16</v>
      </c>
      <c r="D6447">
        <v>-1.1794000000000001E-2</v>
      </c>
      <c r="E6447">
        <f t="shared" si="200"/>
        <v>0.98820600000000003</v>
      </c>
      <c r="F6447" s="1">
        <f t="shared" si="201"/>
        <v>41155</v>
      </c>
      <c r="G6447" cm="1">
        <f t="array" ref="G6447">PRODUCT( _xlfn._xlws.FILTER($E:$E, ($C:$C=C6447)*($F:$F=F6447)) ) - 1</f>
        <v>-6.0750566040295162E-3</v>
      </c>
    </row>
    <row r="6448" spans="1:7" x14ac:dyDescent="0.2">
      <c r="A6448" s="1">
        <v>41157</v>
      </c>
      <c r="B6448">
        <v>2</v>
      </c>
      <c r="C6448" t="s">
        <v>16</v>
      </c>
      <c r="D6448">
        <v>1.1212E-2</v>
      </c>
      <c r="E6448">
        <f t="shared" si="200"/>
        <v>1.011212</v>
      </c>
      <c r="F6448" s="1">
        <f t="shared" si="201"/>
        <v>41155</v>
      </c>
      <c r="G6448" cm="1">
        <f t="array" ref="G6448">PRODUCT( _xlfn._xlws.FILTER($E:$E, ($C:$C=C6448)*($F:$F=F6448)) ) - 1</f>
        <v>-6.0750566040295162E-3</v>
      </c>
    </row>
    <row r="6449" spans="1:7" x14ac:dyDescent="0.2">
      <c r="A6449" s="1">
        <v>41158</v>
      </c>
      <c r="B6449">
        <v>2</v>
      </c>
      <c r="C6449" t="s">
        <v>16</v>
      </c>
      <c r="D6449">
        <v>2.5040000000000001E-3</v>
      </c>
      <c r="E6449">
        <f t="shared" si="200"/>
        <v>1.0025040000000001</v>
      </c>
      <c r="F6449" s="1">
        <f t="shared" si="201"/>
        <v>41155</v>
      </c>
      <c r="G6449" cm="1">
        <f t="array" ref="G6449">PRODUCT( _xlfn._xlws.FILTER($E:$E, ($C:$C=C6449)*($F:$F=F6449)) ) - 1</f>
        <v>-6.0750566040295162E-3</v>
      </c>
    </row>
    <row r="6450" spans="1:7" x14ac:dyDescent="0.2">
      <c r="A6450" s="1">
        <v>41159</v>
      </c>
      <c r="B6450">
        <v>2</v>
      </c>
      <c r="C6450" t="s">
        <v>16</v>
      </c>
      <c r="D6450">
        <v>-7.8490000000000001E-3</v>
      </c>
      <c r="E6450">
        <f t="shared" si="200"/>
        <v>0.99215100000000001</v>
      </c>
      <c r="F6450" s="1">
        <f t="shared" si="201"/>
        <v>41155</v>
      </c>
      <c r="G6450" cm="1">
        <f t="array" ref="G6450">PRODUCT( _xlfn._xlws.FILTER($E:$E, ($C:$C=C6450)*($F:$F=F6450)) ) - 1</f>
        <v>-6.0750566040295162E-3</v>
      </c>
    </row>
    <row r="6451" spans="1:7" x14ac:dyDescent="0.2">
      <c r="A6451" s="1">
        <v>41162</v>
      </c>
      <c r="B6451">
        <v>2</v>
      </c>
      <c r="C6451" t="s">
        <v>16</v>
      </c>
      <c r="D6451">
        <v>-8.6300000000000005E-3</v>
      </c>
      <c r="E6451">
        <f t="shared" si="200"/>
        <v>0.99136999999999997</v>
      </c>
      <c r="F6451" s="1">
        <f t="shared" si="201"/>
        <v>41162</v>
      </c>
      <c r="G6451" cm="1">
        <f t="array" ref="G6451">PRODUCT( _xlfn._xlws.FILTER($E:$E, ($C:$C=C6451)*($F:$F=F6451)) ) - 1</f>
        <v>2.6249211904144643E-2</v>
      </c>
    </row>
    <row r="6452" spans="1:7" x14ac:dyDescent="0.2">
      <c r="A6452" s="1">
        <v>41163</v>
      </c>
      <c r="B6452">
        <v>2</v>
      </c>
      <c r="C6452" t="s">
        <v>16</v>
      </c>
      <c r="D6452">
        <v>2.539E-3</v>
      </c>
      <c r="E6452">
        <f t="shared" si="200"/>
        <v>1.0025390000000001</v>
      </c>
      <c r="F6452" s="1">
        <f t="shared" si="201"/>
        <v>41162</v>
      </c>
      <c r="G6452" cm="1">
        <f t="array" ref="G6452">PRODUCT( _xlfn._xlws.FILTER($E:$E, ($C:$C=C6452)*($F:$F=F6452)) ) - 1</f>
        <v>2.6249211904144643E-2</v>
      </c>
    </row>
    <row r="6453" spans="1:7" x14ac:dyDescent="0.2">
      <c r="A6453" s="1">
        <v>41164</v>
      </c>
      <c r="B6453">
        <v>2</v>
      </c>
      <c r="C6453" t="s">
        <v>16</v>
      </c>
      <c r="D6453">
        <v>1.8813E-2</v>
      </c>
      <c r="E6453">
        <f t="shared" si="200"/>
        <v>1.018813</v>
      </c>
      <c r="F6453" s="1">
        <f t="shared" si="201"/>
        <v>41162</v>
      </c>
      <c r="G6453" cm="1">
        <f t="array" ref="G6453">PRODUCT( _xlfn._xlws.FILTER($E:$E, ($C:$C=C6453)*($F:$F=F6453)) ) - 1</f>
        <v>2.6249211904144643E-2</v>
      </c>
    </row>
    <row r="6454" spans="1:7" x14ac:dyDescent="0.2">
      <c r="A6454" s="1">
        <v>41165</v>
      </c>
      <c r="B6454">
        <v>2</v>
      </c>
      <c r="C6454" t="s">
        <v>16</v>
      </c>
      <c r="D6454">
        <v>2.4859999999999999E-3</v>
      </c>
      <c r="E6454">
        <f t="shared" si="200"/>
        <v>1.002486</v>
      </c>
      <c r="F6454" s="1">
        <f t="shared" si="201"/>
        <v>41162</v>
      </c>
      <c r="G6454" cm="1">
        <f t="array" ref="G6454">PRODUCT( _xlfn._xlws.FILTER($E:$E, ($C:$C=C6454)*($F:$F=F6454)) ) - 1</f>
        <v>2.6249211904144643E-2</v>
      </c>
    </row>
    <row r="6455" spans="1:7" x14ac:dyDescent="0.2">
      <c r="A6455" s="1">
        <v>41166</v>
      </c>
      <c r="B6455">
        <v>2</v>
      </c>
      <c r="C6455" t="s">
        <v>16</v>
      </c>
      <c r="D6455">
        <v>1.0980999999999999E-2</v>
      </c>
      <c r="E6455">
        <f t="shared" si="200"/>
        <v>1.0109809999999999</v>
      </c>
      <c r="F6455" s="1">
        <f t="shared" si="201"/>
        <v>41162</v>
      </c>
      <c r="G6455" cm="1">
        <f t="array" ref="G6455">PRODUCT( _xlfn._xlws.FILTER($E:$E, ($C:$C=C6455)*($F:$F=F6455)) ) - 1</f>
        <v>2.6249211904144643E-2</v>
      </c>
    </row>
    <row r="6456" spans="1:7" x14ac:dyDescent="0.2">
      <c r="A6456" s="1">
        <v>41169</v>
      </c>
      <c r="B6456">
        <v>2</v>
      </c>
      <c r="C6456" t="s">
        <v>16</v>
      </c>
      <c r="D6456">
        <v>3.5E-4</v>
      </c>
      <c r="E6456">
        <f t="shared" si="200"/>
        <v>1.0003500000000001</v>
      </c>
      <c r="F6456" s="1">
        <f t="shared" si="201"/>
        <v>41169</v>
      </c>
      <c r="G6456" cm="1">
        <f t="array" ref="G6456">PRODUCT( _xlfn._xlws.FILTER($E:$E, ($C:$C=C6456)*($F:$F=F6456)) ) - 1</f>
        <v>9.108674347064305E-3</v>
      </c>
    </row>
    <row r="6457" spans="1:7" x14ac:dyDescent="0.2">
      <c r="A6457" s="1">
        <v>41170</v>
      </c>
      <c r="B6457">
        <v>2</v>
      </c>
      <c r="C6457" t="s">
        <v>16</v>
      </c>
      <c r="D6457">
        <v>1.5061E-2</v>
      </c>
      <c r="E6457">
        <f t="shared" si="200"/>
        <v>1.015061</v>
      </c>
      <c r="F6457" s="1">
        <f t="shared" si="201"/>
        <v>41169</v>
      </c>
      <c r="G6457" cm="1">
        <f t="array" ref="G6457">PRODUCT( _xlfn._xlws.FILTER($E:$E, ($C:$C=C6457)*($F:$F=F6457)) ) - 1</f>
        <v>9.108674347064305E-3</v>
      </c>
    </row>
    <row r="6458" spans="1:7" x14ac:dyDescent="0.2">
      <c r="A6458" s="1">
        <v>41171</v>
      </c>
      <c r="B6458">
        <v>2</v>
      </c>
      <c r="C6458" t="s">
        <v>16</v>
      </c>
      <c r="D6458">
        <v>-3.4510000000000001E-3</v>
      </c>
      <c r="E6458">
        <f t="shared" si="200"/>
        <v>0.99654900000000002</v>
      </c>
      <c r="F6458" s="1">
        <f t="shared" si="201"/>
        <v>41169</v>
      </c>
      <c r="G6458" cm="1">
        <f t="array" ref="G6458">PRODUCT( _xlfn._xlws.FILTER($E:$E, ($C:$C=C6458)*($F:$F=F6458)) ) - 1</f>
        <v>9.108674347064305E-3</v>
      </c>
    </row>
    <row r="6459" spans="1:7" x14ac:dyDescent="0.2">
      <c r="A6459" s="1">
        <v>41172</v>
      </c>
      <c r="B6459">
        <v>2</v>
      </c>
      <c r="C6459" t="s">
        <v>16</v>
      </c>
      <c r="D6459">
        <v>6.9200000000000002E-4</v>
      </c>
      <c r="E6459">
        <f t="shared" si="200"/>
        <v>1.0006919999999999</v>
      </c>
      <c r="F6459" s="1">
        <f t="shared" si="201"/>
        <v>41169</v>
      </c>
      <c r="G6459" cm="1">
        <f t="array" ref="G6459">PRODUCT( _xlfn._xlws.FILTER($E:$E, ($C:$C=C6459)*($F:$F=F6459)) ) - 1</f>
        <v>9.108674347064305E-3</v>
      </c>
    </row>
    <row r="6460" spans="1:7" x14ac:dyDescent="0.2">
      <c r="A6460" s="1">
        <v>41173</v>
      </c>
      <c r="B6460">
        <v>2</v>
      </c>
      <c r="C6460" t="s">
        <v>16</v>
      </c>
      <c r="D6460">
        <v>-3.46E-3</v>
      </c>
      <c r="E6460">
        <f t="shared" si="200"/>
        <v>0.99653999999999998</v>
      </c>
      <c r="F6460" s="1">
        <f t="shared" si="201"/>
        <v>41169</v>
      </c>
      <c r="G6460" cm="1">
        <f t="array" ref="G6460">PRODUCT( _xlfn._xlws.FILTER($E:$E, ($C:$C=C6460)*($F:$F=F6460)) ) - 1</f>
        <v>9.108674347064305E-3</v>
      </c>
    </row>
    <row r="6461" spans="1:7" x14ac:dyDescent="0.2">
      <c r="A6461" s="1">
        <v>41176</v>
      </c>
      <c r="B6461">
        <v>2</v>
      </c>
      <c r="C6461" t="s">
        <v>16</v>
      </c>
      <c r="D6461">
        <v>-2.7780000000000001E-3</v>
      </c>
      <c r="E6461">
        <f t="shared" si="200"/>
        <v>0.99722200000000005</v>
      </c>
      <c r="F6461" s="1">
        <f t="shared" si="201"/>
        <v>41176</v>
      </c>
      <c r="G6461" cm="1">
        <f t="array" ref="G6461">PRODUCT( _xlfn._xlws.FILTER($E:$E, ($C:$C=C6461)*($F:$F=F6461)) ) - 1</f>
        <v>-1.3194845632045538E-2</v>
      </c>
    </row>
    <row r="6462" spans="1:7" x14ac:dyDescent="0.2">
      <c r="A6462" s="1">
        <v>41177</v>
      </c>
      <c r="B6462">
        <v>2</v>
      </c>
      <c r="C6462" t="s">
        <v>16</v>
      </c>
      <c r="D6462">
        <v>-5.2230000000000002E-3</v>
      </c>
      <c r="E6462">
        <f t="shared" si="200"/>
        <v>0.99477700000000002</v>
      </c>
      <c r="F6462" s="1">
        <f t="shared" si="201"/>
        <v>41176</v>
      </c>
      <c r="G6462" cm="1">
        <f t="array" ref="G6462">PRODUCT( _xlfn._xlws.FILTER($E:$E, ($C:$C=C6462)*($F:$F=F6462)) ) - 1</f>
        <v>-1.3194845632045538E-2</v>
      </c>
    </row>
    <row r="6463" spans="1:7" x14ac:dyDescent="0.2">
      <c r="A6463" s="1">
        <v>41178</v>
      </c>
      <c r="B6463">
        <v>2</v>
      </c>
      <c r="C6463" t="s">
        <v>16</v>
      </c>
      <c r="D6463">
        <v>8.0499999999999999E-3</v>
      </c>
      <c r="E6463">
        <f t="shared" si="200"/>
        <v>1.0080499999999999</v>
      </c>
      <c r="F6463" s="1">
        <f t="shared" si="201"/>
        <v>41176</v>
      </c>
      <c r="G6463" cm="1">
        <f t="array" ref="G6463">PRODUCT( _xlfn._xlws.FILTER($E:$E, ($C:$C=C6463)*($F:$F=F6463)) ) - 1</f>
        <v>-1.3194845632045538E-2</v>
      </c>
    </row>
    <row r="6464" spans="1:7" x14ac:dyDescent="0.2">
      <c r="A6464" s="1">
        <v>41179</v>
      </c>
      <c r="B6464">
        <v>2</v>
      </c>
      <c r="C6464" t="s">
        <v>16</v>
      </c>
      <c r="D6464">
        <v>-1.7359999999999999E-3</v>
      </c>
      <c r="E6464">
        <f t="shared" si="200"/>
        <v>0.99826400000000004</v>
      </c>
      <c r="F6464" s="1">
        <f t="shared" si="201"/>
        <v>41176</v>
      </c>
      <c r="G6464" cm="1">
        <f t="array" ref="G6464">PRODUCT( _xlfn._xlws.FILTER($E:$E, ($C:$C=C6464)*($F:$F=F6464)) ) - 1</f>
        <v>-1.3194845632045538E-2</v>
      </c>
    </row>
    <row r="6465" spans="1:7" x14ac:dyDescent="0.2">
      <c r="A6465" s="1">
        <v>41180</v>
      </c>
      <c r="B6465">
        <v>2</v>
      </c>
      <c r="C6465" t="s">
        <v>16</v>
      </c>
      <c r="D6465">
        <v>-1.1478E-2</v>
      </c>
      <c r="E6465">
        <f t="shared" si="200"/>
        <v>0.98852200000000001</v>
      </c>
      <c r="F6465" s="1">
        <f t="shared" si="201"/>
        <v>41176</v>
      </c>
      <c r="G6465" cm="1">
        <f t="array" ref="G6465">PRODUCT( _xlfn._xlws.FILTER($E:$E, ($C:$C=C6465)*($F:$F=F6465)) ) - 1</f>
        <v>-1.3194845632045538E-2</v>
      </c>
    </row>
    <row r="6466" spans="1:7" x14ac:dyDescent="0.2">
      <c r="A6466" s="1">
        <v>41183</v>
      </c>
      <c r="B6466">
        <v>2</v>
      </c>
      <c r="C6466" t="s">
        <v>16</v>
      </c>
      <c r="D6466">
        <v>-2.4629999999999999E-3</v>
      </c>
      <c r="E6466">
        <f t="shared" si="200"/>
        <v>0.99753700000000001</v>
      </c>
      <c r="F6466" s="1">
        <f t="shared" si="201"/>
        <v>41183</v>
      </c>
      <c r="G6466" cm="1">
        <f t="array" ref="G6466">PRODUCT( _xlfn._xlws.FILTER($E:$E, ($C:$C=C6466)*($F:$F=F6466)) ) - 1</f>
        <v>-5.9822104975506551E-3</v>
      </c>
    </row>
    <row r="6467" spans="1:7" x14ac:dyDescent="0.2">
      <c r="A6467" s="1">
        <v>41184</v>
      </c>
      <c r="B6467">
        <v>2</v>
      </c>
      <c r="C6467" t="s">
        <v>16</v>
      </c>
      <c r="D6467">
        <v>3.8800000000000002E-3</v>
      </c>
      <c r="E6467">
        <f t="shared" si="200"/>
        <v>1.0038800000000001</v>
      </c>
      <c r="F6467" s="1">
        <f t="shared" si="201"/>
        <v>41183</v>
      </c>
      <c r="G6467" cm="1">
        <f t="array" ref="G6467">PRODUCT( _xlfn._xlws.FILTER($E:$E, ($C:$C=C6467)*($F:$F=F6467)) ) - 1</f>
        <v>-5.9822104975506551E-3</v>
      </c>
    </row>
    <row r="6468" spans="1:7" x14ac:dyDescent="0.2">
      <c r="A6468" s="1">
        <v>41185</v>
      </c>
      <c r="B6468">
        <v>2</v>
      </c>
      <c r="C6468" t="s">
        <v>16</v>
      </c>
      <c r="D6468">
        <v>-1.054E-3</v>
      </c>
      <c r="E6468">
        <f t="shared" ref="E6468:E6531" si="202">D6468+1</f>
        <v>0.998946</v>
      </c>
      <c r="F6468" s="1">
        <f t="shared" ref="F6468:F6531" si="203">A6468 - (WEEKDAY(A6468, 2) - 1)</f>
        <v>41183</v>
      </c>
      <c r="G6468" cm="1">
        <f t="array" ref="G6468">PRODUCT( _xlfn._xlws.FILTER($E:$E, ($C:$C=C6468)*($F:$F=F6468)) ) - 1</f>
        <v>-5.9822104975506551E-3</v>
      </c>
    </row>
    <row r="6469" spans="1:7" x14ac:dyDescent="0.2">
      <c r="A6469" s="1">
        <v>41186</v>
      </c>
      <c r="B6469">
        <v>2</v>
      </c>
      <c r="C6469" t="s">
        <v>16</v>
      </c>
      <c r="D6469">
        <v>-1.7589999999999999E-3</v>
      </c>
      <c r="E6469">
        <f t="shared" si="202"/>
        <v>0.99824100000000004</v>
      </c>
      <c r="F6469" s="1">
        <f t="shared" si="203"/>
        <v>41183</v>
      </c>
      <c r="G6469" cm="1">
        <f t="array" ref="G6469">PRODUCT( _xlfn._xlws.FILTER($E:$E, ($C:$C=C6469)*($F:$F=F6469)) ) - 1</f>
        <v>-5.9822104975506551E-3</v>
      </c>
    </row>
    <row r="6470" spans="1:7" x14ac:dyDescent="0.2">
      <c r="A6470" s="1">
        <v>41187</v>
      </c>
      <c r="B6470">
        <v>2</v>
      </c>
      <c r="C6470" t="s">
        <v>16</v>
      </c>
      <c r="D6470">
        <v>-4.581E-3</v>
      </c>
      <c r="E6470">
        <f t="shared" si="202"/>
        <v>0.99541900000000005</v>
      </c>
      <c r="F6470" s="1">
        <f t="shared" si="203"/>
        <v>41183</v>
      </c>
      <c r="G6470" cm="1">
        <f t="array" ref="G6470">PRODUCT( _xlfn._xlws.FILTER($E:$E, ($C:$C=C6470)*($F:$F=F6470)) ) - 1</f>
        <v>-5.9822104975506551E-3</v>
      </c>
    </row>
    <row r="6471" spans="1:7" x14ac:dyDescent="0.2">
      <c r="A6471" s="1">
        <v>41191</v>
      </c>
      <c r="B6471">
        <v>2</v>
      </c>
      <c r="C6471" t="s">
        <v>16</v>
      </c>
      <c r="D6471">
        <v>-1.8761E-2</v>
      </c>
      <c r="E6471">
        <f t="shared" si="202"/>
        <v>0.98123899999999997</v>
      </c>
      <c r="F6471" s="1">
        <f t="shared" si="203"/>
        <v>41190</v>
      </c>
      <c r="G6471" cm="1">
        <f t="array" ref="G6471">PRODUCT( _xlfn._xlws.FILTER($E:$E, ($C:$C=C6471)*($F:$F=F6471)) ) - 1</f>
        <v>-2.4778855956690937E-2</v>
      </c>
    </row>
    <row r="6472" spans="1:7" x14ac:dyDescent="0.2">
      <c r="A6472" s="1">
        <v>41192</v>
      </c>
      <c r="B6472">
        <v>2</v>
      </c>
      <c r="C6472" t="s">
        <v>16</v>
      </c>
      <c r="D6472">
        <v>-3.6099999999999999E-4</v>
      </c>
      <c r="E6472">
        <f t="shared" si="202"/>
        <v>0.99963900000000006</v>
      </c>
      <c r="F6472" s="1">
        <f t="shared" si="203"/>
        <v>41190</v>
      </c>
      <c r="G6472" cm="1">
        <f t="array" ref="G6472">PRODUCT( _xlfn._xlws.FILTER($E:$E, ($C:$C=C6472)*($F:$F=F6472)) ) - 1</f>
        <v>-2.4778855956690937E-2</v>
      </c>
    </row>
    <row r="6473" spans="1:7" x14ac:dyDescent="0.2">
      <c r="A6473" s="1">
        <v>41193</v>
      </c>
      <c r="B6473">
        <v>2</v>
      </c>
      <c r="C6473" t="s">
        <v>16</v>
      </c>
      <c r="D6473">
        <v>-5.7739999999999996E-3</v>
      </c>
      <c r="E6473">
        <f t="shared" si="202"/>
        <v>0.99422600000000005</v>
      </c>
      <c r="F6473" s="1">
        <f t="shared" si="203"/>
        <v>41190</v>
      </c>
      <c r="G6473" cm="1">
        <f t="array" ref="G6473">PRODUCT( _xlfn._xlws.FILTER($E:$E, ($C:$C=C6473)*($F:$F=F6473)) ) - 1</f>
        <v>-2.4778855956690937E-2</v>
      </c>
    </row>
    <row r="6474" spans="1:7" x14ac:dyDescent="0.2">
      <c r="A6474" s="1">
        <v>41194</v>
      </c>
      <c r="B6474">
        <v>2</v>
      </c>
      <c r="C6474" t="s">
        <v>16</v>
      </c>
      <c r="D6474">
        <v>0</v>
      </c>
      <c r="E6474">
        <f t="shared" si="202"/>
        <v>1</v>
      </c>
      <c r="F6474" s="1">
        <f t="shared" si="203"/>
        <v>41190</v>
      </c>
      <c r="G6474" cm="1">
        <f t="array" ref="G6474">PRODUCT( _xlfn._xlws.FILTER($E:$E, ($C:$C=C6474)*($F:$F=F6474)) ) - 1</f>
        <v>-2.4778855956690937E-2</v>
      </c>
    </row>
    <row r="6475" spans="1:7" x14ac:dyDescent="0.2">
      <c r="A6475" s="1">
        <v>41197</v>
      </c>
      <c r="B6475">
        <v>2</v>
      </c>
      <c r="C6475" t="s">
        <v>16</v>
      </c>
      <c r="D6475">
        <v>5.0819999999999997E-3</v>
      </c>
      <c r="E6475">
        <f t="shared" si="202"/>
        <v>1.005082</v>
      </c>
      <c r="F6475" s="1">
        <f t="shared" si="203"/>
        <v>41197</v>
      </c>
      <c r="G6475" cm="1">
        <f t="array" ref="G6475">PRODUCT( _xlfn._xlws.FILTER($E:$E, ($C:$C=C6475)*($F:$F=F6475)) ) - 1</f>
        <v>2.7222600138936848E-2</v>
      </c>
    </row>
    <row r="6476" spans="1:7" x14ac:dyDescent="0.2">
      <c r="A6476" s="1">
        <v>41198</v>
      </c>
      <c r="B6476">
        <v>2</v>
      </c>
      <c r="C6476" t="s">
        <v>16</v>
      </c>
      <c r="D6476">
        <v>1.1195E-2</v>
      </c>
      <c r="E6476">
        <f t="shared" si="202"/>
        <v>1.0111950000000001</v>
      </c>
      <c r="F6476" s="1">
        <f t="shared" si="203"/>
        <v>41197</v>
      </c>
      <c r="G6476" cm="1">
        <f t="array" ref="G6476">PRODUCT( _xlfn._xlws.FILTER($E:$E, ($C:$C=C6476)*($F:$F=F6476)) ) - 1</f>
        <v>2.7222600138936848E-2</v>
      </c>
    </row>
    <row r="6477" spans="1:7" x14ac:dyDescent="0.2">
      <c r="A6477" s="1">
        <v>41199</v>
      </c>
      <c r="B6477">
        <v>2</v>
      </c>
      <c r="C6477" t="s">
        <v>16</v>
      </c>
      <c r="D6477">
        <v>3.571E-3</v>
      </c>
      <c r="E6477">
        <f t="shared" si="202"/>
        <v>1.003571</v>
      </c>
      <c r="F6477" s="1">
        <f t="shared" si="203"/>
        <v>41197</v>
      </c>
      <c r="G6477" cm="1">
        <f t="array" ref="G6477">PRODUCT( _xlfn._xlws.FILTER($E:$E, ($C:$C=C6477)*($F:$F=F6477)) ) - 1</f>
        <v>2.7222600138936848E-2</v>
      </c>
    </row>
    <row r="6478" spans="1:7" x14ac:dyDescent="0.2">
      <c r="A6478" s="1">
        <v>41200</v>
      </c>
      <c r="B6478">
        <v>2</v>
      </c>
      <c r="C6478" t="s">
        <v>16</v>
      </c>
      <c r="D6478">
        <v>1.1743999999999999E-2</v>
      </c>
      <c r="E6478">
        <f t="shared" si="202"/>
        <v>1.011744</v>
      </c>
      <c r="F6478" s="1">
        <f t="shared" si="203"/>
        <v>41197</v>
      </c>
      <c r="G6478" cm="1">
        <f t="array" ref="G6478">PRODUCT( _xlfn._xlws.FILTER($E:$E, ($C:$C=C6478)*($F:$F=F6478)) ) - 1</f>
        <v>2.7222600138936848E-2</v>
      </c>
    </row>
    <row r="6479" spans="1:7" x14ac:dyDescent="0.2">
      <c r="A6479" s="1">
        <v>41201</v>
      </c>
      <c r="B6479">
        <v>2</v>
      </c>
      <c r="C6479" t="s">
        <v>16</v>
      </c>
      <c r="D6479">
        <v>-4.5729999999999998E-3</v>
      </c>
      <c r="E6479">
        <f t="shared" si="202"/>
        <v>0.99542699999999995</v>
      </c>
      <c r="F6479" s="1">
        <f t="shared" si="203"/>
        <v>41197</v>
      </c>
      <c r="G6479" cm="1">
        <f t="array" ref="G6479">PRODUCT( _xlfn._xlws.FILTER($E:$E, ($C:$C=C6479)*($F:$F=F6479)) ) - 1</f>
        <v>2.7222600138936848E-2</v>
      </c>
    </row>
    <row r="6480" spans="1:7" x14ac:dyDescent="0.2">
      <c r="A6480" s="1">
        <v>41204</v>
      </c>
      <c r="B6480">
        <v>2</v>
      </c>
      <c r="C6480" t="s">
        <v>16</v>
      </c>
      <c r="D6480">
        <v>0</v>
      </c>
      <c r="E6480">
        <f t="shared" si="202"/>
        <v>1</v>
      </c>
      <c r="F6480" s="1">
        <f t="shared" si="203"/>
        <v>41204</v>
      </c>
      <c r="G6480" cm="1">
        <f t="array" ref="G6480">PRODUCT( _xlfn._xlws.FILTER($E:$E, ($C:$C=C6480)*($F:$F=F6480)) ) - 1</f>
        <v>-3.5440251571983161E-4</v>
      </c>
    </row>
    <row r="6481" spans="1:7" x14ac:dyDescent="0.2">
      <c r="A6481" s="1">
        <v>41205</v>
      </c>
      <c r="B6481">
        <v>2</v>
      </c>
      <c r="C6481" t="s">
        <v>16</v>
      </c>
      <c r="D6481">
        <v>-8.1270000000000005E-3</v>
      </c>
      <c r="E6481">
        <f t="shared" si="202"/>
        <v>0.991873</v>
      </c>
      <c r="F6481" s="1">
        <f t="shared" si="203"/>
        <v>41204</v>
      </c>
      <c r="G6481" cm="1">
        <f t="array" ref="G6481">PRODUCT( _xlfn._xlws.FILTER($E:$E, ($C:$C=C6481)*($F:$F=F6481)) ) - 1</f>
        <v>-3.5440251571983161E-4</v>
      </c>
    </row>
    <row r="6482" spans="1:7" x14ac:dyDescent="0.2">
      <c r="A6482" s="1">
        <v>41206</v>
      </c>
      <c r="B6482">
        <v>2</v>
      </c>
      <c r="C6482" t="s">
        <v>16</v>
      </c>
      <c r="D6482">
        <v>-1.0688E-2</v>
      </c>
      <c r="E6482">
        <f t="shared" si="202"/>
        <v>0.98931199999999997</v>
      </c>
      <c r="F6482" s="1">
        <f t="shared" si="203"/>
        <v>41204</v>
      </c>
      <c r="G6482" cm="1">
        <f t="array" ref="G6482">PRODUCT( _xlfn._xlws.FILTER($E:$E, ($C:$C=C6482)*($F:$F=F6482)) ) - 1</f>
        <v>-3.5440251571983161E-4</v>
      </c>
    </row>
    <row r="6483" spans="1:7" x14ac:dyDescent="0.2">
      <c r="A6483" s="1">
        <v>41207</v>
      </c>
      <c r="B6483">
        <v>2</v>
      </c>
      <c r="C6483" t="s">
        <v>16</v>
      </c>
      <c r="D6483">
        <v>1.5484E-2</v>
      </c>
      <c r="E6483">
        <f t="shared" si="202"/>
        <v>1.0154840000000001</v>
      </c>
      <c r="F6483" s="1">
        <f t="shared" si="203"/>
        <v>41204</v>
      </c>
      <c r="G6483" cm="1">
        <f t="array" ref="G6483">PRODUCT( _xlfn._xlws.FILTER($E:$E, ($C:$C=C6483)*($F:$F=F6483)) ) - 1</f>
        <v>-3.5440251571983161E-4</v>
      </c>
    </row>
    <row r="6484" spans="1:7" x14ac:dyDescent="0.2">
      <c r="A6484" s="1">
        <v>41208</v>
      </c>
      <c r="B6484">
        <v>2</v>
      </c>
      <c r="C6484" t="s">
        <v>16</v>
      </c>
      <c r="D6484">
        <v>3.1909999999999998E-3</v>
      </c>
      <c r="E6484">
        <f t="shared" si="202"/>
        <v>1.0031909999999999</v>
      </c>
      <c r="F6484" s="1">
        <f t="shared" si="203"/>
        <v>41204</v>
      </c>
      <c r="G6484" cm="1">
        <f t="array" ref="G6484">PRODUCT( _xlfn._xlws.FILTER($E:$E, ($C:$C=C6484)*($F:$F=F6484)) ) - 1</f>
        <v>-3.5440251571983161E-4</v>
      </c>
    </row>
    <row r="6485" spans="1:7" x14ac:dyDescent="0.2">
      <c r="A6485" s="1">
        <v>41211</v>
      </c>
      <c r="B6485">
        <v>2</v>
      </c>
      <c r="C6485" t="s">
        <v>16</v>
      </c>
      <c r="D6485">
        <v>-6.0089999999999996E-3</v>
      </c>
      <c r="E6485">
        <f t="shared" si="202"/>
        <v>0.99399099999999996</v>
      </c>
      <c r="F6485" s="1">
        <f t="shared" si="203"/>
        <v>41211</v>
      </c>
      <c r="G6485" cm="1">
        <f t="array" ref="G6485">PRODUCT( _xlfn._xlws.FILTER($E:$E, ($C:$C=C6485)*($F:$F=F6485)) ) - 1</f>
        <v>-8.129389196381509E-3</v>
      </c>
    </row>
    <row r="6486" spans="1:7" x14ac:dyDescent="0.2">
      <c r="A6486" s="1">
        <v>41212</v>
      </c>
      <c r="B6486">
        <v>2</v>
      </c>
      <c r="C6486" t="s">
        <v>16</v>
      </c>
      <c r="D6486">
        <v>1.8492000000000001E-2</v>
      </c>
      <c r="E6486">
        <f t="shared" si="202"/>
        <v>1.018492</v>
      </c>
      <c r="F6486" s="1">
        <f t="shared" si="203"/>
        <v>41211</v>
      </c>
      <c r="G6486" cm="1">
        <f t="array" ref="G6486">PRODUCT( _xlfn._xlws.FILTER($E:$E, ($C:$C=C6486)*($F:$F=F6486)) ) - 1</f>
        <v>-8.129389196381509E-3</v>
      </c>
    </row>
    <row r="6487" spans="1:7" x14ac:dyDescent="0.2">
      <c r="A6487" s="1">
        <v>41213</v>
      </c>
      <c r="B6487">
        <v>2</v>
      </c>
      <c r="C6487" t="s">
        <v>16</v>
      </c>
      <c r="D6487">
        <v>-1.8155999999999999E-2</v>
      </c>
      <c r="E6487">
        <f t="shared" si="202"/>
        <v>0.98184400000000005</v>
      </c>
      <c r="F6487" s="1">
        <f t="shared" si="203"/>
        <v>41211</v>
      </c>
      <c r="G6487" cm="1">
        <f t="array" ref="G6487">PRODUCT( _xlfn._xlws.FILTER($E:$E, ($C:$C=C6487)*($F:$F=F6487)) ) - 1</f>
        <v>-8.129389196381509E-3</v>
      </c>
    </row>
    <row r="6488" spans="1:7" x14ac:dyDescent="0.2">
      <c r="A6488" s="1">
        <v>41214</v>
      </c>
      <c r="B6488">
        <v>2</v>
      </c>
      <c r="C6488" t="s">
        <v>16</v>
      </c>
      <c r="D6488">
        <v>1.1024000000000001E-2</v>
      </c>
      <c r="E6488">
        <f t="shared" si="202"/>
        <v>1.0110239999999999</v>
      </c>
      <c r="F6488" s="1">
        <f t="shared" si="203"/>
        <v>41211</v>
      </c>
      <c r="G6488" cm="1">
        <f t="array" ref="G6488">PRODUCT( _xlfn._xlws.FILTER($E:$E, ($C:$C=C6488)*($F:$F=F6488)) ) - 1</f>
        <v>-8.129389196381509E-3</v>
      </c>
    </row>
    <row r="6489" spans="1:7" x14ac:dyDescent="0.2">
      <c r="A6489" s="1">
        <v>41215</v>
      </c>
      <c r="B6489">
        <v>2</v>
      </c>
      <c r="C6489" t="s">
        <v>16</v>
      </c>
      <c r="D6489">
        <v>-1.3014E-2</v>
      </c>
      <c r="E6489">
        <f t="shared" si="202"/>
        <v>0.98698600000000003</v>
      </c>
      <c r="F6489" s="1">
        <f t="shared" si="203"/>
        <v>41211</v>
      </c>
      <c r="G6489" cm="1">
        <f t="array" ref="G6489">PRODUCT( _xlfn._xlws.FILTER($E:$E, ($C:$C=C6489)*($F:$F=F6489)) ) - 1</f>
        <v>-8.129389196381509E-3</v>
      </c>
    </row>
    <row r="6490" spans="1:7" x14ac:dyDescent="0.2">
      <c r="A6490" s="1">
        <v>41218</v>
      </c>
      <c r="B6490">
        <v>2</v>
      </c>
      <c r="C6490" t="s">
        <v>16</v>
      </c>
      <c r="D6490">
        <v>-1.3186E-2</v>
      </c>
      <c r="E6490">
        <f t="shared" si="202"/>
        <v>0.98681399999999997</v>
      </c>
      <c r="F6490" s="1">
        <f t="shared" si="203"/>
        <v>41218</v>
      </c>
      <c r="G6490" cm="1">
        <f t="array" ref="G6490">PRODUCT( _xlfn._xlws.FILTER($E:$E, ($C:$C=C6490)*($F:$F=F6490)) ) - 1</f>
        <v>-6.0577937891912459E-3</v>
      </c>
    </row>
    <row r="6491" spans="1:7" x14ac:dyDescent="0.2">
      <c r="A6491" s="1">
        <v>41219</v>
      </c>
      <c r="B6491">
        <v>2</v>
      </c>
      <c r="C6491" t="s">
        <v>16</v>
      </c>
      <c r="D6491">
        <v>3.973E-3</v>
      </c>
      <c r="E6491">
        <f t="shared" si="202"/>
        <v>1.003973</v>
      </c>
      <c r="F6491" s="1">
        <f t="shared" si="203"/>
        <v>41218</v>
      </c>
      <c r="G6491" cm="1">
        <f t="array" ref="G6491">PRODUCT( _xlfn._xlws.FILTER($E:$E, ($C:$C=C6491)*($F:$F=F6491)) ) - 1</f>
        <v>-6.0577937891912459E-3</v>
      </c>
    </row>
    <row r="6492" spans="1:7" x14ac:dyDescent="0.2">
      <c r="A6492" s="1">
        <v>41220</v>
      </c>
      <c r="B6492">
        <v>2</v>
      </c>
      <c r="C6492" t="s">
        <v>16</v>
      </c>
      <c r="D6492">
        <v>4.6759999999999996E-3</v>
      </c>
      <c r="E6492">
        <f t="shared" si="202"/>
        <v>1.0046759999999999</v>
      </c>
      <c r="F6492" s="1">
        <f t="shared" si="203"/>
        <v>41218</v>
      </c>
      <c r="G6492" cm="1">
        <f t="array" ref="G6492">PRODUCT( _xlfn._xlws.FILTER($E:$E, ($C:$C=C6492)*($F:$F=F6492)) ) - 1</f>
        <v>-6.0577937891912459E-3</v>
      </c>
    </row>
    <row r="6493" spans="1:7" x14ac:dyDescent="0.2">
      <c r="A6493" s="1">
        <v>41221</v>
      </c>
      <c r="B6493">
        <v>2</v>
      </c>
      <c r="C6493" t="s">
        <v>16</v>
      </c>
      <c r="D6493">
        <v>1.0024999999999999E-2</v>
      </c>
      <c r="E6493">
        <f t="shared" si="202"/>
        <v>1.010025</v>
      </c>
      <c r="F6493" s="1">
        <f t="shared" si="203"/>
        <v>41218</v>
      </c>
      <c r="G6493" cm="1">
        <f t="array" ref="G6493">PRODUCT( _xlfn._xlws.FILTER($E:$E, ($C:$C=C6493)*($F:$F=F6493)) ) - 1</f>
        <v>-6.0577937891912459E-3</v>
      </c>
    </row>
    <row r="6494" spans="1:7" x14ac:dyDescent="0.2">
      <c r="A6494" s="1">
        <v>41222</v>
      </c>
      <c r="B6494">
        <v>2</v>
      </c>
      <c r="C6494" t="s">
        <v>16</v>
      </c>
      <c r="D6494">
        <v>-1.1343000000000001E-2</v>
      </c>
      <c r="E6494">
        <f t="shared" si="202"/>
        <v>0.98865700000000001</v>
      </c>
      <c r="F6494" s="1">
        <f t="shared" si="203"/>
        <v>41218</v>
      </c>
      <c r="G6494" cm="1">
        <f t="array" ref="G6494">PRODUCT( _xlfn._xlws.FILTER($E:$E, ($C:$C=C6494)*($F:$F=F6494)) ) - 1</f>
        <v>-6.0577937891912459E-3</v>
      </c>
    </row>
    <row r="6495" spans="1:7" x14ac:dyDescent="0.2">
      <c r="A6495" s="1">
        <v>41225</v>
      </c>
      <c r="B6495">
        <v>2</v>
      </c>
      <c r="C6495" t="s">
        <v>16</v>
      </c>
      <c r="D6495">
        <v>-7.1710000000000003E-3</v>
      </c>
      <c r="E6495">
        <f t="shared" si="202"/>
        <v>0.99282899999999996</v>
      </c>
      <c r="F6495" s="1">
        <f t="shared" si="203"/>
        <v>41225</v>
      </c>
      <c r="G6495" cm="1">
        <f t="array" ref="G6495">PRODUCT( _xlfn._xlws.FILTER($E:$E, ($C:$C=C6495)*($F:$F=F6495)) ) - 1</f>
        <v>-1.6493213056157141E-2</v>
      </c>
    </row>
    <row r="6496" spans="1:7" x14ac:dyDescent="0.2">
      <c r="A6496" s="1">
        <v>41226</v>
      </c>
      <c r="B6496">
        <v>2</v>
      </c>
      <c r="C6496" t="s">
        <v>16</v>
      </c>
      <c r="D6496">
        <v>4.3340000000000002E-3</v>
      </c>
      <c r="E6496">
        <f t="shared" si="202"/>
        <v>1.0043340000000001</v>
      </c>
      <c r="F6496" s="1">
        <f t="shared" si="203"/>
        <v>41225</v>
      </c>
      <c r="G6496" cm="1">
        <f t="array" ref="G6496">PRODUCT( _xlfn._xlws.FILTER($E:$E, ($C:$C=C6496)*($F:$F=F6496)) ) - 1</f>
        <v>-1.6493213056157141E-2</v>
      </c>
    </row>
    <row r="6497" spans="1:7" x14ac:dyDescent="0.2">
      <c r="A6497" s="1">
        <v>41227</v>
      </c>
      <c r="B6497">
        <v>2</v>
      </c>
      <c r="C6497" t="s">
        <v>16</v>
      </c>
      <c r="D6497">
        <v>-1.3664000000000001E-2</v>
      </c>
      <c r="E6497">
        <f t="shared" si="202"/>
        <v>0.98633599999999999</v>
      </c>
      <c r="F6497" s="1">
        <f t="shared" si="203"/>
        <v>41225</v>
      </c>
      <c r="G6497" cm="1">
        <f t="array" ref="G6497">PRODUCT( _xlfn._xlws.FILTER($E:$E, ($C:$C=C6497)*($F:$F=F6497)) ) - 1</f>
        <v>-1.6493213056157141E-2</v>
      </c>
    </row>
    <row r="6498" spans="1:7" x14ac:dyDescent="0.2">
      <c r="A6498" s="1">
        <v>41228</v>
      </c>
      <c r="B6498">
        <v>2</v>
      </c>
      <c r="C6498" t="s">
        <v>16</v>
      </c>
      <c r="D6498">
        <v>-1.823E-3</v>
      </c>
      <c r="E6498">
        <f t="shared" si="202"/>
        <v>0.99817699999999998</v>
      </c>
      <c r="F6498" s="1">
        <f t="shared" si="203"/>
        <v>41225</v>
      </c>
      <c r="G6498" cm="1">
        <f t="array" ref="G6498">PRODUCT( _xlfn._xlws.FILTER($E:$E, ($C:$C=C6498)*($F:$F=F6498)) ) - 1</f>
        <v>-1.6493213056157141E-2</v>
      </c>
    </row>
    <row r="6499" spans="1:7" x14ac:dyDescent="0.2">
      <c r="A6499" s="1">
        <v>41229</v>
      </c>
      <c r="B6499">
        <v>2</v>
      </c>
      <c r="C6499" t="s">
        <v>16</v>
      </c>
      <c r="D6499">
        <v>1.8259999999999999E-3</v>
      </c>
      <c r="E6499">
        <f t="shared" si="202"/>
        <v>1.0018260000000001</v>
      </c>
      <c r="F6499" s="1">
        <f t="shared" si="203"/>
        <v>41225</v>
      </c>
      <c r="G6499" cm="1">
        <f t="array" ref="G6499">PRODUCT( _xlfn._xlws.FILTER($E:$E, ($C:$C=C6499)*($F:$F=F6499)) ) - 1</f>
        <v>-1.6493213056157141E-2</v>
      </c>
    </row>
    <row r="6500" spans="1:7" x14ac:dyDescent="0.2">
      <c r="A6500" s="1">
        <v>41232</v>
      </c>
      <c r="B6500">
        <v>2</v>
      </c>
      <c r="C6500" t="s">
        <v>16</v>
      </c>
      <c r="D6500">
        <v>1.4189999999999999E-3</v>
      </c>
      <c r="E6500">
        <f t="shared" si="202"/>
        <v>1.0014190000000001</v>
      </c>
      <c r="F6500" s="1">
        <f t="shared" si="203"/>
        <v>41232</v>
      </c>
      <c r="G6500" cm="1">
        <f t="array" ref="G6500">PRODUCT( _xlfn._xlws.FILTER($E:$E, ($C:$C=C6500)*($F:$F=F6500)) ) - 1</f>
        <v>7.321725131471446E-3</v>
      </c>
    </row>
    <row r="6501" spans="1:7" x14ac:dyDescent="0.2">
      <c r="A6501" s="1">
        <v>41233</v>
      </c>
      <c r="B6501">
        <v>2</v>
      </c>
      <c r="C6501" t="s">
        <v>16</v>
      </c>
      <c r="D6501">
        <v>-9.5759999999999994E-3</v>
      </c>
      <c r="E6501">
        <f t="shared" si="202"/>
        <v>0.99042399999999997</v>
      </c>
      <c r="F6501" s="1">
        <f t="shared" si="203"/>
        <v>41232</v>
      </c>
      <c r="G6501" cm="1">
        <f t="array" ref="G6501">PRODUCT( _xlfn._xlws.FILTER($E:$E, ($C:$C=C6501)*($F:$F=F6501)) ) - 1</f>
        <v>7.321725131471446E-3</v>
      </c>
    </row>
    <row r="6502" spans="1:7" x14ac:dyDescent="0.2">
      <c r="A6502" s="1">
        <v>41234</v>
      </c>
      <c r="B6502">
        <v>2</v>
      </c>
      <c r="C6502" t="s">
        <v>16</v>
      </c>
      <c r="D6502">
        <v>-1.487E-3</v>
      </c>
      <c r="E6502">
        <f t="shared" si="202"/>
        <v>0.99851299999999998</v>
      </c>
      <c r="F6502" s="1">
        <f t="shared" si="203"/>
        <v>41232</v>
      </c>
      <c r="G6502" cm="1">
        <f t="array" ref="G6502">PRODUCT( _xlfn._xlws.FILTER($E:$E, ($C:$C=C6502)*($F:$F=F6502)) ) - 1</f>
        <v>7.321725131471446E-3</v>
      </c>
    </row>
    <row r="6503" spans="1:7" x14ac:dyDescent="0.2">
      <c r="A6503" s="1">
        <v>41235</v>
      </c>
      <c r="B6503">
        <v>2</v>
      </c>
      <c r="C6503" t="s">
        <v>16</v>
      </c>
      <c r="D6503">
        <v>1.1918E-2</v>
      </c>
      <c r="E6503">
        <f t="shared" si="202"/>
        <v>1.0119180000000001</v>
      </c>
      <c r="F6503" s="1">
        <f t="shared" si="203"/>
        <v>41232</v>
      </c>
      <c r="G6503" cm="1">
        <f t="array" ref="G6503">PRODUCT( _xlfn._xlws.FILTER($E:$E, ($C:$C=C6503)*($F:$F=F6503)) ) - 1</f>
        <v>7.321725131471446E-3</v>
      </c>
    </row>
    <row r="6504" spans="1:7" x14ac:dyDescent="0.2">
      <c r="A6504" s="1">
        <v>41236</v>
      </c>
      <c r="B6504">
        <v>2</v>
      </c>
      <c r="C6504" t="s">
        <v>16</v>
      </c>
      <c r="D6504">
        <v>5.1529999999999996E-3</v>
      </c>
      <c r="E6504">
        <f t="shared" si="202"/>
        <v>1.005153</v>
      </c>
      <c r="F6504" s="1">
        <f t="shared" si="203"/>
        <v>41232</v>
      </c>
      <c r="G6504" cm="1">
        <f t="array" ref="G6504">PRODUCT( _xlfn._xlws.FILTER($E:$E, ($C:$C=C6504)*($F:$F=F6504)) ) - 1</f>
        <v>7.321725131471446E-3</v>
      </c>
    </row>
    <row r="6505" spans="1:7" x14ac:dyDescent="0.2">
      <c r="A6505" s="1">
        <v>41239</v>
      </c>
      <c r="B6505">
        <v>2</v>
      </c>
      <c r="C6505" t="s">
        <v>16</v>
      </c>
      <c r="D6505">
        <v>-1.4649999999999999E-3</v>
      </c>
      <c r="E6505">
        <f t="shared" si="202"/>
        <v>0.99853499999999995</v>
      </c>
      <c r="F6505" s="1">
        <f t="shared" si="203"/>
        <v>41239</v>
      </c>
      <c r="G6505" cm="1">
        <f t="array" ref="G6505">PRODUCT( _xlfn._xlws.FILTER($E:$E, ($C:$C=C6505)*($F:$F=F6505)) ) - 1</f>
        <v>1.4650405617946394E-3</v>
      </c>
    </row>
    <row r="6506" spans="1:7" x14ac:dyDescent="0.2">
      <c r="A6506" s="1">
        <v>41240</v>
      </c>
      <c r="B6506">
        <v>2</v>
      </c>
      <c r="C6506" t="s">
        <v>16</v>
      </c>
      <c r="D6506">
        <v>-9.5340000000000008E-3</v>
      </c>
      <c r="E6506">
        <f t="shared" si="202"/>
        <v>0.99046599999999996</v>
      </c>
      <c r="F6506" s="1">
        <f t="shared" si="203"/>
        <v>41239</v>
      </c>
      <c r="G6506" cm="1">
        <f t="array" ref="G6506">PRODUCT( _xlfn._xlws.FILTER($E:$E, ($C:$C=C6506)*($F:$F=F6506)) ) - 1</f>
        <v>1.4650405617946394E-3</v>
      </c>
    </row>
    <row r="6507" spans="1:7" x14ac:dyDescent="0.2">
      <c r="A6507" s="1">
        <v>41241</v>
      </c>
      <c r="B6507">
        <v>2</v>
      </c>
      <c r="C6507" t="s">
        <v>16</v>
      </c>
      <c r="D6507">
        <v>1.111E-3</v>
      </c>
      <c r="E6507">
        <f t="shared" si="202"/>
        <v>1.0011110000000001</v>
      </c>
      <c r="F6507" s="1">
        <f t="shared" si="203"/>
        <v>41239</v>
      </c>
      <c r="G6507" cm="1">
        <f t="array" ref="G6507">PRODUCT( _xlfn._xlws.FILTER($E:$E, ($C:$C=C6507)*($F:$F=F6507)) ) - 1</f>
        <v>1.4650405617946394E-3</v>
      </c>
    </row>
    <row r="6508" spans="1:7" x14ac:dyDescent="0.2">
      <c r="A6508" s="1">
        <v>41242</v>
      </c>
      <c r="B6508">
        <v>2</v>
      </c>
      <c r="C6508" t="s">
        <v>16</v>
      </c>
      <c r="D6508">
        <v>-3.6999999999999999E-4</v>
      </c>
      <c r="E6508">
        <f t="shared" si="202"/>
        <v>0.99963000000000002</v>
      </c>
      <c r="F6508" s="1">
        <f t="shared" si="203"/>
        <v>41239</v>
      </c>
      <c r="G6508" cm="1">
        <f t="array" ref="G6508">PRODUCT( _xlfn._xlws.FILTER($E:$E, ($C:$C=C6508)*($F:$F=F6508)) ) - 1</f>
        <v>1.4650405617946394E-3</v>
      </c>
    </row>
    <row r="6509" spans="1:7" x14ac:dyDescent="0.2">
      <c r="A6509" s="1">
        <v>41243</v>
      </c>
      <c r="B6509">
        <v>2</v>
      </c>
      <c r="C6509" t="s">
        <v>16</v>
      </c>
      <c r="D6509">
        <v>1.1839000000000001E-2</v>
      </c>
      <c r="E6509">
        <f t="shared" si="202"/>
        <v>1.0118389999999999</v>
      </c>
      <c r="F6509" s="1">
        <f t="shared" si="203"/>
        <v>41239</v>
      </c>
      <c r="G6509" cm="1">
        <f t="array" ref="G6509">PRODUCT( _xlfn._xlws.FILTER($E:$E, ($C:$C=C6509)*($F:$F=F6509)) ) - 1</f>
        <v>1.4650405617946394E-3</v>
      </c>
    </row>
    <row r="6510" spans="1:7" x14ac:dyDescent="0.2">
      <c r="A6510" s="1">
        <v>41246</v>
      </c>
      <c r="B6510">
        <v>2</v>
      </c>
      <c r="C6510" t="s">
        <v>16</v>
      </c>
      <c r="D6510">
        <v>1.3894E-2</v>
      </c>
      <c r="E6510">
        <f t="shared" si="202"/>
        <v>1.0138940000000001</v>
      </c>
      <c r="F6510" s="1">
        <f t="shared" si="203"/>
        <v>41246</v>
      </c>
      <c r="G6510" cm="1">
        <f t="array" ref="G6510">PRODUCT( _xlfn._xlws.FILTER($E:$E, ($C:$C=C6510)*($F:$F=F6510)) ) - 1</f>
        <v>1.4259156316485333E-2</v>
      </c>
    </row>
    <row r="6511" spans="1:7" x14ac:dyDescent="0.2">
      <c r="A6511" s="1">
        <v>41247</v>
      </c>
      <c r="B6511">
        <v>2</v>
      </c>
      <c r="C6511" t="s">
        <v>16</v>
      </c>
      <c r="D6511">
        <v>-7.5729999999999999E-3</v>
      </c>
      <c r="E6511">
        <f t="shared" si="202"/>
        <v>0.99242699999999995</v>
      </c>
      <c r="F6511" s="1">
        <f t="shared" si="203"/>
        <v>41246</v>
      </c>
      <c r="G6511" cm="1">
        <f t="array" ref="G6511">PRODUCT( _xlfn._xlws.FILTER($E:$E, ($C:$C=C6511)*($F:$F=F6511)) ) - 1</f>
        <v>1.4259156316485333E-2</v>
      </c>
    </row>
    <row r="6512" spans="1:7" x14ac:dyDescent="0.2">
      <c r="A6512" s="1">
        <v>41248</v>
      </c>
      <c r="B6512">
        <v>2</v>
      </c>
      <c r="C6512" t="s">
        <v>16</v>
      </c>
      <c r="D6512">
        <v>1.0174000000000001E-2</v>
      </c>
      <c r="E6512">
        <f t="shared" si="202"/>
        <v>1.0101739999999999</v>
      </c>
      <c r="F6512" s="1">
        <f t="shared" si="203"/>
        <v>41246</v>
      </c>
      <c r="G6512" cm="1">
        <f t="array" ref="G6512">PRODUCT( _xlfn._xlws.FILTER($E:$E, ($C:$C=C6512)*($F:$F=F6512)) ) - 1</f>
        <v>1.4259156316485333E-2</v>
      </c>
    </row>
    <row r="6513" spans="1:7" x14ac:dyDescent="0.2">
      <c r="A6513" s="1">
        <v>41249</v>
      </c>
      <c r="B6513">
        <v>2</v>
      </c>
      <c r="C6513" t="s">
        <v>16</v>
      </c>
      <c r="D6513">
        <v>-1.799E-3</v>
      </c>
      <c r="E6513">
        <f t="shared" si="202"/>
        <v>0.998201</v>
      </c>
      <c r="F6513" s="1">
        <f t="shared" si="203"/>
        <v>41246</v>
      </c>
      <c r="G6513" cm="1">
        <f t="array" ref="G6513">PRODUCT( _xlfn._xlws.FILTER($E:$E, ($C:$C=C6513)*($F:$F=F6513)) ) - 1</f>
        <v>1.4259156316485333E-2</v>
      </c>
    </row>
    <row r="6514" spans="1:7" x14ac:dyDescent="0.2">
      <c r="A6514" s="1">
        <v>41250</v>
      </c>
      <c r="B6514">
        <v>2</v>
      </c>
      <c r="C6514" t="s">
        <v>16</v>
      </c>
      <c r="D6514">
        <v>-3.6000000000000002E-4</v>
      </c>
      <c r="E6514">
        <f t="shared" si="202"/>
        <v>0.99963999999999997</v>
      </c>
      <c r="F6514" s="1">
        <f t="shared" si="203"/>
        <v>41246</v>
      </c>
      <c r="G6514" cm="1">
        <f t="array" ref="G6514">PRODUCT( _xlfn._xlws.FILTER($E:$E, ($C:$C=C6514)*($F:$F=F6514)) ) - 1</f>
        <v>1.4259156316485333E-2</v>
      </c>
    </row>
    <row r="6515" spans="1:7" x14ac:dyDescent="0.2">
      <c r="A6515" s="1">
        <v>41253</v>
      </c>
      <c r="B6515">
        <v>2</v>
      </c>
      <c r="C6515" t="s">
        <v>16</v>
      </c>
      <c r="D6515">
        <v>-3.6000000000000002E-4</v>
      </c>
      <c r="E6515">
        <f t="shared" si="202"/>
        <v>0.99963999999999997</v>
      </c>
      <c r="F6515" s="1">
        <f t="shared" si="203"/>
        <v>41253</v>
      </c>
      <c r="G6515" cm="1">
        <f t="array" ref="G6515">PRODUCT( _xlfn._xlws.FILTER($E:$E, ($C:$C=C6515)*($F:$F=F6515)) ) - 1</f>
        <v>2.3070418308875462E-2</v>
      </c>
    </row>
    <row r="6516" spans="1:7" x14ac:dyDescent="0.2">
      <c r="A6516" s="1">
        <v>41254</v>
      </c>
      <c r="B6516">
        <v>2</v>
      </c>
      <c r="C6516" t="s">
        <v>16</v>
      </c>
      <c r="D6516">
        <v>1.9834000000000001E-2</v>
      </c>
      <c r="E6516">
        <f t="shared" si="202"/>
        <v>1.0198339999999999</v>
      </c>
      <c r="F6516" s="1">
        <f t="shared" si="203"/>
        <v>41253</v>
      </c>
      <c r="G6516" cm="1">
        <f t="array" ref="G6516">PRODUCT( _xlfn._xlws.FILTER($E:$E, ($C:$C=C6516)*($F:$F=F6516)) ) - 1</f>
        <v>2.3070418308875462E-2</v>
      </c>
    </row>
    <row r="6517" spans="1:7" x14ac:dyDescent="0.2">
      <c r="A6517" s="1">
        <v>41255</v>
      </c>
      <c r="B6517">
        <v>2</v>
      </c>
      <c r="C6517" t="s">
        <v>16</v>
      </c>
      <c r="D6517">
        <v>1.4851E-2</v>
      </c>
      <c r="E6517">
        <f t="shared" si="202"/>
        <v>1.0148509999999999</v>
      </c>
      <c r="F6517" s="1">
        <f t="shared" si="203"/>
        <v>41253</v>
      </c>
      <c r="G6517" cm="1">
        <f t="array" ref="G6517">PRODUCT( _xlfn._xlws.FILTER($E:$E, ($C:$C=C6517)*($F:$F=F6517)) ) - 1</f>
        <v>2.3070418308875462E-2</v>
      </c>
    </row>
    <row r="6518" spans="1:7" x14ac:dyDescent="0.2">
      <c r="A6518" s="1">
        <v>41256</v>
      </c>
      <c r="B6518">
        <v>2</v>
      </c>
      <c r="C6518" t="s">
        <v>16</v>
      </c>
      <c r="D6518">
        <v>-6.9690000000000004E-3</v>
      </c>
      <c r="E6518">
        <f t="shared" si="202"/>
        <v>0.993031</v>
      </c>
      <c r="F6518" s="1">
        <f t="shared" si="203"/>
        <v>41253</v>
      </c>
      <c r="G6518" cm="1">
        <f t="array" ref="G6518">PRODUCT( _xlfn._xlws.FILTER($E:$E, ($C:$C=C6518)*($F:$F=F6518)) ) - 1</f>
        <v>2.3070418308875462E-2</v>
      </c>
    </row>
    <row r="6519" spans="1:7" x14ac:dyDescent="0.2">
      <c r="A6519" s="1">
        <v>41257</v>
      </c>
      <c r="B6519">
        <v>2</v>
      </c>
      <c r="C6519" t="s">
        <v>16</v>
      </c>
      <c r="D6519">
        <v>-4.2110000000000003E-3</v>
      </c>
      <c r="E6519">
        <f t="shared" si="202"/>
        <v>0.99578900000000004</v>
      </c>
      <c r="F6519" s="1">
        <f t="shared" si="203"/>
        <v>41253</v>
      </c>
      <c r="G6519" cm="1">
        <f t="array" ref="G6519">PRODUCT( _xlfn._xlws.FILTER($E:$E, ($C:$C=C6519)*($F:$F=F6519)) ) - 1</f>
        <v>2.3070418308875462E-2</v>
      </c>
    </row>
    <row r="6520" spans="1:7" x14ac:dyDescent="0.2">
      <c r="A6520" s="1">
        <v>41260</v>
      </c>
      <c r="B6520">
        <v>2</v>
      </c>
      <c r="C6520" t="s">
        <v>16</v>
      </c>
      <c r="D6520">
        <v>1.1276E-2</v>
      </c>
      <c r="E6520">
        <f t="shared" si="202"/>
        <v>1.0112760000000001</v>
      </c>
      <c r="F6520" s="1">
        <f t="shared" si="203"/>
        <v>41260</v>
      </c>
      <c r="G6520" cm="1">
        <f t="array" ref="G6520">PRODUCT( _xlfn._xlws.FILTER($E:$E, ($C:$C=C6520)*($F:$F=F6520)) ) - 1</f>
        <v>1.3389768197169305E-2</v>
      </c>
    </row>
    <row r="6521" spans="1:7" x14ac:dyDescent="0.2">
      <c r="A6521" s="1">
        <v>41261</v>
      </c>
      <c r="B6521">
        <v>2</v>
      </c>
      <c r="C6521" t="s">
        <v>16</v>
      </c>
      <c r="D6521">
        <v>-2.091E-3</v>
      </c>
      <c r="E6521">
        <f t="shared" si="202"/>
        <v>0.99790900000000005</v>
      </c>
      <c r="F6521" s="1">
        <f t="shared" si="203"/>
        <v>41260</v>
      </c>
      <c r="G6521" cm="1">
        <f t="array" ref="G6521">PRODUCT( _xlfn._xlws.FILTER($E:$E, ($C:$C=C6521)*($F:$F=F6521)) ) - 1</f>
        <v>1.3389768197169305E-2</v>
      </c>
    </row>
    <row r="6522" spans="1:7" x14ac:dyDescent="0.2">
      <c r="A6522" s="1">
        <v>41262</v>
      </c>
      <c r="B6522">
        <v>2</v>
      </c>
      <c r="C6522" t="s">
        <v>16</v>
      </c>
      <c r="D6522">
        <v>5.587E-3</v>
      </c>
      <c r="E6522">
        <f t="shared" si="202"/>
        <v>1.005587</v>
      </c>
      <c r="F6522" s="1">
        <f t="shared" si="203"/>
        <v>41260</v>
      </c>
      <c r="G6522" cm="1">
        <f t="array" ref="G6522">PRODUCT( _xlfn._xlws.FILTER($E:$E, ($C:$C=C6522)*($F:$F=F6522)) ) - 1</f>
        <v>1.3389768197169305E-2</v>
      </c>
    </row>
    <row r="6523" spans="1:7" x14ac:dyDescent="0.2">
      <c r="A6523" s="1">
        <v>41263</v>
      </c>
      <c r="B6523">
        <v>2</v>
      </c>
      <c r="C6523" t="s">
        <v>16</v>
      </c>
      <c r="D6523">
        <v>7.986E-3</v>
      </c>
      <c r="E6523">
        <f t="shared" si="202"/>
        <v>1.007986</v>
      </c>
      <c r="F6523" s="1">
        <f t="shared" si="203"/>
        <v>41260</v>
      </c>
      <c r="G6523" cm="1">
        <f t="array" ref="G6523">PRODUCT( _xlfn._xlws.FILTER($E:$E, ($C:$C=C6523)*($F:$F=F6523)) ) - 1</f>
        <v>1.3389768197169305E-2</v>
      </c>
    </row>
    <row r="6524" spans="1:7" x14ac:dyDescent="0.2">
      <c r="A6524" s="1">
        <v>41264</v>
      </c>
      <c r="B6524">
        <v>2</v>
      </c>
      <c r="C6524" t="s">
        <v>16</v>
      </c>
      <c r="D6524">
        <v>-9.3010000000000002E-3</v>
      </c>
      <c r="E6524">
        <f t="shared" si="202"/>
        <v>0.990699</v>
      </c>
      <c r="F6524" s="1">
        <f t="shared" si="203"/>
        <v>41260</v>
      </c>
      <c r="G6524" cm="1">
        <f t="array" ref="G6524">PRODUCT( _xlfn._xlws.FILTER($E:$E, ($C:$C=C6524)*($F:$F=F6524)) ) - 1</f>
        <v>1.3389768197169305E-2</v>
      </c>
    </row>
    <row r="6525" spans="1:7" x14ac:dyDescent="0.2">
      <c r="A6525" s="1">
        <v>41267</v>
      </c>
      <c r="B6525">
        <v>2</v>
      </c>
      <c r="C6525" t="s">
        <v>16</v>
      </c>
      <c r="D6525">
        <v>-5.2160000000000002E-3</v>
      </c>
      <c r="E6525">
        <f t="shared" si="202"/>
        <v>0.994784</v>
      </c>
      <c r="F6525" s="1">
        <f t="shared" si="203"/>
        <v>41267</v>
      </c>
      <c r="G6525" cm="1">
        <f t="array" ref="G6525">PRODUCT( _xlfn._xlws.FILTER($E:$E, ($C:$C=C6525)*($F:$F=F6525)) ) - 1</f>
        <v>-7.3025479641719571E-3</v>
      </c>
    </row>
    <row r="6526" spans="1:7" x14ac:dyDescent="0.2">
      <c r="A6526" s="1">
        <v>41270</v>
      </c>
      <c r="B6526">
        <v>2</v>
      </c>
      <c r="C6526" t="s">
        <v>16</v>
      </c>
      <c r="D6526">
        <v>5.9420000000000002E-3</v>
      </c>
      <c r="E6526">
        <f t="shared" si="202"/>
        <v>1.0059419999999999</v>
      </c>
      <c r="F6526" s="1">
        <f t="shared" si="203"/>
        <v>41267</v>
      </c>
      <c r="G6526" cm="1">
        <f t="array" ref="G6526">PRODUCT( _xlfn._xlws.FILTER($E:$E, ($C:$C=C6526)*($F:$F=F6526)) ) - 1</f>
        <v>-7.3025479641719571E-3</v>
      </c>
    </row>
    <row r="6527" spans="1:7" x14ac:dyDescent="0.2">
      <c r="A6527" s="1">
        <v>41271</v>
      </c>
      <c r="B6527">
        <v>2</v>
      </c>
      <c r="C6527" t="s">
        <v>16</v>
      </c>
      <c r="D6527">
        <v>-7.9920000000000008E-3</v>
      </c>
      <c r="E6527">
        <f t="shared" si="202"/>
        <v>0.992008</v>
      </c>
      <c r="F6527" s="1">
        <f t="shared" si="203"/>
        <v>41267</v>
      </c>
      <c r="G6527" cm="1">
        <f t="array" ref="G6527">PRODUCT( _xlfn._xlws.FILTER($E:$E, ($C:$C=C6527)*($F:$F=F6527)) ) - 1</f>
        <v>-7.3025479641719571E-3</v>
      </c>
    </row>
    <row r="6528" spans="1:7" x14ac:dyDescent="0.2">
      <c r="A6528" s="1">
        <v>41274</v>
      </c>
      <c r="B6528">
        <v>2</v>
      </c>
      <c r="C6528" t="s">
        <v>16</v>
      </c>
      <c r="D6528">
        <v>8.0560000000000007E-3</v>
      </c>
      <c r="E6528">
        <f t="shared" si="202"/>
        <v>1.0080560000000001</v>
      </c>
      <c r="F6528" s="1">
        <f t="shared" si="203"/>
        <v>41274</v>
      </c>
      <c r="G6528" cm="1">
        <f t="array" ref="G6528">PRODUCT( _xlfn._xlws.FILTER($E:$E, ($C:$C=C6528)*($F:$F=F6528)) ) - 1</f>
        <v>1.681211785478709E-2</v>
      </c>
    </row>
    <row r="6529" spans="1:7" x14ac:dyDescent="0.2">
      <c r="A6529" s="1">
        <v>41276</v>
      </c>
      <c r="B6529">
        <v>2</v>
      </c>
      <c r="C6529" t="s">
        <v>16</v>
      </c>
      <c r="D6529">
        <v>7.6439999999999998E-3</v>
      </c>
      <c r="E6529">
        <f t="shared" si="202"/>
        <v>1.007644</v>
      </c>
      <c r="F6529" s="1">
        <f t="shared" si="203"/>
        <v>41274</v>
      </c>
      <c r="G6529" cm="1">
        <f t="array" ref="G6529">PRODUCT( _xlfn._xlws.FILTER($E:$E, ($C:$C=C6529)*($F:$F=F6529)) ) - 1</f>
        <v>1.681211785478709E-2</v>
      </c>
    </row>
    <row r="6530" spans="1:7" x14ac:dyDescent="0.2">
      <c r="A6530" s="1">
        <v>41277</v>
      </c>
      <c r="B6530">
        <v>2</v>
      </c>
      <c r="C6530" t="s">
        <v>16</v>
      </c>
      <c r="D6530">
        <v>-1.7240000000000001E-3</v>
      </c>
      <c r="E6530">
        <f t="shared" si="202"/>
        <v>0.99827600000000005</v>
      </c>
      <c r="F6530" s="1">
        <f t="shared" si="203"/>
        <v>41274</v>
      </c>
      <c r="G6530" cm="1">
        <f t="array" ref="G6530">PRODUCT( _xlfn._xlws.FILTER($E:$E, ($C:$C=C6530)*($F:$F=F6530)) ) - 1</f>
        <v>1.681211785478709E-2</v>
      </c>
    </row>
    <row r="6531" spans="1:7" x14ac:dyDescent="0.2">
      <c r="A6531" s="1">
        <v>41278</v>
      </c>
      <c r="B6531">
        <v>2</v>
      </c>
      <c r="C6531" t="s">
        <v>16</v>
      </c>
      <c r="D6531">
        <v>2.7629999999999998E-3</v>
      </c>
      <c r="E6531">
        <f t="shared" si="202"/>
        <v>1.0027630000000001</v>
      </c>
      <c r="F6531" s="1">
        <f t="shared" si="203"/>
        <v>41274</v>
      </c>
      <c r="G6531" cm="1">
        <f t="array" ref="G6531">PRODUCT( _xlfn._xlws.FILTER($E:$E, ($C:$C=C6531)*($F:$F=F6531)) ) - 1</f>
        <v>1.681211785478709E-2</v>
      </c>
    </row>
    <row r="6532" spans="1:7" x14ac:dyDescent="0.2">
      <c r="A6532" s="1">
        <v>41281</v>
      </c>
      <c r="B6532">
        <v>2</v>
      </c>
      <c r="C6532" t="s">
        <v>16</v>
      </c>
      <c r="D6532">
        <v>-6.5449999999999996E-3</v>
      </c>
      <c r="E6532">
        <f t="shared" ref="E6532:E6595" si="204">D6532+1</f>
        <v>0.99345499999999998</v>
      </c>
      <c r="F6532" s="1">
        <f t="shared" ref="F6532:F6595" si="205">A6532 - (WEEKDAY(A6532, 2) - 1)</f>
        <v>41281</v>
      </c>
      <c r="G6532" cm="1">
        <f t="array" ref="G6532">PRODUCT( _xlfn._xlws.FILTER($E:$E, ($C:$C=C6532)*($F:$F=F6532)) ) - 1</f>
        <v>8.2676382224755596E-3</v>
      </c>
    </row>
    <row r="6533" spans="1:7" x14ac:dyDescent="0.2">
      <c r="A6533" s="1">
        <v>41282</v>
      </c>
      <c r="B6533">
        <v>2</v>
      </c>
      <c r="C6533" t="s">
        <v>16</v>
      </c>
      <c r="D6533">
        <v>7.2820000000000003E-3</v>
      </c>
      <c r="E6533">
        <f t="shared" si="204"/>
        <v>1.007282</v>
      </c>
      <c r="F6533" s="1">
        <f t="shared" si="205"/>
        <v>41281</v>
      </c>
      <c r="G6533" cm="1">
        <f t="array" ref="G6533">PRODUCT( _xlfn._xlws.FILTER($E:$E, ($C:$C=C6533)*($F:$F=F6533)) ) - 1</f>
        <v>8.2676382224755596E-3</v>
      </c>
    </row>
    <row r="6534" spans="1:7" x14ac:dyDescent="0.2">
      <c r="A6534" s="1">
        <v>41283</v>
      </c>
      <c r="B6534">
        <v>2</v>
      </c>
      <c r="C6534" t="s">
        <v>16</v>
      </c>
      <c r="D6534">
        <v>-3.0980000000000001E-3</v>
      </c>
      <c r="E6534">
        <f t="shared" si="204"/>
        <v>0.99690199999999995</v>
      </c>
      <c r="F6534" s="1">
        <f t="shared" si="205"/>
        <v>41281</v>
      </c>
      <c r="G6534" cm="1">
        <f t="array" ref="G6534">PRODUCT( _xlfn._xlws.FILTER($E:$E, ($C:$C=C6534)*($F:$F=F6534)) ) - 1</f>
        <v>8.2676382224755596E-3</v>
      </c>
    </row>
    <row r="6535" spans="1:7" x14ac:dyDescent="0.2">
      <c r="A6535" s="1">
        <v>41284</v>
      </c>
      <c r="B6535">
        <v>2</v>
      </c>
      <c r="C6535" t="s">
        <v>16</v>
      </c>
      <c r="D6535">
        <v>4.8339999999999998E-3</v>
      </c>
      <c r="E6535">
        <f t="shared" si="204"/>
        <v>1.004834</v>
      </c>
      <c r="F6535" s="1">
        <f t="shared" si="205"/>
        <v>41281</v>
      </c>
      <c r="G6535" cm="1">
        <f t="array" ref="G6535">PRODUCT( _xlfn._xlws.FILTER($E:$E, ($C:$C=C6535)*($F:$F=F6535)) ) - 1</f>
        <v>8.2676382224755596E-3</v>
      </c>
    </row>
    <row r="6536" spans="1:7" x14ac:dyDescent="0.2">
      <c r="A6536" s="1">
        <v>41285</v>
      </c>
      <c r="B6536">
        <v>2</v>
      </c>
      <c r="C6536" t="s">
        <v>16</v>
      </c>
      <c r="D6536">
        <v>5.842E-3</v>
      </c>
      <c r="E6536">
        <f t="shared" si="204"/>
        <v>1.0058419999999999</v>
      </c>
      <c r="F6536" s="1">
        <f t="shared" si="205"/>
        <v>41281</v>
      </c>
      <c r="G6536" cm="1">
        <f t="array" ref="G6536">PRODUCT( _xlfn._xlws.FILTER($E:$E, ($C:$C=C6536)*($F:$F=F6536)) ) - 1</f>
        <v>8.2676382224755596E-3</v>
      </c>
    </row>
    <row r="6537" spans="1:7" x14ac:dyDescent="0.2">
      <c r="A6537" s="1">
        <v>41288</v>
      </c>
      <c r="B6537">
        <v>2</v>
      </c>
      <c r="C6537" t="s">
        <v>16</v>
      </c>
      <c r="D6537">
        <v>4.1000000000000003E-3</v>
      </c>
      <c r="E6537">
        <f t="shared" si="204"/>
        <v>1.0041</v>
      </c>
      <c r="F6537" s="1">
        <f t="shared" si="205"/>
        <v>41288</v>
      </c>
      <c r="G6537" cm="1">
        <f t="array" ref="G6537">PRODUCT( _xlfn._xlws.FILTER($E:$E, ($C:$C=C6537)*($F:$F=F6537)) ) - 1</f>
        <v>2.0499652668842128E-2</v>
      </c>
    </row>
    <row r="6538" spans="1:7" x14ac:dyDescent="0.2">
      <c r="A6538" s="1">
        <v>41289</v>
      </c>
      <c r="B6538">
        <v>2</v>
      </c>
      <c r="C6538" t="s">
        <v>16</v>
      </c>
      <c r="D6538">
        <v>1.0208E-2</v>
      </c>
      <c r="E6538">
        <f t="shared" si="204"/>
        <v>1.010208</v>
      </c>
      <c r="F6538" s="1">
        <f t="shared" si="205"/>
        <v>41288</v>
      </c>
      <c r="G6538" cm="1">
        <f t="array" ref="G6538">PRODUCT( _xlfn._xlws.FILTER($E:$E, ($C:$C=C6538)*($F:$F=F6538)) ) - 1</f>
        <v>2.0499652668842128E-2</v>
      </c>
    </row>
    <row r="6539" spans="1:7" x14ac:dyDescent="0.2">
      <c r="A6539" s="1">
        <v>41290</v>
      </c>
      <c r="B6539">
        <v>2</v>
      </c>
      <c r="C6539" t="s">
        <v>16</v>
      </c>
      <c r="D6539">
        <v>-8.0839999999999992E-3</v>
      </c>
      <c r="E6539">
        <f t="shared" si="204"/>
        <v>0.99191600000000002</v>
      </c>
      <c r="F6539" s="1">
        <f t="shared" si="205"/>
        <v>41288</v>
      </c>
      <c r="G6539" cm="1">
        <f t="array" ref="G6539">PRODUCT( _xlfn._xlws.FILTER($E:$E, ($C:$C=C6539)*($F:$F=F6539)) ) - 1</f>
        <v>2.0499652668842128E-2</v>
      </c>
    </row>
    <row r="6540" spans="1:7" x14ac:dyDescent="0.2">
      <c r="A6540" s="1">
        <v>41291</v>
      </c>
      <c r="B6540">
        <v>2</v>
      </c>
      <c r="C6540" t="s">
        <v>16</v>
      </c>
      <c r="D6540">
        <v>1.0187E-2</v>
      </c>
      <c r="E6540">
        <f t="shared" si="204"/>
        <v>1.0101869999999999</v>
      </c>
      <c r="F6540" s="1">
        <f t="shared" si="205"/>
        <v>41288</v>
      </c>
      <c r="G6540" cm="1">
        <f t="array" ref="G6540">PRODUCT( _xlfn._xlws.FILTER($E:$E, ($C:$C=C6540)*($F:$F=F6540)) ) - 1</f>
        <v>2.0499652668842128E-2</v>
      </c>
    </row>
    <row r="6541" spans="1:7" x14ac:dyDescent="0.2">
      <c r="A6541" s="1">
        <v>41292</v>
      </c>
      <c r="B6541">
        <v>2</v>
      </c>
      <c r="C6541" t="s">
        <v>16</v>
      </c>
      <c r="D6541">
        <v>4.0340000000000003E-3</v>
      </c>
      <c r="E6541">
        <f t="shared" si="204"/>
        <v>1.0040340000000001</v>
      </c>
      <c r="F6541" s="1">
        <f t="shared" si="205"/>
        <v>41288</v>
      </c>
      <c r="G6541" cm="1">
        <f t="array" ref="G6541">PRODUCT( _xlfn._xlws.FILTER($E:$E, ($C:$C=C6541)*($F:$F=F6541)) ) - 1</f>
        <v>2.0499652668842128E-2</v>
      </c>
    </row>
    <row r="6542" spans="1:7" x14ac:dyDescent="0.2">
      <c r="A6542" s="1">
        <v>41295</v>
      </c>
      <c r="B6542">
        <v>2</v>
      </c>
      <c r="C6542" t="s">
        <v>16</v>
      </c>
      <c r="D6542">
        <v>1.0044000000000001E-2</v>
      </c>
      <c r="E6542">
        <f t="shared" si="204"/>
        <v>1.0100439999999999</v>
      </c>
      <c r="F6542" s="1">
        <f t="shared" si="205"/>
        <v>41295</v>
      </c>
      <c r="G6542" cm="1">
        <f t="array" ref="G6542">PRODUCT( _xlfn._xlws.FILTER($E:$E, ($C:$C=C6542)*($F:$F=F6542)) ) - 1</f>
        <v>3.6492374948591477E-2</v>
      </c>
    </row>
    <row r="6543" spans="1:7" x14ac:dyDescent="0.2">
      <c r="A6543" s="1">
        <v>41296</v>
      </c>
      <c r="B6543">
        <v>2</v>
      </c>
      <c r="C6543" t="s">
        <v>16</v>
      </c>
      <c r="D6543">
        <v>-5.9659999999999999E-3</v>
      </c>
      <c r="E6543">
        <f t="shared" si="204"/>
        <v>0.99403399999999997</v>
      </c>
      <c r="F6543" s="1">
        <f t="shared" si="205"/>
        <v>41295</v>
      </c>
      <c r="G6543" cm="1">
        <f t="array" ref="G6543">PRODUCT( _xlfn._xlws.FILTER($E:$E, ($C:$C=C6543)*($F:$F=F6543)) ) - 1</f>
        <v>3.6492374948591477E-2</v>
      </c>
    </row>
    <row r="6544" spans="1:7" x14ac:dyDescent="0.2">
      <c r="A6544" s="1">
        <v>41297</v>
      </c>
      <c r="B6544">
        <v>2</v>
      </c>
      <c r="C6544" t="s">
        <v>16</v>
      </c>
      <c r="D6544">
        <v>2.4341000000000002E-2</v>
      </c>
      <c r="E6544">
        <f t="shared" si="204"/>
        <v>1.0243409999999999</v>
      </c>
      <c r="F6544" s="1">
        <f t="shared" si="205"/>
        <v>41295</v>
      </c>
      <c r="G6544" cm="1">
        <f t="array" ref="G6544">PRODUCT( _xlfn._xlws.FILTER($E:$E, ($C:$C=C6544)*($F:$F=F6544)) ) - 1</f>
        <v>3.6492374948591477E-2</v>
      </c>
    </row>
    <row r="6545" spans="1:7" x14ac:dyDescent="0.2">
      <c r="A6545" s="1">
        <v>41298</v>
      </c>
      <c r="B6545">
        <v>2</v>
      </c>
      <c r="C6545" t="s">
        <v>16</v>
      </c>
      <c r="D6545">
        <v>1.0416999999999999E-2</v>
      </c>
      <c r="E6545">
        <f t="shared" si="204"/>
        <v>1.0104169999999999</v>
      </c>
      <c r="F6545" s="1">
        <f t="shared" si="205"/>
        <v>41295</v>
      </c>
      <c r="G6545" cm="1">
        <f t="array" ref="G6545">PRODUCT( _xlfn._xlws.FILTER($E:$E, ($C:$C=C6545)*($F:$F=F6545)) ) - 1</f>
        <v>3.6492374948591477E-2</v>
      </c>
    </row>
    <row r="6546" spans="1:7" x14ac:dyDescent="0.2">
      <c r="A6546" s="1">
        <v>41299</v>
      </c>
      <c r="B6546">
        <v>2</v>
      </c>
      <c r="C6546" t="s">
        <v>16</v>
      </c>
      <c r="D6546">
        <v>-2.5769999999999999E-3</v>
      </c>
      <c r="E6546">
        <f t="shared" si="204"/>
        <v>0.99742299999999995</v>
      </c>
      <c r="F6546" s="1">
        <f t="shared" si="205"/>
        <v>41295</v>
      </c>
      <c r="G6546" cm="1">
        <f t="array" ref="G6546">PRODUCT( _xlfn._xlws.FILTER($E:$E, ($C:$C=C6546)*($F:$F=F6546)) ) - 1</f>
        <v>3.6492374948591477E-2</v>
      </c>
    </row>
    <row r="6547" spans="1:7" x14ac:dyDescent="0.2">
      <c r="A6547" s="1">
        <v>41302</v>
      </c>
      <c r="B6547">
        <v>2</v>
      </c>
      <c r="C6547" t="s">
        <v>16</v>
      </c>
      <c r="D6547">
        <v>-3.8760000000000001E-3</v>
      </c>
      <c r="E6547">
        <f t="shared" si="204"/>
        <v>0.99612400000000001</v>
      </c>
      <c r="F6547" s="1">
        <f t="shared" si="205"/>
        <v>41302</v>
      </c>
      <c r="G6547" cm="1">
        <f t="array" ref="G6547">PRODUCT( _xlfn._xlws.FILTER($E:$E, ($C:$C=C6547)*($F:$F=F6547)) ) - 1</f>
        <v>-3.5532080578288827E-3</v>
      </c>
    </row>
    <row r="6548" spans="1:7" x14ac:dyDescent="0.2">
      <c r="A6548" s="1">
        <v>41303</v>
      </c>
      <c r="B6548">
        <v>2</v>
      </c>
      <c r="C6548" t="s">
        <v>16</v>
      </c>
      <c r="D6548">
        <v>6.4800000000000003E-4</v>
      </c>
      <c r="E6548">
        <f t="shared" si="204"/>
        <v>1.000648</v>
      </c>
      <c r="F6548" s="1">
        <f t="shared" si="205"/>
        <v>41302</v>
      </c>
      <c r="G6548" cm="1">
        <f t="array" ref="G6548">PRODUCT( _xlfn._xlws.FILTER($E:$E, ($C:$C=C6548)*($F:$F=F6548)) ) - 1</f>
        <v>-3.5532080578288827E-3</v>
      </c>
    </row>
    <row r="6549" spans="1:7" x14ac:dyDescent="0.2">
      <c r="A6549" s="1">
        <v>41304</v>
      </c>
      <c r="B6549">
        <v>2</v>
      </c>
      <c r="C6549" t="s">
        <v>16</v>
      </c>
      <c r="D6549">
        <v>-9.0729999999999995E-3</v>
      </c>
      <c r="E6549">
        <f t="shared" si="204"/>
        <v>0.990927</v>
      </c>
      <c r="F6549" s="1">
        <f t="shared" si="205"/>
        <v>41302</v>
      </c>
      <c r="G6549" cm="1">
        <f t="array" ref="G6549">PRODUCT( _xlfn._xlws.FILTER($E:$E, ($C:$C=C6549)*($F:$F=F6549)) ) - 1</f>
        <v>-3.5532080578288827E-3</v>
      </c>
    </row>
    <row r="6550" spans="1:7" x14ac:dyDescent="0.2">
      <c r="A6550" s="1">
        <v>41305</v>
      </c>
      <c r="B6550">
        <v>2</v>
      </c>
      <c r="C6550" t="s">
        <v>16</v>
      </c>
      <c r="D6550">
        <v>-9.810000000000001E-4</v>
      </c>
      <c r="E6550">
        <f t="shared" si="204"/>
        <v>0.99901899999999999</v>
      </c>
      <c r="F6550" s="1">
        <f t="shared" si="205"/>
        <v>41302</v>
      </c>
      <c r="G6550" cm="1">
        <f t="array" ref="G6550">PRODUCT( _xlfn._xlws.FILTER($E:$E, ($C:$C=C6550)*($F:$F=F6550)) ) - 1</f>
        <v>-3.5532080578288827E-3</v>
      </c>
    </row>
    <row r="6551" spans="1:7" x14ac:dyDescent="0.2">
      <c r="A6551" s="1">
        <v>41306</v>
      </c>
      <c r="B6551">
        <v>2</v>
      </c>
      <c r="C6551" t="s">
        <v>16</v>
      </c>
      <c r="D6551">
        <v>9.8200000000000006E-3</v>
      </c>
      <c r="E6551">
        <f t="shared" si="204"/>
        <v>1.0098199999999999</v>
      </c>
      <c r="F6551" s="1">
        <f t="shared" si="205"/>
        <v>41302</v>
      </c>
      <c r="G6551" cm="1">
        <f t="array" ref="G6551">PRODUCT( _xlfn._xlws.FILTER($E:$E, ($C:$C=C6551)*($F:$F=F6551)) ) - 1</f>
        <v>-3.5532080578288827E-3</v>
      </c>
    </row>
    <row r="6552" spans="1:7" x14ac:dyDescent="0.2">
      <c r="A6552" s="1">
        <v>41309</v>
      </c>
      <c r="B6552">
        <v>2</v>
      </c>
      <c r="C6552" t="s">
        <v>16</v>
      </c>
      <c r="D6552">
        <v>-1.5883000000000001E-2</v>
      </c>
      <c r="E6552">
        <f t="shared" si="204"/>
        <v>0.98411700000000002</v>
      </c>
      <c r="F6552" s="1">
        <f t="shared" si="205"/>
        <v>41309</v>
      </c>
      <c r="G6552" cm="1">
        <f t="array" ref="G6552">PRODUCT( _xlfn._xlws.FILTER($E:$E, ($C:$C=C6552)*($F:$F=F6552)) ) - 1</f>
        <v>-2.9160460290412749E-3</v>
      </c>
    </row>
    <row r="6553" spans="1:7" x14ac:dyDescent="0.2">
      <c r="A6553" s="1">
        <v>41310</v>
      </c>
      <c r="B6553">
        <v>2</v>
      </c>
      <c r="C6553" t="s">
        <v>16</v>
      </c>
      <c r="D6553">
        <v>1.3179999999999999E-3</v>
      </c>
      <c r="E6553">
        <f t="shared" si="204"/>
        <v>1.0013179999999999</v>
      </c>
      <c r="F6553" s="1">
        <f t="shared" si="205"/>
        <v>41309</v>
      </c>
      <c r="G6553" cm="1">
        <f t="array" ref="G6553">PRODUCT( _xlfn._xlws.FILTER($E:$E, ($C:$C=C6553)*($F:$F=F6553)) ) - 1</f>
        <v>-2.9160460290412749E-3</v>
      </c>
    </row>
    <row r="6554" spans="1:7" x14ac:dyDescent="0.2">
      <c r="A6554" s="1">
        <v>41311</v>
      </c>
      <c r="B6554">
        <v>2</v>
      </c>
      <c r="C6554" t="s">
        <v>16</v>
      </c>
      <c r="D6554">
        <v>7.5659999999999998E-3</v>
      </c>
      <c r="E6554">
        <f t="shared" si="204"/>
        <v>1.007566</v>
      </c>
      <c r="F6554" s="1">
        <f t="shared" si="205"/>
        <v>41309</v>
      </c>
      <c r="G6554" cm="1">
        <f t="array" ref="G6554">PRODUCT( _xlfn._xlws.FILTER($E:$E, ($C:$C=C6554)*($F:$F=F6554)) ) - 1</f>
        <v>-2.9160460290412749E-3</v>
      </c>
    </row>
    <row r="6555" spans="1:7" x14ac:dyDescent="0.2">
      <c r="A6555" s="1">
        <v>41312</v>
      </c>
      <c r="B6555">
        <v>2</v>
      </c>
      <c r="C6555" t="s">
        <v>16</v>
      </c>
      <c r="D6555">
        <v>-3.2600000000000001E-4</v>
      </c>
      <c r="E6555">
        <f t="shared" si="204"/>
        <v>0.99967399999999995</v>
      </c>
      <c r="F6555" s="1">
        <f t="shared" si="205"/>
        <v>41309</v>
      </c>
      <c r="G6555" cm="1">
        <f t="array" ref="G6555">PRODUCT( _xlfn._xlws.FILTER($E:$E, ($C:$C=C6555)*($F:$F=F6555)) ) - 1</f>
        <v>-2.9160460290412749E-3</v>
      </c>
    </row>
    <row r="6556" spans="1:7" x14ac:dyDescent="0.2">
      <c r="A6556" s="1">
        <v>41313</v>
      </c>
      <c r="B6556">
        <v>2</v>
      </c>
      <c r="C6556" t="s">
        <v>16</v>
      </c>
      <c r="D6556">
        <v>4.5719999999999997E-3</v>
      </c>
      <c r="E6556">
        <f t="shared" si="204"/>
        <v>1.004572</v>
      </c>
      <c r="F6556" s="1">
        <f t="shared" si="205"/>
        <v>41309</v>
      </c>
      <c r="G6556" cm="1">
        <f t="array" ref="G6556">PRODUCT( _xlfn._xlws.FILTER($E:$E, ($C:$C=C6556)*($F:$F=F6556)) ) - 1</f>
        <v>-2.9160460290412749E-3</v>
      </c>
    </row>
    <row r="6557" spans="1:7" x14ac:dyDescent="0.2">
      <c r="A6557" s="1">
        <v>41316</v>
      </c>
      <c r="B6557">
        <v>2</v>
      </c>
      <c r="C6557" t="s">
        <v>16</v>
      </c>
      <c r="D6557">
        <v>-1.2999999999999999E-3</v>
      </c>
      <c r="E6557">
        <f t="shared" si="204"/>
        <v>0.99870000000000003</v>
      </c>
      <c r="F6557" s="1">
        <f t="shared" si="205"/>
        <v>41316</v>
      </c>
      <c r="G6557" cm="1">
        <f t="array" ref="G6557">PRODUCT( _xlfn._xlws.FILTER($E:$E, ($C:$C=C6557)*($F:$F=F6557)) ) - 1</f>
        <v>1.3004823353683914E-3</v>
      </c>
    </row>
    <row r="6558" spans="1:7" x14ac:dyDescent="0.2">
      <c r="A6558" s="1">
        <v>41317</v>
      </c>
      <c r="B6558">
        <v>2</v>
      </c>
      <c r="C6558" t="s">
        <v>16</v>
      </c>
      <c r="D6558">
        <v>0</v>
      </c>
      <c r="E6558">
        <f t="shared" si="204"/>
        <v>1</v>
      </c>
      <c r="F6558" s="1">
        <f t="shared" si="205"/>
        <v>41316</v>
      </c>
      <c r="G6558" cm="1">
        <f t="array" ref="G6558">PRODUCT( _xlfn._xlws.FILTER($E:$E, ($C:$C=C6558)*($F:$F=F6558)) ) - 1</f>
        <v>1.3004823353683914E-3</v>
      </c>
    </row>
    <row r="6559" spans="1:7" x14ac:dyDescent="0.2">
      <c r="A6559" s="1">
        <v>41318</v>
      </c>
      <c r="B6559">
        <v>2</v>
      </c>
      <c r="C6559" t="s">
        <v>16</v>
      </c>
      <c r="D6559">
        <v>-2.2786000000000001E-2</v>
      </c>
      <c r="E6559">
        <f t="shared" si="204"/>
        <v>0.97721400000000003</v>
      </c>
      <c r="F6559" s="1">
        <f t="shared" si="205"/>
        <v>41316</v>
      </c>
      <c r="G6559" cm="1">
        <f t="array" ref="G6559">PRODUCT( _xlfn._xlws.FILTER($E:$E, ($C:$C=C6559)*($F:$F=F6559)) ) - 1</f>
        <v>1.3004823353683914E-3</v>
      </c>
    </row>
    <row r="6560" spans="1:7" x14ac:dyDescent="0.2">
      <c r="A6560" s="1">
        <v>41319</v>
      </c>
      <c r="B6560">
        <v>2</v>
      </c>
      <c r="C6560" t="s">
        <v>16</v>
      </c>
      <c r="D6560">
        <v>6.9950000000000003E-3</v>
      </c>
      <c r="E6560">
        <f t="shared" si="204"/>
        <v>1.0069950000000001</v>
      </c>
      <c r="F6560" s="1">
        <f t="shared" si="205"/>
        <v>41316</v>
      </c>
      <c r="G6560" cm="1">
        <f t="array" ref="G6560">PRODUCT( _xlfn._xlws.FILTER($E:$E, ($C:$C=C6560)*($F:$F=F6560)) ) - 1</f>
        <v>1.3004823353683914E-3</v>
      </c>
    </row>
    <row r="6561" spans="1:7" x14ac:dyDescent="0.2">
      <c r="A6561" s="1">
        <v>41320</v>
      </c>
      <c r="B6561">
        <v>2</v>
      </c>
      <c r="C6561" t="s">
        <v>16</v>
      </c>
      <c r="D6561">
        <v>1.8855E-2</v>
      </c>
      <c r="E6561">
        <f t="shared" si="204"/>
        <v>1.0188550000000001</v>
      </c>
      <c r="F6561" s="1">
        <f t="shared" si="205"/>
        <v>41316</v>
      </c>
      <c r="G6561" cm="1">
        <f t="array" ref="G6561">PRODUCT( _xlfn._xlws.FILTER($E:$E, ($C:$C=C6561)*($F:$F=F6561)) ) - 1</f>
        <v>1.3004823353683914E-3</v>
      </c>
    </row>
    <row r="6562" spans="1:7" x14ac:dyDescent="0.2">
      <c r="A6562" s="1">
        <v>41324</v>
      </c>
      <c r="B6562">
        <v>2</v>
      </c>
      <c r="C6562" t="s">
        <v>16</v>
      </c>
      <c r="D6562">
        <v>1.5909E-2</v>
      </c>
      <c r="E6562">
        <f t="shared" si="204"/>
        <v>1.015909</v>
      </c>
      <c r="F6562" s="1">
        <f t="shared" si="205"/>
        <v>41323</v>
      </c>
      <c r="G6562" cm="1">
        <f t="array" ref="G6562">PRODUCT( _xlfn._xlws.FILTER($E:$E, ($C:$C=C6562)*($F:$F=F6562)) ) - 1</f>
        <v>1.3827475341403606E-3</v>
      </c>
    </row>
    <row r="6563" spans="1:7" x14ac:dyDescent="0.2">
      <c r="A6563" s="1">
        <v>41325</v>
      </c>
      <c r="B6563">
        <v>2</v>
      </c>
      <c r="C6563" t="s">
        <v>16</v>
      </c>
      <c r="D6563">
        <v>2.2369999999999998E-3</v>
      </c>
      <c r="E6563">
        <f t="shared" si="204"/>
        <v>1.002237</v>
      </c>
      <c r="F6563" s="1">
        <f t="shared" si="205"/>
        <v>41323</v>
      </c>
      <c r="G6563" cm="1">
        <f t="array" ref="G6563">PRODUCT( _xlfn._xlws.FILTER($E:$E, ($C:$C=C6563)*($F:$F=F6563)) ) - 1</f>
        <v>1.3827475341403606E-3</v>
      </c>
    </row>
    <row r="6564" spans="1:7" x14ac:dyDescent="0.2">
      <c r="A6564" s="1">
        <v>41326</v>
      </c>
      <c r="B6564">
        <v>2</v>
      </c>
      <c r="C6564" t="s">
        <v>16</v>
      </c>
      <c r="D6564">
        <v>-2.1011999999999999E-2</v>
      </c>
      <c r="E6564">
        <f t="shared" si="204"/>
        <v>0.97898799999999997</v>
      </c>
      <c r="F6564" s="1">
        <f t="shared" si="205"/>
        <v>41323</v>
      </c>
      <c r="G6564" cm="1">
        <f t="array" ref="G6564">PRODUCT( _xlfn._xlws.FILTER($E:$E, ($C:$C=C6564)*($F:$F=F6564)) ) - 1</f>
        <v>1.3827475341403606E-3</v>
      </c>
    </row>
    <row r="6565" spans="1:7" x14ac:dyDescent="0.2">
      <c r="A6565" s="1">
        <v>41327</v>
      </c>
      <c r="B6565">
        <v>2</v>
      </c>
      <c r="C6565" t="s">
        <v>16</v>
      </c>
      <c r="D6565">
        <v>4.6100000000000004E-3</v>
      </c>
      <c r="E6565">
        <f t="shared" si="204"/>
        <v>1.00461</v>
      </c>
      <c r="F6565" s="1">
        <f t="shared" si="205"/>
        <v>41323</v>
      </c>
      <c r="G6565" cm="1">
        <f t="array" ref="G6565">PRODUCT( _xlfn._xlws.FILTER($E:$E, ($C:$C=C6565)*($F:$F=F6565)) ) - 1</f>
        <v>1.3827475341403606E-3</v>
      </c>
    </row>
    <row r="6566" spans="1:7" x14ac:dyDescent="0.2">
      <c r="A6566" s="1">
        <v>41330</v>
      </c>
      <c r="B6566">
        <v>2</v>
      </c>
      <c r="C6566" t="s">
        <v>16</v>
      </c>
      <c r="D6566">
        <v>1.2782999999999999E-2</v>
      </c>
      <c r="E6566">
        <f t="shared" si="204"/>
        <v>1.012783</v>
      </c>
      <c r="F6566" s="1">
        <f t="shared" si="205"/>
        <v>41330</v>
      </c>
      <c r="G6566" cm="1">
        <f t="array" ref="G6566">PRODUCT( _xlfn._xlws.FILTER($E:$E, ($C:$C=C6566)*($F:$F=F6566)) ) - 1</f>
        <v>2.6549844248945575E-2</v>
      </c>
    </row>
    <row r="6567" spans="1:7" x14ac:dyDescent="0.2">
      <c r="A6567" s="1">
        <v>41331</v>
      </c>
      <c r="B6567">
        <v>2</v>
      </c>
      <c r="C6567" t="s">
        <v>16</v>
      </c>
      <c r="D6567">
        <v>-2.2650000000000001E-3</v>
      </c>
      <c r="E6567">
        <f t="shared" si="204"/>
        <v>0.99773500000000004</v>
      </c>
      <c r="F6567" s="1">
        <f t="shared" si="205"/>
        <v>41330</v>
      </c>
      <c r="G6567" cm="1">
        <f t="array" ref="G6567">PRODUCT( _xlfn._xlws.FILTER($E:$E, ($C:$C=C6567)*($F:$F=F6567)) ) - 1</f>
        <v>2.6549844248945575E-2</v>
      </c>
    </row>
    <row r="6568" spans="1:7" x14ac:dyDescent="0.2">
      <c r="A6568" s="1">
        <v>41332</v>
      </c>
      <c r="B6568">
        <v>2</v>
      </c>
      <c r="C6568" t="s">
        <v>16</v>
      </c>
      <c r="D6568">
        <v>5.1900000000000002E-3</v>
      </c>
      <c r="E6568">
        <f t="shared" si="204"/>
        <v>1.00519</v>
      </c>
      <c r="F6568" s="1">
        <f t="shared" si="205"/>
        <v>41330</v>
      </c>
      <c r="G6568" cm="1">
        <f t="array" ref="G6568">PRODUCT( _xlfn._xlws.FILTER($E:$E, ($C:$C=C6568)*($F:$F=F6568)) ) - 1</f>
        <v>2.6549844248945575E-2</v>
      </c>
    </row>
    <row r="6569" spans="1:7" x14ac:dyDescent="0.2">
      <c r="A6569" s="1">
        <v>41333</v>
      </c>
      <c r="B6569">
        <v>2</v>
      </c>
      <c r="C6569" t="s">
        <v>16</v>
      </c>
      <c r="D6569">
        <v>1.678E-2</v>
      </c>
      <c r="E6569">
        <f t="shared" si="204"/>
        <v>1.01678</v>
      </c>
      <c r="F6569" s="1">
        <f t="shared" si="205"/>
        <v>41330</v>
      </c>
      <c r="G6569" cm="1">
        <f t="array" ref="G6569">PRODUCT( _xlfn._xlws.FILTER($E:$E, ($C:$C=C6569)*($F:$F=F6569)) ) - 1</f>
        <v>2.6549844248945575E-2</v>
      </c>
    </row>
    <row r="6570" spans="1:7" x14ac:dyDescent="0.2">
      <c r="A6570" s="1">
        <v>41334</v>
      </c>
      <c r="B6570">
        <v>2</v>
      </c>
      <c r="C6570" t="s">
        <v>16</v>
      </c>
      <c r="D6570">
        <v>-6.0299999999999998E-3</v>
      </c>
      <c r="E6570">
        <f t="shared" si="204"/>
        <v>0.99397000000000002</v>
      </c>
      <c r="F6570" s="1">
        <f t="shared" si="205"/>
        <v>41330</v>
      </c>
      <c r="G6570" cm="1">
        <f t="array" ref="G6570">PRODUCT( _xlfn._xlws.FILTER($E:$E, ($C:$C=C6570)*($F:$F=F6570)) ) - 1</f>
        <v>2.6549844248945575E-2</v>
      </c>
    </row>
    <row r="6571" spans="1:7" x14ac:dyDescent="0.2">
      <c r="A6571" s="1">
        <v>41337</v>
      </c>
      <c r="B6571">
        <v>2</v>
      </c>
      <c r="C6571" t="s">
        <v>16</v>
      </c>
      <c r="D6571">
        <v>6.3900000000000003E-4</v>
      </c>
      <c r="E6571">
        <f t="shared" si="204"/>
        <v>1.0006390000000001</v>
      </c>
      <c r="F6571" s="1">
        <f t="shared" si="205"/>
        <v>41337</v>
      </c>
      <c r="G6571" cm="1">
        <f t="array" ref="G6571">PRODUCT( _xlfn._xlws.FILTER($E:$E, ($C:$C=C6571)*($F:$F=F6571)) ) - 1</f>
        <v>9.2595288560117783E-3</v>
      </c>
    </row>
    <row r="6572" spans="1:7" x14ac:dyDescent="0.2">
      <c r="A6572" s="1">
        <v>41338</v>
      </c>
      <c r="B6572">
        <v>2</v>
      </c>
      <c r="C6572" t="s">
        <v>16</v>
      </c>
      <c r="D6572">
        <v>1.1806000000000001E-2</v>
      </c>
      <c r="E6572">
        <f t="shared" si="204"/>
        <v>1.011806</v>
      </c>
      <c r="F6572" s="1">
        <f t="shared" si="205"/>
        <v>41337</v>
      </c>
      <c r="G6572" cm="1">
        <f t="array" ref="G6572">PRODUCT( _xlfn._xlws.FILTER($E:$E, ($C:$C=C6572)*($F:$F=F6572)) ) - 1</f>
        <v>9.2595288560117783E-3</v>
      </c>
    </row>
    <row r="6573" spans="1:7" x14ac:dyDescent="0.2">
      <c r="A6573" s="1">
        <v>41339</v>
      </c>
      <c r="B6573">
        <v>2</v>
      </c>
      <c r="C6573" t="s">
        <v>16</v>
      </c>
      <c r="D6573">
        <v>-6.9379999999999997E-3</v>
      </c>
      <c r="E6573">
        <f t="shared" si="204"/>
        <v>0.993062</v>
      </c>
      <c r="F6573" s="1">
        <f t="shared" si="205"/>
        <v>41337</v>
      </c>
      <c r="G6573" cm="1">
        <f t="array" ref="G6573">PRODUCT( _xlfn._xlws.FILTER($E:$E, ($C:$C=C6573)*($F:$F=F6573)) ) - 1</f>
        <v>9.2595288560117783E-3</v>
      </c>
    </row>
    <row r="6574" spans="1:7" x14ac:dyDescent="0.2">
      <c r="A6574" s="1">
        <v>41340</v>
      </c>
      <c r="B6574">
        <v>2</v>
      </c>
      <c r="C6574" t="s">
        <v>16</v>
      </c>
      <c r="D6574">
        <v>4.1279999999999997E-3</v>
      </c>
      <c r="E6574">
        <f t="shared" si="204"/>
        <v>1.0041279999999999</v>
      </c>
      <c r="F6574" s="1">
        <f t="shared" si="205"/>
        <v>41337</v>
      </c>
      <c r="G6574" cm="1">
        <f t="array" ref="G6574">PRODUCT( _xlfn._xlws.FILTER($E:$E, ($C:$C=C6574)*($F:$F=F6574)) ) - 1</f>
        <v>9.2595288560117783E-3</v>
      </c>
    </row>
    <row r="6575" spans="1:7" x14ac:dyDescent="0.2">
      <c r="A6575" s="1">
        <v>41341</v>
      </c>
      <c r="B6575">
        <v>2</v>
      </c>
      <c r="C6575" t="s">
        <v>16</v>
      </c>
      <c r="D6575">
        <v>-3.1599999999999998E-4</v>
      </c>
      <c r="E6575">
        <f t="shared" si="204"/>
        <v>0.99968400000000002</v>
      </c>
      <c r="F6575" s="1">
        <f t="shared" si="205"/>
        <v>41337</v>
      </c>
      <c r="G6575" cm="1">
        <f t="array" ref="G6575">PRODUCT( _xlfn._xlws.FILTER($E:$E, ($C:$C=C6575)*($F:$F=F6575)) ) - 1</f>
        <v>9.2595288560117783E-3</v>
      </c>
    </row>
    <row r="6576" spans="1:7" x14ac:dyDescent="0.2">
      <c r="A6576" s="1">
        <v>41344</v>
      </c>
      <c r="B6576">
        <v>2</v>
      </c>
      <c r="C6576" t="s">
        <v>16</v>
      </c>
      <c r="D6576">
        <v>7.9089999999999994E-3</v>
      </c>
      <c r="E6576">
        <f t="shared" si="204"/>
        <v>1.0079089999999999</v>
      </c>
      <c r="F6576" s="1">
        <f t="shared" si="205"/>
        <v>41344</v>
      </c>
      <c r="G6576" cm="1">
        <f t="array" ref="G6576">PRODUCT( _xlfn._xlws.FILTER($E:$E, ($C:$C=C6576)*($F:$F=F6576)) ) - 1</f>
        <v>4.0177302091719103E-2</v>
      </c>
    </row>
    <row r="6577" spans="1:7" x14ac:dyDescent="0.2">
      <c r="A6577" s="1">
        <v>41345</v>
      </c>
      <c r="B6577">
        <v>2</v>
      </c>
      <c r="C6577" t="s">
        <v>16</v>
      </c>
      <c r="D6577">
        <v>5.0220000000000004E-3</v>
      </c>
      <c r="E6577">
        <f t="shared" si="204"/>
        <v>1.0050220000000001</v>
      </c>
      <c r="F6577" s="1">
        <f t="shared" si="205"/>
        <v>41344</v>
      </c>
      <c r="G6577" cm="1">
        <f t="array" ref="G6577">PRODUCT( _xlfn._xlws.FILTER($E:$E, ($C:$C=C6577)*($F:$F=F6577)) ) - 1</f>
        <v>4.0177302091719103E-2</v>
      </c>
    </row>
    <row r="6578" spans="1:7" x14ac:dyDescent="0.2">
      <c r="A6578" s="1">
        <v>41346</v>
      </c>
      <c r="B6578">
        <v>2</v>
      </c>
      <c r="C6578" t="s">
        <v>16</v>
      </c>
      <c r="D6578">
        <v>1.2489999999999999E-3</v>
      </c>
      <c r="E6578">
        <f t="shared" si="204"/>
        <v>1.0012490000000001</v>
      </c>
      <c r="F6578" s="1">
        <f t="shared" si="205"/>
        <v>41344</v>
      </c>
      <c r="G6578" cm="1">
        <f t="array" ref="G6578">PRODUCT( _xlfn._xlws.FILTER($E:$E, ($C:$C=C6578)*($F:$F=F6578)) ) - 1</f>
        <v>4.0177302091719103E-2</v>
      </c>
    </row>
    <row r="6579" spans="1:7" x14ac:dyDescent="0.2">
      <c r="A6579" s="1">
        <v>41347</v>
      </c>
      <c r="B6579">
        <v>2</v>
      </c>
      <c r="C6579" t="s">
        <v>16</v>
      </c>
      <c r="D6579">
        <v>-2.183E-3</v>
      </c>
      <c r="E6579">
        <f t="shared" si="204"/>
        <v>0.99781699999999995</v>
      </c>
      <c r="F6579" s="1">
        <f t="shared" si="205"/>
        <v>41344</v>
      </c>
      <c r="G6579" cm="1">
        <f t="array" ref="G6579">PRODUCT( _xlfn._xlws.FILTER($E:$E, ($C:$C=C6579)*($F:$F=F6579)) ) - 1</f>
        <v>4.0177302091719103E-2</v>
      </c>
    </row>
    <row r="6580" spans="1:7" x14ac:dyDescent="0.2">
      <c r="A6580" s="1">
        <v>41348</v>
      </c>
      <c r="B6580">
        <v>2</v>
      </c>
      <c r="C6580" t="s">
        <v>16</v>
      </c>
      <c r="D6580">
        <v>2.7820999999999999E-2</v>
      </c>
      <c r="E6580">
        <f t="shared" si="204"/>
        <v>1.0278210000000001</v>
      </c>
      <c r="F6580" s="1">
        <f t="shared" si="205"/>
        <v>41344</v>
      </c>
      <c r="G6580" cm="1">
        <f t="array" ref="G6580">PRODUCT( _xlfn._xlws.FILTER($E:$E, ($C:$C=C6580)*($F:$F=F6580)) ) - 1</f>
        <v>4.0177302091719103E-2</v>
      </c>
    </row>
    <row r="6581" spans="1:7" x14ac:dyDescent="0.2">
      <c r="A6581" s="1">
        <v>41351</v>
      </c>
      <c r="B6581">
        <v>2</v>
      </c>
      <c r="C6581" t="s">
        <v>16</v>
      </c>
      <c r="D6581">
        <v>-4.5620000000000001E-3</v>
      </c>
      <c r="E6581">
        <f t="shared" si="204"/>
        <v>0.99543800000000005</v>
      </c>
      <c r="F6581" s="1">
        <f t="shared" si="205"/>
        <v>41351</v>
      </c>
      <c r="G6581" cm="1">
        <f t="array" ref="G6581">PRODUCT( _xlfn._xlws.FILTER($E:$E, ($C:$C=C6581)*($F:$F=F6581)) ) - 1</f>
        <v>3.3466505236152688E-3</v>
      </c>
    </row>
    <row r="6582" spans="1:7" x14ac:dyDescent="0.2">
      <c r="A6582" s="1">
        <v>41352</v>
      </c>
      <c r="B6582">
        <v>2</v>
      </c>
      <c r="C6582" t="s">
        <v>16</v>
      </c>
      <c r="D6582">
        <v>2.1389999999999998E-3</v>
      </c>
      <c r="E6582">
        <f t="shared" si="204"/>
        <v>1.0021389999999999</v>
      </c>
      <c r="F6582" s="1">
        <f t="shared" si="205"/>
        <v>41351</v>
      </c>
      <c r="G6582" cm="1">
        <f t="array" ref="G6582">PRODUCT( _xlfn._xlws.FILTER($E:$E, ($C:$C=C6582)*($F:$F=F6582)) ) - 1</f>
        <v>3.3466505236152688E-3</v>
      </c>
    </row>
    <row r="6583" spans="1:7" x14ac:dyDescent="0.2">
      <c r="A6583" s="1">
        <v>41353</v>
      </c>
      <c r="B6583">
        <v>2</v>
      </c>
      <c r="C6583" t="s">
        <v>16</v>
      </c>
      <c r="D6583">
        <v>1.5854E-2</v>
      </c>
      <c r="E6583">
        <f t="shared" si="204"/>
        <v>1.015854</v>
      </c>
      <c r="F6583" s="1">
        <f t="shared" si="205"/>
        <v>41351</v>
      </c>
      <c r="G6583" cm="1">
        <f t="array" ref="G6583">PRODUCT( _xlfn._xlws.FILTER($E:$E, ($C:$C=C6583)*($F:$F=F6583)) ) - 1</f>
        <v>3.3466505236152688E-3</v>
      </c>
    </row>
    <row r="6584" spans="1:7" x14ac:dyDescent="0.2">
      <c r="A6584" s="1">
        <v>41354</v>
      </c>
      <c r="B6584">
        <v>2</v>
      </c>
      <c r="C6584" t="s">
        <v>16</v>
      </c>
      <c r="D6584">
        <v>-1.2605E-2</v>
      </c>
      <c r="E6584">
        <f t="shared" si="204"/>
        <v>0.98739500000000002</v>
      </c>
      <c r="F6584" s="1">
        <f t="shared" si="205"/>
        <v>41351</v>
      </c>
      <c r="G6584" cm="1">
        <f t="array" ref="G6584">PRODUCT( _xlfn._xlws.FILTER($E:$E, ($C:$C=C6584)*($F:$F=F6584)) ) - 1</f>
        <v>3.3466505236152688E-3</v>
      </c>
    </row>
    <row r="6585" spans="1:7" x14ac:dyDescent="0.2">
      <c r="A6585" s="1">
        <v>41355</v>
      </c>
      <c r="B6585">
        <v>2</v>
      </c>
      <c r="C6585" t="s">
        <v>16</v>
      </c>
      <c r="D6585">
        <v>2.7360000000000002E-3</v>
      </c>
      <c r="E6585">
        <f t="shared" si="204"/>
        <v>1.0027360000000001</v>
      </c>
      <c r="F6585" s="1">
        <f t="shared" si="205"/>
        <v>41351</v>
      </c>
      <c r="G6585" cm="1">
        <f t="array" ref="G6585">PRODUCT( _xlfn._xlws.FILTER($E:$E, ($C:$C=C6585)*($F:$F=F6585)) ) - 1</f>
        <v>3.3466505236152688E-3</v>
      </c>
    </row>
    <row r="6586" spans="1:7" x14ac:dyDescent="0.2">
      <c r="A6586" s="1">
        <v>41358</v>
      </c>
      <c r="B6586">
        <v>2</v>
      </c>
      <c r="C6586" t="s">
        <v>16</v>
      </c>
      <c r="D6586">
        <v>2.4250000000000001E-3</v>
      </c>
      <c r="E6586">
        <f t="shared" si="204"/>
        <v>1.0024249999999999</v>
      </c>
      <c r="F6586" s="1">
        <f t="shared" si="205"/>
        <v>41358</v>
      </c>
      <c r="G6586" cm="1">
        <f t="array" ref="G6586">PRODUCT( _xlfn._xlws.FILTER($E:$E, ($C:$C=C6586)*($F:$F=F6586)) ) - 1</f>
        <v>-9.0904308064376771E-4</v>
      </c>
    </row>
    <row r="6587" spans="1:7" x14ac:dyDescent="0.2">
      <c r="A6587" s="1">
        <v>41359</v>
      </c>
      <c r="B6587">
        <v>2</v>
      </c>
      <c r="C6587" t="s">
        <v>16</v>
      </c>
      <c r="D6587">
        <v>-5.7450000000000001E-3</v>
      </c>
      <c r="E6587">
        <f t="shared" si="204"/>
        <v>0.994255</v>
      </c>
      <c r="F6587" s="1">
        <f t="shared" si="205"/>
        <v>41358</v>
      </c>
      <c r="G6587" cm="1">
        <f t="array" ref="G6587">PRODUCT( _xlfn._xlws.FILTER($E:$E, ($C:$C=C6587)*($F:$F=F6587)) ) - 1</f>
        <v>-9.0904308064376771E-4</v>
      </c>
    </row>
    <row r="6588" spans="1:7" x14ac:dyDescent="0.2">
      <c r="A6588" s="1">
        <v>41360</v>
      </c>
      <c r="B6588">
        <v>2</v>
      </c>
      <c r="C6588" t="s">
        <v>16</v>
      </c>
      <c r="D6588">
        <v>0</v>
      </c>
      <c r="E6588">
        <f t="shared" si="204"/>
        <v>1</v>
      </c>
      <c r="F6588" s="1">
        <f t="shared" si="205"/>
        <v>41358</v>
      </c>
      <c r="G6588" cm="1">
        <f t="array" ref="G6588">PRODUCT( _xlfn._xlws.FILTER($E:$E, ($C:$C=C6588)*($F:$F=F6588)) ) - 1</f>
        <v>-9.0904308064376771E-4</v>
      </c>
    </row>
    <row r="6589" spans="1:7" x14ac:dyDescent="0.2">
      <c r="A6589" s="1">
        <v>41361</v>
      </c>
      <c r="B6589">
        <v>2</v>
      </c>
      <c r="C6589" t="s">
        <v>16</v>
      </c>
      <c r="D6589">
        <v>2.4329999999999998E-3</v>
      </c>
      <c r="E6589">
        <f t="shared" si="204"/>
        <v>1.0024329999999999</v>
      </c>
      <c r="F6589" s="1">
        <f t="shared" si="205"/>
        <v>41358</v>
      </c>
      <c r="G6589" cm="1">
        <f t="array" ref="G6589">PRODUCT( _xlfn._xlws.FILTER($E:$E, ($C:$C=C6589)*($F:$F=F6589)) ) - 1</f>
        <v>-9.0904308064376771E-4</v>
      </c>
    </row>
    <row r="6590" spans="1:7" x14ac:dyDescent="0.2">
      <c r="A6590" s="1">
        <v>41365</v>
      </c>
      <c r="B6590">
        <v>2</v>
      </c>
      <c r="C6590" t="s">
        <v>16</v>
      </c>
      <c r="D6590">
        <v>-9.1E-4</v>
      </c>
      <c r="E6590">
        <f t="shared" si="204"/>
        <v>0.99909000000000003</v>
      </c>
      <c r="F6590" s="1">
        <f t="shared" si="205"/>
        <v>41365</v>
      </c>
      <c r="G6590" cm="1">
        <f t="array" ref="G6590">PRODUCT( _xlfn._xlws.FILTER($E:$E, ($C:$C=C6590)*($F:$F=F6590)) ) - 1</f>
        <v>-1.9113741059552991E-2</v>
      </c>
    </row>
    <row r="6591" spans="1:7" x14ac:dyDescent="0.2">
      <c r="A6591" s="1">
        <v>41366</v>
      </c>
      <c r="B6591">
        <v>2</v>
      </c>
      <c r="C6591" t="s">
        <v>16</v>
      </c>
      <c r="D6591">
        <v>-2.7330000000000002E-3</v>
      </c>
      <c r="E6591">
        <f t="shared" si="204"/>
        <v>0.99726700000000001</v>
      </c>
      <c r="F6591" s="1">
        <f t="shared" si="205"/>
        <v>41365</v>
      </c>
      <c r="G6591" cm="1">
        <f t="array" ref="G6591">PRODUCT( _xlfn._xlws.FILTER($E:$E, ($C:$C=C6591)*($F:$F=F6591)) ) - 1</f>
        <v>-1.9113741059552991E-2</v>
      </c>
    </row>
    <row r="6592" spans="1:7" x14ac:dyDescent="0.2">
      <c r="A6592" s="1">
        <v>41367</v>
      </c>
      <c r="B6592">
        <v>2</v>
      </c>
      <c r="C6592" t="s">
        <v>16</v>
      </c>
      <c r="D6592">
        <v>-1.5225000000000001E-2</v>
      </c>
      <c r="E6592">
        <f t="shared" si="204"/>
        <v>0.98477499999999996</v>
      </c>
      <c r="F6592" s="1">
        <f t="shared" si="205"/>
        <v>41365</v>
      </c>
      <c r="G6592" cm="1">
        <f t="array" ref="G6592">PRODUCT( _xlfn._xlws.FILTER($E:$E, ($C:$C=C6592)*($F:$F=F6592)) ) - 1</f>
        <v>-1.9113741059552991E-2</v>
      </c>
    </row>
    <row r="6593" spans="1:7" x14ac:dyDescent="0.2">
      <c r="A6593" s="1">
        <v>41368</v>
      </c>
      <c r="B6593">
        <v>2</v>
      </c>
      <c r="C6593" t="s">
        <v>16</v>
      </c>
      <c r="D6593">
        <v>-4.3290000000000004E-3</v>
      </c>
      <c r="E6593">
        <f t="shared" si="204"/>
        <v>0.99567099999999997</v>
      </c>
      <c r="F6593" s="1">
        <f t="shared" si="205"/>
        <v>41365</v>
      </c>
      <c r="G6593" cm="1">
        <f t="array" ref="G6593">PRODUCT( _xlfn._xlws.FILTER($E:$E, ($C:$C=C6593)*($F:$F=F6593)) ) - 1</f>
        <v>-1.9113741059552991E-2</v>
      </c>
    </row>
    <row r="6594" spans="1:7" x14ac:dyDescent="0.2">
      <c r="A6594" s="1">
        <v>41369</v>
      </c>
      <c r="B6594">
        <v>2</v>
      </c>
      <c r="C6594" t="s">
        <v>16</v>
      </c>
      <c r="D6594">
        <v>4.0369999999999998E-3</v>
      </c>
      <c r="E6594">
        <f t="shared" si="204"/>
        <v>1.0040370000000001</v>
      </c>
      <c r="F6594" s="1">
        <f t="shared" si="205"/>
        <v>41365</v>
      </c>
      <c r="G6594" cm="1">
        <f t="array" ref="G6594">PRODUCT( _xlfn._xlws.FILTER($E:$E, ($C:$C=C6594)*($F:$F=F6594)) ) - 1</f>
        <v>-1.9113741059552991E-2</v>
      </c>
    </row>
    <row r="6595" spans="1:7" x14ac:dyDescent="0.2">
      <c r="A6595" s="1">
        <v>41372</v>
      </c>
      <c r="B6595">
        <v>2</v>
      </c>
      <c r="C6595" t="s">
        <v>16</v>
      </c>
      <c r="D6595">
        <v>9.5890000000000003E-3</v>
      </c>
      <c r="E6595">
        <f t="shared" si="204"/>
        <v>1.0095890000000001</v>
      </c>
      <c r="F6595" s="1">
        <f t="shared" si="205"/>
        <v>41372</v>
      </c>
      <c r="G6595" cm="1">
        <f t="array" ref="G6595">PRODUCT( _xlfn._xlws.FILTER($E:$E, ($C:$C=C6595)*($F:$F=F6595)) ) - 1</f>
        <v>2.2889206815152496E-2</v>
      </c>
    </row>
    <row r="6596" spans="1:7" x14ac:dyDescent="0.2">
      <c r="A6596" s="1">
        <v>41373</v>
      </c>
      <c r="B6596">
        <v>2</v>
      </c>
      <c r="C6596" t="s">
        <v>16</v>
      </c>
      <c r="D6596">
        <v>3.676E-3</v>
      </c>
      <c r="E6596">
        <f t="shared" ref="E6596:E6659" si="206">D6596+1</f>
        <v>1.003676</v>
      </c>
      <c r="F6596" s="1">
        <f t="shared" ref="F6596:F6659" si="207">A6596 - (WEEKDAY(A6596, 2) - 1)</f>
        <v>41372</v>
      </c>
      <c r="G6596" cm="1">
        <f t="array" ref="G6596">PRODUCT( _xlfn._xlws.FILTER($E:$E, ($C:$C=C6596)*($F:$F=F6596)) ) - 1</f>
        <v>2.2889206815152496E-2</v>
      </c>
    </row>
    <row r="6597" spans="1:7" x14ac:dyDescent="0.2">
      <c r="A6597" s="1">
        <v>41374</v>
      </c>
      <c r="B6597">
        <v>2</v>
      </c>
      <c r="C6597" t="s">
        <v>16</v>
      </c>
      <c r="D6597">
        <v>1.3736E-2</v>
      </c>
      <c r="E6597">
        <f t="shared" si="206"/>
        <v>1.013736</v>
      </c>
      <c r="F6597" s="1">
        <f t="shared" si="207"/>
        <v>41372</v>
      </c>
      <c r="G6597" cm="1">
        <f t="array" ref="G6597">PRODUCT( _xlfn._xlws.FILTER($E:$E, ($C:$C=C6597)*($F:$F=F6597)) ) - 1</f>
        <v>2.2889206815152496E-2</v>
      </c>
    </row>
    <row r="6598" spans="1:7" x14ac:dyDescent="0.2">
      <c r="A6598" s="1">
        <v>41375</v>
      </c>
      <c r="B6598">
        <v>2</v>
      </c>
      <c r="C6598" t="s">
        <v>16</v>
      </c>
      <c r="D6598">
        <v>-9.0300000000000005E-4</v>
      </c>
      <c r="E6598">
        <f t="shared" si="206"/>
        <v>0.99909700000000001</v>
      </c>
      <c r="F6598" s="1">
        <f t="shared" si="207"/>
        <v>41372</v>
      </c>
      <c r="G6598" cm="1">
        <f t="array" ref="G6598">PRODUCT( _xlfn._xlws.FILTER($E:$E, ($C:$C=C6598)*($F:$F=F6598)) ) - 1</f>
        <v>2.2889206815152496E-2</v>
      </c>
    </row>
    <row r="6599" spans="1:7" x14ac:dyDescent="0.2">
      <c r="A6599" s="1">
        <v>41376</v>
      </c>
      <c r="B6599">
        <v>2</v>
      </c>
      <c r="C6599" t="s">
        <v>16</v>
      </c>
      <c r="D6599">
        <v>-3.3149999999999998E-3</v>
      </c>
      <c r="E6599">
        <f t="shared" si="206"/>
        <v>0.99668500000000004</v>
      </c>
      <c r="F6599" s="1">
        <f t="shared" si="207"/>
        <v>41372</v>
      </c>
      <c r="G6599" cm="1">
        <f t="array" ref="G6599">PRODUCT( _xlfn._xlws.FILTER($E:$E, ($C:$C=C6599)*($F:$F=F6599)) ) - 1</f>
        <v>2.2889206815152496E-2</v>
      </c>
    </row>
    <row r="6600" spans="1:7" x14ac:dyDescent="0.2">
      <c r="A6600" s="1">
        <v>41379</v>
      </c>
      <c r="B6600">
        <v>2</v>
      </c>
      <c r="C6600" t="s">
        <v>16</v>
      </c>
      <c r="D6600">
        <v>1.5120000000000001E-3</v>
      </c>
      <c r="E6600">
        <f t="shared" si="206"/>
        <v>1.001512</v>
      </c>
      <c r="F6600" s="1">
        <f t="shared" si="207"/>
        <v>41379</v>
      </c>
      <c r="G6600" cm="1">
        <f t="array" ref="G6600">PRODUCT( _xlfn._xlws.FILTER($E:$E, ($C:$C=C6600)*($F:$F=F6600)) ) - 1</f>
        <v>4.8389628604599277E-3</v>
      </c>
    </row>
    <row r="6601" spans="1:7" x14ac:dyDescent="0.2">
      <c r="A6601" s="1">
        <v>41380</v>
      </c>
      <c r="B6601">
        <v>2</v>
      </c>
      <c r="C6601" t="s">
        <v>16</v>
      </c>
      <c r="D6601">
        <v>6.9439999999999997E-3</v>
      </c>
      <c r="E6601">
        <f t="shared" si="206"/>
        <v>1.0069440000000001</v>
      </c>
      <c r="F6601" s="1">
        <f t="shared" si="207"/>
        <v>41379</v>
      </c>
      <c r="G6601" cm="1">
        <f t="array" ref="G6601">PRODUCT( _xlfn._xlws.FILTER($E:$E, ($C:$C=C6601)*($F:$F=F6601)) ) - 1</f>
        <v>4.8389628604599277E-3</v>
      </c>
    </row>
    <row r="6602" spans="1:7" x14ac:dyDescent="0.2">
      <c r="A6602" s="1">
        <v>41381</v>
      </c>
      <c r="B6602">
        <v>2</v>
      </c>
      <c r="C6602" t="s">
        <v>16</v>
      </c>
      <c r="D6602">
        <v>-2.9979999999999998E-3</v>
      </c>
      <c r="E6602">
        <f t="shared" si="206"/>
        <v>0.99700200000000005</v>
      </c>
      <c r="F6602" s="1">
        <f t="shared" si="207"/>
        <v>41379</v>
      </c>
      <c r="G6602" cm="1">
        <f t="array" ref="G6602">PRODUCT( _xlfn._xlws.FILTER($E:$E, ($C:$C=C6602)*($F:$F=F6602)) ) - 1</f>
        <v>4.8389628604599277E-3</v>
      </c>
    </row>
    <row r="6603" spans="1:7" x14ac:dyDescent="0.2">
      <c r="A6603" s="1">
        <v>41382</v>
      </c>
      <c r="B6603">
        <v>2</v>
      </c>
      <c r="C6603" t="s">
        <v>16</v>
      </c>
      <c r="D6603">
        <v>-7.8189999999999996E-3</v>
      </c>
      <c r="E6603">
        <f t="shared" si="206"/>
        <v>0.99218099999999998</v>
      </c>
      <c r="F6603" s="1">
        <f t="shared" si="207"/>
        <v>41379</v>
      </c>
      <c r="G6603" cm="1">
        <f t="array" ref="G6603">PRODUCT( _xlfn._xlws.FILTER($E:$E, ($C:$C=C6603)*($F:$F=F6603)) ) - 1</f>
        <v>4.8389628604599277E-3</v>
      </c>
    </row>
    <row r="6604" spans="1:7" x14ac:dyDescent="0.2">
      <c r="A6604" s="1">
        <v>41383</v>
      </c>
      <c r="B6604">
        <v>2</v>
      </c>
      <c r="C6604" t="s">
        <v>16</v>
      </c>
      <c r="D6604">
        <v>7.2750000000000002E-3</v>
      </c>
      <c r="E6604">
        <f t="shared" si="206"/>
        <v>1.0072749999999999</v>
      </c>
      <c r="F6604" s="1">
        <f t="shared" si="207"/>
        <v>41379</v>
      </c>
      <c r="G6604" cm="1">
        <f t="array" ref="G6604">PRODUCT( _xlfn._xlws.FILTER($E:$E, ($C:$C=C6604)*($F:$F=F6604)) ) - 1</f>
        <v>4.8389628604599277E-3</v>
      </c>
    </row>
    <row r="6605" spans="1:7" x14ac:dyDescent="0.2">
      <c r="A6605" s="1">
        <v>41386</v>
      </c>
      <c r="B6605">
        <v>2</v>
      </c>
      <c r="C6605" t="s">
        <v>16</v>
      </c>
      <c r="D6605">
        <v>6.02E-4</v>
      </c>
      <c r="E6605">
        <f t="shared" si="206"/>
        <v>1.000602</v>
      </c>
      <c r="F6605" s="1">
        <f t="shared" si="207"/>
        <v>41386</v>
      </c>
      <c r="G6605" cm="1">
        <f t="array" ref="G6605">PRODUCT( _xlfn._xlws.FILTER($E:$E, ($C:$C=C6605)*($F:$F=F6605)) ) - 1</f>
        <v>1.6550686191246555E-2</v>
      </c>
    </row>
    <row r="6606" spans="1:7" x14ac:dyDescent="0.2">
      <c r="A6606" s="1">
        <v>41387</v>
      </c>
      <c r="B6606">
        <v>2</v>
      </c>
      <c r="C6606" t="s">
        <v>16</v>
      </c>
      <c r="D6606">
        <v>6.0150000000000004E-3</v>
      </c>
      <c r="E6606">
        <f t="shared" si="206"/>
        <v>1.0060150000000001</v>
      </c>
      <c r="F6606" s="1">
        <f t="shared" si="207"/>
        <v>41386</v>
      </c>
      <c r="G6606" cm="1">
        <f t="array" ref="G6606">PRODUCT( _xlfn._xlws.FILTER($E:$E, ($C:$C=C6606)*($F:$F=F6606)) ) - 1</f>
        <v>1.6550686191246555E-2</v>
      </c>
    </row>
    <row r="6607" spans="1:7" x14ac:dyDescent="0.2">
      <c r="A6607" s="1">
        <v>41388</v>
      </c>
      <c r="B6607">
        <v>2</v>
      </c>
      <c r="C6607" t="s">
        <v>16</v>
      </c>
      <c r="D6607">
        <v>6.2779999999999997E-3</v>
      </c>
      <c r="E6607">
        <f t="shared" si="206"/>
        <v>1.006278</v>
      </c>
      <c r="F6607" s="1">
        <f t="shared" si="207"/>
        <v>41386</v>
      </c>
      <c r="G6607" cm="1">
        <f t="array" ref="G6607">PRODUCT( _xlfn._xlws.FILTER($E:$E, ($C:$C=C6607)*($F:$F=F6607)) ) - 1</f>
        <v>1.6550686191246555E-2</v>
      </c>
    </row>
    <row r="6608" spans="1:7" x14ac:dyDescent="0.2">
      <c r="A6608" s="1">
        <v>41389</v>
      </c>
      <c r="B6608">
        <v>2</v>
      </c>
      <c r="C6608" t="s">
        <v>16</v>
      </c>
      <c r="D6608">
        <v>4.7530000000000003E-3</v>
      </c>
      <c r="E6608">
        <f t="shared" si="206"/>
        <v>1.004753</v>
      </c>
      <c r="F6608" s="1">
        <f t="shared" si="207"/>
        <v>41386</v>
      </c>
      <c r="G6608" cm="1">
        <f t="array" ref="G6608">PRODUCT( _xlfn._xlws.FILTER($E:$E, ($C:$C=C6608)*($F:$F=F6608)) ) - 1</f>
        <v>1.6550686191246555E-2</v>
      </c>
    </row>
    <row r="6609" spans="1:7" x14ac:dyDescent="0.2">
      <c r="A6609" s="1">
        <v>41390</v>
      </c>
      <c r="B6609">
        <v>2</v>
      </c>
      <c r="C6609" t="s">
        <v>16</v>
      </c>
      <c r="D6609">
        <v>-1.183E-3</v>
      </c>
      <c r="E6609">
        <f t="shared" si="206"/>
        <v>0.99881699999999995</v>
      </c>
      <c r="F6609" s="1">
        <f t="shared" si="207"/>
        <v>41386</v>
      </c>
      <c r="G6609" cm="1">
        <f t="array" ref="G6609">PRODUCT( _xlfn._xlws.FILTER($E:$E, ($C:$C=C6609)*($F:$F=F6609)) ) - 1</f>
        <v>1.6550686191246555E-2</v>
      </c>
    </row>
    <row r="6610" spans="1:7" x14ac:dyDescent="0.2">
      <c r="A6610" s="1">
        <v>41393</v>
      </c>
      <c r="B6610">
        <v>2</v>
      </c>
      <c r="C6610" t="s">
        <v>16</v>
      </c>
      <c r="D6610">
        <v>9.4730000000000005E-3</v>
      </c>
      <c r="E6610">
        <f t="shared" si="206"/>
        <v>1.0094730000000001</v>
      </c>
      <c r="F6610" s="1">
        <f t="shared" si="207"/>
        <v>41393</v>
      </c>
      <c r="G6610" cm="1">
        <f t="array" ref="G6610">PRODUCT( _xlfn._xlws.FILTER($E:$E, ($C:$C=C6610)*($F:$F=F6610)) ) - 1</f>
        <v>1.5097122986293954E-2</v>
      </c>
    </row>
    <row r="6611" spans="1:7" x14ac:dyDescent="0.2">
      <c r="A6611" s="1">
        <v>41394</v>
      </c>
      <c r="B6611">
        <v>2</v>
      </c>
      <c r="C6611" t="s">
        <v>16</v>
      </c>
      <c r="D6611">
        <v>-1.0264000000000001E-2</v>
      </c>
      <c r="E6611">
        <f t="shared" si="206"/>
        <v>0.98973599999999995</v>
      </c>
      <c r="F6611" s="1">
        <f t="shared" si="207"/>
        <v>41393</v>
      </c>
      <c r="G6611" cm="1">
        <f t="array" ref="G6611">PRODUCT( _xlfn._xlws.FILTER($E:$E, ($C:$C=C6611)*($F:$F=F6611)) ) - 1</f>
        <v>1.5097122986293954E-2</v>
      </c>
    </row>
    <row r="6612" spans="1:7" x14ac:dyDescent="0.2">
      <c r="A6612" s="1">
        <v>41395</v>
      </c>
      <c r="B6612">
        <v>2</v>
      </c>
      <c r="C6612" t="s">
        <v>16</v>
      </c>
      <c r="D6612">
        <v>-3.5560000000000001E-3</v>
      </c>
      <c r="E6612">
        <f t="shared" si="206"/>
        <v>0.996444</v>
      </c>
      <c r="F6612" s="1">
        <f t="shared" si="207"/>
        <v>41393</v>
      </c>
      <c r="G6612" cm="1">
        <f t="array" ref="G6612">PRODUCT( _xlfn._xlws.FILTER($E:$E, ($C:$C=C6612)*($F:$F=F6612)) ) - 1</f>
        <v>1.5097122986293954E-2</v>
      </c>
    </row>
    <row r="6613" spans="1:7" x14ac:dyDescent="0.2">
      <c r="A6613" s="1">
        <v>41396</v>
      </c>
      <c r="B6613">
        <v>2</v>
      </c>
      <c r="C6613" t="s">
        <v>16</v>
      </c>
      <c r="D6613">
        <v>9.8130000000000005E-3</v>
      </c>
      <c r="E6613">
        <f t="shared" si="206"/>
        <v>1.0098130000000001</v>
      </c>
      <c r="F6613" s="1">
        <f t="shared" si="207"/>
        <v>41393</v>
      </c>
      <c r="G6613" cm="1">
        <f t="array" ref="G6613">PRODUCT( _xlfn._xlws.FILTER($E:$E, ($C:$C=C6613)*($F:$F=F6613)) ) - 1</f>
        <v>1.5097122986293954E-2</v>
      </c>
    </row>
    <row r="6614" spans="1:7" x14ac:dyDescent="0.2">
      <c r="A6614" s="1">
        <v>41397</v>
      </c>
      <c r="B6614">
        <v>2</v>
      </c>
      <c r="C6614" t="s">
        <v>16</v>
      </c>
      <c r="D6614">
        <v>9.7169999999999999E-3</v>
      </c>
      <c r="E6614">
        <f t="shared" si="206"/>
        <v>1.009717</v>
      </c>
      <c r="F6614" s="1">
        <f t="shared" si="207"/>
        <v>41393</v>
      </c>
      <c r="G6614" cm="1">
        <f t="array" ref="G6614">PRODUCT( _xlfn._xlws.FILTER($E:$E, ($C:$C=C6614)*($F:$F=F6614)) ) - 1</f>
        <v>1.5097122986293954E-2</v>
      </c>
    </row>
    <row r="6615" spans="1:7" x14ac:dyDescent="0.2">
      <c r="A6615" s="1">
        <v>41400</v>
      </c>
      <c r="B6615">
        <v>2</v>
      </c>
      <c r="C6615" t="s">
        <v>16</v>
      </c>
      <c r="D6615">
        <v>-1.75E-3</v>
      </c>
      <c r="E6615">
        <f t="shared" si="206"/>
        <v>0.99824999999999997</v>
      </c>
      <c r="F6615" s="1">
        <f t="shared" si="207"/>
        <v>41400</v>
      </c>
      <c r="G6615" cm="1">
        <f t="array" ref="G6615">PRODUCT( _xlfn._xlws.FILTER($E:$E, ($C:$C=C6615)*($F:$F=F6615)) ) - 1</f>
        <v>1.3706019388610047E-2</v>
      </c>
    </row>
    <row r="6616" spans="1:7" x14ac:dyDescent="0.2">
      <c r="A6616" s="1">
        <v>41401</v>
      </c>
      <c r="B6616">
        <v>2</v>
      </c>
      <c r="C6616" t="s">
        <v>16</v>
      </c>
      <c r="D6616">
        <v>-1.4610000000000001E-3</v>
      </c>
      <c r="E6616">
        <f t="shared" si="206"/>
        <v>0.99853899999999995</v>
      </c>
      <c r="F6616" s="1">
        <f t="shared" si="207"/>
        <v>41400</v>
      </c>
      <c r="G6616" cm="1">
        <f t="array" ref="G6616">PRODUCT( _xlfn._xlws.FILTER($E:$E, ($C:$C=C6616)*($F:$F=F6616)) ) - 1</f>
        <v>1.3706019388610047E-2</v>
      </c>
    </row>
    <row r="6617" spans="1:7" x14ac:dyDescent="0.2">
      <c r="A6617" s="1">
        <v>41402</v>
      </c>
      <c r="B6617">
        <v>2</v>
      </c>
      <c r="C6617" t="s">
        <v>16</v>
      </c>
      <c r="D6617">
        <v>-5.8500000000000002E-4</v>
      </c>
      <c r="E6617">
        <f t="shared" si="206"/>
        <v>0.99941500000000005</v>
      </c>
      <c r="F6617" s="1">
        <f t="shared" si="207"/>
        <v>41400</v>
      </c>
      <c r="G6617" cm="1">
        <f t="array" ref="G6617">PRODUCT( _xlfn._xlws.FILTER($E:$E, ($C:$C=C6617)*($F:$F=F6617)) ) - 1</f>
        <v>1.3706019388610047E-2</v>
      </c>
    </row>
    <row r="6618" spans="1:7" x14ac:dyDescent="0.2">
      <c r="A6618" s="1">
        <v>41403</v>
      </c>
      <c r="B6618">
        <v>2</v>
      </c>
      <c r="C6618" t="s">
        <v>16</v>
      </c>
      <c r="D6618">
        <v>7.6109999999999997E-3</v>
      </c>
      <c r="E6618">
        <f t="shared" si="206"/>
        <v>1.007611</v>
      </c>
      <c r="F6618" s="1">
        <f t="shared" si="207"/>
        <v>41400</v>
      </c>
      <c r="G6618" cm="1">
        <f t="array" ref="G6618">PRODUCT( _xlfn._xlws.FILTER($E:$E, ($C:$C=C6618)*($F:$F=F6618)) ) - 1</f>
        <v>1.3706019388610047E-2</v>
      </c>
    </row>
    <row r="6619" spans="1:7" x14ac:dyDescent="0.2">
      <c r="A6619" s="1">
        <v>41404</v>
      </c>
      <c r="B6619">
        <v>2</v>
      </c>
      <c r="C6619" t="s">
        <v>16</v>
      </c>
      <c r="D6619">
        <v>9.8779999999999996E-3</v>
      </c>
      <c r="E6619">
        <f t="shared" si="206"/>
        <v>1.0098780000000001</v>
      </c>
      <c r="F6619" s="1">
        <f t="shared" si="207"/>
        <v>41400</v>
      </c>
      <c r="G6619" cm="1">
        <f t="array" ref="G6619">PRODUCT( _xlfn._xlws.FILTER($E:$E, ($C:$C=C6619)*($F:$F=F6619)) ) - 1</f>
        <v>1.3706019388610047E-2</v>
      </c>
    </row>
    <row r="6620" spans="1:7" x14ac:dyDescent="0.2">
      <c r="A6620" s="1">
        <v>41407</v>
      </c>
      <c r="B6620">
        <v>2</v>
      </c>
      <c r="C6620" t="s">
        <v>16</v>
      </c>
      <c r="D6620">
        <v>2.8770000000000002E-3</v>
      </c>
      <c r="E6620">
        <f t="shared" si="206"/>
        <v>1.002877</v>
      </c>
      <c r="F6620" s="1">
        <f t="shared" si="207"/>
        <v>41407</v>
      </c>
      <c r="G6620" cm="1">
        <f t="array" ref="G6620">PRODUCT( _xlfn._xlws.FILTER($E:$E, ($C:$C=C6620)*($F:$F=F6620)) ) - 1</f>
        <v>2.1577581087137254E-2</v>
      </c>
    </row>
    <row r="6621" spans="1:7" x14ac:dyDescent="0.2">
      <c r="A6621" s="1">
        <v>41408</v>
      </c>
      <c r="B6621">
        <v>2</v>
      </c>
      <c r="C6621" t="s">
        <v>16</v>
      </c>
      <c r="D6621">
        <v>4.3030000000000004E-3</v>
      </c>
      <c r="E6621">
        <f t="shared" si="206"/>
        <v>1.0043029999999999</v>
      </c>
      <c r="F6621" s="1">
        <f t="shared" si="207"/>
        <v>41407</v>
      </c>
      <c r="G6621" cm="1">
        <f t="array" ref="G6621">PRODUCT( _xlfn._xlws.FILTER($E:$E, ($C:$C=C6621)*($F:$F=F6621)) ) - 1</f>
        <v>2.1577581087137254E-2</v>
      </c>
    </row>
    <row r="6622" spans="1:7" x14ac:dyDescent="0.2">
      <c r="A6622" s="1">
        <v>41409</v>
      </c>
      <c r="B6622">
        <v>2</v>
      </c>
      <c r="C6622" t="s">
        <v>16</v>
      </c>
      <c r="D6622">
        <v>-1.9989999999999999E-3</v>
      </c>
      <c r="E6622">
        <f t="shared" si="206"/>
        <v>0.99800100000000003</v>
      </c>
      <c r="F6622" s="1">
        <f t="shared" si="207"/>
        <v>41407</v>
      </c>
      <c r="G6622" cm="1">
        <f t="array" ref="G6622">PRODUCT( _xlfn._xlws.FILTER($E:$E, ($C:$C=C6622)*($F:$F=F6622)) ) - 1</f>
        <v>2.1577581087137254E-2</v>
      </c>
    </row>
    <row r="6623" spans="1:7" x14ac:dyDescent="0.2">
      <c r="A6623" s="1">
        <v>41410</v>
      </c>
      <c r="B6623">
        <v>2</v>
      </c>
      <c r="C6623" t="s">
        <v>16</v>
      </c>
      <c r="D6623">
        <v>3.4350000000000001E-3</v>
      </c>
      <c r="E6623">
        <f t="shared" si="206"/>
        <v>1.0034350000000001</v>
      </c>
      <c r="F6623" s="1">
        <f t="shared" si="207"/>
        <v>41407</v>
      </c>
      <c r="G6623" cm="1">
        <f t="array" ref="G6623">PRODUCT( _xlfn._xlws.FILTER($E:$E, ($C:$C=C6623)*($F:$F=F6623)) ) - 1</f>
        <v>2.1577581087137254E-2</v>
      </c>
    </row>
    <row r="6624" spans="1:7" x14ac:dyDescent="0.2">
      <c r="A6624" s="1">
        <v>41411</v>
      </c>
      <c r="B6624">
        <v>2</v>
      </c>
      <c r="C6624" t="s">
        <v>16</v>
      </c>
      <c r="D6624">
        <v>1.2834999999999999E-2</v>
      </c>
      <c r="E6624">
        <f t="shared" si="206"/>
        <v>1.0128349999999999</v>
      </c>
      <c r="F6624" s="1">
        <f t="shared" si="207"/>
        <v>41407</v>
      </c>
      <c r="G6624" cm="1">
        <f t="array" ref="G6624">PRODUCT( _xlfn._xlws.FILTER($E:$E, ($C:$C=C6624)*($F:$F=F6624)) ) - 1</f>
        <v>2.1577581087137254E-2</v>
      </c>
    </row>
    <row r="6625" spans="1:7" x14ac:dyDescent="0.2">
      <c r="A6625" s="1">
        <v>41415</v>
      </c>
      <c r="B6625">
        <v>2</v>
      </c>
      <c r="C6625" t="s">
        <v>16</v>
      </c>
      <c r="D6625">
        <v>1.9536000000000001E-2</v>
      </c>
      <c r="E6625">
        <f t="shared" si="206"/>
        <v>1.019536</v>
      </c>
      <c r="F6625" s="1">
        <f t="shared" si="207"/>
        <v>41414</v>
      </c>
      <c r="G6625" cm="1">
        <f t="array" ref="G6625">PRODUCT( _xlfn._xlws.FILTER($E:$E, ($C:$C=C6625)*($F:$F=F6625)) ) - 1</f>
        <v>3.3747475085897261E-2</v>
      </c>
    </row>
    <row r="6626" spans="1:7" x14ac:dyDescent="0.2">
      <c r="A6626" s="1">
        <v>41416</v>
      </c>
      <c r="B6626">
        <v>2</v>
      </c>
      <c r="C6626" t="s">
        <v>16</v>
      </c>
      <c r="D6626">
        <v>9.4789999999999996E-3</v>
      </c>
      <c r="E6626">
        <f t="shared" si="206"/>
        <v>1.009479</v>
      </c>
      <c r="F6626" s="1">
        <f t="shared" si="207"/>
        <v>41414</v>
      </c>
      <c r="G6626" cm="1">
        <f t="array" ref="G6626">PRODUCT( _xlfn._xlws.FILTER($E:$E, ($C:$C=C6626)*($F:$F=F6626)) ) - 1</f>
        <v>3.3747475085897261E-2</v>
      </c>
    </row>
    <row r="6627" spans="1:7" x14ac:dyDescent="0.2">
      <c r="A6627" s="1">
        <v>41417</v>
      </c>
      <c r="B6627">
        <v>2</v>
      </c>
      <c r="C6627" t="s">
        <v>16</v>
      </c>
      <c r="D6627">
        <v>-3.0379999999999999E-3</v>
      </c>
      <c r="E6627">
        <f t="shared" si="206"/>
        <v>0.99696200000000001</v>
      </c>
      <c r="F6627" s="1">
        <f t="shared" si="207"/>
        <v>41414</v>
      </c>
      <c r="G6627" cm="1">
        <f t="array" ref="G6627">PRODUCT( _xlfn._xlws.FILTER($E:$E, ($C:$C=C6627)*($F:$F=F6627)) ) - 1</f>
        <v>3.3747475085897261E-2</v>
      </c>
    </row>
    <row r="6628" spans="1:7" x14ac:dyDescent="0.2">
      <c r="A6628" s="1">
        <v>41418</v>
      </c>
      <c r="B6628">
        <v>2</v>
      </c>
      <c r="C6628" t="s">
        <v>16</v>
      </c>
      <c r="D6628">
        <v>7.4790000000000004E-3</v>
      </c>
      <c r="E6628">
        <f t="shared" si="206"/>
        <v>1.007479</v>
      </c>
      <c r="F6628" s="1">
        <f t="shared" si="207"/>
        <v>41414</v>
      </c>
      <c r="G6628" cm="1">
        <f t="array" ref="G6628">PRODUCT( _xlfn._xlws.FILTER($E:$E, ($C:$C=C6628)*($F:$F=F6628)) ) - 1</f>
        <v>3.3747475085897261E-2</v>
      </c>
    </row>
    <row r="6629" spans="1:7" x14ac:dyDescent="0.2">
      <c r="A6629" s="1">
        <v>41421</v>
      </c>
      <c r="B6629">
        <v>2</v>
      </c>
      <c r="C6629" t="s">
        <v>16</v>
      </c>
      <c r="D6629">
        <v>-5.5000000000000003E-4</v>
      </c>
      <c r="E6629">
        <f t="shared" si="206"/>
        <v>0.99944999999999995</v>
      </c>
      <c r="F6629" s="1">
        <f t="shared" si="207"/>
        <v>41421</v>
      </c>
      <c r="G6629" cm="1">
        <f t="array" ref="G6629">PRODUCT( _xlfn._xlws.FILTER($E:$E, ($C:$C=C6629)*($F:$F=F6629)) ) - 1</f>
        <v>-5.1416637501739082E-2</v>
      </c>
    </row>
    <row r="6630" spans="1:7" x14ac:dyDescent="0.2">
      <c r="A6630" s="1">
        <v>41422</v>
      </c>
      <c r="B6630">
        <v>2</v>
      </c>
      <c r="C6630" t="s">
        <v>16</v>
      </c>
      <c r="D6630">
        <v>2.751E-3</v>
      </c>
      <c r="E6630">
        <f t="shared" si="206"/>
        <v>1.0027509999999999</v>
      </c>
      <c r="F6630" s="1">
        <f t="shared" si="207"/>
        <v>41421</v>
      </c>
      <c r="G6630" cm="1">
        <f t="array" ref="G6630">PRODUCT( _xlfn._xlws.FILTER($E:$E, ($C:$C=C6630)*($F:$F=F6630)) ) - 1</f>
        <v>-5.1416637501739082E-2</v>
      </c>
    </row>
    <row r="6631" spans="1:7" x14ac:dyDescent="0.2">
      <c r="A6631" s="1">
        <v>41423</v>
      </c>
      <c r="B6631">
        <v>2</v>
      </c>
      <c r="C6631" t="s">
        <v>16</v>
      </c>
      <c r="D6631">
        <v>-1.5089E-2</v>
      </c>
      <c r="E6631">
        <f t="shared" si="206"/>
        <v>0.98491099999999998</v>
      </c>
      <c r="F6631" s="1">
        <f t="shared" si="207"/>
        <v>41421</v>
      </c>
      <c r="G6631" cm="1">
        <f t="array" ref="G6631">PRODUCT( _xlfn._xlws.FILTER($E:$E, ($C:$C=C6631)*($F:$F=F6631)) ) - 1</f>
        <v>-5.1416637501739082E-2</v>
      </c>
    </row>
    <row r="6632" spans="1:7" x14ac:dyDescent="0.2">
      <c r="A6632" s="1">
        <v>41424</v>
      </c>
      <c r="B6632">
        <v>2</v>
      </c>
      <c r="C6632" t="s">
        <v>16</v>
      </c>
      <c r="D6632">
        <v>-1.3927999999999999E-2</v>
      </c>
      <c r="E6632">
        <f t="shared" si="206"/>
        <v>0.98607199999999995</v>
      </c>
      <c r="F6632" s="1">
        <f t="shared" si="207"/>
        <v>41421</v>
      </c>
      <c r="G6632" cm="1">
        <f t="array" ref="G6632">PRODUCT( _xlfn._xlws.FILTER($E:$E, ($C:$C=C6632)*($F:$F=F6632)) ) - 1</f>
        <v>-5.1416637501739082E-2</v>
      </c>
    </row>
    <row r="6633" spans="1:7" x14ac:dyDescent="0.2">
      <c r="A6633" s="1">
        <v>41425</v>
      </c>
      <c r="B6633">
        <v>2</v>
      </c>
      <c r="C6633" t="s">
        <v>16</v>
      </c>
      <c r="D6633">
        <v>-2.5423999999999999E-2</v>
      </c>
      <c r="E6633">
        <f t="shared" si="206"/>
        <v>0.974576</v>
      </c>
      <c r="F6633" s="1">
        <f t="shared" si="207"/>
        <v>41421</v>
      </c>
      <c r="G6633" cm="1">
        <f t="array" ref="G6633">PRODUCT( _xlfn._xlws.FILTER($E:$E, ($C:$C=C6633)*($F:$F=F6633)) ) - 1</f>
        <v>-5.1416637501739082E-2</v>
      </c>
    </row>
    <row r="6634" spans="1:7" x14ac:dyDescent="0.2">
      <c r="A6634" s="1">
        <v>41428</v>
      </c>
      <c r="B6634">
        <v>2</v>
      </c>
      <c r="C6634" t="s">
        <v>16</v>
      </c>
      <c r="D6634">
        <v>6.3769999999999999E-3</v>
      </c>
      <c r="E6634">
        <f t="shared" si="206"/>
        <v>1.0063770000000001</v>
      </c>
      <c r="F6634" s="1">
        <f t="shared" si="207"/>
        <v>41428</v>
      </c>
      <c r="G6634" cm="1">
        <f t="array" ref="G6634">PRODUCT( _xlfn._xlws.FILTER($E:$E, ($C:$C=C6634)*($F:$F=F6634)) ) - 1</f>
        <v>-1.4492564158762322E-3</v>
      </c>
    </row>
    <row r="6635" spans="1:7" x14ac:dyDescent="0.2">
      <c r="A6635" s="1">
        <v>41429</v>
      </c>
      <c r="B6635">
        <v>2</v>
      </c>
      <c r="C6635" t="s">
        <v>16</v>
      </c>
      <c r="D6635">
        <v>7.4879999999999999E-3</v>
      </c>
      <c r="E6635">
        <f t="shared" si="206"/>
        <v>1.0074879999999999</v>
      </c>
      <c r="F6635" s="1">
        <f t="shared" si="207"/>
        <v>41428</v>
      </c>
      <c r="G6635" cm="1">
        <f t="array" ref="G6635">PRODUCT( _xlfn._xlws.FILTER($E:$E, ($C:$C=C6635)*($F:$F=F6635)) ) - 1</f>
        <v>-1.4492564158762322E-3</v>
      </c>
    </row>
    <row r="6636" spans="1:7" x14ac:dyDescent="0.2">
      <c r="A6636" s="1">
        <v>41430</v>
      </c>
      <c r="B6636">
        <v>2</v>
      </c>
      <c r="C6636" t="s">
        <v>16</v>
      </c>
      <c r="D6636">
        <v>-8.5760000000000003E-3</v>
      </c>
      <c r="E6636">
        <f t="shared" si="206"/>
        <v>0.99142399999999997</v>
      </c>
      <c r="F6636" s="1">
        <f t="shared" si="207"/>
        <v>41428</v>
      </c>
      <c r="G6636" cm="1">
        <f t="array" ref="G6636">PRODUCT( _xlfn._xlws.FILTER($E:$E, ($C:$C=C6636)*($F:$F=F6636)) ) - 1</f>
        <v>-1.4492564158762322E-3</v>
      </c>
    </row>
    <row r="6637" spans="1:7" x14ac:dyDescent="0.2">
      <c r="A6637" s="1">
        <v>41431</v>
      </c>
      <c r="B6637">
        <v>2</v>
      </c>
      <c r="C6637" t="s">
        <v>16</v>
      </c>
      <c r="D6637">
        <v>-1.1821999999999999E-2</v>
      </c>
      <c r="E6637">
        <f t="shared" si="206"/>
        <v>0.988178</v>
      </c>
      <c r="F6637" s="1">
        <f t="shared" si="207"/>
        <v>41428</v>
      </c>
      <c r="G6637" cm="1">
        <f t="array" ref="G6637">PRODUCT( _xlfn._xlws.FILTER($E:$E, ($C:$C=C6637)*($F:$F=F6637)) ) - 1</f>
        <v>-1.4492564158762322E-3</v>
      </c>
    </row>
    <row r="6638" spans="1:7" x14ac:dyDescent="0.2">
      <c r="A6638" s="1">
        <v>41432</v>
      </c>
      <c r="B6638">
        <v>2</v>
      </c>
      <c r="C6638" t="s">
        <v>16</v>
      </c>
      <c r="D6638">
        <v>5.2519999999999997E-3</v>
      </c>
      <c r="E6638">
        <f t="shared" si="206"/>
        <v>1.005252</v>
      </c>
      <c r="F6638" s="1">
        <f t="shared" si="207"/>
        <v>41428</v>
      </c>
      <c r="G6638" cm="1">
        <f t="array" ref="G6638">PRODUCT( _xlfn._xlws.FILTER($E:$E, ($C:$C=C6638)*($F:$F=F6638)) ) - 1</f>
        <v>-1.4492564158762322E-3</v>
      </c>
    </row>
    <row r="6639" spans="1:7" x14ac:dyDescent="0.2">
      <c r="A6639" s="1">
        <v>41435</v>
      </c>
      <c r="B6639">
        <v>2</v>
      </c>
      <c r="C6639" t="s">
        <v>16</v>
      </c>
      <c r="D6639">
        <v>-2.032E-3</v>
      </c>
      <c r="E6639">
        <f t="shared" si="206"/>
        <v>0.99796799999999997</v>
      </c>
      <c r="F6639" s="1">
        <f t="shared" si="207"/>
        <v>41435</v>
      </c>
      <c r="G6639" cm="1">
        <f t="array" ref="G6639">PRODUCT( _xlfn._xlws.FILTER($E:$E, ($C:$C=C6639)*($F:$F=F6639)) ) - 1</f>
        <v>-2.2641642506005422E-2</v>
      </c>
    </row>
    <row r="6640" spans="1:7" x14ac:dyDescent="0.2">
      <c r="A6640" s="1">
        <v>41436</v>
      </c>
      <c r="B6640">
        <v>2</v>
      </c>
      <c r="C6640" t="s">
        <v>16</v>
      </c>
      <c r="D6640">
        <v>-5.2360000000000002E-3</v>
      </c>
      <c r="E6640">
        <f t="shared" si="206"/>
        <v>0.99476399999999998</v>
      </c>
      <c r="F6640" s="1">
        <f t="shared" si="207"/>
        <v>41435</v>
      </c>
      <c r="G6640" cm="1">
        <f t="array" ref="G6640">PRODUCT( _xlfn._xlws.FILTER($E:$E, ($C:$C=C6640)*($F:$F=F6640)) ) - 1</f>
        <v>-2.2641642506005422E-2</v>
      </c>
    </row>
    <row r="6641" spans="1:7" x14ac:dyDescent="0.2">
      <c r="A6641" s="1">
        <v>41437</v>
      </c>
      <c r="B6641">
        <v>2</v>
      </c>
      <c r="C6641" t="s">
        <v>16</v>
      </c>
      <c r="D6641">
        <v>-1.7836000000000001E-2</v>
      </c>
      <c r="E6641">
        <f t="shared" si="206"/>
        <v>0.98216400000000004</v>
      </c>
      <c r="F6641" s="1">
        <f t="shared" si="207"/>
        <v>41435</v>
      </c>
      <c r="G6641" cm="1">
        <f t="array" ref="G6641">PRODUCT( _xlfn._xlws.FILTER($E:$E, ($C:$C=C6641)*($F:$F=F6641)) ) - 1</f>
        <v>-2.2641642506005422E-2</v>
      </c>
    </row>
    <row r="6642" spans="1:7" x14ac:dyDescent="0.2">
      <c r="A6642" s="1">
        <v>41438</v>
      </c>
      <c r="B6642">
        <v>2</v>
      </c>
      <c r="C6642" t="s">
        <v>16</v>
      </c>
      <c r="D6642">
        <v>4.4660000000000004E-3</v>
      </c>
      <c r="E6642">
        <f t="shared" si="206"/>
        <v>1.0044660000000001</v>
      </c>
      <c r="F6642" s="1">
        <f t="shared" si="207"/>
        <v>41435</v>
      </c>
      <c r="G6642" cm="1">
        <f t="array" ref="G6642">PRODUCT( _xlfn._xlws.FILTER($E:$E, ($C:$C=C6642)*($F:$F=F6642)) ) - 1</f>
        <v>-2.2641642506005422E-2</v>
      </c>
    </row>
    <row r="6643" spans="1:7" x14ac:dyDescent="0.2">
      <c r="A6643" s="1">
        <v>41439</v>
      </c>
      <c r="B6643">
        <v>2</v>
      </c>
      <c r="C6643" t="s">
        <v>16</v>
      </c>
      <c r="D6643">
        <v>-2.075E-3</v>
      </c>
      <c r="E6643">
        <f t="shared" si="206"/>
        <v>0.99792499999999995</v>
      </c>
      <c r="F6643" s="1">
        <f t="shared" si="207"/>
        <v>41435</v>
      </c>
      <c r="G6643" cm="1">
        <f t="array" ref="G6643">PRODUCT( _xlfn._xlws.FILTER($E:$E, ($C:$C=C6643)*($F:$F=F6643)) ) - 1</f>
        <v>-2.2641642506005422E-2</v>
      </c>
    </row>
    <row r="6644" spans="1:7" x14ac:dyDescent="0.2">
      <c r="A6644" s="1">
        <v>41442</v>
      </c>
      <c r="B6644">
        <v>2</v>
      </c>
      <c r="C6644" t="s">
        <v>16</v>
      </c>
      <c r="D6644">
        <v>1.2177E-2</v>
      </c>
      <c r="E6644">
        <f t="shared" si="206"/>
        <v>1.0121770000000001</v>
      </c>
      <c r="F6644" s="1">
        <f t="shared" si="207"/>
        <v>41442</v>
      </c>
      <c r="G6644" cm="1">
        <f t="array" ref="G6644">PRODUCT( _xlfn._xlws.FILTER($E:$E, ($C:$C=C6644)*($F:$F=F6644)) ) - 1</f>
        <v>-5.9388634385515449E-4</v>
      </c>
    </row>
    <row r="6645" spans="1:7" x14ac:dyDescent="0.2">
      <c r="A6645" s="1">
        <v>41443</v>
      </c>
      <c r="B6645">
        <v>2</v>
      </c>
      <c r="C6645" t="s">
        <v>16</v>
      </c>
      <c r="D6645">
        <v>1.2324E-2</v>
      </c>
      <c r="E6645">
        <f t="shared" si="206"/>
        <v>1.012324</v>
      </c>
      <c r="F6645" s="1">
        <f t="shared" si="207"/>
        <v>41442</v>
      </c>
      <c r="G6645" cm="1">
        <f t="array" ref="G6645">PRODUCT( _xlfn._xlws.FILTER($E:$E, ($C:$C=C6645)*($F:$F=F6645)) ) - 1</f>
        <v>-5.9388634385515449E-4</v>
      </c>
    </row>
    <row r="6646" spans="1:7" x14ac:dyDescent="0.2">
      <c r="A6646" s="1">
        <v>41444</v>
      </c>
      <c r="B6646">
        <v>2</v>
      </c>
      <c r="C6646" t="s">
        <v>16</v>
      </c>
      <c r="D6646">
        <v>-6.0870000000000004E-3</v>
      </c>
      <c r="E6646">
        <f t="shared" si="206"/>
        <v>0.99391300000000005</v>
      </c>
      <c r="F6646" s="1">
        <f t="shared" si="207"/>
        <v>41442</v>
      </c>
      <c r="G6646" cm="1">
        <f t="array" ref="G6646">PRODUCT( _xlfn._xlws.FILTER($E:$E, ($C:$C=C6646)*($F:$F=F6646)) ) - 1</f>
        <v>-5.9388634385515449E-4</v>
      </c>
    </row>
    <row r="6647" spans="1:7" x14ac:dyDescent="0.2">
      <c r="A6647" s="1">
        <v>41445</v>
      </c>
      <c r="B6647">
        <v>2</v>
      </c>
      <c r="C6647" t="s">
        <v>16</v>
      </c>
      <c r="D6647">
        <v>-1.6039999999999999E-2</v>
      </c>
      <c r="E6647">
        <f t="shared" si="206"/>
        <v>0.98395999999999995</v>
      </c>
      <c r="F6647" s="1">
        <f t="shared" si="207"/>
        <v>41442</v>
      </c>
      <c r="G6647" cm="1">
        <f t="array" ref="G6647">PRODUCT( _xlfn._xlws.FILTER($E:$E, ($C:$C=C6647)*($F:$F=F6647)) ) - 1</f>
        <v>-5.9388634385515449E-4</v>
      </c>
    </row>
    <row r="6648" spans="1:7" x14ac:dyDescent="0.2">
      <c r="A6648" s="1">
        <v>41446</v>
      </c>
      <c r="B6648">
        <v>2</v>
      </c>
      <c r="C6648" t="s">
        <v>16</v>
      </c>
      <c r="D6648">
        <v>-2.6670000000000001E-3</v>
      </c>
      <c r="E6648">
        <f t="shared" si="206"/>
        <v>0.99733300000000003</v>
      </c>
      <c r="F6648" s="1">
        <f t="shared" si="207"/>
        <v>41442</v>
      </c>
      <c r="G6648" cm="1">
        <f t="array" ref="G6648">PRODUCT( _xlfn._xlws.FILTER($E:$E, ($C:$C=C6648)*($F:$F=F6648)) ) - 1</f>
        <v>-5.9388634385515449E-4</v>
      </c>
    </row>
    <row r="6649" spans="1:7" x14ac:dyDescent="0.2">
      <c r="A6649" s="1">
        <v>41449</v>
      </c>
      <c r="B6649">
        <v>2</v>
      </c>
      <c r="C6649" t="s">
        <v>16</v>
      </c>
      <c r="D6649">
        <v>-1.5155999999999999E-2</v>
      </c>
      <c r="E6649">
        <f t="shared" si="206"/>
        <v>0.98484400000000005</v>
      </c>
      <c r="F6649" s="1">
        <f t="shared" si="207"/>
        <v>41449</v>
      </c>
      <c r="G6649" cm="1">
        <f t="array" ref="G6649">PRODUCT( _xlfn._xlws.FILTER($E:$E, ($C:$C=C6649)*($F:$F=F6649)) ) - 1</f>
        <v>1.9911676726490635E-2</v>
      </c>
    </row>
    <row r="6650" spans="1:7" x14ac:dyDescent="0.2">
      <c r="A6650" s="1">
        <v>41450</v>
      </c>
      <c r="B6650">
        <v>2</v>
      </c>
      <c r="C6650" t="s">
        <v>16</v>
      </c>
      <c r="D6650">
        <v>7.8460000000000005E-3</v>
      </c>
      <c r="E6650">
        <f t="shared" si="206"/>
        <v>1.007846</v>
      </c>
      <c r="F6650" s="1">
        <f t="shared" si="207"/>
        <v>41449</v>
      </c>
      <c r="G6650" cm="1">
        <f t="array" ref="G6650">PRODUCT( _xlfn._xlws.FILTER($E:$E, ($C:$C=C6650)*($F:$F=F6650)) ) - 1</f>
        <v>1.9911676726490635E-2</v>
      </c>
    </row>
    <row r="6651" spans="1:7" x14ac:dyDescent="0.2">
      <c r="A6651" s="1">
        <v>41451</v>
      </c>
      <c r="B6651">
        <v>2</v>
      </c>
      <c r="C6651" t="s">
        <v>16</v>
      </c>
      <c r="D6651">
        <v>9.5809999999999992E-3</v>
      </c>
      <c r="E6651">
        <f t="shared" si="206"/>
        <v>1.0095810000000001</v>
      </c>
      <c r="F6651" s="1">
        <f t="shared" si="207"/>
        <v>41449</v>
      </c>
      <c r="G6651" cm="1">
        <f t="array" ref="G6651">PRODUCT( _xlfn._xlws.FILTER($E:$E, ($C:$C=C6651)*($F:$F=F6651)) ) - 1</f>
        <v>1.9911676726490635E-2</v>
      </c>
    </row>
    <row r="6652" spans="1:7" x14ac:dyDescent="0.2">
      <c r="A6652" s="1">
        <v>41452</v>
      </c>
      <c r="B6652">
        <v>2</v>
      </c>
      <c r="C6652" t="s">
        <v>16</v>
      </c>
      <c r="D6652">
        <v>8.0070000000000002E-3</v>
      </c>
      <c r="E6652">
        <f t="shared" si="206"/>
        <v>1.0080070000000001</v>
      </c>
      <c r="F6652" s="1">
        <f t="shared" si="207"/>
        <v>41449</v>
      </c>
      <c r="G6652" cm="1">
        <f t="array" ref="G6652">PRODUCT( _xlfn._xlws.FILTER($E:$E, ($C:$C=C6652)*($F:$F=F6652)) ) - 1</f>
        <v>1.9911676726490635E-2</v>
      </c>
    </row>
    <row r="6653" spans="1:7" x14ac:dyDescent="0.2">
      <c r="A6653" s="1">
        <v>41453</v>
      </c>
      <c r="B6653">
        <v>2</v>
      </c>
      <c r="C6653" t="s">
        <v>16</v>
      </c>
      <c r="D6653">
        <v>9.7090000000000006E-3</v>
      </c>
      <c r="E6653">
        <f t="shared" si="206"/>
        <v>1.009709</v>
      </c>
      <c r="F6653" s="1">
        <f t="shared" si="207"/>
        <v>41449</v>
      </c>
      <c r="G6653" cm="1">
        <f t="array" ref="G6653">PRODUCT( _xlfn._xlws.FILTER($E:$E, ($C:$C=C6653)*($F:$F=F6653)) ) - 1</f>
        <v>1.9911676726490635E-2</v>
      </c>
    </row>
    <row r="6654" spans="1:7" x14ac:dyDescent="0.2">
      <c r="A6654" s="1">
        <v>41457</v>
      </c>
      <c r="B6654">
        <v>2</v>
      </c>
      <c r="C6654" t="s">
        <v>16</v>
      </c>
      <c r="D6654">
        <v>1.1659999999999999E-3</v>
      </c>
      <c r="E6654">
        <f t="shared" si="206"/>
        <v>1.001166</v>
      </c>
      <c r="F6654" s="1">
        <f t="shared" si="207"/>
        <v>41456</v>
      </c>
      <c r="G6654" cm="1">
        <f t="array" ref="G6654">PRODUCT( _xlfn._xlws.FILTER($E:$E, ($C:$C=C6654)*($F:$F=F6654)) ) - 1</f>
        <v>2.3315317356091825E-3</v>
      </c>
    </row>
    <row r="6655" spans="1:7" x14ac:dyDescent="0.2">
      <c r="A6655" s="1">
        <v>41458</v>
      </c>
      <c r="B6655">
        <v>2</v>
      </c>
      <c r="C6655" t="s">
        <v>16</v>
      </c>
      <c r="D6655">
        <v>-6.1120000000000002E-3</v>
      </c>
      <c r="E6655">
        <f t="shared" si="206"/>
        <v>0.99388799999999999</v>
      </c>
      <c r="F6655" s="1">
        <f t="shared" si="207"/>
        <v>41456</v>
      </c>
      <c r="G6655" cm="1">
        <f t="array" ref="G6655">PRODUCT( _xlfn._xlws.FILTER($E:$E, ($C:$C=C6655)*($F:$F=F6655)) ) - 1</f>
        <v>2.3315317356091825E-3</v>
      </c>
    </row>
    <row r="6656" spans="1:7" x14ac:dyDescent="0.2">
      <c r="A6656" s="1">
        <v>41459</v>
      </c>
      <c r="B6656">
        <v>2</v>
      </c>
      <c r="C6656" t="s">
        <v>16</v>
      </c>
      <c r="D6656">
        <v>6.7349999999999997E-3</v>
      </c>
      <c r="E6656">
        <f t="shared" si="206"/>
        <v>1.0067349999999999</v>
      </c>
      <c r="F6656" s="1">
        <f t="shared" si="207"/>
        <v>41456</v>
      </c>
      <c r="G6656" cm="1">
        <f t="array" ref="G6656">PRODUCT( _xlfn._xlws.FILTER($E:$E, ($C:$C=C6656)*($F:$F=F6656)) ) - 1</f>
        <v>2.3315317356091825E-3</v>
      </c>
    </row>
    <row r="6657" spans="1:7" x14ac:dyDescent="0.2">
      <c r="A6657" s="1">
        <v>41460</v>
      </c>
      <c r="B6657">
        <v>2</v>
      </c>
      <c r="C6657" t="s">
        <v>16</v>
      </c>
      <c r="D6657">
        <v>5.8200000000000005E-4</v>
      </c>
      <c r="E6657">
        <f t="shared" si="206"/>
        <v>1.0005820000000001</v>
      </c>
      <c r="F6657" s="1">
        <f t="shared" si="207"/>
        <v>41456</v>
      </c>
      <c r="G6657" cm="1">
        <f t="array" ref="G6657">PRODUCT( _xlfn._xlws.FILTER($E:$E, ($C:$C=C6657)*($F:$F=F6657)) ) - 1</f>
        <v>2.3315317356091825E-3</v>
      </c>
    </row>
    <row r="6658" spans="1:7" x14ac:dyDescent="0.2">
      <c r="A6658" s="1">
        <v>41463</v>
      </c>
      <c r="B6658">
        <v>2</v>
      </c>
      <c r="C6658" t="s">
        <v>16</v>
      </c>
      <c r="D6658">
        <v>2.9069999999999999E-3</v>
      </c>
      <c r="E6658">
        <f t="shared" si="206"/>
        <v>1.002907</v>
      </c>
      <c r="F6658" s="1">
        <f t="shared" si="207"/>
        <v>41463</v>
      </c>
      <c r="G6658" cm="1">
        <f t="array" ref="G6658">PRODUCT( _xlfn._xlws.FILTER($E:$E, ($C:$C=C6658)*($F:$F=F6658)) ) - 1</f>
        <v>2.5872066914886416E-2</v>
      </c>
    </row>
    <row r="6659" spans="1:7" x14ac:dyDescent="0.2">
      <c r="A6659" s="1">
        <v>41464</v>
      </c>
      <c r="B6659">
        <v>2</v>
      </c>
      <c r="C6659" t="s">
        <v>16</v>
      </c>
      <c r="D6659">
        <v>1.4493000000000001E-2</v>
      </c>
      <c r="E6659">
        <f t="shared" si="206"/>
        <v>1.0144930000000001</v>
      </c>
      <c r="F6659" s="1">
        <f t="shared" si="207"/>
        <v>41463</v>
      </c>
      <c r="G6659" cm="1">
        <f t="array" ref="G6659">PRODUCT( _xlfn._xlws.FILTER($E:$E, ($C:$C=C6659)*($F:$F=F6659)) ) - 1</f>
        <v>2.5872066914886416E-2</v>
      </c>
    </row>
    <row r="6660" spans="1:7" x14ac:dyDescent="0.2">
      <c r="A6660" s="1">
        <v>41465</v>
      </c>
      <c r="B6660">
        <v>2</v>
      </c>
      <c r="C6660" t="s">
        <v>16</v>
      </c>
      <c r="D6660">
        <v>1.714E-3</v>
      </c>
      <c r="E6660">
        <f t="shared" ref="E6660:E6723" si="208">D6660+1</f>
        <v>1.001714</v>
      </c>
      <c r="F6660" s="1">
        <f t="shared" ref="F6660:F6723" si="209">A6660 - (WEEKDAY(A6660, 2) - 1)</f>
        <v>41463</v>
      </c>
      <c r="G6660" cm="1">
        <f t="array" ref="G6660">PRODUCT( _xlfn._xlws.FILTER($E:$E, ($C:$C=C6660)*($F:$F=F6660)) ) - 1</f>
        <v>2.5872066914886416E-2</v>
      </c>
    </row>
    <row r="6661" spans="1:7" x14ac:dyDescent="0.2">
      <c r="A6661" s="1">
        <v>41466</v>
      </c>
      <c r="B6661">
        <v>2</v>
      </c>
      <c r="C6661" t="s">
        <v>16</v>
      </c>
      <c r="D6661">
        <v>1.1410000000000001E-3</v>
      </c>
      <c r="E6661">
        <f t="shared" si="208"/>
        <v>1.0011410000000001</v>
      </c>
      <c r="F6661" s="1">
        <f t="shared" si="209"/>
        <v>41463</v>
      </c>
      <c r="G6661" cm="1">
        <f t="array" ref="G6661">PRODUCT( _xlfn._xlws.FILTER($E:$E, ($C:$C=C6661)*($F:$F=F6661)) ) - 1</f>
        <v>2.5872066914886416E-2</v>
      </c>
    </row>
    <row r="6662" spans="1:7" x14ac:dyDescent="0.2">
      <c r="A6662" s="1">
        <v>41467</v>
      </c>
      <c r="B6662">
        <v>2</v>
      </c>
      <c r="C6662" t="s">
        <v>16</v>
      </c>
      <c r="D6662">
        <v>5.4130000000000003E-3</v>
      </c>
      <c r="E6662">
        <f t="shared" si="208"/>
        <v>1.0054129999999999</v>
      </c>
      <c r="F6662" s="1">
        <f t="shared" si="209"/>
        <v>41463</v>
      </c>
      <c r="G6662" cm="1">
        <f t="array" ref="G6662">PRODUCT( _xlfn._xlws.FILTER($E:$E, ($C:$C=C6662)*($F:$F=F6662)) ) - 1</f>
        <v>2.5872066914886416E-2</v>
      </c>
    </row>
    <row r="6663" spans="1:7" x14ac:dyDescent="0.2">
      <c r="A6663" s="1">
        <v>41470</v>
      </c>
      <c r="B6663">
        <v>2</v>
      </c>
      <c r="C6663" t="s">
        <v>16</v>
      </c>
      <c r="D6663">
        <v>9.3509999999999999E-3</v>
      </c>
      <c r="E6663">
        <f t="shared" si="208"/>
        <v>1.0093510000000001</v>
      </c>
      <c r="F6663" s="1">
        <f t="shared" si="209"/>
        <v>41470</v>
      </c>
      <c r="G6663" cm="1">
        <f t="array" ref="G6663">PRODUCT( _xlfn._xlws.FILTER($E:$E, ($C:$C=C6663)*($F:$F=F6663)) ) - 1</f>
        <v>1.4168218982319347E-2</v>
      </c>
    </row>
    <row r="6664" spans="1:7" x14ac:dyDescent="0.2">
      <c r="A6664" s="1">
        <v>41471</v>
      </c>
      <c r="B6664">
        <v>2</v>
      </c>
      <c r="C6664" t="s">
        <v>16</v>
      </c>
      <c r="D6664">
        <v>-3.65E-3</v>
      </c>
      <c r="E6664">
        <f t="shared" si="208"/>
        <v>0.99634999999999996</v>
      </c>
      <c r="F6664" s="1">
        <f t="shared" si="209"/>
        <v>41470</v>
      </c>
      <c r="G6664" cm="1">
        <f t="array" ref="G6664">PRODUCT( _xlfn._xlws.FILTER($E:$E, ($C:$C=C6664)*($F:$F=F6664)) ) - 1</f>
        <v>1.4168218982319347E-2</v>
      </c>
    </row>
    <row r="6665" spans="1:7" x14ac:dyDescent="0.2">
      <c r="A6665" s="1">
        <v>41472</v>
      </c>
      <c r="B6665">
        <v>2</v>
      </c>
      <c r="C6665" t="s">
        <v>16</v>
      </c>
      <c r="D6665">
        <v>9.8619999999999992E-3</v>
      </c>
      <c r="E6665">
        <f t="shared" si="208"/>
        <v>1.009862</v>
      </c>
      <c r="F6665" s="1">
        <f t="shared" si="209"/>
        <v>41470</v>
      </c>
      <c r="G6665" cm="1">
        <f t="array" ref="G6665">PRODUCT( _xlfn._xlws.FILTER($E:$E, ($C:$C=C6665)*($F:$F=F6665)) ) - 1</f>
        <v>1.4168218982319347E-2</v>
      </c>
    </row>
    <row r="6666" spans="1:7" x14ac:dyDescent="0.2">
      <c r="A6666" s="1">
        <v>41473</v>
      </c>
      <c r="B6666">
        <v>2</v>
      </c>
      <c r="C6666" t="s">
        <v>16</v>
      </c>
      <c r="D6666">
        <v>1.116E-3</v>
      </c>
      <c r="E6666">
        <f t="shared" si="208"/>
        <v>1.0011159999999999</v>
      </c>
      <c r="F6666" s="1">
        <f t="shared" si="209"/>
        <v>41470</v>
      </c>
      <c r="G6666" cm="1">
        <f t="array" ref="G6666">PRODUCT( _xlfn._xlws.FILTER($E:$E, ($C:$C=C6666)*($F:$F=F6666)) ) - 1</f>
        <v>1.4168218982319347E-2</v>
      </c>
    </row>
    <row r="6667" spans="1:7" x14ac:dyDescent="0.2">
      <c r="A6667" s="1">
        <v>41474</v>
      </c>
      <c r="B6667">
        <v>2</v>
      </c>
      <c r="C6667" t="s">
        <v>16</v>
      </c>
      <c r="D6667">
        <v>-2.5079999999999998E-3</v>
      </c>
      <c r="E6667">
        <f t="shared" si="208"/>
        <v>0.99749200000000005</v>
      </c>
      <c r="F6667" s="1">
        <f t="shared" si="209"/>
        <v>41470</v>
      </c>
      <c r="G6667" cm="1">
        <f t="array" ref="G6667">PRODUCT( _xlfn._xlws.FILTER($E:$E, ($C:$C=C6667)*($F:$F=F6667)) ) - 1</f>
        <v>1.4168218982319347E-2</v>
      </c>
    </row>
    <row r="6668" spans="1:7" x14ac:dyDescent="0.2">
      <c r="A6668" s="1">
        <v>41477</v>
      </c>
      <c r="B6668">
        <v>2</v>
      </c>
      <c r="C6668" t="s">
        <v>16</v>
      </c>
      <c r="D6668">
        <v>5.5900000000000004E-4</v>
      </c>
      <c r="E6668">
        <f t="shared" si="208"/>
        <v>1.000559</v>
      </c>
      <c r="F6668" s="1">
        <f t="shared" si="209"/>
        <v>41477</v>
      </c>
      <c r="G6668" cm="1">
        <f t="array" ref="G6668">PRODUCT( _xlfn._xlws.FILTER($E:$E, ($C:$C=C6668)*($F:$F=F6668)) ) - 1</f>
        <v>1.3131401536678133E-2</v>
      </c>
    </row>
    <row r="6669" spans="1:7" x14ac:dyDescent="0.2">
      <c r="A6669" s="1">
        <v>41478</v>
      </c>
      <c r="B6669">
        <v>2</v>
      </c>
      <c r="C6669" t="s">
        <v>16</v>
      </c>
      <c r="D6669">
        <v>7.26E-3</v>
      </c>
      <c r="E6669">
        <f t="shared" si="208"/>
        <v>1.00726</v>
      </c>
      <c r="F6669" s="1">
        <f t="shared" si="209"/>
        <v>41477</v>
      </c>
      <c r="G6669" cm="1">
        <f t="array" ref="G6669">PRODUCT( _xlfn._xlws.FILTER($E:$E, ($C:$C=C6669)*($F:$F=F6669)) ) - 1</f>
        <v>1.3131401536678133E-2</v>
      </c>
    </row>
    <row r="6670" spans="1:7" x14ac:dyDescent="0.2">
      <c r="A6670" s="1">
        <v>41479</v>
      </c>
      <c r="B6670">
        <v>2</v>
      </c>
      <c r="C6670" t="s">
        <v>16</v>
      </c>
      <c r="D6670">
        <v>-1.109E-3</v>
      </c>
      <c r="E6670">
        <f t="shared" si="208"/>
        <v>0.99889099999999997</v>
      </c>
      <c r="F6670" s="1">
        <f t="shared" si="209"/>
        <v>41477</v>
      </c>
      <c r="G6670" cm="1">
        <f t="array" ref="G6670">PRODUCT( _xlfn._xlws.FILTER($E:$E, ($C:$C=C6670)*($F:$F=F6670)) ) - 1</f>
        <v>1.3131401536678133E-2</v>
      </c>
    </row>
    <row r="6671" spans="1:7" x14ac:dyDescent="0.2">
      <c r="A6671" s="1">
        <v>41480</v>
      </c>
      <c r="B6671">
        <v>2</v>
      </c>
      <c r="C6671" t="s">
        <v>16</v>
      </c>
      <c r="D6671">
        <v>5.8279999999999998E-3</v>
      </c>
      <c r="E6671">
        <f t="shared" si="208"/>
        <v>1.0058279999999999</v>
      </c>
      <c r="F6671" s="1">
        <f t="shared" si="209"/>
        <v>41477</v>
      </c>
      <c r="G6671" cm="1">
        <f t="array" ref="G6671">PRODUCT( _xlfn._xlws.FILTER($E:$E, ($C:$C=C6671)*($F:$F=F6671)) ) - 1</f>
        <v>1.3131401536678133E-2</v>
      </c>
    </row>
    <row r="6672" spans="1:7" x14ac:dyDescent="0.2">
      <c r="A6672" s="1">
        <v>41481</v>
      </c>
      <c r="B6672">
        <v>2</v>
      </c>
      <c r="C6672" t="s">
        <v>16</v>
      </c>
      <c r="D6672">
        <v>5.5199999999999997E-4</v>
      </c>
      <c r="E6672">
        <f t="shared" si="208"/>
        <v>1.0005520000000001</v>
      </c>
      <c r="F6672" s="1">
        <f t="shared" si="209"/>
        <v>41477</v>
      </c>
      <c r="G6672" cm="1">
        <f t="array" ref="G6672">PRODUCT( _xlfn._xlws.FILTER($E:$E, ($C:$C=C6672)*($F:$F=F6672)) ) - 1</f>
        <v>1.3131401536678133E-2</v>
      </c>
    </row>
    <row r="6673" spans="1:7" x14ac:dyDescent="0.2">
      <c r="A6673" s="1">
        <v>41484</v>
      </c>
      <c r="B6673">
        <v>2</v>
      </c>
      <c r="C6673" t="s">
        <v>16</v>
      </c>
      <c r="D6673">
        <v>3.0339999999999998E-3</v>
      </c>
      <c r="E6673">
        <f t="shared" si="208"/>
        <v>1.003034</v>
      </c>
      <c r="F6673" s="1">
        <f t="shared" si="209"/>
        <v>41484</v>
      </c>
      <c r="G6673" cm="1">
        <f t="array" ref="G6673">PRODUCT( _xlfn._xlws.FILTER($E:$E, ($C:$C=C6673)*($F:$F=F6673)) ) - 1</f>
        <v>-1.4064812608088006E-2</v>
      </c>
    </row>
    <row r="6674" spans="1:7" x14ac:dyDescent="0.2">
      <c r="A6674" s="1">
        <v>41485</v>
      </c>
      <c r="B6674">
        <v>2</v>
      </c>
      <c r="C6674" t="s">
        <v>16</v>
      </c>
      <c r="D6674">
        <v>-3.3543999999999997E-2</v>
      </c>
      <c r="E6674">
        <f t="shared" si="208"/>
        <v>0.96645599999999998</v>
      </c>
      <c r="F6674" s="1">
        <f t="shared" si="209"/>
        <v>41484</v>
      </c>
      <c r="G6674" cm="1">
        <f t="array" ref="G6674">PRODUCT( _xlfn._xlws.FILTER($E:$E, ($C:$C=C6674)*($F:$F=F6674)) ) - 1</f>
        <v>-1.4064812608088006E-2</v>
      </c>
    </row>
    <row r="6675" spans="1:7" x14ac:dyDescent="0.2">
      <c r="A6675" s="1">
        <v>41486</v>
      </c>
      <c r="B6675">
        <v>2</v>
      </c>
      <c r="C6675" t="s">
        <v>16</v>
      </c>
      <c r="D6675">
        <v>-4.267E-3</v>
      </c>
      <c r="E6675">
        <f t="shared" si="208"/>
        <v>0.99573299999999998</v>
      </c>
      <c r="F6675" s="1">
        <f t="shared" si="209"/>
        <v>41484</v>
      </c>
      <c r="G6675" cm="1">
        <f t="array" ref="G6675">PRODUCT( _xlfn._xlws.FILTER($E:$E, ($C:$C=C6675)*($F:$F=F6675)) ) - 1</f>
        <v>-1.4064812608088006E-2</v>
      </c>
    </row>
    <row r="6676" spans="1:7" x14ac:dyDescent="0.2">
      <c r="A6676" s="1">
        <v>41487</v>
      </c>
      <c r="B6676">
        <v>2</v>
      </c>
      <c r="C6676" t="s">
        <v>16</v>
      </c>
      <c r="D6676">
        <v>2.1714000000000001E-2</v>
      </c>
      <c r="E6676">
        <f t="shared" si="208"/>
        <v>1.021714</v>
      </c>
      <c r="F6676" s="1">
        <f t="shared" si="209"/>
        <v>41484</v>
      </c>
      <c r="G6676" cm="1">
        <f t="array" ref="G6676">PRODUCT( _xlfn._xlws.FILTER($E:$E, ($C:$C=C6676)*($F:$F=F6676)) ) - 1</f>
        <v>-1.4064812608088006E-2</v>
      </c>
    </row>
    <row r="6677" spans="1:7" x14ac:dyDescent="0.2">
      <c r="A6677" s="1">
        <v>41488</v>
      </c>
      <c r="B6677">
        <v>2</v>
      </c>
      <c r="C6677" t="s">
        <v>16</v>
      </c>
      <c r="D6677">
        <v>-2.7999999999999998E-4</v>
      </c>
      <c r="E6677">
        <f t="shared" si="208"/>
        <v>0.99972000000000005</v>
      </c>
      <c r="F6677" s="1">
        <f t="shared" si="209"/>
        <v>41484</v>
      </c>
      <c r="G6677" cm="1">
        <f t="array" ref="G6677">PRODUCT( _xlfn._xlws.FILTER($E:$E, ($C:$C=C6677)*($F:$F=F6677)) ) - 1</f>
        <v>-1.4064812608088006E-2</v>
      </c>
    </row>
    <row r="6678" spans="1:7" x14ac:dyDescent="0.2">
      <c r="A6678" s="1">
        <v>41492</v>
      </c>
      <c r="B6678">
        <v>2</v>
      </c>
      <c r="C6678" t="s">
        <v>16</v>
      </c>
      <c r="D6678">
        <v>-3.6359999999999999E-3</v>
      </c>
      <c r="E6678">
        <f t="shared" si="208"/>
        <v>0.99636400000000003</v>
      </c>
      <c r="F6678" s="1">
        <f t="shared" si="209"/>
        <v>41491</v>
      </c>
      <c r="G6678" cm="1">
        <f t="array" ref="G6678">PRODUCT( _xlfn._xlws.FILTER($E:$E, ($C:$C=C6678)*($F:$F=F6678)) ) - 1</f>
        <v>-3.3559856570574143E-3</v>
      </c>
    </row>
    <row r="6679" spans="1:7" x14ac:dyDescent="0.2">
      <c r="A6679" s="1">
        <v>41493</v>
      </c>
      <c r="B6679">
        <v>2</v>
      </c>
      <c r="C6679" t="s">
        <v>16</v>
      </c>
      <c r="D6679">
        <v>-3.369E-3</v>
      </c>
      <c r="E6679">
        <f t="shared" si="208"/>
        <v>0.99663100000000004</v>
      </c>
      <c r="F6679" s="1">
        <f t="shared" si="209"/>
        <v>41491</v>
      </c>
      <c r="G6679" cm="1">
        <f t="array" ref="G6679">PRODUCT( _xlfn._xlws.FILTER($E:$E, ($C:$C=C6679)*($F:$F=F6679)) ) - 1</f>
        <v>-3.3559856570574143E-3</v>
      </c>
    </row>
    <row r="6680" spans="1:7" x14ac:dyDescent="0.2">
      <c r="A6680" s="1">
        <v>41494</v>
      </c>
      <c r="B6680">
        <v>2</v>
      </c>
      <c r="C6680" t="s">
        <v>16</v>
      </c>
      <c r="D6680">
        <v>2.8170000000000001E-3</v>
      </c>
      <c r="E6680">
        <f t="shared" si="208"/>
        <v>1.0028170000000001</v>
      </c>
      <c r="F6680" s="1">
        <f t="shared" si="209"/>
        <v>41491</v>
      </c>
      <c r="G6680" cm="1">
        <f t="array" ref="G6680">PRODUCT( _xlfn._xlws.FILTER($E:$E, ($C:$C=C6680)*($F:$F=F6680)) ) - 1</f>
        <v>-3.3559856570574143E-3</v>
      </c>
    </row>
    <row r="6681" spans="1:7" x14ac:dyDescent="0.2">
      <c r="A6681" s="1">
        <v>41495</v>
      </c>
      <c r="B6681">
        <v>2</v>
      </c>
      <c r="C6681" t="s">
        <v>16</v>
      </c>
      <c r="D6681">
        <v>8.43E-4</v>
      </c>
      <c r="E6681">
        <f t="shared" si="208"/>
        <v>1.0008429999999999</v>
      </c>
      <c r="F6681" s="1">
        <f t="shared" si="209"/>
        <v>41491</v>
      </c>
      <c r="G6681" cm="1">
        <f t="array" ref="G6681">PRODUCT( _xlfn._xlws.FILTER($E:$E, ($C:$C=C6681)*($F:$F=F6681)) ) - 1</f>
        <v>-3.3559856570574143E-3</v>
      </c>
    </row>
    <row r="6682" spans="1:7" x14ac:dyDescent="0.2">
      <c r="A6682" s="1">
        <v>41498</v>
      </c>
      <c r="B6682">
        <v>2</v>
      </c>
      <c r="C6682" t="s">
        <v>16</v>
      </c>
      <c r="D6682">
        <v>1.3191E-2</v>
      </c>
      <c r="E6682">
        <f t="shared" si="208"/>
        <v>1.013191</v>
      </c>
      <c r="F6682" s="1">
        <f t="shared" si="209"/>
        <v>41498</v>
      </c>
      <c r="G6682" cm="1">
        <f t="array" ref="G6682">PRODUCT( _xlfn._xlws.FILTER($E:$E, ($C:$C=C6682)*($F:$F=F6682)) ) - 1</f>
        <v>1.0103008903047384E-2</v>
      </c>
    </row>
    <row r="6683" spans="1:7" x14ac:dyDescent="0.2">
      <c r="A6683" s="1">
        <v>41499</v>
      </c>
      <c r="B6683">
        <v>2</v>
      </c>
      <c r="C6683" t="s">
        <v>16</v>
      </c>
      <c r="D6683">
        <v>2.2160000000000001E-3</v>
      </c>
      <c r="E6683">
        <f t="shared" si="208"/>
        <v>1.002216</v>
      </c>
      <c r="F6683" s="1">
        <f t="shared" si="209"/>
        <v>41498</v>
      </c>
      <c r="G6683" cm="1">
        <f t="array" ref="G6683">PRODUCT( _xlfn._xlws.FILTER($E:$E, ($C:$C=C6683)*($F:$F=F6683)) ) - 1</f>
        <v>1.0103008903047384E-2</v>
      </c>
    </row>
    <row r="6684" spans="1:7" x14ac:dyDescent="0.2">
      <c r="A6684" s="1">
        <v>41500</v>
      </c>
      <c r="B6684">
        <v>2</v>
      </c>
      <c r="C6684" t="s">
        <v>16</v>
      </c>
      <c r="D6684">
        <v>-1.106E-3</v>
      </c>
      <c r="E6684">
        <f t="shared" si="208"/>
        <v>0.99889399999999995</v>
      </c>
      <c r="F6684" s="1">
        <f t="shared" si="209"/>
        <v>41498</v>
      </c>
      <c r="G6684" cm="1">
        <f t="array" ref="G6684">PRODUCT( _xlfn._xlws.FILTER($E:$E, ($C:$C=C6684)*($F:$F=F6684)) ) - 1</f>
        <v>1.0103008903047384E-2</v>
      </c>
    </row>
    <row r="6685" spans="1:7" x14ac:dyDescent="0.2">
      <c r="A6685" s="1">
        <v>41501</v>
      </c>
      <c r="B6685">
        <v>2</v>
      </c>
      <c r="C6685" t="s">
        <v>16</v>
      </c>
      <c r="D6685">
        <v>-8.3009999999999994E-3</v>
      </c>
      <c r="E6685">
        <f t="shared" si="208"/>
        <v>0.991699</v>
      </c>
      <c r="F6685" s="1">
        <f t="shared" si="209"/>
        <v>41498</v>
      </c>
      <c r="G6685" cm="1">
        <f t="array" ref="G6685">PRODUCT( _xlfn._xlws.FILTER($E:$E, ($C:$C=C6685)*($F:$F=F6685)) ) - 1</f>
        <v>1.0103008903047384E-2</v>
      </c>
    </row>
    <row r="6686" spans="1:7" x14ac:dyDescent="0.2">
      <c r="A6686" s="1">
        <v>41502</v>
      </c>
      <c r="B6686">
        <v>2</v>
      </c>
      <c r="C6686" t="s">
        <v>16</v>
      </c>
      <c r="D6686">
        <v>4.1850000000000004E-3</v>
      </c>
      <c r="E6686">
        <f t="shared" si="208"/>
        <v>1.0041850000000001</v>
      </c>
      <c r="F6686" s="1">
        <f t="shared" si="209"/>
        <v>41498</v>
      </c>
      <c r="G6686" cm="1">
        <f t="array" ref="G6686">PRODUCT( _xlfn._xlws.FILTER($E:$E, ($C:$C=C6686)*($F:$F=F6686)) ) - 1</f>
        <v>1.0103008903047384E-2</v>
      </c>
    </row>
    <row r="6687" spans="1:7" x14ac:dyDescent="0.2">
      <c r="A6687" s="1">
        <v>41505</v>
      </c>
      <c r="B6687">
        <v>2</v>
      </c>
      <c r="C6687" t="s">
        <v>16</v>
      </c>
      <c r="D6687">
        <v>-6.9459999999999999E-3</v>
      </c>
      <c r="E6687">
        <f t="shared" si="208"/>
        <v>0.99305399999999999</v>
      </c>
      <c r="F6687" s="1">
        <f t="shared" si="209"/>
        <v>41505</v>
      </c>
      <c r="G6687" cm="1">
        <f t="array" ref="G6687">PRODUCT( _xlfn._xlws.FILTER($E:$E, ($C:$C=C6687)*($F:$F=F6687)) ) - 1</f>
        <v>-7.2844651847386865E-3</v>
      </c>
    </row>
    <row r="6688" spans="1:7" x14ac:dyDescent="0.2">
      <c r="A6688" s="1">
        <v>41506</v>
      </c>
      <c r="B6688">
        <v>2</v>
      </c>
      <c r="C6688" t="s">
        <v>16</v>
      </c>
      <c r="D6688">
        <v>-9.0499999999999999E-4</v>
      </c>
      <c r="E6688">
        <f t="shared" si="208"/>
        <v>0.99909499999999996</v>
      </c>
      <c r="F6688" s="1">
        <f t="shared" si="209"/>
        <v>41505</v>
      </c>
      <c r="G6688" cm="1">
        <f t="array" ref="G6688">PRODUCT( _xlfn._xlws.FILTER($E:$E, ($C:$C=C6688)*($F:$F=F6688)) ) - 1</f>
        <v>-7.2844651847386865E-3</v>
      </c>
    </row>
    <row r="6689" spans="1:7" x14ac:dyDescent="0.2">
      <c r="A6689" s="1">
        <v>41507</v>
      </c>
      <c r="B6689">
        <v>2</v>
      </c>
      <c r="C6689" t="s">
        <v>16</v>
      </c>
      <c r="D6689">
        <v>-6.2199999999999998E-3</v>
      </c>
      <c r="E6689">
        <f t="shared" si="208"/>
        <v>0.99378</v>
      </c>
      <c r="F6689" s="1">
        <f t="shared" si="209"/>
        <v>41505</v>
      </c>
      <c r="G6689" cm="1">
        <f t="array" ref="G6689">PRODUCT( _xlfn._xlws.FILTER($E:$E, ($C:$C=C6689)*($F:$F=F6689)) ) - 1</f>
        <v>-7.2844651847386865E-3</v>
      </c>
    </row>
    <row r="6690" spans="1:7" x14ac:dyDescent="0.2">
      <c r="A6690" s="1">
        <v>41508</v>
      </c>
      <c r="B6690">
        <v>2</v>
      </c>
      <c r="C6690" t="s">
        <v>16</v>
      </c>
      <c r="D6690">
        <v>9.9570000000000006E-3</v>
      </c>
      <c r="E6690">
        <f t="shared" si="208"/>
        <v>1.009957</v>
      </c>
      <c r="F6690" s="1">
        <f t="shared" si="209"/>
        <v>41505</v>
      </c>
      <c r="G6690" cm="1">
        <f t="array" ref="G6690">PRODUCT( _xlfn._xlws.FILTER($E:$E, ($C:$C=C6690)*($F:$F=F6690)) ) - 1</f>
        <v>-7.2844651847386865E-3</v>
      </c>
    </row>
    <row r="6691" spans="1:7" x14ac:dyDescent="0.2">
      <c r="A6691" s="1">
        <v>41509</v>
      </c>
      <c r="B6691">
        <v>2</v>
      </c>
      <c r="C6691" t="s">
        <v>16</v>
      </c>
      <c r="D6691">
        <v>-3.0990000000000002E-3</v>
      </c>
      <c r="E6691">
        <f t="shared" si="208"/>
        <v>0.99690100000000004</v>
      </c>
      <c r="F6691" s="1">
        <f t="shared" si="209"/>
        <v>41505</v>
      </c>
      <c r="G6691" cm="1">
        <f t="array" ref="G6691">PRODUCT( _xlfn._xlws.FILTER($E:$E, ($C:$C=C6691)*($F:$F=F6691)) ) - 1</f>
        <v>-7.2844651847386865E-3</v>
      </c>
    </row>
    <row r="6692" spans="1:7" x14ac:dyDescent="0.2">
      <c r="A6692" s="1">
        <v>41512</v>
      </c>
      <c r="B6692">
        <v>2</v>
      </c>
      <c r="C6692" t="s">
        <v>16</v>
      </c>
      <c r="D6692">
        <v>-4.5209999999999998E-3</v>
      </c>
      <c r="E6692">
        <f t="shared" si="208"/>
        <v>0.995479</v>
      </c>
      <c r="F6692" s="1">
        <f t="shared" si="209"/>
        <v>41512</v>
      </c>
      <c r="G6692" cm="1">
        <f t="array" ref="G6692">PRODUCT( _xlfn._xlws.FILTER($E:$E, ($C:$C=C6692)*($F:$F=F6692)) ) - 1</f>
        <v>-2.4583511598141761E-2</v>
      </c>
    </row>
    <row r="6693" spans="1:7" x14ac:dyDescent="0.2">
      <c r="A6693" s="1">
        <v>41513</v>
      </c>
      <c r="B6693">
        <v>2</v>
      </c>
      <c r="C6693" t="s">
        <v>16</v>
      </c>
      <c r="D6693">
        <v>-1.7031000000000001E-2</v>
      </c>
      <c r="E6693">
        <f t="shared" si="208"/>
        <v>0.98296899999999998</v>
      </c>
      <c r="F6693" s="1">
        <f t="shared" si="209"/>
        <v>41512</v>
      </c>
      <c r="G6693" cm="1">
        <f t="array" ref="G6693">PRODUCT( _xlfn._xlws.FILTER($E:$E, ($C:$C=C6693)*($F:$F=F6693)) ) - 1</f>
        <v>-2.4583511598141761E-2</v>
      </c>
    </row>
    <row r="6694" spans="1:7" x14ac:dyDescent="0.2">
      <c r="A6694" s="1">
        <v>41514</v>
      </c>
      <c r="B6694">
        <v>2</v>
      </c>
      <c r="C6694" t="s">
        <v>16</v>
      </c>
      <c r="D6694">
        <v>2.31E-3</v>
      </c>
      <c r="E6694">
        <f t="shared" si="208"/>
        <v>1.00231</v>
      </c>
      <c r="F6694" s="1">
        <f t="shared" si="209"/>
        <v>41512</v>
      </c>
      <c r="G6694" cm="1">
        <f t="array" ref="G6694">PRODUCT( _xlfn._xlws.FILTER($E:$E, ($C:$C=C6694)*($F:$F=F6694)) ) - 1</f>
        <v>-2.4583511598141761E-2</v>
      </c>
    </row>
    <row r="6695" spans="1:7" x14ac:dyDescent="0.2">
      <c r="A6695" s="1">
        <v>41515</v>
      </c>
      <c r="B6695">
        <v>2</v>
      </c>
      <c r="C6695" t="s">
        <v>16</v>
      </c>
      <c r="D6695">
        <v>9.5069999999999998E-3</v>
      </c>
      <c r="E6695">
        <f t="shared" si="208"/>
        <v>1.0095069999999999</v>
      </c>
      <c r="F6695" s="1">
        <f t="shared" si="209"/>
        <v>41512</v>
      </c>
      <c r="G6695" cm="1">
        <f t="array" ref="G6695">PRODUCT( _xlfn._xlws.FILTER($E:$E, ($C:$C=C6695)*($F:$F=F6695)) ) - 1</f>
        <v>-2.4583511598141761E-2</v>
      </c>
    </row>
    <row r="6696" spans="1:7" x14ac:dyDescent="0.2">
      <c r="A6696" s="1">
        <v>41516</v>
      </c>
      <c r="B6696">
        <v>2</v>
      </c>
      <c r="C6696" t="s">
        <v>16</v>
      </c>
      <c r="D6696">
        <v>-1.4840000000000001E-2</v>
      </c>
      <c r="E6696">
        <f t="shared" si="208"/>
        <v>0.98516000000000004</v>
      </c>
      <c r="F6696" s="1">
        <f t="shared" si="209"/>
        <v>41512</v>
      </c>
      <c r="G6696" cm="1">
        <f t="array" ref="G6696">PRODUCT( _xlfn._xlws.FILTER($E:$E, ($C:$C=C6696)*($F:$F=F6696)) ) - 1</f>
        <v>-2.4583511598141761E-2</v>
      </c>
    </row>
    <row r="6697" spans="1:7" x14ac:dyDescent="0.2">
      <c r="A6697" s="1">
        <v>41520</v>
      </c>
      <c r="B6697">
        <v>2</v>
      </c>
      <c r="C6697" t="s">
        <v>16</v>
      </c>
      <c r="D6697">
        <v>8.6910000000000008E-3</v>
      </c>
      <c r="E6697">
        <f t="shared" si="208"/>
        <v>1.008691</v>
      </c>
      <c r="F6697" s="1">
        <f t="shared" si="209"/>
        <v>41519</v>
      </c>
      <c r="G6697" cm="1">
        <f t="array" ref="G6697">PRODUCT( _xlfn._xlws.FILTER($E:$E, ($C:$C=C6697)*($F:$F=F6697)) ) - 1</f>
        <v>2.4045545277298519E-2</v>
      </c>
    </row>
    <row r="6698" spans="1:7" x14ac:dyDescent="0.2">
      <c r="A6698" s="1">
        <v>41521</v>
      </c>
      <c r="B6698">
        <v>2</v>
      </c>
      <c r="C6698" t="s">
        <v>16</v>
      </c>
      <c r="D6698">
        <v>3.7339999999999999E-3</v>
      </c>
      <c r="E6698">
        <f t="shared" si="208"/>
        <v>1.0037339999999999</v>
      </c>
      <c r="F6698" s="1">
        <f t="shared" si="209"/>
        <v>41519</v>
      </c>
      <c r="G6698" cm="1">
        <f t="array" ref="G6698">PRODUCT( _xlfn._xlws.FILTER($E:$E, ($C:$C=C6698)*($F:$F=F6698)) ) - 1</f>
        <v>2.4045545277298519E-2</v>
      </c>
    </row>
    <row r="6699" spans="1:7" x14ac:dyDescent="0.2">
      <c r="A6699" s="1">
        <v>41522</v>
      </c>
      <c r="B6699">
        <v>2</v>
      </c>
      <c r="C6699" t="s">
        <v>16</v>
      </c>
      <c r="D6699">
        <v>1.5737000000000001E-2</v>
      </c>
      <c r="E6699">
        <f t="shared" si="208"/>
        <v>1.0157370000000001</v>
      </c>
      <c r="F6699" s="1">
        <f t="shared" si="209"/>
        <v>41519</v>
      </c>
      <c r="G6699" cm="1">
        <f t="array" ref="G6699">PRODUCT( _xlfn._xlws.FILTER($E:$E, ($C:$C=C6699)*($F:$F=F6699)) ) - 1</f>
        <v>2.4045545277298519E-2</v>
      </c>
    </row>
    <row r="6700" spans="1:7" x14ac:dyDescent="0.2">
      <c r="A6700" s="1">
        <v>41523</v>
      </c>
      <c r="B6700">
        <v>2</v>
      </c>
      <c r="C6700" t="s">
        <v>16</v>
      </c>
      <c r="D6700">
        <v>-4.2249999999999996E-3</v>
      </c>
      <c r="E6700">
        <f t="shared" si="208"/>
        <v>0.99577499999999997</v>
      </c>
      <c r="F6700" s="1">
        <f t="shared" si="209"/>
        <v>41519</v>
      </c>
      <c r="G6700" cm="1">
        <f t="array" ref="G6700">PRODUCT( _xlfn._xlws.FILTER($E:$E, ($C:$C=C6700)*($F:$F=F6700)) ) - 1</f>
        <v>2.4045545277298519E-2</v>
      </c>
    </row>
    <row r="6701" spans="1:7" x14ac:dyDescent="0.2">
      <c r="A6701" s="1">
        <v>41526</v>
      </c>
      <c r="B6701">
        <v>2</v>
      </c>
      <c r="C6701" t="s">
        <v>16</v>
      </c>
      <c r="D6701">
        <v>8.4900000000000004E-4</v>
      </c>
      <c r="E6701">
        <f t="shared" si="208"/>
        <v>1.0008490000000001</v>
      </c>
      <c r="F6701" s="1">
        <f t="shared" si="209"/>
        <v>41526</v>
      </c>
      <c r="G6701" cm="1">
        <f t="array" ref="G6701">PRODUCT( _xlfn._xlws.FILTER($E:$E, ($C:$C=C6701)*($F:$F=F6701)) ) - 1</f>
        <v>1.3861981062917028E-2</v>
      </c>
    </row>
    <row r="6702" spans="1:7" x14ac:dyDescent="0.2">
      <c r="A6702" s="1">
        <v>41527</v>
      </c>
      <c r="B6702">
        <v>2</v>
      </c>
      <c r="C6702" t="s">
        <v>16</v>
      </c>
      <c r="D6702">
        <v>6.2179999999999996E-3</v>
      </c>
      <c r="E6702">
        <f t="shared" si="208"/>
        <v>1.0062180000000001</v>
      </c>
      <c r="F6702" s="1">
        <f t="shared" si="209"/>
        <v>41526</v>
      </c>
      <c r="G6702" cm="1">
        <f t="array" ref="G6702">PRODUCT( _xlfn._xlws.FILTER($E:$E, ($C:$C=C6702)*($F:$F=F6702)) ) - 1</f>
        <v>1.3861981062917028E-2</v>
      </c>
    </row>
    <row r="6703" spans="1:7" x14ac:dyDescent="0.2">
      <c r="A6703" s="1">
        <v>41528</v>
      </c>
      <c r="B6703">
        <v>2</v>
      </c>
      <c r="C6703" t="s">
        <v>16</v>
      </c>
      <c r="D6703">
        <v>7.0229999999999997E-3</v>
      </c>
      <c r="E6703">
        <f t="shared" si="208"/>
        <v>1.007023</v>
      </c>
      <c r="F6703" s="1">
        <f t="shared" si="209"/>
        <v>41526</v>
      </c>
      <c r="G6703" cm="1">
        <f t="array" ref="G6703">PRODUCT( _xlfn._xlws.FILTER($E:$E, ($C:$C=C6703)*($F:$F=F6703)) ) - 1</f>
        <v>1.3861981062917028E-2</v>
      </c>
    </row>
    <row r="6704" spans="1:7" x14ac:dyDescent="0.2">
      <c r="A6704" s="1">
        <v>41529</v>
      </c>
      <c r="B6704">
        <v>2</v>
      </c>
      <c r="C6704" t="s">
        <v>16</v>
      </c>
      <c r="D6704">
        <v>-2.7889999999999998E-3</v>
      </c>
      <c r="E6704">
        <f t="shared" si="208"/>
        <v>0.99721099999999996</v>
      </c>
      <c r="F6704" s="1">
        <f t="shared" si="209"/>
        <v>41526</v>
      </c>
      <c r="G6704" cm="1">
        <f t="array" ref="G6704">PRODUCT( _xlfn._xlws.FILTER($E:$E, ($C:$C=C6704)*($F:$F=F6704)) ) - 1</f>
        <v>1.3861981062917028E-2</v>
      </c>
    </row>
    <row r="6705" spans="1:7" x14ac:dyDescent="0.2">
      <c r="A6705" s="1">
        <v>41530</v>
      </c>
      <c r="B6705">
        <v>2</v>
      </c>
      <c r="C6705" t="s">
        <v>16</v>
      </c>
      <c r="D6705">
        <v>2.5170000000000001E-3</v>
      </c>
      <c r="E6705">
        <f t="shared" si="208"/>
        <v>1.0025170000000001</v>
      </c>
      <c r="F6705" s="1">
        <f t="shared" si="209"/>
        <v>41526</v>
      </c>
      <c r="G6705" cm="1">
        <f t="array" ref="G6705">PRODUCT( _xlfn._xlws.FILTER($E:$E, ($C:$C=C6705)*($F:$F=F6705)) ) - 1</f>
        <v>1.3861981062917028E-2</v>
      </c>
    </row>
    <row r="6706" spans="1:7" x14ac:dyDescent="0.2">
      <c r="A6706" s="1">
        <v>41533</v>
      </c>
      <c r="B6706">
        <v>2</v>
      </c>
      <c r="C6706" t="s">
        <v>16</v>
      </c>
      <c r="D6706">
        <v>5.0220000000000004E-3</v>
      </c>
      <c r="E6706">
        <f t="shared" si="208"/>
        <v>1.0050220000000001</v>
      </c>
      <c r="F6706" s="1">
        <f t="shared" si="209"/>
        <v>41533</v>
      </c>
      <c r="G6706" cm="1">
        <f t="array" ref="G6706">PRODUCT( _xlfn._xlws.FILTER($E:$E, ($C:$C=C6706)*($F:$F=F6706)) ) - 1</f>
        <v>2.2330924394686757E-3</v>
      </c>
    </row>
    <row r="6707" spans="1:7" x14ac:dyDescent="0.2">
      <c r="A6707" s="1">
        <v>41534</v>
      </c>
      <c r="B6707">
        <v>2</v>
      </c>
      <c r="C6707" t="s">
        <v>16</v>
      </c>
      <c r="D6707">
        <v>2.7799999999999998E-4</v>
      </c>
      <c r="E6707">
        <f t="shared" si="208"/>
        <v>1.000278</v>
      </c>
      <c r="F6707" s="1">
        <f t="shared" si="209"/>
        <v>41533</v>
      </c>
      <c r="G6707" cm="1">
        <f t="array" ref="G6707">PRODUCT( _xlfn._xlws.FILTER($E:$E, ($C:$C=C6707)*($F:$F=F6707)) ) - 1</f>
        <v>2.2330924394686757E-3</v>
      </c>
    </row>
    <row r="6708" spans="1:7" x14ac:dyDescent="0.2">
      <c r="A6708" s="1">
        <v>41535</v>
      </c>
      <c r="B6708">
        <v>2</v>
      </c>
      <c r="C6708" t="s">
        <v>16</v>
      </c>
      <c r="D6708">
        <v>4.9959999999999996E-3</v>
      </c>
      <c r="E6708">
        <f t="shared" si="208"/>
        <v>1.004996</v>
      </c>
      <c r="F6708" s="1">
        <f t="shared" si="209"/>
        <v>41533</v>
      </c>
      <c r="G6708" cm="1">
        <f t="array" ref="G6708">PRODUCT( _xlfn._xlws.FILTER($E:$E, ($C:$C=C6708)*($F:$F=F6708)) ) - 1</f>
        <v>2.2330924394686757E-3</v>
      </c>
    </row>
    <row r="6709" spans="1:7" x14ac:dyDescent="0.2">
      <c r="A6709" s="1">
        <v>41536</v>
      </c>
      <c r="B6709">
        <v>2</v>
      </c>
      <c r="C6709" t="s">
        <v>16</v>
      </c>
      <c r="D6709">
        <v>-5.7990000000000003E-3</v>
      </c>
      <c r="E6709">
        <f t="shared" si="208"/>
        <v>0.994201</v>
      </c>
      <c r="F6709" s="1">
        <f t="shared" si="209"/>
        <v>41533</v>
      </c>
      <c r="G6709" cm="1">
        <f t="array" ref="G6709">PRODUCT( _xlfn._xlws.FILTER($E:$E, ($C:$C=C6709)*($F:$F=F6709)) ) - 1</f>
        <v>2.2330924394686757E-3</v>
      </c>
    </row>
    <row r="6710" spans="1:7" x14ac:dyDescent="0.2">
      <c r="A6710" s="1">
        <v>41537</v>
      </c>
      <c r="B6710">
        <v>2</v>
      </c>
      <c r="C6710" t="s">
        <v>16</v>
      </c>
      <c r="D6710">
        <v>-2.222E-3</v>
      </c>
      <c r="E6710">
        <f t="shared" si="208"/>
        <v>0.99777800000000005</v>
      </c>
      <c r="F6710" s="1">
        <f t="shared" si="209"/>
        <v>41533</v>
      </c>
      <c r="G6710" cm="1">
        <f t="array" ref="G6710">PRODUCT( _xlfn._xlws.FILTER($E:$E, ($C:$C=C6710)*($F:$F=F6710)) ) - 1</f>
        <v>2.2330924394686757E-3</v>
      </c>
    </row>
    <row r="6711" spans="1:7" x14ac:dyDescent="0.2">
      <c r="A6711" s="1">
        <v>41540</v>
      </c>
      <c r="B6711">
        <v>2</v>
      </c>
      <c r="C6711" t="s">
        <v>16</v>
      </c>
      <c r="D6711">
        <v>1.1414000000000001E-2</v>
      </c>
      <c r="E6711">
        <f t="shared" si="208"/>
        <v>1.011414</v>
      </c>
      <c r="F6711" s="1">
        <f t="shared" si="209"/>
        <v>41540</v>
      </c>
      <c r="G6711" cm="1">
        <f t="array" ref="G6711">PRODUCT( _xlfn._xlws.FILTER($E:$E, ($C:$C=C6711)*($F:$F=F6711)) ) - 1</f>
        <v>8.6298384067204914E-3</v>
      </c>
    </row>
    <row r="6712" spans="1:7" x14ac:dyDescent="0.2">
      <c r="A6712" s="1">
        <v>41541</v>
      </c>
      <c r="B6712">
        <v>2</v>
      </c>
      <c r="C6712" t="s">
        <v>16</v>
      </c>
      <c r="D6712">
        <v>5.2300000000000003E-3</v>
      </c>
      <c r="E6712">
        <f t="shared" si="208"/>
        <v>1.0052300000000001</v>
      </c>
      <c r="F6712" s="1">
        <f t="shared" si="209"/>
        <v>41540</v>
      </c>
      <c r="G6712" cm="1">
        <f t="array" ref="G6712">PRODUCT( _xlfn._xlws.FILTER($E:$E, ($C:$C=C6712)*($F:$F=F6712)) ) - 1</f>
        <v>8.6298384067204914E-3</v>
      </c>
    </row>
    <row r="6713" spans="1:7" x14ac:dyDescent="0.2">
      <c r="A6713" s="1">
        <v>41542</v>
      </c>
      <c r="B6713">
        <v>2</v>
      </c>
      <c r="C6713" t="s">
        <v>16</v>
      </c>
      <c r="D6713">
        <v>-5.4799999999999998E-4</v>
      </c>
      <c r="E6713">
        <f t="shared" si="208"/>
        <v>0.99945200000000001</v>
      </c>
      <c r="F6713" s="1">
        <f t="shared" si="209"/>
        <v>41540</v>
      </c>
      <c r="G6713" cm="1">
        <f t="array" ref="G6713">PRODUCT( _xlfn._xlws.FILTER($E:$E, ($C:$C=C6713)*($F:$F=F6713)) ) - 1</f>
        <v>8.6298384067204914E-3</v>
      </c>
    </row>
    <row r="6714" spans="1:7" x14ac:dyDescent="0.2">
      <c r="A6714" s="1">
        <v>41543</v>
      </c>
      <c r="B6714">
        <v>2</v>
      </c>
      <c r="C6714" t="s">
        <v>16</v>
      </c>
      <c r="D6714">
        <v>2.4659999999999999E-3</v>
      </c>
      <c r="E6714">
        <f t="shared" si="208"/>
        <v>1.0024660000000001</v>
      </c>
      <c r="F6714" s="1">
        <f t="shared" si="209"/>
        <v>41540</v>
      </c>
      <c r="G6714" cm="1">
        <f t="array" ref="G6714">PRODUCT( _xlfn._xlws.FILTER($E:$E, ($C:$C=C6714)*($F:$F=F6714)) ) - 1</f>
        <v>8.6298384067204914E-3</v>
      </c>
    </row>
    <row r="6715" spans="1:7" x14ac:dyDescent="0.2">
      <c r="A6715" s="1">
        <v>41544</v>
      </c>
      <c r="B6715">
        <v>2</v>
      </c>
      <c r="C6715" t="s">
        <v>16</v>
      </c>
      <c r="D6715">
        <v>-9.8390000000000005E-3</v>
      </c>
      <c r="E6715">
        <f t="shared" si="208"/>
        <v>0.99016099999999996</v>
      </c>
      <c r="F6715" s="1">
        <f t="shared" si="209"/>
        <v>41540</v>
      </c>
      <c r="G6715" cm="1">
        <f t="array" ref="G6715">PRODUCT( _xlfn._xlws.FILTER($E:$E, ($C:$C=C6715)*($F:$F=F6715)) ) - 1</f>
        <v>8.6298384067204914E-3</v>
      </c>
    </row>
    <row r="6716" spans="1:7" x14ac:dyDescent="0.2">
      <c r="A6716" s="1">
        <v>41547</v>
      </c>
      <c r="B6716">
        <v>2</v>
      </c>
      <c r="C6716" t="s">
        <v>16</v>
      </c>
      <c r="D6716">
        <v>-5.7959999999999999E-3</v>
      </c>
      <c r="E6716">
        <f t="shared" si="208"/>
        <v>0.99420399999999998</v>
      </c>
      <c r="F6716" s="1">
        <f t="shared" si="209"/>
        <v>41547</v>
      </c>
      <c r="G6716" cm="1">
        <f t="array" ref="G6716">PRODUCT( _xlfn._xlws.FILTER($E:$E, ($C:$C=C6716)*($F:$F=F6716)) ) - 1</f>
        <v>-2.1528674093007183E-2</v>
      </c>
    </row>
    <row r="6717" spans="1:7" x14ac:dyDescent="0.2">
      <c r="A6717" s="1">
        <v>41548</v>
      </c>
      <c r="B6717">
        <v>2</v>
      </c>
      <c r="C6717" t="s">
        <v>16</v>
      </c>
      <c r="D6717">
        <v>7.4960000000000001E-3</v>
      </c>
      <c r="E6717">
        <f t="shared" si="208"/>
        <v>1.0074959999999999</v>
      </c>
      <c r="F6717" s="1">
        <f t="shared" si="209"/>
        <v>41547</v>
      </c>
      <c r="G6717" cm="1">
        <f t="array" ref="G6717">PRODUCT( _xlfn._xlws.FILTER($E:$E, ($C:$C=C6717)*($F:$F=F6717)) ) - 1</f>
        <v>-2.1528674093007183E-2</v>
      </c>
    </row>
    <row r="6718" spans="1:7" x14ac:dyDescent="0.2">
      <c r="A6718" s="1">
        <v>41549</v>
      </c>
      <c r="B6718">
        <v>2</v>
      </c>
      <c r="C6718" t="s">
        <v>16</v>
      </c>
      <c r="D6718">
        <v>-1.7911E-2</v>
      </c>
      <c r="E6718">
        <f t="shared" si="208"/>
        <v>0.98208899999999999</v>
      </c>
      <c r="F6718" s="1">
        <f t="shared" si="209"/>
        <v>41547</v>
      </c>
      <c r="G6718" cm="1">
        <f t="array" ref="G6718">PRODUCT( _xlfn._xlws.FILTER($E:$E, ($C:$C=C6718)*($F:$F=F6718)) ) - 1</f>
        <v>-2.1528674093007183E-2</v>
      </c>
    </row>
    <row r="6719" spans="1:7" x14ac:dyDescent="0.2">
      <c r="A6719" s="1">
        <v>41550</v>
      </c>
      <c r="B6719">
        <v>2</v>
      </c>
      <c r="C6719" t="s">
        <v>16</v>
      </c>
      <c r="D6719">
        <v>-1.964E-3</v>
      </c>
      <c r="E6719">
        <f t="shared" si="208"/>
        <v>0.99803600000000003</v>
      </c>
      <c r="F6719" s="1">
        <f t="shared" si="209"/>
        <v>41547</v>
      </c>
      <c r="G6719" cm="1">
        <f t="array" ref="G6719">PRODUCT( _xlfn._xlws.FILTER($E:$E, ($C:$C=C6719)*($F:$F=F6719)) ) - 1</f>
        <v>-2.1528674093007183E-2</v>
      </c>
    </row>
    <row r="6720" spans="1:7" x14ac:dyDescent="0.2">
      <c r="A6720" s="1">
        <v>41551</v>
      </c>
      <c r="B6720">
        <v>2</v>
      </c>
      <c r="C6720" t="s">
        <v>16</v>
      </c>
      <c r="D6720">
        <v>-3.3739999999999998E-3</v>
      </c>
      <c r="E6720">
        <f t="shared" si="208"/>
        <v>0.99662600000000001</v>
      </c>
      <c r="F6720" s="1">
        <f t="shared" si="209"/>
        <v>41547</v>
      </c>
      <c r="G6720" cm="1">
        <f t="array" ref="G6720">PRODUCT( _xlfn._xlws.FILTER($E:$E, ($C:$C=C6720)*($F:$F=F6720)) ) - 1</f>
        <v>-2.1528674093007183E-2</v>
      </c>
    </row>
    <row r="6721" spans="1:7" x14ac:dyDescent="0.2">
      <c r="A6721" s="1">
        <v>41554</v>
      </c>
      <c r="B6721">
        <v>2</v>
      </c>
      <c r="C6721" t="s">
        <v>16</v>
      </c>
      <c r="D6721">
        <v>-4.5129999999999997E-3</v>
      </c>
      <c r="E6721">
        <f t="shared" si="208"/>
        <v>0.99548700000000001</v>
      </c>
      <c r="F6721" s="1">
        <f t="shared" si="209"/>
        <v>41554</v>
      </c>
      <c r="G6721" cm="1">
        <f t="array" ref="G6721">PRODUCT( _xlfn._xlws.FILTER($E:$E, ($C:$C=C6721)*($F:$F=F6721)) ) - 1</f>
        <v>1.3822507588576727E-2</v>
      </c>
    </row>
    <row r="6722" spans="1:7" x14ac:dyDescent="0.2">
      <c r="A6722" s="1">
        <v>41555</v>
      </c>
      <c r="B6722">
        <v>2</v>
      </c>
      <c r="C6722" t="s">
        <v>16</v>
      </c>
      <c r="D6722">
        <v>-8.4999999999999995E-4</v>
      </c>
      <c r="E6722">
        <f t="shared" si="208"/>
        <v>0.99914999999999998</v>
      </c>
      <c r="F6722" s="1">
        <f t="shared" si="209"/>
        <v>41554</v>
      </c>
      <c r="G6722" cm="1">
        <f t="array" ref="G6722">PRODUCT( _xlfn._xlws.FILTER($E:$E, ($C:$C=C6722)*($F:$F=F6722)) ) - 1</f>
        <v>1.3822507588576727E-2</v>
      </c>
    </row>
    <row r="6723" spans="1:7" x14ac:dyDescent="0.2">
      <c r="A6723" s="1">
        <v>41556</v>
      </c>
      <c r="B6723">
        <v>2</v>
      </c>
      <c r="C6723" t="s">
        <v>16</v>
      </c>
      <c r="D6723">
        <v>-8.5099999999999998E-4</v>
      </c>
      <c r="E6723">
        <f t="shared" si="208"/>
        <v>0.99914899999999995</v>
      </c>
      <c r="F6723" s="1">
        <f t="shared" si="209"/>
        <v>41554</v>
      </c>
      <c r="G6723" cm="1">
        <f t="array" ref="G6723">PRODUCT( _xlfn._xlws.FILTER($E:$E, ($C:$C=C6723)*($F:$F=F6723)) ) - 1</f>
        <v>1.3822507588576727E-2</v>
      </c>
    </row>
    <row r="6724" spans="1:7" x14ac:dyDescent="0.2">
      <c r="A6724" s="1">
        <v>41557</v>
      </c>
      <c r="B6724">
        <v>2</v>
      </c>
      <c r="C6724" t="s">
        <v>16</v>
      </c>
      <c r="D6724">
        <v>1.7599E-2</v>
      </c>
      <c r="E6724">
        <f t="shared" ref="E6724:E6787" si="210">D6724+1</f>
        <v>1.0175989999999999</v>
      </c>
      <c r="F6724" s="1">
        <f t="shared" ref="F6724:F6787" si="211">A6724 - (WEEKDAY(A6724, 2) - 1)</f>
        <v>41554</v>
      </c>
      <c r="G6724" cm="1">
        <f t="array" ref="G6724">PRODUCT( _xlfn._xlws.FILTER($E:$E, ($C:$C=C6724)*($F:$F=F6724)) ) - 1</f>
        <v>1.3822507588576727E-2</v>
      </c>
    </row>
    <row r="6725" spans="1:7" x14ac:dyDescent="0.2">
      <c r="A6725" s="1">
        <v>41558</v>
      </c>
      <c r="B6725">
        <v>2</v>
      </c>
      <c r="C6725" t="s">
        <v>16</v>
      </c>
      <c r="D6725">
        <v>2.5100000000000001E-3</v>
      </c>
      <c r="E6725">
        <f t="shared" si="210"/>
        <v>1.00251</v>
      </c>
      <c r="F6725" s="1">
        <f t="shared" si="211"/>
        <v>41554</v>
      </c>
      <c r="G6725" cm="1">
        <f t="array" ref="G6725">PRODUCT( _xlfn._xlws.FILTER($E:$E, ($C:$C=C6725)*($F:$F=F6725)) ) - 1</f>
        <v>1.3822507588576727E-2</v>
      </c>
    </row>
    <row r="6726" spans="1:7" x14ac:dyDescent="0.2">
      <c r="A6726" s="1">
        <v>41562</v>
      </c>
      <c r="B6726">
        <v>2</v>
      </c>
      <c r="C6726" t="s">
        <v>16</v>
      </c>
      <c r="D6726">
        <v>1.9480000000000001E-3</v>
      </c>
      <c r="E6726">
        <f t="shared" si="210"/>
        <v>1.0019480000000001</v>
      </c>
      <c r="F6726" s="1">
        <f t="shared" si="211"/>
        <v>41561</v>
      </c>
      <c r="G6726" cm="1">
        <f t="array" ref="G6726">PRODUCT( _xlfn._xlws.FILTER($E:$E, ($C:$C=C6726)*($F:$F=F6726)) ) - 1</f>
        <v>1.9477286522360249E-3</v>
      </c>
    </row>
    <row r="6727" spans="1:7" x14ac:dyDescent="0.2">
      <c r="A6727" s="1">
        <v>41563</v>
      </c>
      <c r="B6727">
        <v>2</v>
      </c>
      <c r="C6727" t="s">
        <v>16</v>
      </c>
      <c r="D6727">
        <v>-7.4980000000000003E-3</v>
      </c>
      <c r="E6727">
        <f t="shared" si="210"/>
        <v>0.992502</v>
      </c>
      <c r="F6727" s="1">
        <f t="shared" si="211"/>
        <v>41561</v>
      </c>
      <c r="G6727" cm="1">
        <f t="array" ref="G6727">PRODUCT( _xlfn._xlws.FILTER($E:$E, ($C:$C=C6727)*($F:$F=F6727)) ) - 1</f>
        <v>1.9477286522360249E-3</v>
      </c>
    </row>
    <row r="6728" spans="1:7" x14ac:dyDescent="0.2">
      <c r="A6728" s="1">
        <v>41564</v>
      </c>
      <c r="B6728">
        <v>2</v>
      </c>
      <c r="C6728" t="s">
        <v>16</v>
      </c>
      <c r="D6728">
        <v>8.6739999999999994E-3</v>
      </c>
      <c r="E6728">
        <f t="shared" si="210"/>
        <v>1.0086740000000001</v>
      </c>
      <c r="F6728" s="1">
        <f t="shared" si="211"/>
        <v>41561</v>
      </c>
      <c r="G6728" cm="1">
        <f t="array" ref="G6728">PRODUCT( _xlfn._xlws.FILTER($E:$E, ($C:$C=C6728)*($F:$F=F6728)) ) - 1</f>
        <v>1.9477286522360249E-3</v>
      </c>
    </row>
    <row r="6729" spans="1:7" x14ac:dyDescent="0.2">
      <c r="A6729" s="1">
        <v>41565</v>
      </c>
      <c r="B6729">
        <v>2</v>
      </c>
      <c r="C6729" t="s">
        <v>16</v>
      </c>
      <c r="D6729">
        <v>-1.1100000000000001E-3</v>
      </c>
      <c r="E6729">
        <f t="shared" si="210"/>
        <v>0.99888999999999994</v>
      </c>
      <c r="F6729" s="1">
        <f t="shared" si="211"/>
        <v>41561</v>
      </c>
      <c r="G6729" cm="1">
        <f t="array" ref="G6729">PRODUCT( _xlfn._xlws.FILTER($E:$E, ($C:$C=C6729)*($F:$F=F6729)) ) - 1</f>
        <v>1.9477286522360249E-3</v>
      </c>
    </row>
    <row r="6730" spans="1:7" x14ac:dyDescent="0.2">
      <c r="A6730" s="1">
        <v>41568</v>
      </c>
      <c r="B6730">
        <v>2</v>
      </c>
      <c r="C6730" t="s">
        <v>16</v>
      </c>
      <c r="D6730">
        <v>4.7210000000000004E-3</v>
      </c>
      <c r="E6730">
        <f t="shared" si="210"/>
        <v>1.004721</v>
      </c>
      <c r="F6730" s="1">
        <f t="shared" si="211"/>
        <v>41568</v>
      </c>
      <c r="G6730" cm="1">
        <f t="array" ref="G6730">PRODUCT( _xlfn._xlws.FILTER($E:$E, ($C:$C=C6730)*($F:$F=F6730)) ) - 1</f>
        <v>2.6659249493349524E-2</v>
      </c>
    </row>
    <row r="6731" spans="1:7" x14ac:dyDescent="0.2">
      <c r="A6731" s="1">
        <v>41569</v>
      </c>
      <c r="B6731">
        <v>2</v>
      </c>
      <c r="C6731" t="s">
        <v>16</v>
      </c>
      <c r="D6731">
        <v>1.4095999999999999E-2</v>
      </c>
      <c r="E6731">
        <f t="shared" si="210"/>
        <v>1.0140960000000001</v>
      </c>
      <c r="F6731" s="1">
        <f t="shared" si="211"/>
        <v>41568</v>
      </c>
      <c r="G6731" cm="1">
        <f t="array" ref="G6731">PRODUCT( _xlfn._xlws.FILTER($E:$E, ($C:$C=C6731)*($F:$F=F6731)) ) - 1</f>
        <v>2.6659249493349524E-2</v>
      </c>
    </row>
    <row r="6732" spans="1:7" x14ac:dyDescent="0.2">
      <c r="A6732" s="1">
        <v>41570</v>
      </c>
      <c r="B6732">
        <v>2</v>
      </c>
      <c r="C6732" t="s">
        <v>16</v>
      </c>
      <c r="D6732">
        <v>5.7239999999999999E-3</v>
      </c>
      <c r="E6732">
        <f t="shared" si="210"/>
        <v>1.0057240000000001</v>
      </c>
      <c r="F6732" s="1">
        <f t="shared" si="211"/>
        <v>41568</v>
      </c>
      <c r="G6732" cm="1">
        <f t="array" ref="G6732">PRODUCT( _xlfn._xlws.FILTER($E:$E, ($C:$C=C6732)*($F:$F=F6732)) ) - 1</f>
        <v>2.6659249493349524E-2</v>
      </c>
    </row>
    <row r="6733" spans="1:7" x14ac:dyDescent="0.2">
      <c r="A6733" s="1">
        <v>41571</v>
      </c>
      <c r="B6733">
        <v>2</v>
      </c>
      <c r="C6733" t="s">
        <v>16</v>
      </c>
      <c r="D6733">
        <v>5.4199999999999995E-4</v>
      </c>
      <c r="E6733">
        <f t="shared" si="210"/>
        <v>1.000542</v>
      </c>
      <c r="F6733" s="1">
        <f t="shared" si="211"/>
        <v>41568</v>
      </c>
      <c r="G6733" cm="1">
        <f t="array" ref="G6733">PRODUCT( _xlfn._xlws.FILTER($E:$E, ($C:$C=C6733)*($F:$F=F6733)) ) - 1</f>
        <v>2.6659249493349524E-2</v>
      </c>
    </row>
    <row r="6734" spans="1:7" x14ac:dyDescent="0.2">
      <c r="A6734" s="1">
        <v>41572</v>
      </c>
      <c r="B6734">
        <v>2</v>
      </c>
      <c r="C6734" t="s">
        <v>16</v>
      </c>
      <c r="D6734">
        <v>1.354E-3</v>
      </c>
      <c r="E6734">
        <f t="shared" si="210"/>
        <v>1.0013540000000001</v>
      </c>
      <c r="F6734" s="1">
        <f t="shared" si="211"/>
        <v>41568</v>
      </c>
      <c r="G6734" cm="1">
        <f t="array" ref="G6734">PRODUCT( _xlfn._xlws.FILTER($E:$E, ($C:$C=C6734)*($F:$F=F6734)) ) - 1</f>
        <v>2.6659249493349524E-2</v>
      </c>
    </row>
    <row r="6735" spans="1:7" x14ac:dyDescent="0.2">
      <c r="A6735" s="1">
        <v>41575</v>
      </c>
      <c r="B6735">
        <v>2</v>
      </c>
      <c r="C6735" t="s">
        <v>16</v>
      </c>
      <c r="D6735">
        <v>9.4669999999999997E-3</v>
      </c>
      <c r="E6735">
        <f t="shared" si="210"/>
        <v>1.0094669999999999</v>
      </c>
      <c r="F6735" s="1">
        <f t="shared" si="211"/>
        <v>41575</v>
      </c>
      <c r="G6735" cm="1">
        <f t="array" ref="G6735">PRODUCT( _xlfn._xlws.FILTER($E:$E, ($C:$C=C6735)*($F:$F=F6735)) ) - 1</f>
        <v>7.4113386114780466E-2</v>
      </c>
    </row>
    <row r="6736" spans="1:7" x14ac:dyDescent="0.2">
      <c r="A6736" s="1">
        <v>41576</v>
      </c>
      <c r="B6736">
        <v>2</v>
      </c>
      <c r="C6736" t="s">
        <v>16</v>
      </c>
      <c r="D6736">
        <v>3.3762E-2</v>
      </c>
      <c r="E6736">
        <f t="shared" si="210"/>
        <v>1.0337620000000001</v>
      </c>
      <c r="F6736" s="1">
        <f t="shared" si="211"/>
        <v>41575</v>
      </c>
      <c r="G6736" cm="1">
        <f t="array" ref="G6736">PRODUCT( _xlfn._xlws.FILTER($E:$E, ($C:$C=C6736)*($F:$F=F6736)) ) - 1</f>
        <v>7.4113386114780466E-2</v>
      </c>
    </row>
    <row r="6737" spans="1:7" x14ac:dyDescent="0.2">
      <c r="A6737" s="1">
        <v>41577</v>
      </c>
      <c r="B6737">
        <v>2</v>
      </c>
      <c r="C6737" t="s">
        <v>16</v>
      </c>
      <c r="D6737">
        <v>1.9699000000000001E-2</v>
      </c>
      <c r="E6737">
        <f t="shared" si="210"/>
        <v>1.0196989999999999</v>
      </c>
      <c r="F6737" s="1">
        <f t="shared" si="211"/>
        <v>41575</v>
      </c>
      <c r="G6737" cm="1">
        <f t="array" ref="G6737">PRODUCT( _xlfn._xlws.FILTER($E:$E, ($C:$C=C6737)*($F:$F=F6737)) ) - 1</f>
        <v>7.4113386114780466E-2</v>
      </c>
    </row>
    <row r="6738" spans="1:7" x14ac:dyDescent="0.2">
      <c r="A6738" s="1">
        <v>41578</v>
      </c>
      <c r="B6738">
        <v>2</v>
      </c>
      <c r="C6738" t="s">
        <v>16</v>
      </c>
      <c r="D6738">
        <v>-4.0670000000000003E-3</v>
      </c>
      <c r="E6738">
        <f t="shared" si="210"/>
        <v>0.99593299999999996</v>
      </c>
      <c r="F6738" s="1">
        <f t="shared" si="211"/>
        <v>41575</v>
      </c>
      <c r="G6738" cm="1">
        <f t="array" ref="G6738">PRODUCT( _xlfn._xlws.FILTER($E:$E, ($C:$C=C6738)*($F:$F=F6738)) ) - 1</f>
        <v>7.4113386114780466E-2</v>
      </c>
    </row>
    <row r="6739" spans="1:7" x14ac:dyDescent="0.2">
      <c r="A6739" s="1">
        <v>41579</v>
      </c>
      <c r="B6739">
        <v>2</v>
      </c>
      <c r="C6739" t="s">
        <v>16</v>
      </c>
      <c r="D6739">
        <v>1.3527000000000001E-2</v>
      </c>
      <c r="E6739">
        <f t="shared" si="210"/>
        <v>1.0135270000000001</v>
      </c>
      <c r="F6739" s="1">
        <f t="shared" si="211"/>
        <v>41575</v>
      </c>
      <c r="G6739" cm="1">
        <f t="array" ref="G6739">PRODUCT( _xlfn._xlws.FILTER($E:$E, ($C:$C=C6739)*($F:$F=F6739)) ) - 1</f>
        <v>7.4113386114780466E-2</v>
      </c>
    </row>
    <row r="6740" spans="1:7" x14ac:dyDescent="0.2">
      <c r="A6740" s="1">
        <v>41582</v>
      </c>
      <c r="B6740">
        <v>2</v>
      </c>
      <c r="C6740" t="s">
        <v>16</v>
      </c>
      <c r="D6740">
        <v>-5.7920000000000003E-3</v>
      </c>
      <c r="E6740">
        <f t="shared" si="210"/>
        <v>0.99420799999999998</v>
      </c>
      <c r="F6740" s="1">
        <f t="shared" si="211"/>
        <v>41582</v>
      </c>
      <c r="G6740" cm="1">
        <f t="array" ref="G6740">PRODUCT( _xlfn._xlws.FILTER($E:$E, ($C:$C=C6740)*($F:$F=F6740)) ) - 1</f>
        <v>9.3177202667218406E-3</v>
      </c>
    </row>
    <row r="6741" spans="1:7" x14ac:dyDescent="0.2">
      <c r="A6741" s="1">
        <v>41583</v>
      </c>
      <c r="B6741">
        <v>2</v>
      </c>
      <c r="C6741" t="s">
        <v>16</v>
      </c>
      <c r="D6741">
        <v>7.0920000000000002E-3</v>
      </c>
      <c r="E6741">
        <f t="shared" si="210"/>
        <v>1.0070920000000001</v>
      </c>
      <c r="F6741" s="1">
        <f t="shared" si="211"/>
        <v>41582</v>
      </c>
      <c r="G6741" cm="1">
        <f t="array" ref="G6741">PRODUCT( _xlfn._xlws.FILTER($E:$E, ($C:$C=C6741)*($F:$F=F6741)) ) - 1</f>
        <v>9.3177202667218406E-3</v>
      </c>
    </row>
    <row r="6742" spans="1:7" x14ac:dyDescent="0.2">
      <c r="A6742" s="1">
        <v>41584</v>
      </c>
      <c r="B6742">
        <v>2</v>
      </c>
      <c r="C6742" t="s">
        <v>16</v>
      </c>
      <c r="D6742">
        <v>1.5089999999999999E-3</v>
      </c>
      <c r="E6742">
        <f t="shared" si="210"/>
        <v>1.001509</v>
      </c>
      <c r="F6742" s="1">
        <f t="shared" si="211"/>
        <v>41582</v>
      </c>
      <c r="G6742" cm="1">
        <f t="array" ref="G6742">PRODUCT( _xlfn._xlws.FILTER($E:$E, ($C:$C=C6742)*($F:$F=F6742)) ) - 1</f>
        <v>9.3177202667218406E-3</v>
      </c>
    </row>
    <row r="6743" spans="1:7" x14ac:dyDescent="0.2">
      <c r="A6743" s="1">
        <v>41585</v>
      </c>
      <c r="B6743">
        <v>2</v>
      </c>
      <c r="C6743" t="s">
        <v>16</v>
      </c>
      <c r="D6743">
        <v>-2.0089999999999999E-3</v>
      </c>
      <c r="E6743">
        <f t="shared" si="210"/>
        <v>0.99799099999999996</v>
      </c>
      <c r="F6743" s="1">
        <f t="shared" si="211"/>
        <v>41582</v>
      </c>
      <c r="G6743" cm="1">
        <f t="array" ref="G6743">PRODUCT( _xlfn._xlws.FILTER($E:$E, ($C:$C=C6743)*($F:$F=F6743)) ) - 1</f>
        <v>9.3177202667218406E-3</v>
      </c>
    </row>
    <row r="6744" spans="1:7" x14ac:dyDescent="0.2">
      <c r="A6744" s="1">
        <v>41586</v>
      </c>
      <c r="B6744">
        <v>2</v>
      </c>
      <c r="C6744" t="s">
        <v>16</v>
      </c>
      <c r="D6744">
        <v>8.5559999999999994E-3</v>
      </c>
      <c r="E6744">
        <f t="shared" si="210"/>
        <v>1.008556</v>
      </c>
      <c r="F6744" s="1">
        <f t="shared" si="211"/>
        <v>41582</v>
      </c>
      <c r="G6744" cm="1">
        <f t="array" ref="G6744">PRODUCT( _xlfn._xlws.FILTER($E:$E, ($C:$C=C6744)*($F:$F=F6744)) ) - 1</f>
        <v>9.3177202667218406E-3</v>
      </c>
    </row>
    <row r="6745" spans="1:7" x14ac:dyDescent="0.2">
      <c r="A6745" s="1">
        <v>41589</v>
      </c>
      <c r="B6745">
        <v>2</v>
      </c>
      <c r="C6745" t="s">
        <v>16</v>
      </c>
      <c r="D6745">
        <v>-5.489E-3</v>
      </c>
      <c r="E6745">
        <f t="shared" si="210"/>
        <v>0.99451100000000003</v>
      </c>
      <c r="F6745" s="1">
        <f t="shared" si="211"/>
        <v>41589</v>
      </c>
      <c r="G6745" cm="1">
        <f t="array" ref="G6745">PRODUCT( _xlfn._xlws.FILTER($E:$E, ($C:$C=C6745)*($F:$F=F6745)) ) - 1</f>
        <v>-1.2471862008941459E-3</v>
      </c>
    </row>
    <row r="6746" spans="1:7" x14ac:dyDescent="0.2">
      <c r="A6746" s="1">
        <v>41590</v>
      </c>
      <c r="B6746">
        <v>2</v>
      </c>
      <c r="C6746" t="s">
        <v>16</v>
      </c>
      <c r="D6746">
        <v>2.0070000000000001E-3</v>
      </c>
      <c r="E6746">
        <f t="shared" si="210"/>
        <v>1.0020070000000001</v>
      </c>
      <c r="F6746" s="1">
        <f t="shared" si="211"/>
        <v>41589</v>
      </c>
      <c r="G6746" cm="1">
        <f t="array" ref="G6746">PRODUCT( _xlfn._xlws.FILTER($E:$E, ($C:$C=C6746)*($F:$F=F6746)) ) - 1</f>
        <v>-1.2471862008941459E-3</v>
      </c>
    </row>
    <row r="6747" spans="1:7" x14ac:dyDescent="0.2">
      <c r="A6747" s="1">
        <v>41591</v>
      </c>
      <c r="B6747">
        <v>2</v>
      </c>
      <c r="C6747" t="s">
        <v>16</v>
      </c>
      <c r="D6747">
        <v>3.0049999999999999E-3</v>
      </c>
      <c r="E6747">
        <f t="shared" si="210"/>
        <v>1.0030049999999999</v>
      </c>
      <c r="F6747" s="1">
        <f t="shared" si="211"/>
        <v>41589</v>
      </c>
      <c r="G6747" cm="1">
        <f t="array" ref="G6747">PRODUCT( _xlfn._xlws.FILTER($E:$E, ($C:$C=C6747)*($F:$F=F6747)) ) - 1</f>
        <v>-1.2471862008941459E-3</v>
      </c>
    </row>
    <row r="6748" spans="1:7" x14ac:dyDescent="0.2">
      <c r="A6748" s="1">
        <v>41592</v>
      </c>
      <c r="B6748">
        <v>2</v>
      </c>
      <c r="C6748" t="s">
        <v>16</v>
      </c>
      <c r="D6748">
        <v>5.7409999999999996E-3</v>
      </c>
      <c r="E6748">
        <f t="shared" si="210"/>
        <v>1.005741</v>
      </c>
      <c r="F6748" s="1">
        <f t="shared" si="211"/>
        <v>41589</v>
      </c>
      <c r="G6748" cm="1">
        <f t="array" ref="G6748">PRODUCT( _xlfn._xlws.FILTER($E:$E, ($C:$C=C6748)*($F:$F=F6748)) ) - 1</f>
        <v>-1.2471862008941459E-3</v>
      </c>
    </row>
    <row r="6749" spans="1:7" x14ac:dyDescent="0.2">
      <c r="A6749" s="1">
        <v>41593</v>
      </c>
      <c r="B6749">
        <v>2</v>
      </c>
      <c r="C6749" t="s">
        <v>16</v>
      </c>
      <c r="D6749">
        <v>-6.4530000000000004E-3</v>
      </c>
      <c r="E6749">
        <f t="shared" si="210"/>
        <v>0.99354699999999996</v>
      </c>
      <c r="F6749" s="1">
        <f t="shared" si="211"/>
        <v>41589</v>
      </c>
      <c r="G6749" cm="1">
        <f t="array" ref="G6749">PRODUCT( _xlfn._xlws.FILTER($E:$E, ($C:$C=C6749)*($F:$F=F6749)) ) - 1</f>
        <v>-1.2471862008941459E-3</v>
      </c>
    </row>
    <row r="6750" spans="1:7" x14ac:dyDescent="0.2">
      <c r="A6750" s="1">
        <v>41596</v>
      </c>
      <c r="B6750">
        <v>2</v>
      </c>
      <c r="C6750" t="s">
        <v>16</v>
      </c>
      <c r="D6750">
        <v>9.990000000000001E-4</v>
      </c>
      <c r="E6750">
        <f t="shared" si="210"/>
        <v>1.000999</v>
      </c>
      <c r="F6750" s="1">
        <f t="shared" si="211"/>
        <v>41596</v>
      </c>
      <c r="G6750" cm="1">
        <f t="array" ref="G6750">PRODUCT( _xlfn._xlws.FILTER($E:$E, ($C:$C=C6750)*($F:$F=F6750)) ) - 1</f>
        <v>6.5438168538125563E-3</v>
      </c>
    </row>
    <row r="6751" spans="1:7" x14ac:dyDescent="0.2">
      <c r="A6751" s="1">
        <v>41597</v>
      </c>
      <c r="B6751">
        <v>2</v>
      </c>
      <c r="C6751" t="s">
        <v>16</v>
      </c>
      <c r="D6751">
        <v>7.5600000000000005E-4</v>
      </c>
      <c r="E6751">
        <f t="shared" si="210"/>
        <v>1.000756</v>
      </c>
      <c r="F6751" s="1">
        <f t="shared" si="211"/>
        <v>41596</v>
      </c>
      <c r="G6751" cm="1">
        <f t="array" ref="G6751">PRODUCT( _xlfn._xlws.FILTER($E:$E, ($C:$C=C6751)*($F:$F=F6751)) ) - 1</f>
        <v>6.5438168538125563E-3</v>
      </c>
    </row>
    <row r="6752" spans="1:7" x14ac:dyDescent="0.2">
      <c r="A6752" s="1">
        <v>41598</v>
      </c>
      <c r="B6752">
        <v>2</v>
      </c>
      <c r="C6752" t="s">
        <v>16</v>
      </c>
      <c r="D6752">
        <v>-7.54E-4</v>
      </c>
      <c r="E6752">
        <f t="shared" si="210"/>
        <v>0.99924599999999997</v>
      </c>
      <c r="F6752" s="1">
        <f t="shared" si="211"/>
        <v>41596</v>
      </c>
      <c r="G6752" cm="1">
        <f t="array" ref="G6752">PRODUCT( _xlfn._xlws.FILTER($E:$E, ($C:$C=C6752)*($F:$F=F6752)) ) - 1</f>
        <v>6.5438168538125563E-3</v>
      </c>
    </row>
    <row r="6753" spans="1:7" x14ac:dyDescent="0.2">
      <c r="A6753" s="1">
        <v>41599</v>
      </c>
      <c r="B6753">
        <v>2</v>
      </c>
      <c r="C6753" t="s">
        <v>16</v>
      </c>
      <c r="D6753">
        <v>9.5650000000000006E-3</v>
      </c>
      <c r="E6753">
        <f t="shared" si="210"/>
        <v>1.009565</v>
      </c>
      <c r="F6753" s="1">
        <f t="shared" si="211"/>
        <v>41596</v>
      </c>
      <c r="G6753" cm="1">
        <f t="array" ref="G6753">PRODUCT( _xlfn._xlws.FILTER($E:$E, ($C:$C=C6753)*($F:$F=F6753)) ) - 1</f>
        <v>6.5438168538125563E-3</v>
      </c>
    </row>
    <row r="6754" spans="1:7" x14ac:dyDescent="0.2">
      <c r="A6754" s="1">
        <v>41600</v>
      </c>
      <c r="B6754">
        <v>2</v>
      </c>
      <c r="C6754" t="s">
        <v>16</v>
      </c>
      <c r="D6754">
        <v>-3.9890000000000004E-3</v>
      </c>
      <c r="E6754">
        <f t="shared" si="210"/>
        <v>0.99601099999999998</v>
      </c>
      <c r="F6754" s="1">
        <f t="shared" si="211"/>
        <v>41596</v>
      </c>
      <c r="G6754" cm="1">
        <f t="array" ref="G6754">PRODUCT( _xlfn._xlws.FILTER($E:$E, ($C:$C=C6754)*($F:$F=F6754)) ) - 1</f>
        <v>6.5438168538125563E-3</v>
      </c>
    </row>
    <row r="6755" spans="1:7" x14ac:dyDescent="0.2">
      <c r="A6755" s="1">
        <v>41603</v>
      </c>
      <c r="B6755">
        <v>2</v>
      </c>
      <c r="C6755" t="s">
        <v>16</v>
      </c>
      <c r="D6755">
        <v>-2.2529999999999998E-3</v>
      </c>
      <c r="E6755">
        <f t="shared" si="210"/>
        <v>0.99774700000000005</v>
      </c>
      <c r="F6755" s="1">
        <f t="shared" si="211"/>
        <v>41603</v>
      </c>
      <c r="G6755" cm="1">
        <f t="array" ref="G6755">PRODUCT( _xlfn._xlws.FILTER($E:$E, ($C:$C=C6755)*($F:$F=F6755)) ) - 1</f>
        <v>-9.5119644658414604E-3</v>
      </c>
    </row>
    <row r="6756" spans="1:7" x14ac:dyDescent="0.2">
      <c r="A6756" s="1">
        <v>41604</v>
      </c>
      <c r="B6756">
        <v>2</v>
      </c>
      <c r="C6756" t="s">
        <v>16</v>
      </c>
      <c r="D6756">
        <v>-1.4551E-2</v>
      </c>
      <c r="E6756">
        <f t="shared" si="210"/>
        <v>0.98544900000000002</v>
      </c>
      <c r="F6756" s="1">
        <f t="shared" si="211"/>
        <v>41603</v>
      </c>
      <c r="G6756" cm="1">
        <f t="array" ref="G6756">PRODUCT( _xlfn._xlws.FILTER($E:$E, ($C:$C=C6756)*($F:$F=F6756)) ) - 1</f>
        <v>-9.5119644658414604E-3</v>
      </c>
    </row>
    <row r="6757" spans="1:7" x14ac:dyDescent="0.2">
      <c r="A6757" s="1">
        <v>41605</v>
      </c>
      <c r="B6757">
        <v>2</v>
      </c>
      <c r="C6757" t="s">
        <v>16</v>
      </c>
      <c r="D6757">
        <v>1.0182999999999999E-2</v>
      </c>
      <c r="E6757">
        <f t="shared" si="210"/>
        <v>1.0101830000000001</v>
      </c>
      <c r="F6757" s="1">
        <f t="shared" si="211"/>
        <v>41603</v>
      </c>
      <c r="G6757" cm="1">
        <f t="array" ref="G6757">PRODUCT( _xlfn._xlws.FILTER($E:$E, ($C:$C=C6757)*($F:$F=F6757)) ) - 1</f>
        <v>-9.5119644658414604E-3</v>
      </c>
    </row>
    <row r="6758" spans="1:7" x14ac:dyDescent="0.2">
      <c r="A6758" s="1">
        <v>41606</v>
      </c>
      <c r="B6758">
        <v>2</v>
      </c>
      <c r="C6758" t="s">
        <v>16</v>
      </c>
      <c r="D6758">
        <v>-4.7879999999999997E-3</v>
      </c>
      <c r="E6758">
        <f t="shared" si="210"/>
        <v>0.99521199999999999</v>
      </c>
      <c r="F6758" s="1">
        <f t="shared" si="211"/>
        <v>41603</v>
      </c>
      <c r="G6758" cm="1">
        <f t="array" ref="G6758">PRODUCT( _xlfn._xlws.FILTER($E:$E, ($C:$C=C6758)*($F:$F=F6758)) ) - 1</f>
        <v>-9.5119644658414604E-3</v>
      </c>
    </row>
    <row r="6759" spans="1:7" x14ac:dyDescent="0.2">
      <c r="A6759" s="1">
        <v>41607</v>
      </c>
      <c r="B6759">
        <v>2</v>
      </c>
      <c r="C6759" t="s">
        <v>16</v>
      </c>
      <c r="D6759">
        <v>2.026E-3</v>
      </c>
      <c r="E6759">
        <f t="shared" si="210"/>
        <v>1.0020260000000001</v>
      </c>
      <c r="F6759" s="1">
        <f t="shared" si="211"/>
        <v>41603</v>
      </c>
      <c r="G6759" cm="1">
        <f t="array" ref="G6759">PRODUCT( _xlfn._xlws.FILTER($E:$E, ($C:$C=C6759)*($F:$F=F6759)) ) - 1</f>
        <v>-9.5119644658414604E-3</v>
      </c>
    </row>
    <row r="6760" spans="1:7" x14ac:dyDescent="0.2">
      <c r="A6760" s="1">
        <v>41610</v>
      </c>
      <c r="B6760">
        <v>2</v>
      </c>
      <c r="C6760" t="s">
        <v>16</v>
      </c>
      <c r="D6760">
        <v>1.0361E-2</v>
      </c>
      <c r="E6760">
        <f t="shared" si="210"/>
        <v>1.0103610000000001</v>
      </c>
      <c r="F6760" s="1">
        <f t="shared" si="211"/>
        <v>41610</v>
      </c>
      <c r="G6760" cm="1">
        <f t="array" ref="G6760">PRODUCT( _xlfn._xlws.FILTER($E:$E, ($C:$C=C6760)*($F:$F=F6760)) ) - 1</f>
        <v>-6.8240486908184295E-3</v>
      </c>
    </row>
    <row r="6761" spans="1:7" x14ac:dyDescent="0.2">
      <c r="A6761" s="1">
        <v>41611</v>
      </c>
      <c r="B6761">
        <v>2</v>
      </c>
      <c r="C6761" t="s">
        <v>16</v>
      </c>
      <c r="D6761">
        <v>-2.5010000000000002E-3</v>
      </c>
      <c r="E6761">
        <f t="shared" si="210"/>
        <v>0.99749900000000002</v>
      </c>
      <c r="F6761" s="1">
        <f t="shared" si="211"/>
        <v>41610</v>
      </c>
      <c r="G6761" cm="1">
        <f t="array" ref="G6761">PRODUCT( _xlfn._xlws.FILTER($E:$E, ($C:$C=C6761)*($F:$F=F6761)) ) - 1</f>
        <v>-6.8240486908184295E-3</v>
      </c>
    </row>
    <row r="6762" spans="1:7" x14ac:dyDescent="0.2">
      <c r="A6762" s="1">
        <v>41612</v>
      </c>
      <c r="B6762">
        <v>2</v>
      </c>
      <c r="C6762" t="s">
        <v>16</v>
      </c>
      <c r="D6762">
        <v>-9.0270000000000003E-3</v>
      </c>
      <c r="E6762">
        <f t="shared" si="210"/>
        <v>0.99097299999999999</v>
      </c>
      <c r="F6762" s="1">
        <f t="shared" si="211"/>
        <v>41610</v>
      </c>
      <c r="G6762" cm="1">
        <f t="array" ref="G6762">PRODUCT( _xlfn._xlws.FILTER($E:$E, ($C:$C=C6762)*($F:$F=F6762)) ) - 1</f>
        <v>-6.8240486908184295E-3</v>
      </c>
    </row>
    <row r="6763" spans="1:7" x14ac:dyDescent="0.2">
      <c r="A6763" s="1">
        <v>41613</v>
      </c>
      <c r="B6763">
        <v>2</v>
      </c>
      <c r="C6763" t="s">
        <v>16</v>
      </c>
      <c r="D6763">
        <v>-1.0881E-2</v>
      </c>
      <c r="E6763">
        <f t="shared" si="210"/>
        <v>0.98911899999999997</v>
      </c>
      <c r="F6763" s="1">
        <f t="shared" si="211"/>
        <v>41610</v>
      </c>
      <c r="G6763" cm="1">
        <f t="array" ref="G6763">PRODUCT( _xlfn._xlws.FILTER($E:$E, ($C:$C=C6763)*($F:$F=F6763)) ) - 1</f>
        <v>-6.8240486908184295E-3</v>
      </c>
    </row>
    <row r="6764" spans="1:7" x14ac:dyDescent="0.2">
      <c r="A6764" s="1">
        <v>41614</v>
      </c>
      <c r="B6764">
        <v>2</v>
      </c>
      <c r="C6764" t="s">
        <v>16</v>
      </c>
      <c r="D6764">
        <v>5.372E-3</v>
      </c>
      <c r="E6764">
        <f t="shared" si="210"/>
        <v>1.0053719999999999</v>
      </c>
      <c r="F6764" s="1">
        <f t="shared" si="211"/>
        <v>41610</v>
      </c>
      <c r="G6764" cm="1">
        <f t="array" ref="G6764">PRODUCT( _xlfn._xlws.FILTER($E:$E, ($C:$C=C6764)*($F:$F=F6764)) ) - 1</f>
        <v>-6.8240486908184295E-3</v>
      </c>
    </row>
    <row r="6765" spans="1:7" x14ac:dyDescent="0.2">
      <c r="A6765" s="1">
        <v>41617</v>
      </c>
      <c r="B6765">
        <v>2</v>
      </c>
      <c r="C6765" t="s">
        <v>16</v>
      </c>
      <c r="D6765">
        <v>9.9240000000000005E-3</v>
      </c>
      <c r="E6765">
        <f t="shared" si="210"/>
        <v>1.009924</v>
      </c>
      <c r="F6765" s="1">
        <f t="shared" si="211"/>
        <v>41617</v>
      </c>
      <c r="G6765" cm="1">
        <f t="array" ref="G6765">PRODUCT( _xlfn._xlws.FILTER($E:$E, ($C:$C=C6765)*($F:$F=F6765)) ) - 1</f>
        <v>-8.3956226481750607E-3</v>
      </c>
    </row>
    <row r="6766" spans="1:7" x14ac:dyDescent="0.2">
      <c r="A6766" s="1">
        <v>41618</v>
      </c>
      <c r="B6766">
        <v>2</v>
      </c>
      <c r="C6766" t="s">
        <v>16</v>
      </c>
      <c r="D6766">
        <v>-6.5510000000000004E-3</v>
      </c>
      <c r="E6766">
        <f t="shared" si="210"/>
        <v>0.99344900000000003</v>
      </c>
      <c r="F6766" s="1">
        <f t="shared" si="211"/>
        <v>41617</v>
      </c>
      <c r="G6766" cm="1">
        <f t="array" ref="G6766">PRODUCT( _xlfn._xlws.FILTER($E:$E, ($C:$C=C6766)*($F:$F=F6766)) ) - 1</f>
        <v>-8.3956226481750607E-3</v>
      </c>
    </row>
    <row r="6767" spans="1:7" x14ac:dyDescent="0.2">
      <c r="A6767" s="1">
        <v>41619</v>
      </c>
      <c r="B6767">
        <v>2</v>
      </c>
      <c r="C6767" t="s">
        <v>16</v>
      </c>
      <c r="D6767">
        <v>-1.2933999999999999E-2</v>
      </c>
      <c r="E6767">
        <f t="shared" si="210"/>
        <v>0.987066</v>
      </c>
      <c r="F6767" s="1">
        <f t="shared" si="211"/>
        <v>41617</v>
      </c>
      <c r="G6767" cm="1">
        <f t="array" ref="G6767">PRODUCT( _xlfn._xlws.FILTER($E:$E, ($C:$C=C6767)*($F:$F=F6767)) ) - 1</f>
        <v>-8.3956226481750607E-3</v>
      </c>
    </row>
    <row r="6768" spans="1:7" x14ac:dyDescent="0.2">
      <c r="A6768" s="1">
        <v>41620</v>
      </c>
      <c r="B6768">
        <v>2</v>
      </c>
      <c r="C6768" t="s">
        <v>16</v>
      </c>
      <c r="D6768">
        <v>1.542E-3</v>
      </c>
      <c r="E6768">
        <f t="shared" si="210"/>
        <v>1.0015419999999999</v>
      </c>
      <c r="F6768" s="1">
        <f t="shared" si="211"/>
        <v>41617</v>
      </c>
      <c r="G6768" cm="1">
        <f t="array" ref="G6768">PRODUCT( _xlfn._xlws.FILTER($E:$E, ($C:$C=C6768)*($F:$F=F6768)) ) - 1</f>
        <v>-8.3956226481750607E-3</v>
      </c>
    </row>
    <row r="6769" spans="1:7" x14ac:dyDescent="0.2">
      <c r="A6769" s="1">
        <v>41621</v>
      </c>
      <c r="B6769">
        <v>2</v>
      </c>
      <c r="C6769" t="s">
        <v>16</v>
      </c>
      <c r="D6769">
        <v>-2.5599999999999999E-4</v>
      </c>
      <c r="E6769">
        <f t="shared" si="210"/>
        <v>0.99974399999999997</v>
      </c>
      <c r="F6769" s="1">
        <f t="shared" si="211"/>
        <v>41617</v>
      </c>
      <c r="G6769" cm="1">
        <f t="array" ref="G6769">PRODUCT( _xlfn._xlws.FILTER($E:$E, ($C:$C=C6769)*($F:$F=F6769)) ) - 1</f>
        <v>-8.3956226481750607E-3</v>
      </c>
    </row>
    <row r="6770" spans="1:7" x14ac:dyDescent="0.2">
      <c r="A6770" s="1">
        <v>41624</v>
      </c>
      <c r="B6770">
        <v>2</v>
      </c>
      <c r="C6770" t="s">
        <v>16</v>
      </c>
      <c r="D6770">
        <v>7.1850000000000004E-3</v>
      </c>
      <c r="E6770">
        <f t="shared" si="210"/>
        <v>1.007185</v>
      </c>
      <c r="F6770" s="1">
        <f t="shared" si="211"/>
        <v>41624</v>
      </c>
      <c r="G6770" cm="1">
        <f t="array" ref="G6770">PRODUCT( _xlfn._xlws.FILTER($E:$E, ($C:$C=C6770)*($F:$F=F6770)) ) - 1</f>
        <v>2.8483326697399169E-2</v>
      </c>
    </row>
    <row r="6771" spans="1:7" x14ac:dyDescent="0.2">
      <c r="A6771" s="1">
        <v>41625</v>
      </c>
      <c r="B6771">
        <v>2</v>
      </c>
      <c r="C6771" t="s">
        <v>16</v>
      </c>
      <c r="D6771">
        <v>-3.8219999999999999E-3</v>
      </c>
      <c r="E6771">
        <f t="shared" si="210"/>
        <v>0.99617800000000001</v>
      </c>
      <c r="F6771" s="1">
        <f t="shared" si="211"/>
        <v>41624</v>
      </c>
      <c r="G6771" cm="1">
        <f t="array" ref="G6771">PRODUCT( _xlfn._xlws.FILTER($E:$E, ($C:$C=C6771)*($F:$F=F6771)) ) - 1</f>
        <v>2.8483326697399169E-2</v>
      </c>
    </row>
    <row r="6772" spans="1:7" x14ac:dyDescent="0.2">
      <c r="A6772" s="1">
        <v>41626</v>
      </c>
      <c r="B6772">
        <v>2</v>
      </c>
      <c r="C6772" t="s">
        <v>16</v>
      </c>
      <c r="D6772">
        <v>5.1199999999999998E-4</v>
      </c>
      <c r="E6772">
        <f t="shared" si="210"/>
        <v>1.0005120000000001</v>
      </c>
      <c r="F6772" s="1">
        <f t="shared" si="211"/>
        <v>41624</v>
      </c>
      <c r="G6772" cm="1">
        <f t="array" ref="G6772">PRODUCT( _xlfn._xlws.FILTER($E:$E, ($C:$C=C6772)*($F:$F=F6772)) ) - 1</f>
        <v>2.8483326697399169E-2</v>
      </c>
    </row>
    <row r="6773" spans="1:7" x14ac:dyDescent="0.2">
      <c r="A6773" s="1">
        <v>41627</v>
      </c>
      <c r="B6773">
        <v>2</v>
      </c>
      <c r="C6773" t="s">
        <v>16</v>
      </c>
      <c r="D6773">
        <v>1.7638000000000001E-2</v>
      </c>
      <c r="E6773">
        <f t="shared" si="210"/>
        <v>1.017638</v>
      </c>
      <c r="F6773" s="1">
        <f t="shared" si="211"/>
        <v>41624</v>
      </c>
      <c r="G6773" cm="1">
        <f t="array" ref="G6773">PRODUCT( _xlfn._xlws.FILTER($E:$E, ($C:$C=C6773)*($F:$F=F6773)) ) - 1</f>
        <v>2.8483326697399169E-2</v>
      </c>
    </row>
    <row r="6774" spans="1:7" x14ac:dyDescent="0.2">
      <c r="A6774" s="1">
        <v>41628</v>
      </c>
      <c r="B6774">
        <v>2</v>
      </c>
      <c r="C6774" t="s">
        <v>16</v>
      </c>
      <c r="D6774">
        <v>6.7819999999999998E-3</v>
      </c>
      <c r="E6774">
        <f t="shared" si="210"/>
        <v>1.0067820000000001</v>
      </c>
      <c r="F6774" s="1">
        <f t="shared" si="211"/>
        <v>41624</v>
      </c>
      <c r="G6774" cm="1">
        <f t="array" ref="G6774">PRODUCT( _xlfn._xlws.FILTER($E:$E, ($C:$C=C6774)*($F:$F=F6774)) ) - 1</f>
        <v>2.8483326697399169E-2</v>
      </c>
    </row>
    <row r="6775" spans="1:7" x14ac:dyDescent="0.2">
      <c r="A6775" s="1">
        <v>41631</v>
      </c>
      <c r="B6775">
        <v>2</v>
      </c>
      <c r="C6775" t="s">
        <v>16</v>
      </c>
      <c r="D6775">
        <v>2.7439999999999999E-3</v>
      </c>
      <c r="E6775">
        <f t="shared" si="210"/>
        <v>1.0027440000000001</v>
      </c>
      <c r="F6775" s="1">
        <f t="shared" si="211"/>
        <v>41631</v>
      </c>
      <c r="G6775" cm="1">
        <f t="array" ref="G6775">PRODUCT( _xlfn._xlws.FILTER($E:$E, ($C:$C=C6775)*($F:$F=F6775)) ) - 1</f>
        <v>1.3471993930574078E-2</v>
      </c>
    </row>
    <row r="6776" spans="1:7" x14ac:dyDescent="0.2">
      <c r="A6776" s="1">
        <v>41632</v>
      </c>
      <c r="B6776">
        <v>2</v>
      </c>
      <c r="C6776" t="s">
        <v>16</v>
      </c>
      <c r="D6776">
        <v>3.9810000000000002E-3</v>
      </c>
      <c r="E6776">
        <f t="shared" si="210"/>
        <v>1.003981</v>
      </c>
      <c r="F6776" s="1">
        <f t="shared" si="211"/>
        <v>41631</v>
      </c>
      <c r="G6776" cm="1">
        <f t="array" ref="G6776">PRODUCT( _xlfn._xlws.FILTER($E:$E, ($C:$C=C6776)*($F:$F=F6776)) ) - 1</f>
        <v>1.3471993930574078E-2</v>
      </c>
    </row>
    <row r="6777" spans="1:7" x14ac:dyDescent="0.2">
      <c r="A6777" s="1">
        <v>41635</v>
      </c>
      <c r="B6777">
        <v>2</v>
      </c>
      <c r="C6777" t="s">
        <v>16</v>
      </c>
      <c r="D6777">
        <v>6.6909999999999999E-3</v>
      </c>
      <c r="E6777">
        <f t="shared" si="210"/>
        <v>1.006691</v>
      </c>
      <c r="F6777" s="1">
        <f t="shared" si="211"/>
        <v>41631</v>
      </c>
      <c r="G6777" cm="1">
        <f t="array" ref="G6777">PRODUCT( _xlfn._xlws.FILTER($E:$E, ($C:$C=C6777)*($F:$F=F6777)) ) - 1</f>
        <v>1.3471993930574078E-2</v>
      </c>
    </row>
    <row r="6778" spans="1:7" x14ac:dyDescent="0.2">
      <c r="A6778" s="1">
        <v>41638</v>
      </c>
      <c r="B6778">
        <v>2</v>
      </c>
      <c r="C6778" t="s">
        <v>16</v>
      </c>
      <c r="D6778">
        <v>-3.6930000000000001E-3</v>
      </c>
      <c r="E6778">
        <f t="shared" si="210"/>
        <v>0.99630700000000005</v>
      </c>
      <c r="F6778" s="1">
        <f t="shared" si="211"/>
        <v>41638</v>
      </c>
      <c r="G6778" cm="1">
        <f t="array" ref="G6778">PRODUCT( _xlfn._xlws.FILTER($E:$E, ($C:$C=C6778)*($F:$F=F6778)) ) - 1</f>
        <v>-1.5016725118706997E-2</v>
      </c>
    </row>
    <row r="6779" spans="1:7" x14ac:dyDescent="0.2">
      <c r="A6779" s="1">
        <v>41639</v>
      </c>
      <c r="B6779">
        <v>2</v>
      </c>
      <c r="C6779" t="s">
        <v>16</v>
      </c>
      <c r="D6779">
        <v>-7.4130000000000003E-3</v>
      </c>
      <c r="E6779">
        <f t="shared" si="210"/>
        <v>0.992587</v>
      </c>
      <c r="F6779" s="1">
        <f t="shared" si="211"/>
        <v>41638</v>
      </c>
      <c r="G6779" cm="1">
        <f t="array" ref="G6779">PRODUCT( _xlfn._xlws.FILTER($E:$E, ($C:$C=C6779)*($F:$F=F6779)) ) - 1</f>
        <v>-1.5016725118706997E-2</v>
      </c>
    </row>
    <row r="6780" spans="1:7" x14ac:dyDescent="0.2">
      <c r="A6780" s="1">
        <v>41641</v>
      </c>
      <c r="B6780">
        <v>2</v>
      </c>
      <c r="C6780" t="s">
        <v>16</v>
      </c>
      <c r="D6780">
        <v>-6.4720000000000003E-3</v>
      </c>
      <c r="E6780">
        <f t="shared" si="210"/>
        <v>0.99352799999999997</v>
      </c>
      <c r="F6780" s="1">
        <f t="shared" si="211"/>
        <v>41638</v>
      </c>
      <c r="G6780" cm="1">
        <f t="array" ref="G6780">PRODUCT( _xlfn._xlws.FILTER($E:$E, ($C:$C=C6780)*($F:$F=F6780)) ) - 1</f>
        <v>-1.5016725118706997E-2</v>
      </c>
    </row>
    <row r="6781" spans="1:7" x14ac:dyDescent="0.2">
      <c r="A6781" s="1">
        <v>41642</v>
      </c>
      <c r="B6781">
        <v>2</v>
      </c>
      <c r="C6781" t="s">
        <v>16</v>
      </c>
      <c r="D6781">
        <v>2.506E-3</v>
      </c>
      <c r="E6781">
        <f t="shared" si="210"/>
        <v>1.0025059999999999</v>
      </c>
      <c r="F6781" s="1">
        <f t="shared" si="211"/>
        <v>41638</v>
      </c>
      <c r="G6781" cm="1">
        <f t="array" ref="G6781">PRODUCT( _xlfn._xlws.FILTER($E:$E, ($C:$C=C6781)*($F:$F=F6781)) ) - 1</f>
        <v>-1.5016725118706997E-2</v>
      </c>
    </row>
    <row r="6782" spans="1:7" x14ac:dyDescent="0.2">
      <c r="A6782" s="1">
        <v>41645</v>
      </c>
      <c r="B6782">
        <v>2</v>
      </c>
      <c r="C6782" t="s">
        <v>16</v>
      </c>
      <c r="D6782">
        <v>1E-3</v>
      </c>
      <c r="E6782">
        <f t="shared" si="210"/>
        <v>1.0009999999999999</v>
      </c>
      <c r="F6782" s="1">
        <f t="shared" si="211"/>
        <v>41645</v>
      </c>
      <c r="G6782" cm="1">
        <f t="array" ref="G6782">PRODUCT( _xlfn._xlws.FILTER($E:$E, ($C:$C=C6782)*($F:$F=F6782)) ) - 1</f>
        <v>2.2743807949326289E-2</v>
      </c>
    </row>
    <row r="6783" spans="1:7" x14ac:dyDescent="0.2">
      <c r="A6783" s="1">
        <v>41646</v>
      </c>
      <c r="B6783">
        <v>2</v>
      </c>
      <c r="C6783" t="s">
        <v>16</v>
      </c>
      <c r="D6783">
        <v>2.2469999999999999E-3</v>
      </c>
      <c r="E6783">
        <f t="shared" si="210"/>
        <v>1.0022470000000001</v>
      </c>
      <c r="F6783" s="1">
        <f t="shared" si="211"/>
        <v>41645</v>
      </c>
      <c r="G6783" cm="1">
        <f t="array" ref="G6783">PRODUCT( _xlfn._xlws.FILTER($E:$E, ($C:$C=C6783)*($F:$F=F6783)) ) - 1</f>
        <v>2.2743807949326289E-2</v>
      </c>
    </row>
    <row r="6784" spans="1:7" x14ac:dyDescent="0.2">
      <c r="A6784" s="1">
        <v>41647</v>
      </c>
      <c r="B6784">
        <v>2</v>
      </c>
      <c r="C6784" t="s">
        <v>16</v>
      </c>
      <c r="D6784">
        <v>-2.99E-3</v>
      </c>
      <c r="E6784">
        <f t="shared" si="210"/>
        <v>0.99700999999999995</v>
      </c>
      <c r="F6784" s="1">
        <f t="shared" si="211"/>
        <v>41645</v>
      </c>
      <c r="G6784" cm="1">
        <f t="array" ref="G6784">PRODUCT( _xlfn._xlws.FILTER($E:$E, ($C:$C=C6784)*($F:$F=F6784)) ) - 1</f>
        <v>2.2743807949326289E-2</v>
      </c>
    </row>
    <row r="6785" spans="1:7" x14ac:dyDescent="0.2">
      <c r="A6785" s="1">
        <v>41648</v>
      </c>
      <c r="B6785">
        <v>2</v>
      </c>
      <c r="C6785" t="s">
        <v>16</v>
      </c>
      <c r="D6785">
        <v>5.7470000000000004E-3</v>
      </c>
      <c r="E6785">
        <f t="shared" si="210"/>
        <v>1.0057469999999999</v>
      </c>
      <c r="F6785" s="1">
        <f t="shared" si="211"/>
        <v>41645</v>
      </c>
      <c r="G6785" cm="1">
        <f t="array" ref="G6785">PRODUCT( _xlfn._xlws.FILTER($E:$E, ($C:$C=C6785)*($F:$F=F6785)) ) - 1</f>
        <v>2.2743807949326289E-2</v>
      </c>
    </row>
    <row r="6786" spans="1:7" x14ac:dyDescent="0.2">
      <c r="A6786" s="1">
        <v>41649</v>
      </c>
      <c r="B6786">
        <v>2</v>
      </c>
      <c r="C6786" t="s">
        <v>16</v>
      </c>
      <c r="D6786">
        <v>1.6646000000000001E-2</v>
      </c>
      <c r="E6786">
        <f t="shared" si="210"/>
        <v>1.0166459999999999</v>
      </c>
      <c r="F6786" s="1">
        <f t="shared" si="211"/>
        <v>41645</v>
      </c>
      <c r="G6786" cm="1">
        <f t="array" ref="G6786">PRODUCT( _xlfn._xlws.FILTER($E:$E, ($C:$C=C6786)*($F:$F=F6786)) ) - 1</f>
        <v>2.2743807949326289E-2</v>
      </c>
    </row>
    <row r="6787" spans="1:7" x14ac:dyDescent="0.2">
      <c r="A6787" s="1">
        <v>41652</v>
      </c>
      <c r="B6787">
        <v>2</v>
      </c>
      <c r="C6787" t="s">
        <v>16</v>
      </c>
      <c r="D6787">
        <v>-5.3759999999999997E-3</v>
      </c>
      <c r="E6787">
        <f t="shared" si="210"/>
        <v>0.99462399999999995</v>
      </c>
      <c r="F6787" s="1">
        <f t="shared" si="211"/>
        <v>41652</v>
      </c>
      <c r="G6787" cm="1">
        <f t="array" ref="G6787">PRODUCT( _xlfn._xlws.FILTER($E:$E, ($C:$C=C6787)*($F:$F=F6787)) ) - 1</f>
        <v>7.332244946603117E-3</v>
      </c>
    </row>
    <row r="6788" spans="1:7" x14ac:dyDescent="0.2">
      <c r="A6788" s="1">
        <v>41653</v>
      </c>
      <c r="B6788">
        <v>2</v>
      </c>
      <c r="C6788" t="s">
        <v>16</v>
      </c>
      <c r="D6788">
        <v>-2.9480000000000001E-3</v>
      </c>
      <c r="E6788">
        <f t="shared" ref="E6788:E6851" si="212">D6788+1</f>
        <v>0.99705200000000005</v>
      </c>
      <c r="F6788" s="1">
        <f t="shared" ref="F6788:F6851" si="213">A6788 - (WEEKDAY(A6788, 2) - 1)</f>
        <v>41652</v>
      </c>
      <c r="G6788" cm="1">
        <f t="array" ref="G6788">PRODUCT( _xlfn._xlws.FILTER($E:$E, ($C:$C=C6788)*($F:$F=F6788)) ) - 1</f>
        <v>7.332244946603117E-3</v>
      </c>
    </row>
    <row r="6789" spans="1:7" x14ac:dyDescent="0.2">
      <c r="A6789" s="1">
        <v>41654</v>
      </c>
      <c r="B6789">
        <v>2</v>
      </c>
      <c r="C6789" t="s">
        <v>16</v>
      </c>
      <c r="D6789">
        <v>8.1320000000000003E-3</v>
      </c>
      <c r="E6789">
        <f t="shared" si="212"/>
        <v>1.008132</v>
      </c>
      <c r="F6789" s="1">
        <f t="shared" si="213"/>
        <v>41652</v>
      </c>
      <c r="G6789" cm="1">
        <f t="array" ref="G6789">PRODUCT( _xlfn._xlws.FILTER($E:$E, ($C:$C=C6789)*($F:$F=F6789)) ) - 1</f>
        <v>7.332244946603117E-3</v>
      </c>
    </row>
    <row r="6790" spans="1:7" x14ac:dyDescent="0.2">
      <c r="A6790" s="1">
        <v>41655</v>
      </c>
      <c r="B6790">
        <v>2</v>
      </c>
      <c r="C6790" t="s">
        <v>16</v>
      </c>
      <c r="D6790">
        <v>2.2000000000000001E-3</v>
      </c>
      <c r="E6790">
        <f t="shared" si="212"/>
        <v>1.0022</v>
      </c>
      <c r="F6790" s="1">
        <f t="shared" si="213"/>
        <v>41652</v>
      </c>
      <c r="G6790" cm="1">
        <f t="array" ref="G6790">PRODUCT( _xlfn._xlws.FILTER($E:$E, ($C:$C=C6790)*($F:$F=F6790)) ) - 1</f>
        <v>7.332244946603117E-3</v>
      </c>
    </row>
    <row r="6791" spans="1:7" x14ac:dyDescent="0.2">
      <c r="A6791" s="1">
        <v>41656</v>
      </c>
      <c r="B6791">
        <v>2</v>
      </c>
      <c r="C6791" t="s">
        <v>16</v>
      </c>
      <c r="D6791">
        <v>5.3660000000000001E-3</v>
      </c>
      <c r="E6791">
        <f t="shared" si="212"/>
        <v>1.005366</v>
      </c>
      <c r="F6791" s="1">
        <f t="shared" si="213"/>
        <v>41652</v>
      </c>
      <c r="G6791" cm="1">
        <f t="array" ref="G6791">PRODUCT( _xlfn._xlws.FILTER($E:$E, ($C:$C=C6791)*($F:$F=F6791)) ) - 1</f>
        <v>7.332244946603117E-3</v>
      </c>
    </row>
    <row r="6792" spans="1:7" x14ac:dyDescent="0.2">
      <c r="A6792" s="1">
        <v>41659</v>
      </c>
      <c r="B6792">
        <v>2</v>
      </c>
      <c r="C6792" t="s">
        <v>16</v>
      </c>
      <c r="D6792">
        <v>1.2373E-2</v>
      </c>
      <c r="E6792">
        <f t="shared" si="212"/>
        <v>1.012373</v>
      </c>
      <c r="F6792" s="1">
        <f t="shared" si="213"/>
        <v>41659</v>
      </c>
      <c r="G6792" cm="1">
        <f t="array" ref="G6792">PRODUCT( _xlfn._xlws.FILTER($E:$E, ($C:$C=C6792)*($F:$F=F6792)) ) - 1</f>
        <v>-2.5957377485434474E-2</v>
      </c>
    </row>
    <row r="6793" spans="1:7" x14ac:dyDescent="0.2">
      <c r="A6793" s="1">
        <v>41660</v>
      </c>
      <c r="B6793">
        <v>2</v>
      </c>
      <c r="C6793" t="s">
        <v>16</v>
      </c>
      <c r="D6793">
        <v>-2.1570000000000001E-3</v>
      </c>
      <c r="E6793">
        <f t="shared" si="212"/>
        <v>0.99784300000000004</v>
      </c>
      <c r="F6793" s="1">
        <f t="shared" si="213"/>
        <v>41659</v>
      </c>
      <c r="G6793" cm="1">
        <f t="array" ref="G6793">PRODUCT( _xlfn._xlws.FILTER($E:$E, ($C:$C=C6793)*($F:$F=F6793)) ) - 1</f>
        <v>-2.5957377485434474E-2</v>
      </c>
    </row>
    <row r="6794" spans="1:7" x14ac:dyDescent="0.2">
      <c r="A6794" s="1">
        <v>41661</v>
      </c>
      <c r="B6794">
        <v>2</v>
      </c>
      <c r="C6794" t="s">
        <v>16</v>
      </c>
      <c r="D6794">
        <v>-5.0429999999999997E-3</v>
      </c>
      <c r="E6794">
        <f t="shared" si="212"/>
        <v>0.99495699999999998</v>
      </c>
      <c r="F6794" s="1">
        <f t="shared" si="213"/>
        <v>41659</v>
      </c>
      <c r="G6794" cm="1">
        <f t="array" ref="G6794">PRODUCT( _xlfn._xlws.FILTER($E:$E, ($C:$C=C6794)*($F:$F=F6794)) ) - 1</f>
        <v>-2.5957377485434474E-2</v>
      </c>
    </row>
    <row r="6795" spans="1:7" x14ac:dyDescent="0.2">
      <c r="A6795" s="1">
        <v>41662</v>
      </c>
      <c r="B6795">
        <v>2</v>
      </c>
      <c r="C6795" t="s">
        <v>16</v>
      </c>
      <c r="D6795">
        <v>-7.9649999999999999E-3</v>
      </c>
      <c r="E6795">
        <f t="shared" si="212"/>
        <v>0.992035</v>
      </c>
      <c r="F6795" s="1">
        <f t="shared" si="213"/>
        <v>41659</v>
      </c>
      <c r="G6795" cm="1">
        <f t="array" ref="G6795">PRODUCT( _xlfn._xlws.FILTER($E:$E, ($C:$C=C6795)*($F:$F=F6795)) ) - 1</f>
        <v>-2.5957377485434474E-2</v>
      </c>
    </row>
    <row r="6796" spans="1:7" x14ac:dyDescent="0.2">
      <c r="A6796" s="1">
        <v>41663</v>
      </c>
      <c r="B6796">
        <v>2</v>
      </c>
      <c r="C6796" t="s">
        <v>16</v>
      </c>
      <c r="D6796">
        <v>-2.3113999999999999E-2</v>
      </c>
      <c r="E6796">
        <f t="shared" si="212"/>
        <v>0.97688600000000003</v>
      </c>
      <c r="F6796" s="1">
        <f t="shared" si="213"/>
        <v>41659</v>
      </c>
      <c r="G6796" cm="1">
        <f t="array" ref="G6796">PRODUCT( _xlfn._xlws.FILTER($E:$E, ($C:$C=C6796)*($F:$F=F6796)) ) - 1</f>
        <v>-2.5957377485434474E-2</v>
      </c>
    </row>
    <row r="6797" spans="1:7" x14ac:dyDescent="0.2">
      <c r="A6797" s="1">
        <v>41666</v>
      </c>
      <c r="B6797">
        <v>2</v>
      </c>
      <c r="C6797" t="s">
        <v>16</v>
      </c>
      <c r="D6797">
        <v>-4.9799999999999996E-4</v>
      </c>
      <c r="E6797">
        <f t="shared" si="212"/>
        <v>0.999502</v>
      </c>
      <c r="F6797" s="1">
        <f t="shared" si="213"/>
        <v>41666</v>
      </c>
      <c r="G6797" cm="1">
        <f t="array" ref="G6797">PRODUCT( _xlfn._xlws.FILTER($E:$E, ($C:$C=C6797)*($F:$F=F6797)) ) - 1</f>
        <v>7.4640457618202483E-4</v>
      </c>
    </row>
    <row r="6798" spans="1:7" x14ac:dyDescent="0.2">
      <c r="A6798" s="1">
        <v>41667</v>
      </c>
      <c r="B6798">
        <v>2</v>
      </c>
      <c r="C6798" t="s">
        <v>16</v>
      </c>
      <c r="D6798">
        <v>4.4850000000000003E-3</v>
      </c>
      <c r="E6798">
        <f t="shared" si="212"/>
        <v>1.0044850000000001</v>
      </c>
      <c r="F6798" s="1">
        <f t="shared" si="213"/>
        <v>41666</v>
      </c>
      <c r="G6798" cm="1">
        <f t="array" ref="G6798">PRODUCT( _xlfn._xlws.FILTER($E:$E, ($C:$C=C6798)*($F:$F=F6798)) ) - 1</f>
        <v>7.4640457618202483E-4</v>
      </c>
    </row>
    <row r="6799" spans="1:7" x14ac:dyDescent="0.2">
      <c r="A6799" s="1">
        <v>41668</v>
      </c>
      <c r="B6799">
        <v>2</v>
      </c>
      <c r="C6799" t="s">
        <v>16</v>
      </c>
      <c r="D6799">
        <v>-2.977E-3</v>
      </c>
      <c r="E6799">
        <f t="shared" si="212"/>
        <v>0.99702299999999999</v>
      </c>
      <c r="F6799" s="1">
        <f t="shared" si="213"/>
        <v>41666</v>
      </c>
      <c r="G6799" cm="1">
        <f t="array" ref="G6799">PRODUCT( _xlfn._xlws.FILTER($E:$E, ($C:$C=C6799)*($F:$F=F6799)) ) - 1</f>
        <v>7.4640457618202483E-4</v>
      </c>
    </row>
    <row r="6800" spans="1:7" x14ac:dyDescent="0.2">
      <c r="A6800" s="1">
        <v>41669</v>
      </c>
      <c r="B6800">
        <v>2</v>
      </c>
      <c r="C6800" t="s">
        <v>16</v>
      </c>
      <c r="D6800">
        <v>9.2060000000000006E-3</v>
      </c>
      <c r="E6800">
        <f t="shared" si="212"/>
        <v>1.009206</v>
      </c>
      <c r="F6800" s="1">
        <f t="shared" si="213"/>
        <v>41666</v>
      </c>
      <c r="G6800" cm="1">
        <f t="array" ref="G6800">PRODUCT( _xlfn._xlws.FILTER($E:$E, ($C:$C=C6800)*($F:$F=F6800)) ) - 1</f>
        <v>7.4640457618202483E-4</v>
      </c>
    </row>
    <row r="6801" spans="1:7" x14ac:dyDescent="0.2">
      <c r="A6801" s="1">
        <v>41670</v>
      </c>
      <c r="B6801">
        <v>2</v>
      </c>
      <c r="C6801" t="s">
        <v>16</v>
      </c>
      <c r="D6801">
        <v>-9.3690000000000006E-3</v>
      </c>
      <c r="E6801">
        <f t="shared" si="212"/>
        <v>0.99063100000000004</v>
      </c>
      <c r="F6801" s="1">
        <f t="shared" si="213"/>
        <v>41666</v>
      </c>
      <c r="G6801" cm="1">
        <f t="array" ref="G6801">PRODUCT( _xlfn._xlws.FILTER($E:$E, ($C:$C=C6801)*($F:$F=F6801)) ) - 1</f>
        <v>7.4640457618202483E-4</v>
      </c>
    </row>
    <row r="6802" spans="1:7" x14ac:dyDescent="0.2">
      <c r="A6802" s="1">
        <v>41673</v>
      </c>
      <c r="B6802">
        <v>2</v>
      </c>
      <c r="C6802" t="s">
        <v>16</v>
      </c>
      <c r="D6802">
        <v>-1.8416999999999999E-2</v>
      </c>
      <c r="E6802">
        <f t="shared" si="212"/>
        <v>0.98158299999999998</v>
      </c>
      <c r="F6802" s="1">
        <f t="shared" si="213"/>
        <v>41673</v>
      </c>
      <c r="G6802" cm="1">
        <f t="array" ref="G6802">PRODUCT( _xlfn._xlws.FILTER($E:$E, ($C:$C=C6802)*($F:$F=F6802)) ) - 1</f>
        <v>-3.7320613971573158E-3</v>
      </c>
    </row>
    <row r="6803" spans="1:7" x14ac:dyDescent="0.2">
      <c r="A6803" s="1">
        <v>41674</v>
      </c>
      <c r="B6803">
        <v>2</v>
      </c>
      <c r="C6803" t="s">
        <v>16</v>
      </c>
      <c r="D6803">
        <v>-4.8170000000000001E-3</v>
      </c>
      <c r="E6803">
        <f t="shared" si="212"/>
        <v>0.99518300000000004</v>
      </c>
      <c r="F6803" s="1">
        <f t="shared" si="213"/>
        <v>41673</v>
      </c>
      <c r="G6803" cm="1">
        <f t="array" ref="G6803">PRODUCT( _xlfn._xlws.FILTER($E:$E, ($C:$C=C6803)*($F:$F=F6803)) ) - 1</f>
        <v>-3.7320613971573158E-3</v>
      </c>
    </row>
    <row r="6804" spans="1:7" x14ac:dyDescent="0.2">
      <c r="A6804" s="1">
        <v>41675</v>
      </c>
      <c r="B6804">
        <v>2</v>
      </c>
      <c r="C6804" t="s">
        <v>16</v>
      </c>
      <c r="D6804">
        <v>5.6049999999999997E-3</v>
      </c>
      <c r="E6804">
        <f t="shared" si="212"/>
        <v>1.0056050000000001</v>
      </c>
      <c r="F6804" s="1">
        <f t="shared" si="213"/>
        <v>41673</v>
      </c>
      <c r="G6804" cm="1">
        <f t="array" ref="G6804">PRODUCT( _xlfn._xlws.FILTER($E:$E, ($C:$C=C6804)*($F:$F=F6804)) ) - 1</f>
        <v>-3.7320613971573158E-3</v>
      </c>
    </row>
    <row r="6805" spans="1:7" x14ac:dyDescent="0.2">
      <c r="A6805" s="1">
        <v>41676</v>
      </c>
      <c r="B6805">
        <v>2</v>
      </c>
      <c r="C6805" t="s">
        <v>16</v>
      </c>
      <c r="D6805">
        <v>1.4695E-2</v>
      </c>
      <c r="E6805">
        <f t="shared" si="212"/>
        <v>1.0146949999999999</v>
      </c>
      <c r="F6805" s="1">
        <f t="shared" si="213"/>
        <v>41673</v>
      </c>
      <c r="G6805" cm="1">
        <f t="array" ref="G6805">PRODUCT( _xlfn._xlws.FILTER($E:$E, ($C:$C=C6805)*($F:$F=F6805)) ) - 1</f>
        <v>-3.7320613971573158E-3</v>
      </c>
    </row>
    <row r="6806" spans="1:7" x14ac:dyDescent="0.2">
      <c r="A6806" s="1">
        <v>41677</v>
      </c>
      <c r="B6806">
        <v>2</v>
      </c>
      <c r="C6806" t="s">
        <v>16</v>
      </c>
      <c r="D6806">
        <v>-4.9899999999999999E-4</v>
      </c>
      <c r="E6806">
        <f t="shared" si="212"/>
        <v>0.99950099999999997</v>
      </c>
      <c r="F6806" s="1">
        <f t="shared" si="213"/>
        <v>41673</v>
      </c>
      <c r="G6806" cm="1">
        <f t="array" ref="G6806">PRODUCT( _xlfn._xlws.FILTER($E:$E, ($C:$C=C6806)*($F:$F=F6806)) ) - 1</f>
        <v>-3.7320613971573158E-3</v>
      </c>
    </row>
    <row r="6807" spans="1:7" x14ac:dyDescent="0.2">
      <c r="A6807" s="1">
        <v>41680</v>
      </c>
      <c r="B6807">
        <v>2</v>
      </c>
      <c r="C6807" t="s">
        <v>16</v>
      </c>
      <c r="D6807">
        <v>-1.2489999999999999E-3</v>
      </c>
      <c r="E6807">
        <f t="shared" si="212"/>
        <v>0.99875100000000006</v>
      </c>
      <c r="F6807" s="1">
        <f t="shared" si="213"/>
        <v>41680</v>
      </c>
      <c r="G6807" cm="1">
        <f t="array" ref="G6807">PRODUCT( _xlfn._xlws.FILTER($E:$E, ($C:$C=C6807)*($F:$F=F6807)) ) - 1</f>
        <v>-5.8705391684006347E-2</v>
      </c>
    </row>
    <row r="6808" spans="1:7" x14ac:dyDescent="0.2">
      <c r="A6808" s="1">
        <v>41681</v>
      </c>
      <c r="B6808">
        <v>2</v>
      </c>
      <c r="C6808" t="s">
        <v>16</v>
      </c>
      <c r="D6808">
        <v>6.0029999999999997E-3</v>
      </c>
      <c r="E6808">
        <f t="shared" si="212"/>
        <v>1.006003</v>
      </c>
      <c r="F6808" s="1">
        <f t="shared" si="213"/>
        <v>41680</v>
      </c>
      <c r="G6808" cm="1">
        <f t="array" ref="G6808">PRODUCT( _xlfn._xlws.FILTER($E:$E, ($C:$C=C6808)*($F:$F=F6808)) ) - 1</f>
        <v>-5.8705391684006347E-2</v>
      </c>
    </row>
    <row r="6809" spans="1:7" x14ac:dyDescent="0.2">
      <c r="A6809" s="1">
        <v>41682</v>
      </c>
      <c r="B6809">
        <v>2</v>
      </c>
      <c r="C6809" t="s">
        <v>16</v>
      </c>
      <c r="D6809">
        <v>-6.1412000000000001E-2</v>
      </c>
      <c r="E6809">
        <f t="shared" si="212"/>
        <v>0.93858799999999998</v>
      </c>
      <c r="F6809" s="1">
        <f t="shared" si="213"/>
        <v>41680</v>
      </c>
      <c r="G6809" cm="1">
        <f t="array" ref="G6809">PRODUCT( _xlfn._xlws.FILTER($E:$E, ($C:$C=C6809)*($F:$F=F6809)) ) - 1</f>
        <v>-5.8705391684006347E-2</v>
      </c>
    </row>
    <row r="6810" spans="1:7" x14ac:dyDescent="0.2">
      <c r="A6810" s="1">
        <v>41683</v>
      </c>
      <c r="B6810">
        <v>2</v>
      </c>
      <c r="C6810" t="s">
        <v>16</v>
      </c>
      <c r="D6810">
        <v>-1.854E-3</v>
      </c>
      <c r="E6810">
        <f t="shared" si="212"/>
        <v>0.99814599999999998</v>
      </c>
      <c r="F6810" s="1">
        <f t="shared" si="213"/>
        <v>41680</v>
      </c>
      <c r="G6810" cm="1">
        <f t="array" ref="G6810">PRODUCT( _xlfn._xlws.FILTER($E:$E, ($C:$C=C6810)*($F:$F=F6810)) ) - 1</f>
        <v>-5.8705391684006347E-2</v>
      </c>
    </row>
    <row r="6811" spans="1:7" x14ac:dyDescent="0.2">
      <c r="A6811" s="1">
        <v>41684</v>
      </c>
      <c r="B6811">
        <v>2</v>
      </c>
      <c r="C6811" t="s">
        <v>16</v>
      </c>
      <c r="D6811">
        <v>0</v>
      </c>
      <c r="E6811">
        <f t="shared" si="212"/>
        <v>1</v>
      </c>
      <c r="F6811" s="1">
        <f t="shared" si="213"/>
        <v>41680</v>
      </c>
      <c r="G6811" cm="1">
        <f t="array" ref="G6811">PRODUCT( _xlfn._xlws.FILTER($E:$E, ($C:$C=C6811)*($F:$F=F6811)) ) - 1</f>
        <v>-5.8705391684006347E-2</v>
      </c>
    </row>
    <row r="6812" spans="1:7" x14ac:dyDescent="0.2">
      <c r="A6812" s="1">
        <v>41688</v>
      </c>
      <c r="B6812">
        <v>2</v>
      </c>
      <c r="C6812" t="s">
        <v>16</v>
      </c>
      <c r="D6812">
        <v>3.7160000000000001E-3</v>
      </c>
      <c r="E6812">
        <f t="shared" si="212"/>
        <v>1.0037160000000001</v>
      </c>
      <c r="F6812" s="1">
        <f t="shared" si="213"/>
        <v>41687</v>
      </c>
      <c r="G6812" cm="1">
        <f t="array" ref="G6812">PRODUCT( _xlfn._xlws.FILTER($E:$E, ($C:$C=C6812)*($F:$F=F6812)) ) - 1</f>
        <v>2.756623300196881E-2</v>
      </c>
    </row>
    <row r="6813" spans="1:7" x14ac:dyDescent="0.2">
      <c r="A6813" s="1">
        <v>41689</v>
      </c>
      <c r="B6813">
        <v>2</v>
      </c>
      <c r="C6813" t="s">
        <v>16</v>
      </c>
      <c r="D6813">
        <v>6.6100000000000004E-3</v>
      </c>
      <c r="E6813">
        <f t="shared" si="212"/>
        <v>1.00661</v>
      </c>
      <c r="F6813" s="1">
        <f t="shared" si="213"/>
        <v>41687</v>
      </c>
      <c r="G6813" cm="1">
        <f t="array" ref="G6813">PRODUCT( _xlfn._xlws.FILTER($E:$E, ($C:$C=C6813)*($F:$F=F6813)) ) - 1</f>
        <v>2.756623300196881E-2</v>
      </c>
    </row>
    <row r="6814" spans="1:7" x14ac:dyDescent="0.2">
      <c r="A6814" s="1">
        <v>41690</v>
      </c>
      <c r="B6814">
        <v>2</v>
      </c>
      <c r="C6814" t="s">
        <v>16</v>
      </c>
      <c r="D6814">
        <v>1.0409E-2</v>
      </c>
      <c r="E6814">
        <f t="shared" si="212"/>
        <v>1.0104089999999999</v>
      </c>
      <c r="F6814" s="1">
        <f t="shared" si="213"/>
        <v>41687</v>
      </c>
      <c r="G6814" cm="1">
        <f t="array" ref="G6814">PRODUCT( _xlfn._xlws.FILTER($E:$E, ($C:$C=C6814)*($F:$F=F6814)) ) - 1</f>
        <v>2.756623300196881E-2</v>
      </c>
    </row>
    <row r="6815" spans="1:7" x14ac:dyDescent="0.2">
      <c r="A6815" s="1">
        <v>41691</v>
      </c>
      <c r="B6815">
        <v>2</v>
      </c>
      <c r="C6815" t="s">
        <v>16</v>
      </c>
      <c r="D6815">
        <v>6.5620000000000001E-3</v>
      </c>
      <c r="E6815">
        <f t="shared" si="212"/>
        <v>1.006562</v>
      </c>
      <c r="F6815" s="1">
        <f t="shared" si="213"/>
        <v>41687</v>
      </c>
      <c r="G6815" cm="1">
        <f t="array" ref="G6815">PRODUCT( _xlfn._xlws.FILTER($E:$E, ($C:$C=C6815)*($F:$F=F6815)) ) - 1</f>
        <v>2.756623300196881E-2</v>
      </c>
    </row>
    <row r="6816" spans="1:7" x14ac:dyDescent="0.2">
      <c r="A6816" s="1">
        <v>41694</v>
      </c>
      <c r="B6816">
        <v>2</v>
      </c>
      <c r="C6816" t="s">
        <v>16</v>
      </c>
      <c r="D6816">
        <v>4.9540000000000001E-3</v>
      </c>
      <c r="E6816">
        <f t="shared" si="212"/>
        <v>1.0049539999999999</v>
      </c>
      <c r="F6816" s="1">
        <f t="shared" si="213"/>
        <v>41694</v>
      </c>
      <c r="G6816" cm="1">
        <f t="array" ref="G6816">PRODUCT( _xlfn._xlws.FILTER($E:$E, ($C:$C=C6816)*($F:$F=F6816)) ) - 1</f>
        <v>-9.1276774189525955E-3</v>
      </c>
    </row>
    <row r="6817" spans="1:7" x14ac:dyDescent="0.2">
      <c r="A6817" s="1">
        <v>41695</v>
      </c>
      <c r="B6817">
        <v>2</v>
      </c>
      <c r="C6817" t="s">
        <v>16</v>
      </c>
      <c r="D6817">
        <v>-4.1520000000000003E-3</v>
      </c>
      <c r="E6817">
        <f t="shared" si="212"/>
        <v>0.99584799999999996</v>
      </c>
      <c r="F6817" s="1">
        <f t="shared" si="213"/>
        <v>41694</v>
      </c>
      <c r="G6817" cm="1">
        <f t="array" ref="G6817">PRODUCT( _xlfn._xlws.FILTER($E:$E, ($C:$C=C6817)*($F:$F=F6817)) ) - 1</f>
        <v>-9.1276774189525955E-3</v>
      </c>
    </row>
    <row r="6818" spans="1:7" x14ac:dyDescent="0.2">
      <c r="A6818" s="1">
        <v>41696</v>
      </c>
      <c r="B6818">
        <v>2</v>
      </c>
      <c r="C6818" t="s">
        <v>16</v>
      </c>
      <c r="D6818">
        <v>-1.8240000000000001E-3</v>
      </c>
      <c r="E6818">
        <f t="shared" si="212"/>
        <v>0.99817599999999995</v>
      </c>
      <c r="F6818" s="1">
        <f t="shared" si="213"/>
        <v>41694</v>
      </c>
      <c r="G6818" cm="1">
        <f t="array" ref="G6818">PRODUCT( _xlfn._xlws.FILTER($E:$E, ($C:$C=C6818)*($F:$F=F6818)) ) - 1</f>
        <v>-9.1276774189525955E-3</v>
      </c>
    </row>
    <row r="6819" spans="1:7" x14ac:dyDescent="0.2">
      <c r="A6819" s="1">
        <v>41697</v>
      </c>
      <c r="B6819">
        <v>2</v>
      </c>
      <c r="C6819" t="s">
        <v>16</v>
      </c>
      <c r="D6819">
        <v>-1.305E-3</v>
      </c>
      <c r="E6819">
        <f t="shared" si="212"/>
        <v>0.998695</v>
      </c>
      <c r="F6819" s="1">
        <f t="shared" si="213"/>
        <v>41694</v>
      </c>
      <c r="G6819" cm="1">
        <f t="array" ref="G6819">PRODUCT( _xlfn._xlws.FILTER($E:$E, ($C:$C=C6819)*($F:$F=F6819)) ) - 1</f>
        <v>-9.1276774189525955E-3</v>
      </c>
    </row>
    <row r="6820" spans="1:7" x14ac:dyDescent="0.2">
      <c r="A6820" s="1">
        <v>41698</v>
      </c>
      <c r="B6820">
        <v>2</v>
      </c>
      <c r="C6820" t="s">
        <v>16</v>
      </c>
      <c r="D6820">
        <v>-6.796E-3</v>
      </c>
      <c r="E6820">
        <f t="shared" si="212"/>
        <v>0.99320399999999998</v>
      </c>
      <c r="F6820" s="1">
        <f t="shared" si="213"/>
        <v>41694</v>
      </c>
      <c r="G6820" cm="1">
        <f t="array" ref="G6820">PRODUCT( _xlfn._xlws.FILTER($E:$E, ($C:$C=C6820)*($F:$F=F6820)) ) - 1</f>
        <v>-9.1276774189525955E-3</v>
      </c>
    </row>
    <row r="6821" spans="1:7" x14ac:dyDescent="0.2">
      <c r="A6821" s="1">
        <v>41701</v>
      </c>
      <c r="B6821">
        <v>2</v>
      </c>
      <c r="C6821" t="s">
        <v>16</v>
      </c>
      <c r="D6821">
        <v>-9.4739999999999998E-3</v>
      </c>
      <c r="E6821">
        <f t="shared" si="212"/>
        <v>0.99052600000000002</v>
      </c>
      <c r="F6821" s="1">
        <f t="shared" si="213"/>
        <v>41701</v>
      </c>
      <c r="G6821" cm="1">
        <f t="array" ref="G6821">PRODUCT( _xlfn._xlws.FILTER($E:$E, ($C:$C=C6821)*($F:$F=F6821)) ) - 1</f>
        <v>-4.2118787450809991E-3</v>
      </c>
    </row>
    <row r="6822" spans="1:7" x14ac:dyDescent="0.2">
      <c r="A6822" s="1">
        <v>41702</v>
      </c>
      <c r="B6822">
        <v>2</v>
      </c>
      <c r="C6822" t="s">
        <v>16</v>
      </c>
      <c r="D6822">
        <v>7.1729999999999997E-3</v>
      </c>
      <c r="E6822">
        <f t="shared" si="212"/>
        <v>1.0071730000000001</v>
      </c>
      <c r="F6822" s="1">
        <f t="shared" si="213"/>
        <v>41701</v>
      </c>
      <c r="G6822" cm="1">
        <f t="array" ref="G6822">PRODUCT( _xlfn._xlws.FILTER($E:$E, ($C:$C=C6822)*($F:$F=F6822)) ) - 1</f>
        <v>-4.2118787450809991E-3</v>
      </c>
    </row>
    <row r="6823" spans="1:7" x14ac:dyDescent="0.2">
      <c r="A6823" s="1">
        <v>41703</v>
      </c>
      <c r="B6823">
        <v>2</v>
      </c>
      <c r="C6823" t="s">
        <v>16</v>
      </c>
      <c r="D6823">
        <v>2.1099999999999999E-3</v>
      </c>
      <c r="E6823">
        <f t="shared" si="212"/>
        <v>1.0021100000000001</v>
      </c>
      <c r="F6823" s="1">
        <f t="shared" si="213"/>
        <v>41701</v>
      </c>
      <c r="G6823" cm="1">
        <f t="array" ref="G6823">PRODUCT( _xlfn._xlws.FILTER($E:$E, ($C:$C=C6823)*($F:$F=F6823)) ) - 1</f>
        <v>-4.2118787450809991E-3</v>
      </c>
    </row>
    <row r="6824" spans="1:7" x14ac:dyDescent="0.2">
      <c r="A6824" s="1">
        <v>41704</v>
      </c>
      <c r="B6824">
        <v>2</v>
      </c>
      <c r="C6824" t="s">
        <v>16</v>
      </c>
      <c r="D6824">
        <v>-5.2649999999999997E-3</v>
      </c>
      <c r="E6824">
        <f t="shared" si="212"/>
        <v>0.99473500000000004</v>
      </c>
      <c r="F6824" s="1">
        <f t="shared" si="213"/>
        <v>41701</v>
      </c>
      <c r="G6824" cm="1">
        <f t="array" ref="G6824">PRODUCT( _xlfn._xlws.FILTER($E:$E, ($C:$C=C6824)*($F:$F=F6824)) ) - 1</f>
        <v>-4.2118787450809991E-3</v>
      </c>
    </row>
    <row r="6825" spans="1:7" x14ac:dyDescent="0.2">
      <c r="A6825" s="1">
        <v>41705</v>
      </c>
      <c r="B6825">
        <v>2</v>
      </c>
      <c r="C6825" t="s">
        <v>16</v>
      </c>
      <c r="D6825">
        <v>1.323E-3</v>
      </c>
      <c r="E6825">
        <f t="shared" si="212"/>
        <v>1.001323</v>
      </c>
      <c r="F6825" s="1">
        <f t="shared" si="213"/>
        <v>41701</v>
      </c>
      <c r="G6825" cm="1">
        <f t="array" ref="G6825">PRODUCT( _xlfn._xlws.FILTER($E:$E, ($C:$C=C6825)*($F:$F=F6825)) ) - 1</f>
        <v>-4.2118787450809991E-3</v>
      </c>
    </row>
    <row r="6826" spans="1:7" x14ac:dyDescent="0.2">
      <c r="A6826" s="1">
        <v>41708</v>
      </c>
      <c r="B6826">
        <v>2</v>
      </c>
      <c r="C6826" t="s">
        <v>16</v>
      </c>
      <c r="D6826">
        <v>2.3779999999999999E-3</v>
      </c>
      <c r="E6826">
        <f t="shared" si="212"/>
        <v>1.002378</v>
      </c>
      <c r="F6826" s="1">
        <f t="shared" si="213"/>
        <v>41708</v>
      </c>
      <c r="G6826" cm="1">
        <f t="array" ref="G6826">PRODUCT( _xlfn._xlws.FILTER($E:$E, ($C:$C=C6826)*($F:$F=F6826)) ) - 1</f>
        <v>-1.9556611165540749E-2</v>
      </c>
    </row>
    <row r="6827" spans="1:7" x14ac:dyDescent="0.2">
      <c r="A6827" s="1">
        <v>41709</v>
      </c>
      <c r="B6827">
        <v>2</v>
      </c>
      <c r="C6827" t="s">
        <v>16</v>
      </c>
      <c r="D6827">
        <v>-5.2729999999999999E-3</v>
      </c>
      <c r="E6827">
        <f t="shared" si="212"/>
        <v>0.99472700000000003</v>
      </c>
      <c r="F6827" s="1">
        <f t="shared" si="213"/>
        <v>41708</v>
      </c>
      <c r="G6827" cm="1">
        <f t="array" ref="G6827">PRODUCT( _xlfn._xlws.FILTER($E:$E, ($C:$C=C6827)*($F:$F=F6827)) ) - 1</f>
        <v>-1.9556611165540749E-2</v>
      </c>
    </row>
    <row r="6828" spans="1:7" x14ac:dyDescent="0.2">
      <c r="A6828" s="1">
        <v>41710</v>
      </c>
      <c r="B6828">
        <v>2</v>
      </c>
      <c r="C6828" t="s">
        <v>16</v>
      </c>
      <c r="D6828">
        <v>-6.3610000000000003E-3</v>
      </c>
      <c r="E6828">
        <f t="shared" si="212"/>
        <v>0.99363900000000005</v>
      </c>
      <c r="F6828" s="1">
        <f t="shared" si="213"/>
        <v>41708</v>
      </c>
      <c r="G6828" cm="1">
        <f t="array" ref="G6828">PRODUCT( _xlfn._xlws.FILTER($E:$E, ($C:$C=C6828)*($F:$F=F6828)) ) - 1</f>
        <v>-1.9556611165540749E-2</v>
      </c>
    </row>
    <row r="6829" spans="1:7" x14ac:dyDescent="0.2">
      <c r="A6829" s="1">
        <v>41711</v>
      </c>
      <c r="B6829">
        <v>2</v>
      </c>
      <c r="C6829" t="s">
        <v>16</v>
      </c>
      <c r="D6829">
        <v>-9.0690000000000007E-3</v>
      </c>
      <c r="E6829">
        <f t="shared" si="212"/>
        <v>0.99093100000000001</v>
      </c>
      <c r="F6829" s="1">
        <f t="shared" si="213"/>
        <v>41708</v>
      </c>
      <c r="G6829" cm="1">
        <f t="array" ref="G6829">PRODUCT( _xlfn._xlws.FILTER($E:$E, ($C:$C=C6829)*($F:$F=F6829)) ) - 1</f>
        <v>-1.9556611165540749E-2</v>
      </c>
    </row>
    <row r="6830" spans="1:7" x14ac:dyDescent="0.2">
      <c r="A6830" s="1">
        <v>41712</v>
      </c>
      <c r="B6830">
        <v>2</v>
      </c>
      <c r="C6830" t="s">
        <v>16</v>
      </c>
      <c r="D6830">
        <v>-1.346E-3</v>
      </c>
      <c r="E6830">
        <f t="shared" si="212"/>
        <v>0.99865400000000004</v>
      </c>
      <c r="F6830" s="1">
        <f t="shared" si="213"/>
        <v>41708</v>
      </c>
      <c r="G6830" cm="1">
        <f t="array" ref="G6830">PRODUCT( _xlfn._xlws.FILTER($E:$E, ($C:$C=C6830)*($F:$F=F6830)) ) - 1</f>
        <v>-1.9556611165540749E-2</v>
      </c>
    </row>
    <row r="6831" spans="1:7" x14ac:dyDescent="0.2">
      <c r="A6831" s="1">
        <v>41715</v>
      </c>
      <c r="B6831">
        <v>2</v>
      </c>
      <c r="C6831" t="s">
        <v>16</v>
      </c>
      <c r="D6831">
        <v>7.0080000000000003E-3</v>
      </c>
      <c r="E6831">
        <f t="shared" si="212"/>
        <v>1.0070079999999999</v>
      </c>
      <c r="F6831" s="1">
        <f t="shared" si="213"/>
        <v>41715</v>
      </c>
      <c r="G6831" cm="1">
        <f t="array" ref="G6831">PRODUCT( _xlfn._xlws.FILTER($E:$E, ($C:$C=C6831)*($F:$F=F6831)) ) - 1</f>
        <v>2.8031479096023881E-2</v>
      </c>
    </row>
    <row r="6832" spans="1:7" x14ac:dyDescent="0.2">
      <c r="A6832" s="1">
        <v>41716</v>
      </c>
      <c r="B6832">
        <v>2</v>
      </c>
      <c r="C6832" t="s">
        <v>16</v>
      </c>
      <c r="D6832">
        <v>1.4722000000000001E-2</v>
      </c>
      <c r="E6832">
        <f t="shared" si="212"/>
        <v>1.0147219999999999</v>
      </c>
      <c r="F6832" s="1">
        <f t="shared" si="213"/>
        <v>41715</v>
      </c>
      <c r="G6832" cm="1">
        <f t="array" ref="G6832">PRODUCT( _xlfn._xlws.FILTER($E:$E, ($C:$C=C6832)*($F:$F=F6832)) ) - 1</f>
        <v>2.8031479096023881E-2</v>
      </c>
    </row>
    <row r="6833" spans="1:7" x14ac:dyDescent="0.2">
      <c r="A6833" s="1">
        <v>41717</v>
      </c>
      <c r="B6833">
        <v>2</v>
      </c>
      <c r="C6833" t="s">
        <v>16</v>
      </c>
      <c r="D6833">
        <v>8.1770000000000002E-3</v>
      </c>
      <c r="E6833">
        <f t="shared" si="212"/>
        <v>1.0081770000000001</v>
      </c>
      <c r="F6833" s="1">
        <f t="shared" si="213"/>
        <v>41715</v>
      </c>
      <c r="G6833" cm="1">
        <f t="array" ref="G6833">PRODUCT( _xlfn._xlws.FILTER($E:$E, ($C:$C=C6833)*($F:$F=F6833)) ) - 1</f>
        <v>2.8031479096023881E-2</v>
      </c>
    </row>
    <row r="6834" spans="1:7" x14ac:dyDescent="0.2">
      <c r="A6834" s="1">
        <v>41718</v>
      </c>
      <c r="B6834">
        <v>2</v>
      </c>
      <c r="C6834" t="s">
        <v>16</v>
      </c>
      <c r="D6834">
        <v>-7.5880000000000001E-3</v>
      </c>
      <c r="E6834">
        <f t="shared" si="212"/>
        <v>0.99241199999999996</v>
      </c>
      <c r="F6834" s="1">
        <f t="shared" si="213"/>
        <v>41715</v>
      </c>
      <c r="G6834" cm="1">
        <f t="array" ref="G6834">PRODUCT( _xlfn._xlws.FILTER($E:$E, ($C:$C=C6834)*($F:$F=F6834)) ) - 1</f>
        <v>2.8031479096023881E-2</v>
      </c>
    </row>
    <row r="6835" spans="1:7" x14ac:dyDescent="0.2">
      <c r="A6835" s="1">
        <v>41719</v>
      </c>
      <c r="B6835">
        <v>2</v>
      </c>
      <c r="C6835" t="s">
        <v>16</v>
      </c>
      <c r="D6835">
        <v>5.5360000000000001E-3</v>
      </c>
      <c r="E6835">
        <f t="shared" si="212"/>
        <v>1.005536</v>
      </c>
      <c r="F6835" s="1">
        <f t="shared" si="213"/>
        <v>41715</v>
      </c>
      <c r="G6835" cm="1">
        <f t="array" ref="G6835">PRODUCT( _xlfn._xlws.FILTER($E:$E, ($C:$C=C6835)*($F:$F=F6835)) ) - 1</f>
        <v>2.8031479096023881E-2</v>
      </c>
    </row>
    <row r="6836" spans="1:7" x14ac:dyDescent="0.2">
      <c r="A6836" s="1">
        <v>41722</v>
      </c>
      <c r="B6836">
        <v>2</v>
      </c>
      <c r="C6836" t="s">
        <v>16</v>
      </c>
      <c r="D6836">
        <v>3.4090000000000001E-3</v>
      </c>
      <c r="E6836">
        <f t="shared" si="212"/>
        <v>1.003409</v>
      </c>
      <c r="F6836" s="1">
        <f t="shared" si="213"/>
        <v>41722</v>
      </c>
      <c r="G6836" cm="1">
        <f t="array" ref="G6836">PRODUCT( _xlfn._xlws.FILTER($E:$E, ($C:$C=C6836)*($F:$F=F6836)) ) - 1</f>
        <v>-1.3895091595623965E-2</v>
      </c>
    </row>
    <row r="6837" spans="1:7" x14ac:dyDescent="0.2">
      <c r="A6837" s="1">
        <v>41723</v>
      </c>
      <c r="B6837">
        <v>2</v>
      </c>
      <c r="C6837" t="s">
        <v>16</v>
      </c>
      <c r="D6837">
        <v>-1.8289999999999999E-3</v>
      </c>
      <c r="E6837">
        <f t="shared" si="212"/>
        <v>0.99817100000000003</v>
      </c>
      <c r="F6837" s="1">
        <f t="shared" si="213"/>
        <v>41722</v>
      </c>
      <c r="G6837" cm="1">
        <f t="array" ref="G6837">PRODUCT( _xlfn._xlws.FILTER($E:$E, ($C:$C=C6837)*($F:$F=F6837)) ) - 1</f>
        <v>-1.3895091595623965E-2</v>
      </c>
    </row>
    <row r="6838" spans="1:7" x14ac:dyDescent="0.2">
      <c r="A6838" s="1">
        <v>41724</v>
      </c>
      <c r="B6838">
        <v>2</v>
      </c>
      <c r="C6838" t="s">
        <v>16</v>
      </c>
      <c r="D6838">
        <v>-1.0732999999999999E-2</v>
      </c>
      <c r="E6838">
        <f t="shared" si="212"/>
        <v>0.98926700000000001</v>
      </c>
      <c r="F6838" s="1">
        <f t="shared" si="213"/>
        <v>41722</v>
      </c>
      <c r="G6838" cm="1">
        <f t="array" ref="G6838">PRODUCT( _xlfn._xlws.FILTER($E:$E, ($C:$C=C6838)*($F:$F=F6838)) ) - 1</f>
        <v>-1.3895091595623965E-2</v>
      </c>
    </row>
    <row r="6839" spans="1:7" x14ac:dyDescent="0.2">
      <c r="A6839" s="1">
        <v>41725</v>
      </c>
      <c r="B6839">
        <v>2</v>
      </c>
      <c r="C6839" t="s">
        <v>16</v>
      </c>
      <c r="D6839">
        <v>-6.8799999999999998E-3</v>
      </c>
      <c r="E6839">
        <f t="shared" si="212"/>
        <v>0.99312</v>
      </c>
      <c r="F6839" s="1">
        <f t="shared" si="213"/>
        <v>41722</v>
      </c>
      <c r="G6839" cm="1">
        <f t="array" ref="G6839">PRODUCT( _xlfn._xlws.FILTER($E:$E, ($C:$C=C6839)*($F:$F=F6839)) ) - 1</f>
        <v>-1.3895091595623965E-2</v>
      </c>
    </row>
    <row r="6840" spans="1:7" x14ac:dyDescent="0.2">
      <c r="A6840" s="1">
        <v>41726</v>
      </c>
      <c r="B6840">
        <v>2</v>
      </c>
      <c r="C6840" t="s">
        <v>16</v>
      </c>
      <c r="D6840">
        <v>2.1320000000000002E-3</v>
      </c>
      <c r="E6840">
        <f t="shared" si="212"/>
        <v>1.002132</v>
      </c>
      <c r="F6840" s="1">
        <f t="shared" si="213"/>
        <v>41722</v>
      </c>
      <c r="G6840" cm="1">
        <f t="array" ref="G6840">PRODUCT( _xlfn._xlws.FILTER($E:$E, ($C:$C=C6840)*($F:$F=F6840)) ) - 1</f>
        <v>-1.3895091595623965E-2</v>
      </c>
    </row>
    <row r="6841" spans="1:7" x14ac:dyDescent="0.2">
      <c r="A6841" s="1">
        <v>41729</v>
      </c>
      <c r="B6841">
        <v>2</v>
      </c>
      <c r="C6841" t="s">
        <v>16</v>
      </c>
      <c r="D6841">
        <v>4.7860000000000003E-3</v>
      </c>
      <c r="E6841">
        <f t="shared" si="212"/>
        <v>1.004786</v>
      </c>
      <c r="F6841" s="1">
        <f t="shared" si="213"/>
        <v>41729</v>
      </c>
      <c r="G6841" cm="1">
        <f t="array" ref="G6841">PRODUCT( _xlfn._xlws.FILTER($E:$E, ($C:$C=C6841)*($F:$F=F6841)) ) - 1</f>
        <v>2.5525492000436412E-2</v>
      </c>
    </row>
    <row r="6842" spans="1:7" x14ac:dyDescent="0.2">
      <c r="A6842" s="1">
        <v>41730</v>
      </c>
      <c r="B6842">
        <v>2</v>
      </c>
      <c r="C6842" t="s">
        <v>16</v>
      </c>
      <c r="D6842">
        <v>1.3231E-2</v>
      </c>
      <c r="E6842">
        <f t="shared" si="212"/>
        <v>1.013231</v>
      </c>
      <c r="F6842" s="1">
        <f t="shared" si="213"/>
        <v>41729</v>
      </c>
      <c r="G6842" cm="1">
        <f t="array" ref="G6842">PRODUCT( _xlfn._xlws.FILTER($E:$E, ($C:$C=C6842)*($F:$F=F6842)) ) - 1</f>
        <v>2.5525492000436412E-2</v>
      </c>
    </row>
    <row r="6843" spans="1:7" x14ac:dyDescent="0.2">
      <c r="A6843" s="1">
        <v>41731</v>
      </c>
      <c r="B6843">
        <v>2</v>
      </c>
      <c r="C6843" t="s">
        <v>16</v>
      </c>
      <c r="D6843">
        <v>4.1790000000000004E-3</v>
      </c>
      <c r="E6843">
        <f t="shared" si="212"/>
        <v>1.0041789999999999</v>
      </c>
      <c r="F6843" s="1">
        <f t="shared" si="213"/>
        <v>41729</v>
      </c>
      <c r="G6843" cm="1">
        <f t="array" ref="G6843">PRODUCT( _xlfn._xlws.FILTER($E:$E, ($C:$C=C6843)*($F:$F=F6843)) ) - 1</f>
        <v>2.5525492000436412E-2</v>
      </c>
    </row>
    <row r="6844" spans="1:7" x14ac:dyDescent="0.2">
      <c r="A6844" s="1">
        <v>41732</v>
      </c>
      <c r="B6844">
        <v>2</v>
      </c>
      <c r="C6844" t="s">
        <v>16</v>
      </c>
      <c r="D6844">
        <v>7.5420000000000001E-3</v>
      </c>
      <c r="E6844">
        <f t="shared" si="212"/>
        <v>1.0075419999999999</v>
      </c>
      <c r="F6844" s="1">
        <f t="shared" si="213"/>
        <v>41729</v>
      </c>
      <c r="G6844" cm="1">
        <f t="array" ref="G6844">PRODUCT( _xlfn._xlws.FILTER($E:$E, ($C:$C=C6844)*($F:$F=F6844)) ) - 1</f>
        <v>2.5525492000436412E-2</v>
      </c>
    </row>
    <row r="6845" spans="1:7" x14ac:dyDescent="0.2">
      <c r="A6845" s="1">
        <v>41733</v>
      </c>
      <c r="B6845">
        <v>2</v>
      </c>
      <c r="C6845" t="s">
        <v>16</v>
      </c>
      <c r="D6845">
        <v>-4.3880000000000004E-3</v>
      </c>
      <c r="E6845">
        <f t="shared" si="212"/>
        <v>0.99561200000000005</v>
      </c>
      <c r="F6845" s="1">
        <f t="shared" si="213"/>
        <v>41729</v>
      </c>
      <c r="G6845" cm="1">
        <f t="array" ref="G6845">PRODUCT( _xlfn._xlws.FILTER($E:$E, ($C:$C=C6845)*($F:$F=F6845)) ) - 1</f>
        <v>2.5525492000436412E-2</v>
      </c>
    </row>
    <row r="6846" spans="1:7" x14ac:dyDescent="0.2">
      <c r="A6846" s="1">
        <v>41736</v>
      </c>
      <c r="B6846">
        <v>2</v>
      </c>
      <c r="C6846" t="s">
        <v>16</v>
      </c>
      <c r="D6846">
        <v>-6.4819999999999999E-3</v>
      </c>
      <c r="E6846">
        <f t="shared" si="212"/>
        <v>0.99351800000000001</v>
      </c>
      <c r="F6846" s="1">
        <f t="shared" si="213"/>
        <v>41736</v>
      </c>
      <c r="G6846" cm="1">
        <f t="array" ref="G6846">PRODUCT( _xlfn._xlws.FILTER($E:$E, ($C:$C=C6846)*($F:$F=F6846)) ) - 1</f>
        <v>-3.4741066706344914E-2</v>
      </c>
    </row>
    <row r="6847" spans="1:7" x14ac:dyDescent="0.2">
      <c r="A6847" s="1">
        <v>41737</v>
      </c>
      <c r="B6847">
        <v>2</v>
      </c>
      <c r="C6847" t="s">
        <v>16</v>
      </c>
      <c r="D6847">
        <v>2.61E-4</v>
      </c>
      <c r="E6847">
        <f t="shared" si="212"/>
        <v>1.0002610000000001</v>
      </c>
      <c r="F6847" s="1">
        <f t="shared" si="213"/>
        <v>41736</v>
      </c>
      <c r="G6847" cm="1">
        <f t="array" ref="G6847">PRODUCT( _xlfn._xlws.FILTER($E:$E, ($C:$C=C6847)*($F:$F=F6847)) ) - 1</f>
        <v>-3.4741066706344914E-2</v>
      </c>
    </row>
    <row r="6848" spans="1:7" x14ac:dyDescent="0.2">
      <c r="A6848" s="1">
        <v>41738</v>
      </c>
      <c r="B6848">
        <v>2</v>
      </c>
      <c r="C6848" t="s">
        <v>16</v>
      </c>
      <c r="D6848">
        <v>-4.1739999999999998E-3</v>
      </c>
      <c r="E6848">
        <f t="shared" si="212"/>
        <v>0.99582599999999999</v>
      </c>
      <c r="F6848" s="1">
        <f t="shared" si="213"/>
        <v>41736</v>
      </c>
      <c r="G6848" cm="1">
        <f t="array" ref="G6848">PRODUCT( _xlfn._xlws.FILTER($E:$E, ($C:$C=C6848)*($F:$F=F6848)) ) - 1</f>
        <v>-3.4741066706344914E-2</v>
      </c>
    </row>
    <row r="6849" spans="1:7" x14ac:dyDescent="0.2">
      <c r="A6849" s="1">
        <v>41739</v>
      </c>
      <c r="B6849">
        <v>2</v>
      </c>
      <c r="C6849" t="s">
        <v>16</v>
      </c>
      <c r="D6849">
        <v>-8.907E-3</v>
      </c>
      <c r="E6849">
        <f t="shared" si="212"/>
        <v>0.991093</v>
      </c>
      <c r="F6849" s="1">
        <f t="shared" si="213"/>
        <v>41736</v>
      </c>
      <c r="G6849" cm="1">
        <f t="array" ref="G6849">PRODUCT( _xlfn._xlws.FILTER($E:$E, ($C:$C=C6849)*($F:$F=F6849)) ) - 1</f>
        <v>-3.4741066706344914E-2</v>
      </c>
    </row>
    <row r="6850" spans="1:7" x14ac:dyDescent="0.2">
      <c r="A6850" s="1">
        <v>41740</v>
      </c>
      <c r="B6850">
        <v>2</v>
      </c>
      <c r="C6850" t="s">
        <v>16</v>
      </c>
      <c r="D6850">
        <v>-1.5859999999999999E-2</v>
      </c>
      <c r="E6850">
        <f t="shared" si="212"/>
        <v>0.98414000000000001</v>
      </c>
      <c r="F6850" s="1">
        <f t="shared" si="213"/>
        <v>41736</v>
      </c>
      <c r="G6850" cm="1">
        <f t="array" ref="G6850">PRODUCT( _xlfn._xlws.FILTER($E:$E, ($C:$C=C6850)*($F:$F=F6850)) ) - 1</f>
        <v>-3.4741066706344914E-2</v>
      </c>
    </row>
    <row r="6851" spans="1:7" x14ac:dyDescent="0.2">
      <c r="A6851" s="1">
        <v>41743</v>
      </c>
      <c r="B6851">
        <v>2</v>
      </c>
      <c r="C6851" t="s">
        <v>16</v>
      </c>
      <c r="D6851">
        <v>6.1780000000000003E-3</v>
      </c>
      <c r="E6851">
        <f t="shared" si="212"/>
        <v>1.006178</v>
      </c>
      <c r="F6851" s="1">
        <f t="shared" si="213"/>
        <v>41743</v>
      </c>
      <c r="G6851" cm="1">
        <f t="array" ref="G6851">PRODUCT( _xlfn._xlws.FILTER($E:$E, ($C:$C=C6851)*($F:$F=F6851)) ) - 1</f>
        <v>3.0082541962302534E-2</v>
      </c>
    </row>
    <row r="6852" spans="1:7" x14ac:dyDescent="0.2">
      <c r="A6852" s="1">
        <v>41744</v>
      </c>
      <c r="B6852">
        <v>2</v>
      </c>
      <c r="C6852" t="s">
        <v>16</v>
      </c>
      <c r="D6852">
        <v>5.339E-3</v>
      </c>
      <c r="E6852">
        <f t="shared" ref="E6852:E6915" si="214">D6852+1</f>
        <v>1.005339</v>
      </c>
      <c r="F6852" s="1">
        <f t="shared" ref="F6852:F6915" si="215">A6852 - (WEEKDAY(A6852, 2) - 1)</f>
        <v>41743</v>
      </c>
      <c r="G6852" cm="1">
        <f t="array" ref="G6852">PRODUCT( _xlfn._xlws.FILTER($E:$E, ($C:$C=C6852)*($F:$F=F6852)) ) - 1</f>
        <v>3.0082541962302534E-2</v>
      </c>
    </row>
    <row r="6853" spans="1:7" x14ac:dyDescent="0.2">
      <c r="A6853" s="1">
        <v>41745</v>
      </c>
      <c r="B6853">
        <v>2</v>
      </c>
      <c r="C6853" t="s">
        <v>16</v>
      </c>
      <c r="D6853">
        <v>1.5665999999999999E-2</v>
      </c>
      <c r="E6853">
        <f t="shared" si="214"/>
        <v>1.015666</v>
      </c>
      <c r="F6853" s="1">
        <f t="shared" si="215"/>
        <v>41743</v>
      </c>
      <c r="G6853" cm="1">
        <f t="array" ref="G6853">PRODUCT( _xlfn._xlws.FILTER($E:$E, ($C:$C=C6853)*($F:$F=F6853)) ) - 1</f>
        <v>3.0082541962302534E-2</v>
      </c>
    </row>
    <row r="6854" spans="1:7" x14ac:dyDescent="0.2">
      <c r="A6854" s="1">
        <v>41746</v>
      </c>
      <c r="B6854">
        <v>2</v>
      </c>
      <c r="C6854" t="s">
        <v>16</v>
      </c>
      <c r="D6854">
        <v>2.614E-3</v>
      </c>
      <c r="E6854">
        <f t="shared" si="214"/>
        <v>1.0026139999999999</v>
      </c>
      <c r="F6854" s="1">
        <f t="shared" si="215"/>
        <v>41743</v>
      </c>
      <c r="G6854" cm="1">
        <f t="array" ref="G6854">PRODUCT( _xlfn._xlws.FILTER($E:$E, ($C:$C=C6854)*($F:$F=F6854)) ) - 1</f>
        <v>3.0082541962302534E-2</v>
      </c>
    </row>
    <row r="6855" spans="1:7" x14ac:dyDescent="0.2">
      <c r="A6855" s="1">
        <v>41750</v>
      </c>
      <c r="B6855">
        <v>2</v>
      </c>
      <c r="C6855" t="s">
        <v>16</v>
      </c>
      <c r="D6855">
        <v>-2.61E-4</v>
      </c>
      <c r="E6855">
        <f t="shared" si="214"/>
        <v>0.99973900000000004</v>
      </c>
      <c r="F6855" s="1">
        <f t="shared" si="215"/>
        <v>41750</v>
      </c>
      <c r="G6855" cm="1">
        <f t="array" ref="G6855">PRODUCT( _xlfn._xlws.FILTER($E:$E, ($C:$C=C6855)*($F:$F=F6855)) ) - 1</f>
        <v>-4.6945769140979143E-3</v>
      </c>
    </row>
    <row r="6856" spans="1:7" x14ac:dyDescent="0.2">
      <c r="A6856" s="1">
        <v>41751</v>
      </c>
      <c r="B6856">
        <v>2</v>
      </c>
      <c r="C6856" t="s">
        <v>16</v>
      </c>
      <c r="D6856">
        <v>-2.0869999999999999E-3</v>
      </c>
      <c r="E6856">
        <f t="shared" si="214"/>
        <v>0.99791300000000005</v>
      </c>
      <c r="F6856" s="1">
        <f t="shared" si="215"/>
        <v>41750</v>
      </c>
      <c r="G6856" cm="1">
        <f t="array" ref="G6856">PRODUCT( _xlfn._xlws.FILTER($E:$E, ($C:$C=C6856)*($F:$F=F6856)) ) - 1</f>
        <v>-4.6945769140979143E-3</v>
      </c>
    </row>
    <row r="6857" spans="1:7" x14ac:dyDescent="0.2">
      <c r="A6857" s="1">
        <v>41752</v>
      </c>
      <c r="B6857">
        <v>2</v>
      </c>
      <c r="C6857" t="s">
        <v>16</v>
      </c>
      <c r="D6857">
        <v>-8.8870000000000008E-3</v>
      </c>
      <c r="E6857">
        <f t="shared" si="214"/>
        <v>0.99111300000000002</v>
      </c>
      <c r="F6857" s="1">
        <f t="shared" si="215"/>
        <v>41750</v>
      </c>
      <c r="G6857" cm="1">
        <f t="array" ref="G6857">PRODUCT( _xlfn._xlws.FILTER($E:$E, ($C:$C=C6857)*($F:$F=F6857)) ) - 1</f>
        <v>-4.6945769140979143E-3</v>
      </c>
    </row>
    <row r="6858" spans="1:7" x14ac:dyDescent="0.2">
      <c r="A6858" s="1">
        <v>41753</v>
      </c>
      <c r="B6858">
        <v>2</v>
      </c>
      <c r="C6858" t="s">
        <v>16</v>
      </c>
      <c r="D6858">
        <v>1.3190000000000001E-3</v>
      </c>
      <c r="E6858">
        <f t="shared" si="214"/>
        <v>1.0013190000000001</v>
      </c>
      <c r="F6858" s="1">
        <f t="shared" si="215"/>
        <v>41750</v>
      </c>
      <c r="G6858" cm="1">
        <f t="array" ref="G6858">PRODUCT( _xlfn._xlws.FILTER($E:$E, ($C:$C=C6858)*($F:$F=F6858)) ) - 1</f>
        <v>-4.6945769140979143E-3</v>
      </c>
    </row>
    <row r="6859" spans="1:7" x14ac:dyDescent="0.2">
      <c r="A6859" s="1">
        <v>41754</v>
      </c>
      <c r="B6859">
        <v>2</v>
      </c>
      <c r="C6859" t="s">
        <v>16</v>
      </c>
      <c r="D6859">
        <v>5.267E-3</v>
      </c>
      <c r="E6859">
        <f t="shared" si="214"/>
        <v>1.0052669999999999</v>
      </c>
      <c r="F6859" s="1">
        <f t="shared" si="215"/>
        <v>41750</v>
      </c>
      <c r="G6859" cm="1">
        <f t="array" ref="G6859">PRODUCT( _xlfn._xlws.FILTER($E:$E, ($C:$C=C6859)*($F:$F=F6859)) ) - 1</f>
        <v>-4.6945769140979143E-3</v>
      </c>
    </row>
    <row r="6860" spans="1:7" x14ac:dyDescent="0.2">
      <c r="A6860" s="1">
        <v>41757</v>
      </c>
      <c r="B6860">
        <v>2</v>
      </c>
      <c r="C6860" t="s">
        <v>16</v>
      </c>
      <c r="D6860">
        <v>1.0480000000000001E-3</v>
      </c>
      <c r="E6860">
        <f t="shared" si="214"/>
        <v>1.0010479999999999</v>
      </c>
      <c r="F6860" s="1">
        <f t="shared" si="215"/>
        <v>41757</v>
      </c>
      <c r="G6860" cm="1">
        <f t="array" ref="G6860">PRODUCT( _xlfn._xlws.FILTER($E:$E, ($C:$C=C6860)*($F:$F=F6860)) ) - 1</f>
        <v>2.6985705515793379E-2</v>
      </c>
    </row>
    <row r="6861" spans="1:7" x14ac:dyDescent="0.2">
      <c r="A6861" s="1">
        <v>41758</v>
      </c>
      <c r="B6861">
        <v>2</v>
      </c>
      <c r="C6861" t="s">
        <v>16</v>
      </c>
      <c r="D6861">
        <v>-1.57E-3</v>
      </c>
      <c r="E6861">
        <f t="shared" si="214"/>
        <v>0.99843000000000004</v>
      </c>
      <c r="F6861" s="1">
        <f t="shared" si="215"/>
        <v>41757</v>
      </c>
      <c r="G6861" cm="1">
        <f t="array" ref="G6861">PRODUCT( _xlfn._xlws.FILTER($E:$E, ($C:$C=C6861)*($F:$F=F6861)) ) - 1</f>
        <v>2.6985705515793379E-2</v>
      </c>
    </row>
    <row r="6862" spans="1:7" x14ac:dyDescent="0.2">
      <c r="A6862" s="1">
        <v>41759</v>
      </c>
      <c r="B6862">
        <v>2</v>
      </c>
      <c r="C6862" t="s">
        <v>16</v>
      </c>
      <c r="D6862">
        <v>3.9843000000000003E-2</v>
      </c>
      <c r="E6862">
        <f t="shared" si="214"/>
        <v>1.0398430000000001</v>
      </c>
      <c r="F6862" s="1">
        <f t="shared" si="215"/>
        <v>41757</v>
      </c>
      <c r="G6862" cm="1">
        <f t="array" ref="G6862">PRODUCT( _xlfn._xlws.FILTER($E:$E, ($C:$C=C6862)*($F:$F=F6862)) ) - 1</f>
        <v>2.6985705515793379E-2</v>
      </c>
    </row>
    <row r="6863" spans="1:7" x14ac:dyDescent="0.2">
      <c r="A6863" s="1">
        <v>41760</v>
      </c>
      <c r="B6863">
        <v>2</v>
      </c>
      <c r="C6863" t="s">
        <v>16</v>
      </c>
      <c r="D6863">
        <v>-1.0335E-2</v>
      </c>
      <c r="E6863">
        <f t="shared" si="214"/>
        <v>0.98966500000000002</v>
      </c>
      <c r="F6863" s="1">
        <f t="shared" si="215"/>
        <v>41757</v>
      </c>
      <c r="G6863" cm="1">
        <f t="array" ref="G6863">PRODUCT( _xlfn._xlws.FILTER($E:$E, ($C:$C=C6863)*($F:$F=F6863)) ) - 1</f>
        <v>2.6985705515793379E-2</v>
      </c>
    </row>
    <row r="6864" spans="1:7" x14ac:dyDescent="0.2">
      <c r="A6864" s="1">
        <v>41761</v>
      </c>
      <c r="B6864">
        <v>2</v>
      </c>
      <c r="C6864" t="s">
        <v>16</v>
      </c>
      <c r="D6864">
        <v>-1.5280000000000001E-3</v>
      </c>
      <c r="E6864">
        <f t="shared" si="214"/>
        <v>0.99847200000000003</v>
      </c>
      <c r="F6864" s="1">
        <f t="shared" si="215"/>
        <v>41757</v>
      </c>
      <c r="G6864" cm="1">
        <f t="array" ref="G6864">PRODUCT( _xlfn._xlws.FILTER($E:$E, ($C:$C=C6864)*($F:$F=F6864)) ) - 1</f>
        <v>2.6985705515793379E-2</v>
      </c>
    </row>
    <row r="6865" spans="1:7" x14ac:dyDescent="0.2">
      <c r="A6865" s="1">
        <v>41764</v>
      </c>
      <c r="B6865">
        <v>2</v>
      </c>
      <c r="C6865" t="s">
        <v>16</v>
      </c>
      <c r="D6865">
        <v>-1.3010000000000001E-2</v>
      </c>
      <c r="E6865">
        <f t="shared" si="214"/>
        <v>0.98699000000000003</v>
      </c>
      <c r="F6865" s="1">
        <f t="shared" si="215"/>
        <v>41764</v>
      </c>
      <c r="G6865" cm="1">
        <f t="array" ref="G6865">PRODUCT( _xlfn._xlws.FILTER($E:$E, ($C:$C=C6865)*($F:$F=F6865)) ) - 1</f>
        <v>-1.1224083674262531E-2</v>
      </c>
    </row>
    <row r="6866" spans="1:7" x14ac:dyDescent="0.2">
      <c r="A6866" s="1">
        <v>41765</v>
      </c>
      <c r="B6866">
        <v>2</v>
      </c>
      <c r="C6866" t="s">
        <v>16</v>
      </c>
      <c r="D6866">
        <v>-5.9449999999999998E-3</v>
      </c>
      <c r="E6866">
        <f t="shared" si="214"/>
        <v>0.99405500000000002</v>
      </c>
      <c r="F6866" s="1">
        <f t="shared" si="215"/>
        <v>41764</v>
      </c>
      <c r="G6866" cm="1">
        <f t="array" ref="G6866">PRODUCT( _xlfn._xlws.FILTER($E:$E, ($C:$C=C6866)*($F:$F=F6866)) ) - 1</f>
        <v>-1.1224083674262531E-2</v>
      </c>
    </row>
    <row r="6867" spans="1:7" x14ac:dyDescent="0.2">
      <c r="A6867" s="1">
        <v>41766</v>
      </c>
      <c r="B6867">
        <v>2</v>
      </c>
      <c r="C6867" t="s">
        <v>16</v>
      </c>
      <c r="D6867">
        <v>4.9399999999999999E-3</v>
      </c>
      <c r="E6867">
        <f t="shared" si="214"/>
        <v>1.0049399999999999</v>
      </c>
      <c r="F6867" s="1">
        <f t="shared" si="215"/>
        <v>41764</v>
      </c>
      <c r="G6867" cm="1">
        <f t="array" ref="G6867">PRODUCT( _xlfn._xlws.FILTER($E:$E, ($C:$C=C6867)*($F:$F=F6867)) ) - 1</f>
        <v>-1.1224083674262531E-2</v>
      </c>
    </row>
    <row r="6868" spans="1:7" x14ac:dyDescent="0.2">
      <c r="A6868" s="1">
        <v>41767</v>
      </c>
      <c r="B6868">
        <v>2</v>
      </c>
      <c r="C6868" t="s">
        <v>16</v>
      </c>
      <c r="D6868">
        <v>-5.4330000000000003E-3</v>
      </c>
      <c r="E6868">
        <f t="shared" si="214"/>
        <v>0.99456699999999998</v>
      </c>
      <c r="F6868" s="1">
        <f t="shared" si="215"/>
        <v>41764</v>
      </c>
      <c r="G6868" cm="1">
        <f t="array" ref="G6868">PRODUCT( _xlfn._xlws.FILTER($E:$E, ($C:$C=C6868)*($F:$F=F6868)) ) - 1</f>
        <v>-1.1224083674262531E-2</v>
      </c>
    </row>
    <row r="6869" spans="1:7" x14ac:dyDescent="0.2">
      <c r="A6869" s="1">
        <v>41768</v>
      </c>
      <c r="B6869">
        <v>2</v>
      </c>
      <c r="C6869" t="s">
        <v>16</v>
      </c>
      <c r="D6869">
        <v>8.3250000000000008E-3</v>
      </c>
      <c r="E6869">
        <f t="shared" si="214"/>
        <v>1.0083249999999999</v>
      </c>
      <c r="F6869" s="1">
        <f t="shared" si="215"/>
        <v>41764</v>
      </c>
      <c r="G6869" cm="1">
        <f t="array" ref="G6869">PRODUCT( _xlfn._xlws.FILTER($E:$E, ($C:$C=C6869)*($F:$F=F6869)) ) - 1</f>
        <v>-1.1224083674262531E-2</v>
      </c>
    </row>
    <row r="6870" spans="1:7" x14ac:dyDescent="0.2">
      <c r="A6870" s="1">
        <v>41771</v>
      </c>
      <c r="B6870">
        <v>2</v>
      </c>
      <c r="C6870" t="s">
        <v>16</v>
      </c>
      <c r="D6870">
        <v>1.2642E-2</v>
      </c>
      <c r="E6870">
        <f t="shared" si="214"/>
        <v>1.012642</v>
      </c>
      <c r="F6870" s="1">
        <f t="shared" si="215"/>
        <v>41771</v>
      </c>
      <c r="G6870" cm="1">
        <f t="array" ref="G6870">PRODUCT( _xlfn._xlws.FILTER($E:$E, ($C:$C=C6870)*($F:$F=F6870)) ) - 1</f>
        <v>3.3538507643819937E-3</v>
      </c>
    </row>
    <row r="6871" spans="1:7" x14ac:dyDescent="0.2">
      <c r="A6871" s="1">
        <v>41772</v>
      </c>
      <c r="B6871">
        <v>2</v>
      </c>
      <c r="C6871" t="s">
        <v>16</v>
      </c>
      <c r="D6871">
        <v>3.5669999999999999E-3</v>
      </c>
      <c r="E6871">
        <f t="shared" si="214"/>
        <v>1.0035670000000001</v>
      </c>
      <c r="F6871" s="1">
        <f t="shared" si="215"/>
        <v>41771</v>
      </c>
      <c r="G6871" cm="1">
        <f t="array" ref="G6871">PRODUCT( _xlfn._xlws.FILTER($E:$E, ($C:$C=C6871)*($F:$F=F6871)) ) - 1</f>
        <v>3.3538507643819937E-3</v>
      </c>
    </row>
    <row r="6872" spans="1:7" x14ac:dyDescent="0.2">
      <c r="A6872" s="1">
        <v>41773</v>
      </c>
      <c r="B6872">
        <v>2</v>
      </c>
      <c r="C6872" t="s">
        <v>16</v>
      </c>
      <c r="D6872">
        <v>3.5539999999999999E-3</v>
      </c>
      <c r="E6872">
        <f t="shared" si="214"/>
        <v>1.0035540000000001</v>
      </c>
      <c r="F6872" s="1">
        <f t="shared" si="215"/>
        <v>41771</v>
      </c>
      <c r="G6872" cm="1">
        <f t="array" ref="G6872">PRODUCT( _xlfn._xlws.FILTER($E:$E, ($C:$C=C6872)*($F:$F=F6872)) ) - 1</f>
        <v>3.3538507643819937E-3</v>
      </c>
    </row>
    <row r="6873" spans="1:7" x14ac:dyDescent="0.2">
      <c r="A6873" s="1">
        <v>41774</v>
      </c>
      <c r="B6873">
        <v>2</v>
      </c>
      <c r="C6873" t="s">
        <v>16</v>
      </c>
      <c r="D6873">
        <v>-1.2396000000000001E-2</v>
      </c>
      <c r="E6873">
        <f t="shared" si="214"/>
        <v>0.98760400000000004</v>
      </c>
      <c r="F6873" s="1">
        <f t="shared" si="215"/>
        <v>41771</v>
      </c>
      <c r="G6873" cm="1">
        <f t="array" ref="G6873">PRODUCT( _xlfn._xlws.FILTER($E:$E, ($C:$C=C6873)*($F:$F=F6873)) ) - 1</f>
        <v>3.3538507643819937E-3</v>
      </c>
    </row>
    <row r="6874" spans="1:7" x14ac:dyDescent="0.2">
      <c r="A6874" s="1">
        <v>41775</v>
      </c>
      <c r="B6874">
        <v>2</v>
      </c>
      <c r="C6874" t="s">
        <v>16</v>
      </c>
      <c r="D6874">
        <v>-3.8419999999999999E-3</v>
      </c>
      <c r="E6874">
        <f t="shared" si="214"/>
        <v>0.99615799999999999</v>
      </c>
      <c r="F6874" s="1">
        <f t="shared" si="215"/>
        <v>41771</v>
      </c>
      <c r="G6874" cm="1">
        <f t="array" ref="G6874">PRODUCT( _xlfn._xlws.FILTER($E:$E, ($C:$C=C6874)*($F:$F=F6874)) ) - 1</f>
        <v>3.3538507643819937E-3</v>
      </c>
    </row>
    <row r="6875" spans="1:7" x14ac:dyDescent="0.2">
      <c r="A6875" s="1">
        <v>41779</v>
      </c>
      <c r="B6875">
        <v>2</v>
      </c>
      <c r="C6875" t="s">
        <v>16</v>
      </c>
      <c r="D6875">
        <v>-1.9293999999999999E-2</v>
      </c>
      <c r="E6875">
        <f t="shared" si="214"/>
        <v>0.98070599999999997</v>
      </c>
      <c r="F6875" s="1">
        <f t="shared" si="215"/>
        <v>41778</v>
      </c>
      <c r="G6875" cm="1">
        <f t="array" ref="G6875">PRODUCT( _xlfn._xlws.FILTER($E:$E, ($C:$C=C6875)*($F:$F=F6875)) ) - 1</f>
        <v>-7.0930024595623475E-3</v>
      </c>
    </row>
    <row r="6876" spans="1:7" x14ac:dyDescent="0.2">
      <c r="A6876" s="1">
        <v>41780</v>
      </c>
      <c r="B6876">
        <v>2</v>
      </c>
      <c r="C6876" t="s">
        <v>16</v>
      </c>
      <c r="D6876">
        <v>2.0910999999999999E-2</v>
      </c>
      <c r="E6876">
        <f t="shared" si="214"/>
        <v>1.0209109999999999</v>
      </c>
      <c r="F6876" s="1">
        <f t="shared" si="215"/>
        <v>41778</v>
      </c>
      <c r="G6876" cm="1">
        <f t="array" ref="G6876">PRODUCT( _xlfn._xlws.FILTER($E:$E, ($C:$C=C6876)*($F:$F=F6876)) ) - 1</f>
        <v>-7.0930024595623475E-3</v>
      </c>
    </row>
    <row r="6877" spans="1:7" x14ac:dyDescent="0.2">
      <c r="A6877" s="1">
        <v>41781</v>
      </c>
      <c r="B6877">
        <v>2</v>
      </c>
      <c r="C6877" t="s">
        <v>16</v>
      </c>
      <c r="D6877">
        <v>-9.8519999999999996E-3</v>
      </c>
      <c r="E6877">
        <f t="shared" si="214"/>
        <v>0.99014800000000003</v>
      </c>
      <c r="F6877" s="1">
        <f t="shared" si="215"/>
        <v>41778</v>
      </c>
      <c r="G6877" cm="1">
        <f t="array" ref="G6877">PRODUCT( _xlfn._xlws.FILTER($E:$E, ($C:$C=C6877)*($F:$F=F6877)) ) - 1</f>
        <v>-7.0930024595623475E-3</v>
      </c>
    </row>
    <row r="6878" spans="1:7" x14ac:dyDescent="0.2">
      <c r="A6878" s="1">
        <v>41782</v>
      </c>
      <c r="B6878">
        <v>2</v>
      </c>
      <c r="C6878" t="s">
        <v>16</v>
      </c>
      <c r="D6878">
        <v>1.5709999999999999E-3</v>
      </c>
      <c r="E6878">
        <f t="shared" si="214"/>
        <v>1.001571</v>
      </c>
      <c r="F6878" s="1">
        <f t="shared" si="215"/>
        <v>41778</v>
      </c>
      <c r="G6878" cm="1">
        <f t="array" ref="G6878">PRODUCT( _xlfn._xlws.FILTER($E:$E, ($C:$C=C6878)*($F:$F=F6878)) ) - 1</f>
        <v>-7.0930024595623475E-3</v>
      </c>
    </row>
    <row r="6879" spans="1:7" x14ac:dyDescent="0.2">
      <c r="A6879" s="1">
        <v>41785</v>
      </c>
      <c r="B6879">
        <v>2</v>
      </c>
      <c r="C6879" t="s">
        <v>16</v>
      </c>
      <c r="D6879">
        <v>0</v>
      </c>
      <c r="E6879">
        <f t="shared" si="214"/>
        <v>1</v>
      </c>
      <c r="F6879" s="1">
        <f t="shared" si="215"/>
        <v>41785</v>
      </c>
      <c r="G6879" cm="1">
        <f t="array" ref="G6879">PRODUCT( _xlfn._xlws.FILTER($E:$E, ($C:$C=C6879)*($F:$F=F6879)) ) - 1</f>
        <v>-1.7253879295252683E-2</v>
      </c>
    </row>
    <row r="6880" spans="1:7" x14ac:dyDescent="0.2">
      <c r="A6880" s="1">
        <v>41786</v>
      </c>
      <c r="B6880">
        <v>2</v>
      </c>
      <c r="C6880" t="s">
        <v>16</v>
      </c>
      <c r="D6880">
        <v>1.0460000000000001E-3</v>
      </c>
      <c r="E6880">
        <f t="shared" si="214"/>
        <v>1.0010460000000001</v>
      </c>
      <c r="F6880" s="1">
        <f t="shared" si="215"/>
        <v>41785</v>
      </c>
      <c r="G6880" cm="1">
        <f t="array" ref="G6880">PRODUCT( _xlfn._xlws.FILTER($E:$E, ($C:$C=C6880)*($F:$F=F6880)) ) - 1</f>
        <v>-1.7253879295252683E-2</v>
      </c>
    </row>
    <row r="6881" spans="1:7" x14ac:dyDescent="0.2">
      <c r="A6881" s="1">
        <v>41787</v>
      </c>
      <c r="B6881">
        <v>2</v>
      </c>
      <c r="C6881" t="s">
        <v>16</v>
      </c>
      <c r="D6881">
        <v>-3.395E-3</v>
      </c>
      <c r="E6881">
        <f t="shared" si="214"/>
        <v>0.99660499999999996</v>
      </c>
      <c r="F6881" s="1">
        <f t="shared" si="215"/>
        <v>41785</v>
      </c>
      <c r="G6881" cm="1">
        <f t="array" ref="G6881">PRODUCT( _xlfn._xlws.FILTER($E:$E, ($C:$C=C6881)*($F:$F=F6881)) ) - 1</f>
        <v>-1.7253879295252683E-2</v>
      </c>
    </row>
    <row r="6882" spans="1:7" x14ac:dyDescent="0.2">
      <c r="A6882" s="1">
        <v>41788</v>
      </c>
      <c r="B6882">
        <v>2</v>
      </c>
      <c r="C6882" t="s">
        <v>16</v>
      </c>
      <c r="D6882">
        <v>-1.0744E-2</v>
      </c>
      <c r="E6882">
        <f t="shared" si="214"/>
        <v>0.98925600000000002</v>
      </c>
      <c r="F6882" s="1">
        <f t="shared" si="215"/>
        <v>41785</v>
      </c>
      <c r="G6882" cm="1">
        <f t="array" ref="G6882">PRODUCT( _xlfn._xlws.FILTER($E:$E, ($C:$C=C6882)*($F:$F=F6882)) ) - 1</f>
        <v>-1.7253879295252683E-2</v>
      </c>
    </row>
    <row r="6883" spans="1:7" x14ac:dyDescent="0.2">
      <c r="A6883" s="1">
        <v>41789</v>
      </c>
      <c r="B6883">
        <v>2</v>
      </c>
      <c r="C6883" t="s">
        <v>16</v>
      </c>
      <c r="D6883">
        <v>-4.2379999999999996E-3</v>
      </c>
      <c r="E6883">
        <f t="shared" si="214"/>
        <v>0.99576200000000004</v>
      </c>
      <c r="F6883" s="1">
        <f t="shared" si="215"/>
        <v>41785</v>
      </c>
      <c r="G6883" cm="1">
        <f t="array" ref="G6883">PRODUCT( _xlfn._xlws.FILTER($E:$E, ($C:$C=C6883)*($F:$F=F6883)) ) - 1</f>
        <v>-1.7253879295252683E-2</v>
      </c>
    </row>
    <row r="6884" spans="1:7" x14ac:dyDescent="0.2">
      <c r="A6884" s="1">
        <v>41792</v>
      </c>
      <c r="B6884">
        <v>2</v>
      </c>
      <c r="C6884" t="s">
        <v>16</v>
      </c>
      <c r="D6884">
        <v>2.0483999999999999E-2</v>
      </c>
      <c r="E6884">
        <f t="shared" si="214"/>
        <v>1.0204839999999999</v>
      </c>
      <c r="F6884" s="1">
        <f t="shared" si="215"/>
        <v>41792</v>
      </c>
      <c r="G6884" cm="1">
        <f t="array" ref="G6884">PRODUCT( _xlfn._xlws.FILTER($E:$E, ($C:$C=C6884)*($F:$F=F6884)) ) - 1</f>
        <v>1.7026292881609617E-2</v>
      </c>
    </row>
    <row r="6885" spans="1:7" x14ac:dyDescent="0.2">
      <c r="A6885" s="1">
        <v>41793</v>
      </c>
      <c r="B6885">
        <v>2</v>
      </c>
      <c r="C6885" t="s">
        <v>16</v>
      </c>
      <c r="D6885">
        <v>-2.1375999999999999E-2</v>
      </c>
      <c r="E6885">
        <f t="shared" si="214"/>
        <v>0.97862400000000005</v>
      </c>
      <c r="F6885" s="1">
        <f t="shared" si="215"/>
        <v>41792</v>
      </c>
      <c r="G6885" cm="1">
        <f t="array" ref="G6885">PRODUCT( _xlfn._xlws.FILTER($E:$E, ($C:$C=C6885)*($F:$F=F6885)) ) - 1</f>
        <v>1.7026292881609617E-2</v>
      </c>
    </row>
    <row r="6886" spans="1:7" x14ac:dyDescent="0.2">
      <c r="A6886" s="1">
        <v>41794</v>
      </c>
      <c r="B6886">
        <v>2</v>
      </c>
      <c r="C6886" t="s">
        <v>16</v>
      </c>
      <c r="D6886">
        <v>5.594E-3</v>
      </c>
      <c r="E6886">
        <f t="shared" si="214"/>
        <v>1.0055940000000001</v>
      </c>
      <c r="F6886" s="1">
        <f t="shared" si="215"/>
        <v>41792</v>
      </c>
      <c r="G6886" cm="1">
        <f t="array" ref="G6886">PRODUCT( _xlfn._xlws.FILTER($E:$E, ($C:$C=C6886)*($F:$F=F6886)) ) - 1</f>
        <v>1.7026292881609617E-2</v>
      </c>
    </row>
    <row r="6887" spans="1:7" x14ac:dyDescent="0.2">
      <c r="A6887" s="1">
        <v>41795</v>
      </c>
      <c r="B6887">
        <v>2</v>
      </c>
      <c r="C6887" t="s">
        <v>16</v>
      </c>
      <c r="D6887">
        <v>5.0330000000000001E-3</v>
      </c>
      <c r="E6887">
        <f t="shared" si="214"/>
        <v>1.0050330000000001</v>
      </c>
      <c r="F6887" s="1">
        <f t="shared" si="215"/>
        <v>41792</v>
      </c>
      <c r="G6887" cm="1">
        <f t="array" ref="G6887">PRODUCT( _xlfn._xlws.FILTER($E:$E, ($C:$C=C6887)*($F:$F=F6887)) ) - 1</f>
        <v>1.7026292881609617E-2</v>
      </c>
    </row>
    <row r="6888" spans="1:7" x14ac:dyDescent="0.2">
      <c r="A6888" s="1">
        <v>41796</v>
      </c>
      <c r="B6888">
        <v>2</v>
      </c>
      <c r="C6888" t="s">
        <v>16</v>
      </c>
      <c r="D6888">
        <v>7.6439999999999998E-3</v>
      </c>
      <c r="E6888">
        <f t="shared" si="214"/>
        <v>1.007644</v>
      </c>
      <c r="F6888" s="1">
        <f t="shared" si="215"/>
        <v>41792</v>
      </c>
      <c r="G6888" cm="1">
        <f t="array" ref="G6888">PRODUCT( _xlfn._xlws.FILTER($E:$E, ($C:$C=C6888)*($F:$F=F6888)) ) - 1</f>
        <v>1.7026292881609617E-2</v>
      </c>
    </row>
    <row r="6889" spans="1:7" x14ac:dyDescent="0.2">
      <c r="A6889" s="1">
        <v>41799</v>
      </c>
      <c r="B6889">
        <v>2</v>
      </c>
      <c r="C6889" t="s">
        <v>16</v>
      </c>
      <c r="D6889">
        <v>6.2779999999999997E-3</v>
      </c>
      <c r="E6889">
        <f t="shared" si="214"/>
        <v>1.006278</v>
      </c>
      <c r="F6889" s="1">
        <f t="shared" si="215"/>
        <v>41799</v>
      </c>
      <c r="G6889" cm="1">
        <f t="array" ref="G6889">PRODUCT( _xlfn._xlws.FILTER($E:$E, ($C:$C=C6889)*($F:$F=F6889)) ) - 1</f>
        <v>5.2319656887487298E-3</v>
      </c>
    </row>
    <row r="6890" spans="1:7" x14ac:dyDescent="0.2">
      <c r="A6890" s="1">
        <v>41800</v>
      </c>
      <c r="B6890">
        <v>2</v>
      </c>
      <c r="C6890" t="s">
        <v>16</v>
      </c>
      <c r="D6890">
        <v>3.1189999999999998E-3</v>
      </c>
      <c r="E6890">
        <f t="shared" si="214"/>
        <v>1.0031190000000001</v>
      </c>
      <c r="F6890" s="1">
        <f t="shared" si="215"/>
        <v>41799</v>
      </c>
      <c r="G6890" cm="1">
        <f t="array" ref="G6890">PRODUCT( _xlfn._xlws.FILTER($E:$E, ($C:$C=C6890)*($F:$F=F6890)) ) - 1</f>
        <v>5.2319656887487298E-3</v>
      </c>
    </row>
    <row r="6891" spans="1:7" x14ac:dyDescent="0.2">
      <c r="A6891" s="1">
        <v>41801</v>
      </c>
      <c r="B6891">
        <v>2</v>
      </c>
      <c r="C6891" t="s">
        <v>16</v>
      </c>
      <c r="D6891">
        <v>-5.7010000000000003E-3</v>
      </c>
      <c r="E6891">
        <f t="shared" si="214"/>
        <v>0.99429900000000004</v>
      </c>
      <c r="F6891" s="1">
        <f t="shared" si="215"/>
        <v>41799</v>
      </c>
      <c r="G6891" cm="1">
        <f t="array" ref="G6891">PRODUCT( _xlfn._xlws.FILTER($E:$E, ($C:$C=C6891)*($F:$F=F6891)) ) - 1</f>
        <v>5.2319656887487298E-3</v>
      </c>
    </row>
    <row r="6892" spans="1:7" x14ac:dyDescent="0.2">
      <c r="A6892" s="1">
        <v>41802</v>
      </c>
      <c r="B6892">
        <v>2</v>
      </c>
      <c r="C6892" t="s">
        <v>16</v>
      </c>
      <c r="D6892">
        <v>2.61E-4</v>
      </c>
      <c r="E6892">
        <f t="shared" si="214"/>
        <v>1.0002610000000001</v>
      </c>
      <c r="F6892" s="1">
        <f t="shared" si="215"/>
        <v>41799</v>
      </c>
      <c r="G6892" cm="1">
        <f t="array" ref="G6892">PRODUCT( _xlfn._xlws.FILTER($E:$E, ($C:$C=C6892)*($F:$F=F6892)) ) - 1</f>
        <v>5.2319656887487298E-3</v>
      </c>
    </row>
    <row r="6893" spans="1:7" x14ac:dyDescent="0.2">
      <c r="A6893" s="1">
        <v>41803</v>
      </c>
      <c r="B6893">
        <v>2</v>
      </c>
      <c r="C6893" t="s">
        <v>16</v>
      </c>
      <c r="D6893">
        <v>1.3029999999999999E-3</v>
      </c>
      <c r="E6893">
        <f t="shared" si="214"/>
        <v>1.0013030000000001</v>
      </c>
      <c r="F6893" s="1">
        <f t="shared" si="215"/>
        <v>41799</v>
      </c>
      <c r="G6893" cm="1">
        <f t="array" ref="G6893">PRODUCT( _xlfn._xlws.FILTER($E:$E, ($C:$C=C6893)*($F:$F=F6893)) ) - 1</f>
        <v>5.2319656887487298E-3</v>
      </c>
    </row>
    <row r="6894" spans="1:7" x14ac:dyDescent="0.2">
      <c r="A6894" s="1">
        <v>41806</v>
      </c>
      <c r="B6894">
        <v>2</v>
      </c>
      <c r="C6894" t="s">
        <v>16</v>
      </c>
      <c r="D6894">
        <v>0</v>
      </c>
      <c r="E6894">
        <f t="shared" si="214"/>
        <v>1</v>
      </c>
      <c r="F6894" s="1">
        <f t="shared" si="215"/>
        <v>41806</v>
      </c>
      <c r="G6894" cm="1">
        <f t="array" ref="G6894">PRODUCT( _xlfn._xlws.FILTER($E:$E, ($C:$C=C6894)*($F:$F=F6894)) ) - 1</f>
        <v>7.0267271726394132E-3</v>
      </c>
    </row>
    <row r="6895" spans="1:7" x14ac:dyDescent="0.2">
      <c r="A6895" s="1">
        <v>41807</v>
      </c>
      <c r="B6895">
        <v>2</v>
      </c>
      <c r="C6895" t="s">
        <v>16</v>
      </c>
      <c r="D6895">
        <v>8.3269999999999993E-3</v>
      </c>
      <c r="E6895">
        <f t="shared" si="214"/>
        <v>1.008327</v>
      </c>
      <c r="F6895" s="1">
        <f t="shared" si="215"/>
        <v>41806</v>
      </c>
      <c r="G6895" cm="1">
        <f t="array" ref="G6895">PRODUCT( _xlfn._xlws.FILTER($E:$E, ($C:$C=C6895)*($F:$F=F6895)) ) - 1</f>
        <v>7.0267271726394132E-3</v>
      </c>
    </row>
    <row r="6896" spans="1:7" x14ac:dyDescent="0.2">
      <c r="A6896" s="1">
        <v>41808</v>
      </c>
      <c r="B6896">
        <v>2</v>
      </c>
      <c r="C6896" t="s">
        <v>16</v>
      </c>
      <c r="D6896">
        <v>2.065E-3</v>
      </c>
      <c r="E6896">
        <f t="shared" si="214"/>
        <v>1.002065</v>
      </c>
      <c r="F6896" s="1">
        <f t="shared" si="215"/>
        <v>41806</v>
      </c>
      <c r="G6896" cm="1">
        <f t="array" ref="G6896">PRODUCT( _xlfn._xlws.FILTER($E:$E, ($C:$C=C6896)*($F:$F=F6896)) ) - 1</f>
        <v>7.0267271726394132E-3</v>
      </c>
    </row>
    <row r="6897" spans="1:7" x14ac:dyDescent="0.2">
      <c r="A6897" s="1">
        <v>41809</v>
      </c>
      <c r="B6897">
        <v>2</v>
      </c>
      <c r="C6897" t="s">
        <v>16</v>
      </c>
      <c r="D6897">
        <v>-6.1809999999999999E-3</v>
      </c>
      <c r="E6897">
        <f t="shared" si="214"/>
        <v>0.99381900000000001</v>
      </c>
      <c r="F6897" s="1">
        <f t="shared" si="215"/>
        <v>41806</v>
      </c>
      <c r="G6897" cm="1">
        <f t="array" ref="G6897">PRODUCT( _xlfn._xlws.FILTER($E:$E, ($C:$C=C6897)*($F:$F=F6897)) ) - 1</f>
        <v>7.0267271726394132E-3</v>
      </c>
    </row>
    <row r="6898" spans="1:7" x14ac:dyDescent="0.2">
      <c r="A6898" s="1">
        <v>41810</v>
      </c>
      <c r="B6898">
        <v>2</v>
      </c>
      <c r="C6898" t="s">
        <v>16</v>
      </c>
      <c r="D6898">
        <v>2.8509999999999998E-3</v>
      </c>
      <c r="E6898">
        <f t="shared" si="214"/>
        <v>1.0028509999999999</v>
      </c>
      <c r="F6898" s="1">
        <f t="shared" si="215"/>
        <v>41806</v>
      </c>
      <c r="G6898" cm="1">
        <f t="array" ref="G6898">PRODUCT( _xlfn._xlws.FILTER($E:$E, ($C:$C=C6898)*($F:$F=F6898)) ) - 1</f>
        <v>7.0267271726394132E-3</v>
      </c>
    </row>
    <row r="6899" spans="1:7" x14ac:dyDescent="0.2">
      <c r="A6899" s="1">
        <v>41813</v>
      </c>
      <c r="B6899">
        <v>2</v>
      </c>
      <c r="C6899" t="s">
        <v>16</v>
      </c>
      <c r="D6899">
        <v>-5.1699999999999999E-4</v>
      </c>
      <c r="E6899">
        <f t="shared" si="214"/>
        <v>0.99948300000000001</v>
      </c>
      <c r="F6899" s="1">
        <f t="shared" si="215"/>
        <v>41813</v>
      </c>
      <c r="G6899" cm="1">
        <f t="array" ref="G6899">PRODUCT( _xlfn._xlws.FILTER($E:$E, ($C:$C=C6899)*($F:$F=F6899)) ) - 1</f>
        <v>7.7380198804077871E-4</v>
      </c>
    </row>
    <row r="6900" spans="1:7" x14ac:dyDescent="0.2">
      <c r="A6900" s="1">
        <v>41814</v>
      </c>
      <c r="B6900">
        <v>2</v>
      </c>
      <c r="C6900" t="s">
        <v>16</v>
      </c>
      <c r="D6900">
        <v>-7.76E-4</v>
      </c>
      <c r="E6900">
        <f t="shared" si="214"/>
        <v>0.999224</v>
      </c>
      <c r="F6900" s="1">
        <f t="shared" si="215"/>
        <v>41813</v>
      </c>
      <c r="G6900" cm="1">
        <f t="array" ref="G6900">PRODUCT( _xlfn._xlws.FILTER($E:$E, ($C:$C=C6900)*($F:$F=F6900)) ) - 1</f>
        <v>7.7380198804077871E-4</v>
      </c>
    </row>
    <row r="6901" spans="1:7" x14ac:dyDescent="0.2">
      <c r="A6901" s="1">
        <v>41815</v>
      </c>
      <c r="B6901">
        <v>2</v>
      </c>
      <c r="C6901" t="s">
        <v>16</v>
      </c>
      <c r="D6901">
        <v>5.1699999999999999E-4</v>
      </c>
      <c r="E6901">
        <f t="shared" si="214"/>
        <v>1.0005170000000001</v>
      </c>
      <c r="F6901" s="1">
        <f t="shared" si="215"/>
        <v>41813</v>
      </c>
      <c r="G6901" cm="1">
        <f t="array" ref="G6901">PRODUCT( _xlfn._xlws.FILTER($E:$E, ($C:$C=C6901)*($F:$F=F6901)) ) - 1</f>
        <v>7.7380198804077871E-4</v>
      </c>
    </row>
    <row r="6902" spans="1:7" x14ac:dyDescent="0.2">
      <c r="A6902" s="1">
        <v>41816</v>
      </c>
      <c r="B6902">
        <v>2</v>
      </c>
      <c r="C6902" t="s">
        <v>16</v>
      </c>
      <c r="D6902">
        <v>-2.5860000000000002E-3</v>
      </c>
      <c r="E6902">
        <f t="shared" si="214"/>
        <v>0.99741400000000002</v>
      </c>
      <c r="F6902" s="1">
        <f t="shared" si="215"/>
        <v>41813</v>
      </c>
      <c r="G6902" cm="1">
        <f t="array" ref="G6902">PRODUCT( _xlfn._xlws.FILTER($E:$E, ($C:$C=C6902)*($F:$F=F6902)) ) - 1</f>
        <v>7.7380198804077871E-4</v>
      </c>
    </row>
    <row r="6903" spans="1:7" x14ac:dyDescent="0.2">
      <c r="A6903" s="1">
        <v>41817</v>
      </c>
      <c r="B6903">
        <v>2</v>
      </c>
      <c r="C6903" t="s">
        <v>16</v>
      </c>
      <c r="D6903">
        <v>4.1479999999999998E-3</v>
      </c>
      <c r="E6903">
        <f t="shared" si="214"/>
        <v>1.004148</v>
      </c>
      <c r="F6903" s="1">
        <f t="shared" si="215"/>
        <v>41813</v>
      </c>
      <c r="G6903" cm="1">
        <f t="array" ref="G6903">PRODUCT( _xlfn._xlws.FILTER($E:$E, ($C:$C=C6903)*($F:$F=F6903)) ) - 1</f>
        <v>7.7380198804077871E-4</v>
      </c>
    </row>
    <row r="6904" spans="1:7" x14ac:dyDescent="0.2">
      <c r="A6904" s="1">
        <v>41820</v>
      </c>
      <c r="B6904">
        <v>2</v>
      </c>
      <c r="C6904" t="s">
        <v>16</v>
      </c>
      <c r="D6904">
        <v>3.0980000000000001E-3</v>
      </c>
      <c r="E6904">
        <f t="shared" si="214"/>
        <v>1.003098</v>
      </c>
      <c r="F6904" s="1">
        <f t="shared" si="215"/>
        <v>41820</v>
      </c>
      <c r="G6904" cm="1">
        <f t="array" ref="G6904">PRODUCT( _xlfn._xlws.FILTER($E:$E, ($C:$C=C6904)*($F:$F=F6904)) ) - 1</f>
        <v>8.5205966949049028E-3</v>
      </c>
    </row>
    <row r="6905" spans="1:7" x14ac:dyDescent="0.2">
      <c r="A6905" s="1">
        <v>41822</v>
      </c>
      <c r="B6905">
        <v>2</v>
      </c>
      <c r="C6905" t="s">
        <v>16</v>
      </c>
      <c r="D6905">
        <v>2.8310000000000002E-3</v>
      </c>
      <c r="E6905">
        <f t="shared" si="214"/>
        <v>1.002831</v>
      </c>
      <c r="F6905" s="1">
        <f t="shared" si="215"/>
        <v>41820</v>
      </c>
      <c r="G6905" cm="1">
        <f t="array" ref="G6905">PRODUCT( _xlfn._xlws.FILTER($E:$E, ($C:$C=C6905)*($F:$F=F6905)) ) - 1</f>
        <v>8.5205966949049028E-3</v>
      </c>
    </row>
    <row r="6906" spans="1:7" x14ac:dyDescent="0.2">
      <c r="A6906" s="1">
        <v>41823</v>
      </c>
      <c r="B6906">
        <v>2</v>
      </c>
      <c r="C6906" t="s">
        <v>16</v>
      </c>
      <c r="D6906">
        <v>1.0269999999999999E-3</v>
      </c>
      <c r="E6906">
        <f t="shared" si="214"/>
        <v>1.0010269999999999</v>
      </c>
      <c r="F6906" s="1">
        <f t="shared" si="215"/>
        <v>41820</v>
      </c>
      <c r="G6906" cm="1">
        <f t="array" ref="G6906">PRODUCT( _xlfn._xlws.FILTER($E:$E, ($C:$C=C6906)*($F:$F=F6906)) ) - 1</f>
        <v>8.5205966949049028E-3</v>
      </c>
    </row>
    <row r="6907" spans="1:7" x14ac:dyDescent="0.2">
      <c r="A6907" s="1">
        <v>41824</v>
      </c>
      <c r="B6907">
        <v>2</v>
      </c>
      <c r="C6907" t="s">
        <v>16</v>
      </c>
      <c r="D6907">
        <v>1.539E-3</v>
      </c>
      <c r="E6907">
        <f t="shared" si="214"/>
        <v>1.001539</v>
      </c>
      <c r="F6907" s="1">
        <f t="shared" si="215"/>
        <v>41820</v>
      </c>
      <c r="G6907" cm="1">
        <f t="array" ref="G6907">PRODUCT( _xlfn._xlws.FILTER($E:$E, ($C:$C=C6907)*($F:$F=F6907)) ) - 1</f>
        <v>8.5205966949049028E-3</v>
      </c>
    </row>
    <row r="6908" spans="1:7" x14ac:dyDescent="0.2">
      <c r="A6908" s="1">
        <v>41827</v>
      </c>
      <c r="B6908">
        <v>2</v>
      </c>
      <c r="C6908" t="s">
        <v>16</v>
      </c>
      <c r="D6908">
        <v>5.6319999999999999E-3</v>
      </c>
      <c r="E6908">
        <f t="shared" si="214"/>
        <v>1.0056320000000001</v>
      </c>
      <c r="F6908" s="1">
        <f t="shared" si="215"/>
        <v>41827</v>
      </c>
      <c r="G6908" cm="1">
        <f t="array" ref="G6908">PRODUCT( _xlfn._xlws.FILTER($E:$E, ($C:$C=C6908)*($F:$F=F6908)) ) - 1</f>
        <v>1.1520596081922241E-2</v>
      </c>
    </row>
    <row r="6909" spans="1:7" x14ac:dyDescent="0.2">
      <c r="A6909" s="1">
        <v>41828</v>
      </c>
      <c r="B6909">
        <v>2</v>
      </c>
      <c r="C6909" t="s">
        <v>16</v>
      </c>
      <c r="D6909">
        <v>-5.0900000000000001E-4</v>
      </c>
      <c r="E6909">
        <f t="shared" si="214"/>
        <v>0.99949100000000002</v>
      </c>
      <c r="F6909" s="1">
        <f t="shared" si="215"/>
        <v>41827</v>
      </c>
      <c r="G6909" cm="1">
        <f t="array" ref="G6909">PRODUCT( _xlfn._xlws.FILTER($E:$E, ($C:$C=C6909)*($F:$F=F6909)) ) - 1</f>
        <v>1.1520596081922241E-2</v>
      </c>
    </row>
    <row r="6910" spans="1:7" x14ac:dyDescent="0.2">
      <c r="A6910" s="1">
        <v>41829</v>
      </c>
      <c r="B6910">
        <v>2</v>
      </c>
      <c r="C6910" t="s">
        <v>16</v>
      </c>
      <c r="D6910">
        <v>4.5849999999999997E-3</v>
      </c>
      <c r="E6910">
        <f t="shared" si="214"/>
        <v>1.0045850000000001</v>
      </c>
      <c r="F6910" s="1">
        <f t="shared" si="215"/>
        <v>41827</v>
      </c>
      <c r="G6910" cm="1">
        <f t="array" ref="G6910">PRODUCT( _xlfn._xlws.FILTER($E:$E, ($C:$C=C6910)*($F:$F=F6910)) ) - 1</f>
        <v>1.1520596081922241E-2</v>
      </c>
    </row>
    <row r="6911" spans="1:7" x14ac:dyDescent="0.2">
      <c r="A6911" s="1">
        <v>41830</v>
      </c>
      <c r="B6911">
        <v>2</v>
      </c>
      <c r="C6911" t="s">
        <v>16</v>
      </c>
      <c r="D6911">
        <v>-2.2820000000000002E-3</v>
      </c>
      <c r="E6911">
        <f t="shared" si="214"/>
        <v>0.99771799999999999</v>
      </c>
      <c r="F6911" s="1">
        <f t="shared" si="215"/>
        <v>41827</v>
      </c>
      <c r="G6911" cm="1">
        <f t="array" ref="G6911">PRODUCT( _xlfn._xlws.FILTER($E:$E, ($C:$C=C6911)*($F:$F=F6911)) ) - 1</f>
        <v>1.1520596081922241E-2</v>
      </c>
    </row>
    <row r="6912" spans="1:7" x14ac:dyDescent="0.2">
      <c r="A6912" s="1">
        <v>41831</v>
      </c>
      <c r="B6912">
        <v>2</v>
      </c>
      <c r="C6912" t="s">
        <v>16</v>
      </c>
      <c r="D6912">
        <v>4.0660000000000002E-3</v>
      </c>
      <c r="E6912">
        <f t="shared" si="214"/>
        <v>1.0040659999999999</v>
      </c>
      <c r="F6912" s="1">
        <f t="shared" si="215"/>
        <v>41827</v>
      </c>
      <c r="G6912" cm="1">
        <f t="array" ref="G6912">PRODUCT( _xlfn._xlws.FILTER($E:$E, ($C:$C=C6912)*($F:$F=F6912)) ) - 1</f>
        <v>1.1520596081922241E-2</v>
      </c>
    </row>
    <row r="6913" spans="1:7" x14ac:dyDescent="0.2">
      <c r="A6913" s="1">
        <v>41834</v>
      </c>
      <c r="B6913">
        <v>2</v>
      </c>
      <c r="C6913" t="s">
        <v>16</v>
      </c>
      <c r="D6913">
        <v>6.0740000000000004E-3</v>
      </c>
      <c r="E6913">
        <f t="shared" si="214"/>
        <v>1.0060739999999999</v>
      </c>
      <c r="F6913" s="1">
        <f t="shared" si="215"/>
        <v>41834</v>
      </c>
      <c r="G6913" cm="1">
        <f t="array" ref="G6913">PRODUCT( _xlfn._xlws.FILTER($E:$E, ($C:$C=C6913)*($F:$F=F6913)) ) - 1</f>
        <v>-1.2657718220483449E-3</v>
      </c>
    </row>
    <row r="6914" spans="1:7" x14ac:dyDescent="0.2">
      <c r="A6914" s="1">
        <v>41835</v>
      </c>
      <c r="B6914">
        <v>2</v>
      </c>
      <c r="C6914" t="s">
        <v>16</v>
      </c>
      <c r="D6914">
        <v>-5.7860000000000003E-3</v>
      </c>
      <c r="E6914">
        <f t="shared" si="214"/>
        <v>0.99421400000000004</v>
      </c>
      <c r="F6914" s="1">
        <f t="shared" si="215"/>
        <v>41834</v>
      </c>
      <c r="G6914" cm="1">
        <f t="array" ref="G6914">PRODUCT( _xlfn._xlws.FILTER($E:$E, ($C:$C=C6914)*($F:$F=F6914)) ) - 1</f>
        <v>-1.2657718220483449E-3</v>
      </c>
    </row>
    <row r="6915" spans="1:7" x14ac:dyDescent="0.2">
      <c r="A6915" s="1">
        <v>41836</v>
      </c>
      <c r="B6915">
        <v>2</v>
      </c>
      <c r="C6915" t="s">
        <v>16</v>
      </c>
      <c r="D6915">
        <v>6.326E-3</v>
      </c>
      <c r="E6915">
        <f t="shared" si="214"/>
        <v>1.0063260000000001</v>
      </c>
      <c r="F6915" s="1">
        <f t="shared" si="215"/>
        <v>41834</v>
      </c>
      <c r="G6915" cm="1">
        <f t="array" ref="G6915">PRODUCT( _xlfn._xlws.FILTER($E:$E, ($C:$C=C6915)*($F:$F=F6915)) ) - 1</f>
        <v>-1.2657718220483449E-3</v>
      </c>
    </row>
    <row r="6916" spans="1:7" x14ac:dyDescent="0.2">
      <c r="A6916" s="1">
        <v>41837</v>
      </c>
      <c r="B6916">
        <v>2</v>
      </c>
      <c r="C6916" t="s">
        <v>16</v>
      </c>
      <c r="D6916">
        <v>-8.8009999999999998E-3</v>
      </c>
      <c r="E6916">
        <f t="shared" ref="E6916:E6979" si="216">D6916+1</f>
        <v>0.99119900000000005</v>
      </c>
      <c r="F6916" s="1">
        <f t="shared" ref="F6916:F6979" si="217">A6916 - (WEEKDAY(A6916, 2) - 1)</f>
        <v>41834</v>
      </c>
      <c r="G6916" cm="1">
        <f t="array" ref="G6916">PRODUCT( _xlfn._xlws.FILTER($E:$E, ($C:$C=C6916)*($F:$F=F6916)) ) - 1</f>
        <v>-1.2657718220483449E-3</v>
      </c>
    </row>
    <row r="6917" spans="1:7" x14ac:dyDescent="0.2">
      <c r="A6917" s="1">
        <v>41838</v>
      </c>
      <c r="B6917">
        <v>2</v>
      </c>
      <c r="C6917" t="s">
        <v>16</v>
      </c>
      <c r="D6917">
        <v>1.0150000000000001E-3</v>
      </c>
      <c r="E6917">
        <f t="shared" si="216"/>
        <v>1.001015</v>
      </c>
      <c r="F6917" s="1">
        <f t="shared" si="217"/>
        <v>41834</v>
      </c>
      <c r="G6917" cm="1">
        <f t="array" ref="G6917">PRODUCT( _xlfn._xlws.FILTER($E:$E, ($C:$C=C6917)*($F:$F=F6917)) ) - 1</f>
        <v>-1.2657718220483449E-3</v>
      </c>
    </row>
    <row r="6918" spans="1:7" x14ac:dyDescent="0.2">
      <c r="A6918" s="1">
        <v>41841</v>
      </c>
      <c r="B6918">
        <v>2</v>
      </c>
      <c r="C6918" t="s">
        <v>16</v>
      </c>
      <c r="D6918">
        <v>-3.8010000000000001E-3</v>
      </c>
      <c r="E6918">
        <f t="shared" si="216"/>
        <v>0.99619899999999995</v>
      </c>
      <c r="F6918" s="1">
        <f t="shared" si="217"/>
        <v>41841</v>
      </c>
      <c r="G6918" cm="1">
        <f t="array" ref="G6918">PRODUCT( _xlfn._xlws.FILTER($E:$E, ($C:$C=C6918)*($F:$F=F6918)) ) - 1</f>
        <v>1.0643767239774782E-2</v>
      </c>
    </row>
    <row r="6919" spans="1:7" x14ac:dyDescent="0.2">
      <c r="A6919" s="1">
        <v>41842</v>
      </c>
      <c r="B6919">
        <v>2</v>
      </c>
      <c r="C6919" t="s">
        <v>16</v>
      </c>
      <c r="D6919">
        <v>4.0699999999999998E-3</v>
      </c>
      <c r="E6919">
        <f t="shared" si="216"/>
        <v>1.00407</v>
      </c>
      <c r="F6919" s="1">
        <f t="shared" si="217"/>
        <v>41841</v>
      </c>
      <c r="G6919" cm="1">
        <f t="array" ref="G6919">PRODUCT( _xlfn._xlws.FILTER($E:$E, ($C:$C=C6919)*($F:$F=F6919)) ) - 1</f>
        <v>1.0643767239774782E-2</v>
      </c>
    </row>
    <row r="6920" spans="1:7" x14ac:dyDescent="0.2">
      <c r="A6920" s="1">
        <v>41843</v>
      </c>
      <c r="B6920">
        <v>2</v>
      </c>
      <c r="C6920" t="s">
        <v>16</v>
      </c>
      <c r="D6920">
        <v>3.8E-3</v>
      </c>
      <c r="E6920">
        <f t="shared" si="216"/>
        <v>1.0038</v>
      </c>
      <c r="F6920" s="1">
        <f t="shared" si="217"/>
        <v>41841</v>
      </c>
      <c r="G6920" cm="1">
        <f t="array" ref="G6920">PRODUCT( _xlfn._xlws.FILTER($E:$E, ($C:$C=C6920)*($F:$F=F6920)) ) - 1</f>
        <v>1.0643767239774782E-2</v>
      </c>
    </row>
    <row r="6921" spans="1:7" x14ac:dyDescent="0.2">
      <c r="A6921" s="1">
        <v>41844</v>
      </c>
      <c r="B6921">
        <v>2</v>
      </c>
      <c r="C6921" t="s">
        <v>16</v>
      </c>
      <c r="D6921">
        <v>3.5339999999999998E-3</v>
      </c>
      <c r="E6921">
        <f t="shared" si="216"/>
        <v>1.0035339999999999</v>
      </c>
      <c r="F6921" s="1">
        <f t="shared" si="217"/>
        <v>41841</v>
      </c>
      <c r="G6921" cm="1">
        <f t="array" ref="G6921">PRODUCT( _xlfn._xlws.FILTER($E:$E, ($C:$C=C6921)*($F:$F=F6921)) ) - 1</f>
        <v>1.0643767239774782E-2</v>
      </c>
    </row>
    <row r="6922" spans="1:7" x14ac:dyDescent="0.2">
      <c r="A6922" s="1">
        <v>41845</v>
      </c>
      <c r="B6922">
        <v>2</v>
      </c>
      <c r="C6922" t="s">
        <v>16</v>
      </c>
      <c r="D6922">
        <v>3.0179999999999998E-3</v>
      </c>
      <c r="E6922">
        <f t="shared" si="216"/>
        <v>1.003018</v>
      </c>
      <c r="F6922" s="1">
        <f t="shared" si="217"/>
        <v>41841</v>
      </c>
      <c r="G6922" cm="1">
        <f t="array" ref="G6922">PRODUCT( _xlfn._xlws.FILTER($E:$E, ($C:$C=C6922)*($F:$F=F6922)) ) - 1</f>
        <v>1.0643767239774782E-2</v>
      </c>
    </row>
    <row r="6923" spans="1:7" x14ac:dyDescent="0.2">
      <c r="A6923" s="1">
        <v>41848</v>
      </c>
      <c r="B6923">
        <v>2</v>
      </c>
      <c r="C6923" t="s">
        <v>16</v>
      </c>
      <c r="D6923">
        <v>3.761E-3</v>
      </c>
      <c r="E6923">
        <f t="shared" si="216"/>
        <v>1.0037609999999999</v>
      </c>
      <c r="F6923" s="1">
        <f t="shared" si="217"/>
        <v>41848</v>
      </c>
      <c r="G6923" cm="1">
        <f t="array" ref="G6923">PRODUCT( _xlfn._xlws.FILTER($E:$E, ($C:$C=C6923)*($F:$F=F6923)) ) - 1</f>
        <v>2.7833446144865492E-2</v>
      </c>
    </row>
    <row r="6924" spans="1:7" x14ac:dyDescent="0.2">
      <c r="A6924" s="1">
        <v>41849</v>
      </c>
      <c r="B6924">
        <v>2</v>
      </c>
      <c r="C6924" t="s">
        <v>16</v>
      </c>
      <c r="D6924">
        <v>1.2489999999999999E-3</v>
      </c>
      <c r="E6924">
        <f t="shared" si="216"/>
        <v>1.0012490000000001</v>
      </c>
      <c r="F6924" s="1">
        <f t="shared" si="217"/>
        <v>41848</v>
      </c>
      <c r="G6924" cm="1">
        <f t="array" ref="G6924">PRODUCT( _xlfn._xlws.FILTER($E:$E, ($C:$C=C6924)*($F:$F=F6924)) ) - 1</f>
        <v>2.7833446144865492E-2</v>
      </c>
    </row>
    <row r="6925" spans="1:7" x14ac:dyDescent="0.2">
      <c r="A6925" s="1">
        <v>41850</v>
      </c>
      <c r="B6925">
        <v>2</v>
      </c>
      <c r="C6925" t="s">
        <v>16</v>
      </c>
      <c r="D6925">
        <v>3.3432999999999997E-2</v>
      </c>
      <c r="E6925">
        <f t="shared" si="216"/>
        <v>1.033433</v>
      </c>
      <c r="F6925" s="1">
        <f t="shared" si="217"/>
        <v>41848</v>
      </c>
      <c r="G6925" cm="1">
        <f t="array" ref="G6925">PRODUCT( _xlfn._xlws.FILTER($E:$E, ($C:$C=C6925)*($F:$F=F6925)) ) - 1</f>
        <v>2.7833446144865492E-2</v>
      </c>
    </row>
    <row r="6926" spans="1:7" x14ac:dyDescent="0.2">
      <c r="A6926" s="1">
        <v>41851</v>
      </c>
      <c r="B6926">
        <v>2</v>
      </c>
      <c r="C6926" t="s">
        <v>16</v>
      </c>
      <c r="D6926">
        <v>-5.5529999999999998E-3</v>
      </c>
      <c r="E6926">
        <f t="shared" si="216"/>
        <v>0.99444699999999997</v>
      </c>
      <c r="F6926" s="1">
        <f t="shared" si="217"/>
        <v>41848</v>
      </c>
      <c r="G6926" cm="1">
        <f t="array" ref="G6926">PRODUCT( _xlfn._xlws.FILTER($E:$E, ($C:$C=C6926)*($F:$F=F6926)) ) - 1</f>
        <v>2.7833446144865492E-2</v>
      </c>
    </row>
    <row r="6927" spans="1:7" x14ac:dyDescent="0.2">
      <c r="A6927" s="1">
        <v>41852</v>
      </c>
      <c r="B6927">
        <v>2</v>
      </c>
      <c r="C6927" t="s">
        <v>16</v>
      </c>
      <c r="D6927">
        <v>-4.8549999999999999E-3</v>
      </c>
      <c r="E6927">
        <f t="shared" si="216"/>
        <v>0.99514499999999995</v>
      </c>
      <c r="F6927" s="1">
        <f t="shared" si="217"/>
        <v>41848</v>
      </c>
      <c r="G6927" cm="1">
        <f t="array" ref="G6927">PRODUCT( _xlfn._xlws.FILTER($E:$E, ($C:$C=C6927)*($F:$F=F6927)) ) - 1</f>
        <v>2.7833446144865492E-2</v>
      </c>
    </row>
    <row r="6928" spans="1:7" x14ac:dyDescent="0.2">
      <c r="A6928" s="1">
        <v>41856</v>
      </c>
      <c r="B6928">
        <v>2</v>
      </c>
      <c r="C6928" t="s">
        <v>16</v>
      </c>
      <c r="D6928">
        <v>-8.0510000000000009E-3</v>
      </c>
      <c r="E6928">
        <f t="shared" si="216"/>
        <v>0.99194899999999997</v>
      </c>
      <c r="F6928" s="1">
        <f t="shared" si="217"/>
        <v>41855</v>
      </c>
      <c r="G6928" cm="1">
        <f t="array" ref="G6928">PRODUCT( _xlfn._xlws.FILTER($E:$E, ($C:$C=C6928)*($F:$F=F6928)) ) - 1</f>
        <v>-9.7644530626950221E-4</v>
      </c>
    </row>
    <row r="6929" spans="1:7" x14ac:dyDescent="0.2">
      <c r="A6929" s="1">
        <v>41857</v>
      </c>
      <c r="B6929">
        <v>2</v>
      </c>
      <c r="C6929" t="s">
        <v>16</v>
      </c>
      <c r="D6929">
        <v>1.23E-3</v>
      </c>
      <c r="E6929">
        <f t="shared" si="216"/>
        <v>1.0012300000000001</v>
      </c>
      <c r="F6929" s="1">
        <f t="shared" si="217"/>
        <v>41855</v>
      </c>
      <c r="G6929" cm="1">
        <f t="array" ref="G6929">PRODUCT( _xlfn._xlws.FILTER($E:$E, ($C:$C=C6929)*($F:$F=F6929)) ) - 1</f>
        <v>-9.7644530626950221E-4</v>
      </c>
    </row>
    <row r="6930" spans="1:7" x14ac:dyDescent="0.2">
      <c r="A6930" s="1">
        <v>41858</v>
      </c>
      <c r="B6930">
        <v>2</v>
      </c>
      <c r="C6930" t="s">
        <v>16</v>
      </c>
      <c r="D6930">
        <v>1.2279999999999999E-3</v>
      </c>
      <c r="E6930">
        <f t="shared" si="216"/>
        <v>1.001228</v>
      </c>
      <c r="F6930" s="1">
        <f t="shared" si="217"/>
        <v>41855</v>
      </c>
      <c r="G6930" cm="1">
        <f t="array" ref="G6930">PRODUCT( _xlfn._xlws.FILTER($E:$E, ($C:$C=C6930)*($F:$F=F6930)) ) - 1</f>
        <v>-9.7644530626950221E-4</v>
      </c>
    </row>
    <row r="6931" spans="1:7" x14ac:dyDescent="0.2">
      <c r="A6931" s="1">
        <v>41859</v>
      </c>
      <c r="B6931">
        <v>2</v>
      </c>
      <c r="C6931" t="s">
        <v>16</v>
      </c>
      <c r="D6931">
        <v>4.6610000000000002E-3</v>
      </c>
      <c r="E6931">
        <f t="shared" si="216"/>
        <v>1.004661</v>
      </c>
      <c r="F6931" s="1">
        <f t="shared" si="217"/>
        <v>41855</v>
      </c>
      <c r="G6931" cm="1">
        <f t="array" ref="G6931">PRODUCT( _xlfn._xlws.FILTER($E:$E, ($C:$C=C6931)*($F:$F=F6931)) ) - 1</f>
        <v>-9.7644530626950221E-4</v>
      </c>
    </row>
    <row r="6932" spans="1:7" x14ac:dyDescent="0.2">
      <c r="A6932" s="1">
        <v>41862</v>
      </c>
      <c r="B6932">
        <v>2</v>
      </c>
      <c r="C6932" t="s">
        <v>16</v>
      </c>
      <c r="D6932">
        <v>1.2210000000000001E-3</v>
      </c>
      <c r="E6932">
        <f t="shared" si="216"/>
        <v>1.0012209999999999</v>
      </c>
      <c r="F6932" s="1">
        <f t="shared" si="217"/>
        <v>41862</v>
      </c>
      <c r="G6932" cm="1">
        <f t="array" ref="G6932">PRODUCT( _xlfn._xlws.FILTER($E:$E, ($C:$C=C6932)*($F:$F=F6932)) ) - 1</f>
        <v>8.3029235555960312E-3</v>
      </c>
    </row>
    <row r="6933" spans="1:7" x14ac:dyDescent="0.2">
      <c r="A6933" s="1">
        <v>41863</v>
      </c>
      <c r="B6933">
        <v>2</v>
      </c>
      <c r="C6933" t="s">
        <v>16</v>
      </c>
      <c r="D6933">
        <v>2.9269999999999999E-3</v>
      </c>
      <c r="E6933">
        <f t="shared" si="216"/>
        <v>1.0029269999999999</v>
      </c>
      <c r="F6933" s="1">
        <f t="shared" si="217"/>
        <v>41862</v>
      </c>
      <c r="G6933" cm="1">
        <f t="array" ref="G6933">PRODUCT( _xlfn._xlws.FILTER($E:$E, ($C:$C=C6933)*($F:$F=F6933)) ) - 1</f>
        <v>8.3029235555960312E-3</v>
      </c>
    </row>
    <row r="6934" spans="1:7" x14ac:dyDescent="0.2">
      <c r="A6934" s="1">
        <v>41864</v>
      </c>
      <c r="B6934">
        <v>2</v>
      </c>
      <c r="C6934" t="s">
        <v>16</v>
      </c>
      <c r="D6934">
        <v>-2.189E-3</v>
      </c>
      <c r="E6934">
        <f t="shared" si="216"/>
        <v>0.997811</v>
      </c>
      <c r="F6934" s="1">
        <f t="shared" si="217"/>
        <v>41862</v>
      </c>
      <c r="G6934" cm="1">
        <f t="array" ref="G6934">PRODUCT( _xlfn._xlws.FILTER($E:$E, ($C:$C=C6934)*($F:$F=F6934)) ) - 1</f>
        <v>8.3029235555960312E-3</v>
      </c>
    </row>
    <row r="6935" spans="1:7" x14ac:dyDescent="0.2">
      <c r="A6935" s="1">
        <v>41865</v>
      </c>
      <c r="B6935">
        <v>2</v>
      </c>
      <c r="C6935" t="s">
        <v>16</v>
      </c>
      <c r="D6935">
        <v>9.7490000000000007E-3</v>
      </c>
      <c r="E6935">
        <f t="shared" si="216"/>
        <v>1.009749</v>
      </c>
      <c r="F6935" s="1">
        <f t="shared" si="217"/>
        <v>41862</v>
      </c>
      <c r="G6935" cm="1">
        <f t="array" ref="G6935">PRODUCT( _xlfn._xlws.FILTER($E:$E, ($C:$C=C6935)*($F:$F=F6935)) ) - 1</f>
        <v>8.3029235555960312E-3</v>
      </c>
    </row>
    <row r="6936" spans="1:7" x14ac:dyDescent="0.2">
      <c r="A6936" s="1">
        <v>41866</v>
      </c>
      <c r="B6936">
        <v>2</v>
      </c>
      <c r="C6936" t="s">
        <v>16</v>
      </c>
      <c r="D6936">
        <v>-3.3790000000000001E-3</v>
      </c>
      <c r="E6936">
        <f t="shared" si="216"/>
        <v>0.99662099999999998</v>
      </c>
      <c r="F6936" s="1">
        <f t="shared" si="217"/>
        <v>41862</v>
      </c>
      <c r="G6936" cm="1">
        <f t="array" ref="G6936">PRODUCT( _xlfn._xlws.FILTER($E:$E, ($C:$C=C6936)*($F:$F=F6936)) ) - 1</f>
        <v>8.3029235555960312E-3</v>
      </c>
    </row>
    <row r="6937" spans="1:7" x14ac:dyDescent="0.2">
      <c r="A6937" s="1">
        <v>41869</v>
      </c>
      <c r="B6937">
        <v>2</v>
      </c>
      <c r="C6937" t="s">
        <v>16</v>
      </c>
      <c r="D6937">
        <v>3.3909999999999999E-3</v>
      </c>
      <c r="E6937">
        <f t="shared" si="216"/>
        <v>1.0033909999999999</v>
      </c>
      <c r="F6937" s="1">
        <f t="shared" si="217"/>
        <v>41869</v>
      </c>
      <c r="G6937" cm="1">
        <f t="array" ref="G6937">PRODUCT( _xlfn._xlws.FILTER($E:$E, ($C:$C=C6937)*($F:$F=F6937)) ) - 1</f>
        <v>2.9119568116700023E-3</v>
      </c>
    </row>
    <row r="6938" spans="1:7" x14ac:dyDescent="0.2">
      <c r="A6938" s="1">
        <v>41870</v>
      </c>
      <c r="B6938">
        <v>2</v>
      </c>
      <c r="C6938" t="s">
        <v>16</v>
      </c>
      <c r="D6938">
        <v>1.9580000000000001E-3</v>
      </c>
      <c r="E6938">
        <f t="shared" si="216"/>
        <v>1.0019579999999999</v>
      </c>
      <c r="F6938" s="1">
        <f t="shared" si="217"/>
        <v>41869</v>
      </c>
      <c r="G6938" cm="1">
        <f t="array" ref="G6938">PRODUCT( _xlfn._xlws.FILTER($E:$E, ($C:$C=C6938)*($F:$F=F6938)) ) - 1</f>
        <v>2.9119568116700023E-3</v>
      </c>
    </row>
    <row r="6939" spans="1:7" x14ac:dyDescent="0.2">
      <c r="A6939" s="1">
        <v>41871</v>
      </c>
      <c r="B6939">
        <v>2</v>
      </c>
      <c r="C6939" t="s">
        <v>16</v>
      </c>
      <c r="D6939">
        <v>3.6449999999999998E-3</v>
      </c>
      <c r="E6939">
        <f t="shared" si="216"/>
        <v>1.0036449999999999</v>
      </c>
      <c r="F6939" s="1">
        <f t="shared" si="217"/>
        <v>41869</v>
      </c>
      <c r="G6939" cm="1">
        <f t="array" ref="G6939">PRODUCT( _xlfn._xlws.FILTER($E:$E, ($C:$C=C6939)*($F:$F=F6939)) ) - 1</f>
        <v>2.9119568116700023E-3</v>
      </c>
    </row>
    <row r="6940" spans="1:7" x14ac:dyDescent="0.2">
      <c r="A6940" s="1">
        <v>41872</v>
      </c>
      <c r="B6940">
        <v>2</v>
      </c>
      <c r="C6940" t="s">
        <v>16</v>
      </c>
      <c r="D6940">
        <v>-1.6949999999999999E-3</v>
      </c>
      <c r="E6940">
        <f t="shared" si="216"/>
        <v>0.998305</v>
      </c>
      <c r="F6940" s="1">
        <f t="shared" si="217"/>
        <v>41869</v>
      </c>
      <c r="G6940" cm="1">
        <f t="array" ref="G6940">PRODUCT( _xlfn._xlws.FILTER($E:$E, ($C:$C=C6940)*($F:$F=F6940)) ) - 1</f>
        <v>2.9119568116700023E-3</v>
      </c>
    </row>
    <row r="6941" spans="1:7" x14ac:dyDescent="0.2">
      <c r="A6941" s="1">
        <v>41873</v>
      </c>
      <c r="B6941">
        <v>2</v>
      </c>
      <c r="C6941" t="s">
        <v>16</v>
      </c>
      <c r="D6941">
        <v>-4.3660000000000001E-3</v>
      </c>
      <c r="E6941">
        <f t="shared" si="216"/>
        <v>0.99563400000000002</v>
      </c>
      <c r="F6941" s="1">
        <f t="shared" si="217"/>
        <v>41869</v>
      </c>
      <c r="G6941" cm="1">
        <f t="array" ref="G6941">PRODUCT( _xlfn._xlws.FILTER($E:$E, ($C:$C=C6941)*($F:$F=F6941)) ) - 1</f>
        <v>2.9119568116700023E-3</v>
      </c>
    </row>
    <row r="6942" spans="1:7" x14ac:dyDescent="0.2">
      <c r="A6942" s="1">
        <v>41876</v>
      </c>
      <c r="B6942">
        <v>2</v>
      </c>
      <c r="C6942" t="s">
        <v>16</v>
      </c>
      <c r="D6942">
        <v>6.0899999999999999E-3</v>
      </c>
      <c r="E6942">
        <f t="shared" si="216"/>
        <v>1.0060899999999999</v>
      </c>
      <c r="F6942" s="1">
        <f t="shared" si="217"/>
        <v>41876</v>
      </c>
      <c r="G6942" cm="1">
        <f t="array" ref="G6942">PRODUCT( _xlfn._xlws.FILTER($E:$E, ($C:$C=C6942)*($F:$F=F6942)) ) - 1</f>
        <v>3.8972389953002562E-3</v>
      </c>
    </row>
    <row r="6943" spans="1:7" x14ac:dyDescent="0.2">
      <c r="A6943" s="1">
        <v>41877</v>
      </c>
      <c r="B6943">
        <v>2</v>
      </c>
      <c r="C6943" t="s">
        <v>16</v>
      </c>
      <c r="D6943">
        <v>-1.2110000000000001E-3</v>
      </c>
      <c r="E6943">
        <f t="shared" si="216"/>
        <v>0.99878900000000004</v>
      </c>
      <c r="F6943" s="1">
        <f t="shared" si="217"/>
        <v>41876</v>
      </c>
      <c r="G6943" cm="1">
        <f t="array" ref="G6943">PRODUCT( _xlfn._xlws.FILTER($E:$E, ($C:$C=C6943)*($F:$F=F6943)) ) - 1</f>
        <v>3.8972389953002562E-3</v>
      </c>
    </row>
    <row r="6944" spans="1:7" x14ac:dyDescent="0.2">
      <c r="A6944" s="1">
        <v>41878</v>
      </c>
      <c r="B6944">
        <v>2</v>
      </c>
      <c r="C6944" t="s">
        <v>16</v>
      </c>
      <c r="D6944">
        <v>4.8500000000000003E-4</v>
      </c>
      <c r="E6944">
        <f t="shared" si="216"/>
        <v>1.0004850000000001</v>
      </c>
      <c r="F6944" s="1">
        <f t="shared" si="217"/>
        <v>41876</v>
      </c>
      <c r="G6944" cm="1">
        <f t="array" ref="G6944">PRODUCT( _xlfn._xlws.FILTER($E:$E, ($C:$C=C6944)*($F:$F=F6944)) ) - 1</f>
        <v>3.8972389953002562E-3</v>
      </c>
    </row>
    <row r="6945" spans="1:7" x14ac:dyDescent="0.2">
      <c r="A6945" s="1">
        <v>41879</v>
      </c>
      <c r="B6945">
        <v>2</v>
      </c>
      <c r="C6945" t="s">
        <v>16</v>
      </c>
      <c r="D6945">
        <v>-3.6350000000000002E-3</v>
      </c>
      <c r="E6945">
        <f t="shared" si="216"/>
        <v>0.99636499999999995</v>
      </c>
      <c r="F6945" s="1">
        <f t="shared" si="217"/>
        <v>41876</v>
      </c>
      <c r="G6945" cm="1">
        <f t="array" ref="G6945">PRODUCT( _xlfn._xlws.FILTER($E:$E, ($C:$C=C6945)*($F:$F=F6945)) ) - 1</f>
        <v>3.8972389953002562E-3</v>
      </c>
    </row>
    <row r="6946" spans="1:7" x14ac:dyDescent="0.2">
      <c r="A6946" s="1">
        <v>41880</v>
      </c>
      <c r="B6946">
        <v>2</v>
      </c>
      <c r="C6946" t="s">
        <v>16</v>
      </c>
      <c r="D6946">
        <v>2.189E-3</v>
      </c>
      <c r="E6946">
        <f t="shared" si="216"/>
        <v>1.002189</v>
      </c>
      <c r="F6946" s="1">
        <f t="shared" si="217"/>
        <v>41876</v>
      </c>
      <c r="G6946" cm="1">
        <f t="array" ref="G6946">PRODUCT( _xlfn._xlws.FILTER($E:$E, ($C:$C=C6946)*($F:$F=F6946)) ) - 1</f>
        <v>3.8972389953002562E-3</v>
      </c>
    </row>
    <row r="6947" spans="1:7" x14ac:dyDescent="0.2">
      <c r="A6947" s="1">
        <v>41884</v>
      </c>
      <c r="B6947">
        <v>2</v>
      </c>
      <c r="C6947" t="s">
        <v>16</v>
      </c>
      <c r="D6947">
        <v>4.6109999999999996E-3</v>
      </c>
      <c r="E6947">
        <f t="shared" si="216"/>
        <v>1.0046109999999999</v>
      </c>
      <c r="F6947" s="1">
        <f t="shared" si="217"/>
        <v>41883</v>
      </c>
      <c r="G6947" cm="1">
        <f t="array" ref="G6947">PRODUCT( _xlfn._xlws.FILTER($E:$E, ($C:$C=C6947)*($F:$F=F6947)) ) - 1</f>
        <v>6.0673486136815225E-3</v>
      </c>
    </row>
    <row r="6948" spans="1:7" x14ac:dyDescent="0.2">
      <c r="A6948" s="1">
        <v>41885</v>
      </c>
      <c r="B6948">
        <v>2</v>
      </c>
      <c r="C6948" t="s">
        <v>16</v>
      </c>
      <c r="D6948">
        <v>-9.6599999999999995E-4</v>
      </c>
      <c r="E6948">
        <f t="shared" si="216"/>
        <v>0.99903399999999998</v>
      </c>
      <c r="F6948" s="1">
        <f t="shared" si="217"/>
        <v>41883</v>
      </c>
      <c r="G6948" cm="1">
        <f t="array" ref="G6948">PRODUCT( _xlfn._xlws.FILTER($E:$E, ($C:$C=C6948)*($F:$F=F6948)) ) - 1</f>
        <v>6.0673486136815225E-3</v>
      </c>
    </row>
    <row r="6949" spans="1:7" x14ac:dyDescent="0.2">
      <c r="A6949" s="1">
        <v>41886</v>
      </c>
      <c r="B6949">
        <v>2</v>
      </c>
      <c r="C6949" t="s">
        <v>16</v>
      </c>
      <c r="D6949">
        <v>2.418E-3</v>
      </c>
      <c r="E6949">
        <f t="shared" si="216"/>
        <v>1.002418</v>
      </c>
      <c r="F6949" s="1">
        <f t="shared" si="217"/>
        <v>41883</v>
      </c>
      <c r="G6949" cm="1">
        <f t="array" ref="G6949">PRODUCT( _xlfn._xlws.FILTER($E:$E, ($C:$C=C6949)*($F:$F=F6949)) ) - 1</f>
        <v>6.0673486136815225E-3</v>
      </c>
    </row>
    <row r="6950" spans="1:7" x14ac:dyDescent="0.2">
      <c r="A6950" s="1">
        <v>41887</v>
      </c>
      <c r="B6950">
        <v>2</v>
      </c>
      <c r="C6950" t="s">
        <v>16</v>
      </c>
      <c r="D6950">
        <v>0</v>
      </c>
      <c r="E6950">
        <f t="shared" si="216"/>
        <v>1</v>
      </c>
      <c r="F6950" s="1">
        <f t="shared" si="217"/>
        <v>41883</v>
      </c>
      <c r="G6950" cm="1">
        <f t="array" ref="G6950">PRODUCT( _xlfn._xlws.FILTER($E:$E, ($C:$C=C6950)*($F:$F=F6950)) ) - 1</f>
        <v>6.0673486136815225E-3</v>
      </c>
    </row>
    <row r="6951" spans="1:7" x14ac:dyDescent="0.2">
      <c r="A6951" s="1">
        <v>41890</v>
      </c>
      <c r="B6951">
        <v>2</v>
      </c>
      <c r="C6951" t="s">
        <v>16</v>
      </c>
      <c r="D6951">
        <v>1.688E-3</v>
      </c>
      <c r="E6951">
        <f t="shared" si="216"/>
        <v>1.0016879999999999</v>
      </c>
      <c r="F6951" s="1">
        <f t="shared" si="217"/>
        <v>41890</v>
      </c>
      <c r="G6951" cm="1">
        <f t="array" ref="G6951">PRODUCT( _xlfn._xlws.FILTER($E:$E, ($C:$C=C6951)*($F:$F=F6951)) ) - 1</f>
        <v>5.788886024618245E-3</v>
      </c>
    </row>
    <row r="6952" spans="1:7" x14ac:dyDescent="0.2">
      <c r="A6952" s="1">
        <v>41891</v>
      </c>
      <c r="B6952">
        <v>2</v>
      </c>
      <c r="C6952" t="s">
        <v>16</v>
      </c>
      <c r="D6952">
        <v>3.6120000000000002E-3</v>
      </c>
      <c r="E6952">
        <f t="shared" si="216"/>
        <v>1.0036119999999999</v>
      </c>
      <c r="F6952" s="1">
        <f t="shared" si="217"/>
        <v>41890</v>
      </c>
      <c r="G6952" cm="1">
        <f t="array" ref="G6952">PRODUCT( _xlfn._xlws.FILTER($E:$E, ($C:$C=C6952)*($F:$F=F6952)) ) - 1</f>
        <v>5.788886024618245E-3</v>
      </c>
    </row>
    <row r="6953" spans="1:7" x14ac:dyDescent="0.2">
      <c r="A6953" s="1">
        <v>41892</v>
      </c>
      <c r="B6953">
        <v>2</v>
      </c>
      <c r="C6953" t="s">
        <v>16</v>
      </c>
      <c r="D6953">
        <v>-3.1189999999999998E-3</v>
      </c>
      <c r="E6953">
        <f t="shared" si="216"/>
        <v>0.99688100000000002</v>
      </c>
      <c r="F6953" s="1">
        <f t="shared" si="217"/>
        <v>41890</v>
      </c>
      <c r="G6953" cm="1">
        <f t="array" ref="G6953">PRODUCT( _xlfn._xlws.FILTER($E:$E, ($C:$C=C6953)*($F:$F=F6953)) ) - 1</f>
        <v>5.788886024618245E-3</v>
      </c>
    </row>
    <row r="6954" spans="1:7" x14ac:dyDescent="0.2">
      <c r="A6954" s="1">
        <v>41893</v>
      </c>
      <c r="B6954">
        <v>2</v>
      </c>
      <c r="C6954" t="s">
        <v>16</v>
      </c>
      <c r="D6954">
        <v>3.1289999999999998E-3</v>
      </c>
      <c r="E6954">
        <f t="shared" si="216"/>
        <v>1.0031289999999999</v>
      </c>
      <c r="F6954" s="1">
        <f t="shared" si="217"/>
        <v>41890</v>
      </c>
      <c r="G6954" cm="1">
        <f t="array" ref="G6954">PRODUCT( _xlfn._xlws.FILTER($E:$E, ($C:$C=C6954)*($F:$F=F6954)) ) - 1</f>
        <v>5.788886024618245E-3</v>
      </c>
    </row>
    <row r="6955" spans="1:7" x14ac:dyDescent="0.2">
      <c r="A6955" s="1">
        <v>41894</v>
      </c>
      <c r="B6955">
        <v>2</v>
      </c>
      <c r="C6955" t="s">
        <v>16</v>
      </c>
      <c r="D6955">
        <v>4.8000000000000001E-4</v>
      </c>
      <c r="E6955">
        <f t="shared" si="216"/>
        <v>1.00048</v>
      </c>
      <c r="F6955" s="1">
        <f t="shared" si="217"/>
        <v>41890</v>
      </c>
      <c r="G6955" cm="1">
        <f t="array" ref="G6955">PRODUCT( _xlfn._xlws.FILTER($E:$E, ($C:$C=C6955)*($F:$F=F6955)) ) - 1</f>
        <v>5.788886024618245E-3</v>
      </c>
    </row>
    <row r="6956" spans="1:7" x14ac:dyDescent="0.2">
      <c r="A6956" s="1">
        <v>41897</v>
      </c>
      <c r="B6956">
        <v>2</v>
      </c>
      <c r="C6956" t="s">
        <v>16</v>
      </c>
      <c r="D6956">
        <v>-6.2350000000000001E-3</v>
      </c>
      <c r="E6956">
        <f t="shared" si="216"/>
        <v>0.99376500000000001</v>
      </c>
      <c r="F6956" s="1">
        <f t="shared" si="217"/>
        <v>41897</v>
      </c>
      <c r="G6956" cm="1">
        <f t="array" ref="G6956">PRODUCT( _xlfn._xlws.FILTER($E:$E, ($C:$C=C6956)*($F:$F=F6956)) ) - 1</f>
        <v>-3.2853364488670711E-2</v>
      </c>
    </row>
    <row r="6957" spans="1:7" x14ac:dyDescent="0.2">
      <c r="A6957" s="1">
        <v>41898</v>
      </c>
      <c r="B6957">
        <v>2</v>
      </c>
      <c r="C6957" t="s">
        <v>16</v>
      </c>
      <c r="D6957">
        <v>-6.2740000000000001E-3</v>
      </c>
      <c r="E6957">
        <f t="shared" si="216"/>
        <v>0.993726</v>
      </c>
      <c r="F6957" s="1">
        <f t="shared" si="217"/>
        <v>41897</v>
      </c>
      <c r="G6957" cm="1">
        <f t="array" ref="G6957">PRODUCT( _xlfn._xlws.FILTER($E:$E, ($C:$C=C6957)*($F:$F=F6957)) ) - 1</f>
        <v>-3.2853364488670711E-2</v>
      </c>
    </row>
    <row r="6958" spans="1:7" x14ac:dyDescent="0.2">
      <c r="A6958" s="1">
        <v>41899</v>
      </c>
      <c r="B6958">
        <v>2</v>
      </c>
      <c r="C6958" t="s">
        <v>16</v>
      </c>
      <c r="D6958">
        <v>-1.1899E-2</v>
      </c>
      <c r="E6958">
        <f t="shared" si="216"/>
        <v>0.98810100000000001</v>
      </c>
      <c r="F6958" s="1">
        <f t="shared" si="217"/>
        <v>41897</v>
      </c>
      <c r="G6958" cm="1">
        <f t="array" ref="G6958">PRODUCT( _xlfn._xlws.FILTER($E:$E, ($C:$C=C6958)*($F:$F=F6958)) ) - 1</f>
        <v>-3.2853364488670711E-2</v>
      </c>
    </row>
    <row r="6959" spans="1:7" x14ac:dyDescent="0.2">
      <c r="A6959" s="1">
        <v>41900</v>
      </c>
      <c r="B6959">
        <v>2</v>
      </c>
      <c r="C6959" t="s">
        <v>16</v>
      </c>
      <c r="D6959">
        <v>1.72E-3</v>
      </c>
      <c r="E6959">
        <f t="shared" si="216"/>
        <v>1.0017199999999999</v>
      </c>
      <c r="F6959" s="1">
        <f t="shared" si="217"/>
        <v>41897</v>
      </c>
      <c r="G6959" cm="1">
        <f t="array" ref="G6959">PRODUCT( _xlfn._xlws.FILTER($E:$E, ($C:$C=C6959)*($F:$F=F6959)) ) - 1</f>
        <v>-3.2853364488670711E-2</v>
      </c>
    </row>
    <row r="6960" spans="1:7" x14ac:dyDescent="0.2">
      <c r="A6960" s="1">
        <v>41901</v>
      </c>
      <c r="B6960">
        <v>2</v>
      </c>
      <c r="C6960" t="s">
        <v>16</v>
      </c>
      <c r="D6960">
        <v>-1.0548999999999999E-2</v>
      </c>
      <c r="E6960">
        <f t="shared" si="216"/>
        <v>0.98945099999999997</v>
      </c>
      <c r="F6960" s="1">
        <f t="shared" si="217"/>
        <v>41897</v>
      </c>
      <c r="G6960" cm="1">
        <f t="array" ref="G6960">PRODUCT( _xlfn._xlws.FILTER($E:$E, ($C:$C=C6960)*($F:$F=F6960)) ) - 1</f>
        <v>-3.2853364488670711E-2</v>
      </c>
    </row>
    <row r="6961" spans="1:7" x14ac:dyDescent="0.2">
      <c r="A6961" s="1">
        <v>41904</v>
      </c>
      <c r="B6961">
        <v>2</v>
      </c>
      <c r="C6961" t="s">
        <v>16</v>
      </c>
      <c r="D6961">
        <v>3.967E-3</v>
      </c>
      <c r="E6961">
        <f t="shared" si="216"/>
        <v>1.0039670000000001</v>
      </c>
      <c r="F6961" s="1">
        <f t="shared" si="217"/>
        <v>41904</v>
      </c>
      <c r="G6961" cm="1">
        <f t="array" ref="G6961">PRODUCT( _xlfn._xlws.FILTER($E:$E, ($C:$C=C6961)*($F:$F=F6961)) ) - 1</f>
        <v>3.9671080847289986E-3</v>
      </c>
    </row>
    <row r="6962" spans="1:7" x14ac:dyDescent="0.2">
      <c r="A6962" s="1">
        <v>41905</v>
      </c>
      <c r="B6962">
        <v>2</v>
      </c>
      <c r="C6962" t="s">
        <v>16</v>
      </c>
      <c r="D6962">
        <v>0</v>
      </c>
      <c r="E6962">
        <f t="shared" si="216"/>
        <v>1</v>
      </c>
      <c r="F6962" s="1">
        <f t="shared" si="217"/>
        <v>41904</v>
      </c>
      <c r="G6962" cm="1">
        <f t="array" ref="G6962">PRODUCT( _xlfn._xlws.FILTER($E:$E, ($C:$C=C6962)*($F:$F=F6962)) ) - 1</f>
        <v>3.9671080847289986E-3</v>
      </c>
    </row>
    <row r="6963" spans="1:7" x14ac:dyDescent="0.2">
      <c r="A6963" s="1">
        <v>41906</v>
      </c>
      <c r="B6963">
        <v>2</v>
      </c>
      <c r="C6963" t="s">
        <v>16</v>
      </c>
      <c r="D6963">
        <v>4.9399999999999997E-4</v>
      </c>
      <c r="E6963">
        <f t="shared" si="216"/>
        <v>1.000494</v>
      </c>
      <c r="F6963" s="1">
        <f t="shared" si="217"/>
        <v>41904</v>
      </c>
      <c r="G6963" cm="1">
        <f t="array" ref="G6963">PRODUCT( _xlfn._xlws.FILTER($E:$E, ($C:$C=C6963)*($F:$F=F6963)) ) - 1</f>
        <v>3.9671080847289986E-3</v>
      </c>
    </row>
    <row r="6964" spans="1:7" x14ac:dyDescent="0.2">
      <c r="A6964" s="1">
        <v>41907</v>
      </c>
      <c r="B6964">
        <v>2</v>
      </c>
      <c r="C6964" t="s">
        <v>16</v>
      </c>
      <c r="D6964">
        <v>-9.1339999999999998E-3</v>
      </c>
      <c r="E6964">
        <f t="shared" si="216"/>
        <v>0.99086600000000002</v>
      </c>
      <c r="F6964" s="1">
        <f t="shared" si="217"/>
        <v>41904</v>
      </c>
      <c r="G6964" cm="1">
        <f t="array" ref="G6964">PRODUCT( _xlfn._xlws.FILTER($E:$E, ($C:$C=C6964)*($F:$F=F6964)) ) - 1</f>
        <v>3.9671080847289986E-3</v>
      </c>
    </row>
    <row r="6965" spans="1:7" x14ac:dyDescent="0.2">
      <c r="A6965" s="1">
        <v>41908</v>
      </c>
      <c r="B6965">
        <v>2</v>
      </c>
      <c r="C6965" t="s">
        <v>16</v>
      </c>
      <c r="D6965">
        <v>8.7200000000000003E-3</v>
      </c>
      <c r="E6965">
        <f t="shared" si="216"/>
        <v>1.0087200000000001</v>
      </c>
      <c r="F6965" s="1">
        <f t="shared" si="217"/>
        <v>41904</v>
      </c>
      <c r="G6965" cm="1">
        <f t="array" ref="G6965">PRODUCT( _xlfn._xlws.FILTER($E:$E, ($C:$C=C6965)*($F:$F=F6965)) ) - 1</f>
        <v>3.9671080847289986E-3</v>
      </c>
    </row>
    <row r="6966" spans="1:7" x14ac:dyDescent="0.2">
      <c r="A6966" s="1">
        <v>41911</v>
      </c>
      <c r="B6966">
        <v>2</v>
      </c>
      <c r="C6966" t="s">
        <v>16</v>
      </c>
      <c r="D6966">
        <v>-9.8799999999999995E-4</v>
      </c>
      <c r="E6966">
        <f t="shared" si="216"/>
        <v>0.99901200000000001</v>
      </c>
      <c r="F6966" s="1">
        <f t="shared" si="217"/>
        <v>41911</v>
      </c>
      <c r="G6966" cm="1">
        <f t="array" ref="G6966">PRODUCT( _xlfn._xlws.FILTER($E:$E, ($C:$C=C6966)*($F:$F=F6966)) ) - 1</f>
        <v>3.2107020521118468E-2</v>
      </c>
    </row>
    <row r="6967" spans="1:7" x14ac:dyDescent="0.2">
      <c r="A6967" s="1">
        <v>41912</v>
      </c>
      <c r="B6967">
        <v>2</v>
      </c>
      <c r="C6967" t="s">
        <v>16</v>
      </c>
      <c r="D6967">
        <v>8.6529999999999992E-3</v>
      </c>
      <c r="E6967">
        <f t="shared" si="216"/>
        <v>1.008653</v>
      </c>
      <c r="F6967" s="1">
        <f t="shared" si="217"/>
        <v>41911</v>
      </c>
      <c r="G6967" cm="1">
        <f t="array" ref="G6967">PRODUCT( _xlfn._xlws.FILTER($E:$E, ($C:$C=C6967)*($F:$F=F6967)) ) - 1</f>
        <v>3.2107020521118468E-2</v>
      </c>
    </row>
    <row r="6968" spans="1:7" x14ac:dyDescent="0.2">
      <c r="A6968" s="1">
        <v>41913</v>
      </c>
      <c r="B6968">
        <v>2</v>
      </c>
      <c r="C6968" t="s">
        <v>16</v>
      </c>
      <c r="D6968">
        <v>-3.431E-3</v>
      </c>
      <c r="E6968">
        <f t="shared" si="216"/>
        <v>0.99656900000000004</v>
      </c>
      <c r="F6968" s="1">
        <f t="shared" si="217"/>
        <v>41911</v>
      </c>
      <c r="G6968" cm="1">
        <f t="array" ref="G6968">PRODUCT( _xlfn._xlws.FILTER($E:$E, ($C:$C=C6968)*($F:$F=F6968)) ) - 1</f>
        <v>3.2107020521118468E-2</v>
      </c>
    </row>
    <row r="6969" spans="1:7" x14ac:dyDescent="0.2">
      <c r="A6969" s="1">
        <v>41914</v>
      </c>
      <c r="B6969">
        <v>2</v>
      </c>
      <c r="C6969" t="s">
        <v>16</v>
      </c>
      <c r="D6969">
        <v>2.4589999999999998E-3</v>
      </c>
      <c r="E6969">
        <f t="shared" si="216"/>
        <v>1.002459</v>
      </c>
      <c r="F6969" s="1">
        <f t="shared" si="217"/>
        <v>41911</v>
      </c>
      <c r="G6969" cm="1">
        <f t="array" ref="G6969">PRODUCT( _xlfn._xlws.FILTER($E:$E, ($C:$C=C6969)*($F:$F=F6969)) ) - 1</f>
        <v>3.2107020521118468E-2</v>
      </c>
    </row>
    <row r="6970" spans="1:7" x14ac:dyDescent="0.2">
      <c r="A6970" s="1">
        <v>41915</v>
      </c>
      <c r="B6970">
        <v>2</v>
      </c>
      <c r="C6970" t="s">
        <v>16</v>
      </c>
      <c r="D6970">
        <v>2.5270000000000001E-2</v>
      </c>
      <c r="E6970">
        <f t="shared" si="216"/>
        <v>1.0252699999999999</v>
      </c>
      <c r="F6970" s="1">
        <f t="shared" si="217"/>
        <v>41911</v>
      </c>
      <c r="G6970" cm="1">
        <f t="array" ref="G6970">PRODUCT( _xlfn._xlws.FILTER($E:$E, ($C:$C=C6970)*($F:$F=F6970)) ) - 1</f>
        <v>3.2107020521118468E-2</v>
      </c>
    </row>
    <row r="6971" spans="1:7" x14ac:dyDescent="0.2">
      <c r="A6971" s="1">
        <v>41918</v>
      </c>
      <c r="B6971">
        <v>2</v>
      </c>
      <c r="C6971" t="s">
        <v>16</v>
      </c>
      <c r="D6971">
        <v>-4.0679999999999996E-3</v>
      </c>
      <c r="E6971">
        <f t="shared" si="216"/>
        <v>0.99593200000000004</v>
      </c>
      <c r="F6971" s="1">
        <f t="shared" si="217"/>
        <v>41918</v>
      </c>
      <c r="G6971" cm="1">
        <f t="array" ref="G6971">PRODUCT( _xlfn._xlws.FILTER($E:$E, ($C:$C=C6971)*($F:$F=F6971)) ) - 1</f>
        <v>-2.4407906966422699E-2</v>
      </c>
    </row>
    <row r="6972" spans="1:7" x14ac:dyDescent="0.2">
      <c r="A6972" s="1">
        <v>41919</v>
      </c>
      <c r="B6972">
        <v>2</v>
      </c>
      <c r="C6972" t="s">
        <v>16</v>
      </c>
      <c r="D6972">
        <v>-1.3214999999999999E-2</v>
      </c>
      <c r="E6972">
        <f t="shared" si="216"/>
        <v>0.98678500000000002</v>
      </c>
      <c r="F6972" s="1">
        <f t="shared" si="217"/>
        <v>41918</v>
      </c>
      <c r="G6972" cm="1">
        <f t="array" ref="G6972">PRODUCT( _xlfn._xlws.FILTER($E:$E, ($C:$C=C6972)*($F:$F=F6972)) ) - 1</f>
        <v>-2.4407906966422699E-2</v>
      </c>
    </row>
    <row r="6973" spans="1:7" x14ac:dyDescent="0.2">
      <c r="A6973" s="1">
        <v>41920</v>
      </c>
      <c r="B6973">
        <v>2</v>
      </c>
      <c r="C6973" t="s">
        <v>16</v>
      </c>
      <c r="D6973">
        <v>5.3569999999999998E-3</v>
      </c>
      <c r="E6973">
        <f t="shared" si="216"/>
        <v>1.0053570000000001</v>
      </c>
      <c r="F6973" s="1">
        <f t="shared" si="217"/>
        <v>41918</v>
      </c>
      <c r="G6973" cm="1">
        <f t="array" ref="G6973">PRODUCT( _xlfn._xlws.FILTER($E:$E, ($C:$C=C6973)*($F:$F=F6973)) ) - 1</f>
        <v>-2.4407906966422699E-2</v>
      </c>
    </row>
    <row r="6974" spans="1:7" x14ac:dyDescent="0.2">
      <c r="A6974" s="1">
        <v>41921</v>
      </c>
      <c r="B6974">
        <v>2</v>
      </c>
      <c r="C6974" t="s">
        <v>16</v>
      </c>
      <c r="D6974">
        <v>-4.6020000000000002E-3</v>
      </c>
      <c r="E6974">
        <f t="shared" si="216"/>
        <v>0.99539800000000001</v>
      </c>
      <c r="F6974" s="1">
        <f t="shared" si="217"/>
        <v>41918</v>
      </c>
      <c r="G6974" cm="1">
        <f t="array" ref="G6974">PRODUCT( _xlfn._xlws.FILTER($E:$E, ($C:$C=C6974)*($F:$F=F6974)) ) - 1</f>
        <v>-2.4407906966422699E-2</v>
      </c>
    </row>
    <row r="6975" spans="1:7" x14ac:dyDescent="0.2">
      <c r="A6975" s="1">
        <v>41922</v>
      </c>
      <c r="B6975">
        <v>2</v>
      </c>
      <c r="C6975" t="s">
        <v>16</v>
      </c>
      <c r="D6975">
        <v>-8.0289999999999997E-3</v>
      </c>
      <c r="E6975">
        <f t="shared" si="216"/>
        <v>0.99197100000000005</v>
      </c>
      <c r="F6975" s="1">
        <f t="shared" si="217"/>
        <v>41918</v>
      </c>
      <c r="G6975" cm="1">
        <f t="array" ref="G6975">PRODUCT( _xlfn._xlws.FILTER($E:$E, ($C:$C=C6975)*($F:$F=F6975)) ) - 1</f>
        <v>-2.4407906966422699E-2</v>
      </c>
    </row>
    <row r="6976" spans="1:7" x14ac:dyDescent="0.2">
      <c r="A6976" s="1">
        <v>41926</v>
      </c>
      <c r="B6976">
        <v>2</v>
      </c>
      <c r="C6976" t="s">
        <v>16</v>
      </c>
      <c r="D6976">
        <v>-1.1528E-2</v>
      </c>
      <c r="E6976">
        <f t="shared" si="216"/>
        <v>0.98847200000000002</v>
      </c>
      <c r="F6976" s="1">
        <f t="shared" si="217"/>
        <v>41925</v>
      </c>
      <c r="G6976" cm="1">
        <f t="array" ref="G6976">PRODUCT( _xlfn._xlws.FILTER($E:$E, ($C:$C=C6976)*($F:$F=F6976)) ) - 1</f>
        <v>-1.9131966941334566E-2</v>
      </c>
    </row>
    <row r="6977" spans="1:7" x14ac:dyDescent="0.2">
      <c r="A6977" s="1">
        <v>41927</v>
      </c>
      <c r="B6977">
        <v>2</v>
      </c>
      <c r="C6977" t="s">
        <v>16</v>
      </c>
      <c r="D6977">
        <v>-1.9849999999999998E-3</v>
      </c>
      <c r="E6977">
        <f t="shared" si="216"/>
        <v>0.99801499999999999</v>
      </c>
      <c r="F6977" s="1">
        <f t="shared" si="217"/>
        <v>41925</v>
      </c>
      <c r="G6977" cm="1">
        <f t="array" ref="G6977">PRODUCT( _xlfn._xlws.FILTER($E:$E, ($C:$C=C6977)*($F:$F=F6977)) ) - 1</f>
        <v>-1.9131966941334566E-2</v>
      </c>
    </row>
    <row r="6978" spans="1:7" x14ac:dyDescent="0.2">
      <c r="A6978" s="1">
        <v>41928</v>
      </c>
      <c r="B6978">
        <v>2</v>
      </c>
      <c r="C6978" t="s">
        <v>16</v>
      </c>
      <c r="D6978">
        <v>-5.7190000000000001E-3</v>
      </c>
      <c r="E6978">
        <f t="shared" si="216"/>
        <v>0.99428099999999997</v>
      </c>
      <c r="F6978" s="1">
        <f t="shared" si="217"/>
        <v>41925</v>
      </c>
      <c r="G6978" cm="1">
        <f t="array" ref="G6978">PRODUCT( _xlfn._xlws.FILTER($E:$E, ($C:$C=C6978)*($F:$F=F6978)) ) - 1</f>
        <v>-1.9131966941334566E-2</v>
      </c>
    </row>
    <row r="6979" spans="1:7" x14ac:dyDescent="0.2">
      <c r="A6979" s="1">
        <v>41929</v>
      </c>
      <c r="B6979">
        <v>2</v>
      </c>
      <c r="C6979" t="s">
        <v>16</v>
      </c>
      <c r="D6979">
        <v>0</v>
      </c>
      <c r="E6979">
        <f t="shared" si="216"/>
        <v>1</v>
      </c>
      <c r="F6979" s="1">
        <f t="shared" si="217"/>
        <v>41925</v>
      </c>
      <c r="G6979" cm="1">
        <f t="array" ref="G6979">PRODUCT( _xlfn._xlws.FILTER($E:$E, ($C:$C=C6979)*($F:$F=F6979)) ) - 1</f>
        <v>-1.9131966941334566E-2</v>
      </c>
    </row>
    <row r="6980" spans="1:7" x14ac:dyDescent="0.2">
      <c r="A6980" s="1">
        <v>41932</v>
      </c>
      <c r="B6980">
        <v>2</v>
      </c>
      <c r="C6980" t="s">
        <v>16</v>
      </c>
      <c r="D6980">
        <v>5.5009999999999998E-3</v>
      </c>
      <c r="E6980">
        <f t="shared" ref="E6980:E7043" si="218">D6980+1</f>
        <v>1.005501</v>
      </c>
      <c r="F6980" s="1">
        <f t="shared" ref="F6980:F7043" si="219">A6980 - (WEEKDAY(A6980, 2) - 1)</f>
        <v>41932</v>
      </c>
      <c r="G6980" cm="1">
        <f t="array" ref="G6980">PRODUCT( _xlfn._xlws.FILTER($E:$E, ($C:$C=C6980)*($F:$F=F6980)) ) - 1</f>
        <v>3.7508734213519634E-2</v>
      </c>
    </row>
    <row r="6981" spans="1:7" x14ac:dyDescent="0.2">
      <c r="A6981" s="1">
        <v>41933</v>
      </c>
      <c r="B6981">
        <v>2</v>
      </c>
      <c r="C6981" t="s">
        <v>16</v>
      </c>
      <c r="D6981">
        <v>1.6164999999999999E-2</v>
      </c>
      <c r="E6981">
        <f t="shared" si="218"/>
        <v>1.016165</v>
      </c>
      <c r="F6981" s="1">
        <f t="shared" si="219"/>
        <v>41932</v>
      </c>
      <c r="G6981" cm="1">
        <f t="array" ref="G6981">PRODUCT( _xlfn._xlws.FILTER($E:$E, ($C:$C=C6981)*($F:$F=F6981)) ) - 1</f>
        <v>3.7508734213519634E-2</v>
      </c>
    </row>
    <row r="6982" spans="1:7" x14ac:dyDescent="0.2">
      <c r="A6982" s="1">
        <v>41934</v>
      </c>
      <c r="B6982">
        <v>2</v>
      </c>
      <c r="C6982" t="s">
        <v>16</v>
      </c>
      <c r="D6982">
        <v>-9.5449999999999997E-3</v>
      </c>
      <c r="E6982">
        <f t="shared" si="218"/>
        <v>0.99045499999999997</v>
      </c>
      <c r="F6982" s="1">
        <f t="shared" si="219"/>
        <v>41932</v>
      </c>
      <c r="G6982" cm="1">
        <f t="array" ref="G6982">PRODUCT( _xlfn._xlws.FILTER($E:$E, ($C:$C=C6982)*($F:$F=F6982)) ) - 1</f>
        <v>3.7508734213519634E-2</v>
      </c>
    </row>
    <row r="6983" spans="1:7" x14ac:dyDescent="0.2">
      <c r="A6983" s="1">
        <v>41935</v>
      </c>
      <c r="B6983">
        <v>2</v>
      </c>
      <c r="C6983" t="s">
        <v>16</v>
      </c>
      <c r="D6983">
        <v>3.4589999999999998E-3</v>
      </c>
      <c r="E6983">
        <f t="shared" si="218"/>
        <v>1.0034590000000001</v>
      </c>
      <c r="F6983" s="1">
        <f t="shared" si="219"/>
        <v>41932</v>
      </c>
      <c r="G6983" cm="1">
        <f t="array" ref="G6983">PRODUCT( _xlfn._xlws.FILTER($E:$E, ($C:$C=C6983)*($F:$F=F6983)) ) - 1</f>
        <v>3.7508734213519634E-2</v>
      </c>
    </row>
    <row r="6984" spans="1:7" x14ac:dyDescent="0.2">
      <c r="A6984" s="1">
        <v>41936</v>
      </c>
      <c r="B6984">
        <v>2</v>
      </c>
      <c r="C6984" t="s">
        <v>16</v>
      </c>
      <c r="D6984">
        <v>2.1669999999999998E-2</v>
      </c>
      <c r="E6984">
        <f t="shared" si="218"/>
        <v>1.0216700000000001</v>
      </c>
      <c r="F6984" s="1">
        <f t="shared" si="219"/>
        <v>41932</v>
      </c>
      <c r="G6984" cm="1">
        <f t="array" ref="G6984">PRODUCT( _xlfn._xlws.FILTER($E:$E, ($C:$C=C6984)*($F:$F=F6984)) ) - 1</f>
        <v>3.7508734213519634E-2</v>
      </c>
    </row>
    <row r="6985" spans="1:7" x14ac:dyDescent="0.2">
      <c r="A6985" s="1">
        <v>41939</v>
      </c>
      <c r="B6985">
        <v>2</v>
      </c>
      <c r="C6985" t="s">
        <v>16</v>
      </c>
      <c r="D6985">
        <v>5.0610000000000004E-3</v>
      </c>
      <c r="E6985">
        <f t="shared" si="218"/>
        <v>1.005061</v>
      </c>
      <c r="F6985" s="1">
        <f t="shared" si="219"/>
        <v>41939</v>
      </c>
      <c r="G6985" cm="1">
        <f t="array" ref="G6985">PRODUCT( _xlfn._xlws.FILTER($E:$E, ($C:$C=C6985)*($F:$F=F6985)) ) - 1</f>
        <v>1.0604336934977088E-2</v>
      </c>
    </row>
    <row r="6986" spans="1:7" x14ac:dyDescent="0.2">
      <c r="A6986" s="1">
        <v>41940</v>
      </c>
      <c r="B6986">
        <v>2</v>
      </c>
      <c r="C6986" t="s">
        <v>16</v>
      </c>
      <c r="D6986">
        <v>6.2350000000000001E-3</v>
      </c>
      <c r="E6986">
        <f t="shared" si="218"/>
        <v>1.006235</v>
      </c>
      <c r="F6986" s="1">
        <f t="shared" si="219"/>
        <v>41939</v>
      </c>
      <c r="G6986" cm="1">
        <f t="array" ref="G6986">PRODUCT( _xlfn._xlws.FILTER($E:$E, ($C:$C=C6986)*($F:$F=F6986)) ) - 1</f>
        <v>1.0604336934977088E-2</v>
      </c>
    </row>
    <row r="6987" spans="1:7" x14ac:dyDescent="0.2">
      <c r="A6987" s="1">
        <v>41941</v>
      </c>
      <c r="B6987">
        <v>2</v>
      </c>
      <c r="C6987" t="s">
        <v>16</v>
      </c>
      <c r="D6987">
        <v>-3.5750000000000001E-3</v>
      </c>
      <c r="E6987">
        <f t="shared" si="218"/>
        <v>0.99642500000000001</v>
      </c>
      <c r="F6987" s="1">
        <f t="shared" si="219"/>
        <v>41939</v>
      </c>
      <c r="G6987" cm="1">
        <f t="array" ref="G6987">PRODUCT( _xlfn._xlws.FILTER($E:$E, ($C:$C=C6987)*($F:$F=F6987)) ) - 1</f>
        <v>1.0604336934977088E-2</v>
      </c>
    </row>
    <row r="6988" spans="1:7" x14ac:dyDescent="0.2">
      <c r="A6988" s="1">
        <v>41942</v>
      </c>
      <c r="B6988">
        <v>2</v>
      </c>
      <c r="C6988" t="s">
        <v>16</v>
      </c>
      <c r="D6988">
        <v>4.7800000000000002E-4</v>
      </c>
      <c r="E6988">
        <f t="shared" si="218"/>
        <v>1.000478</v>
      </c>
      <c r="F6988" s="1">
        <f t="shared" si="219"/>
        <v>41939</v>
      </c>
      <c r="G6988" cm="1">
        <f t="array" ref="G6988">PRODUCT( _xlfn._xlws.FILTER($E:$E, ($C:$C=C6988)*($F:$F=F6988)) ) - 1</f>
        <v>1.0604336934977088E-2</v>
      </c>
    </row>
    <row r="6989" spans="1:7" x14ac:dyDescent="0.2">
      <c r="A6989" s="1">
        <v>41943</v>
      </c>
      <c r="B6989">
        <v>2</v>
      </c>
      <c r="C6989" t="s">
        <v>16</v>
      </c>
      <c r="D6989">
        <v>2.3909999999999999E-3</v>
      </c>
      <c r="E6989">
        <f t="shared" si="218"/>
        <v>1.002391</v>
      </c>
      <c r="F6989" s="1">
        <f t="shared" si="219"/>
        <v>41939</v>
      </c>
      <c r="G6989" cm="1">
        <f t="array" ref="G6989">PRODUCT( _xlfn._xlws.FILTER($E:$E, ($C:$C=C6989)*($F:$F=F6989)) ) - 1</f>
        <v>1.0604336934977088E-2</v>
      </c>
    </row>
    <row r="6990" spans="1:7" x14ac:dyDescent="0.2">
      <c r="A6990" s="1">
        <v>41946</v>
      </c>
      <c r="B6990">
        <v>2</v>
      </c>
      <c r="C6990" t="s">
        <v>16</v>
      </c>
      <c r="D6990">
        <v>6.2009999999999999E-3</v>
      </c>
      <c r="E6990">
        <f t="shared" si="218"/>
        <v>1.0062009999999999</v>
      </c>
      <c r="F6990" s="1">
        <f t="shared" si="219"/>
        <v>41946</v>
      </c>
      <c r="G6990" cm="1">
        <f t="array" ref="G6990">PRODUCT( _xlfn._xlws.FILTER($E:$E, ($C:$C=C6990)*($F:$F=F6990)) ) - 1</f>
        <v>1.6933544117014865E-2</v>
      </c>
    </row>
    <row r="6991" spans="1:7" x14ac:dyDescent="0.2">
      <c r="A6991" s="1">
        <v>41947</v>
      </c>
      <c r="B6991">
        <v>2</v>
      </c>
      <c r="C6991" t="s">
        <v>16</v>
      </c>
      <c r="D6991">
        <v>6.8739999999999999E-3</v>
      </c>
      <c r="E6991">
        <f t="shared" si="218"/>
        <v>1.006874</v>
      </c>
      <c r="F6991" s="1">
        <f t="shared" si="219"/>
        <v>41946</v>
      </c>
      <c r="G6991" cm="1">
        <f t="array" ref="G6991">PRODUCT( _xlfn._xlws.FILTER($E:$E, ($C:$C=C6991)*($F:$F=F6991)) ) - 1</f>
        <v>1.6933544117014865E-2</v>
      </c>
    </row>
    <row r="6992" spans="1:7" x14ac:dyDescent="0.2">
      <c r="A6992" s="1">
        <v>41948</v>
      </c>
      <c r="B6992">
        <v>2</v>
      </c>
      <c r="C6992" t="s">
        <v>16</v>
      </c>
      <c r="D6992">
        <v>1.5301E-2</v>
      </c>
      <c r="E6992">
        <f t="shared" si="218"/>
        <v>1.015301</v>
      </c>
      <c r="F6992" s="1">
        <f t="shared" si="219"/>
        <v>41946</v>
      </c>
      <c r="G6992" cm="1">
        <f t="array" ref="G6992">PRODUCT( _xlfn._xlws.FILTER($E:$E, ($C:$C=C6992)*($F:$F=F6992)) ) - 1</f>
        <v>1.6933544117014865E-2</v>
      </c>
    </row>
    <row r="6993" spans="1:7" x14ac:dyDescent="0.2">
      <c r="A6993" s="1">
        <v>41949</v>
      </c>
      <c r="B6993">
        <v>2</v>
      </c>
      <c r="C6993" t="s">
        <v>16</v>
      </c>
      <c r="D6993">
        <v>-6.0280000000000004E-3</v>
      </c>
      <c r="E6993">
        <f t="shared" si="218"/>
        <v>0.99397199999999997</v>
      </c>
      <c r="F6993" s="1">
        <f t="shared" si="219"/>
        <v>41946</v>
      </c>
      <c r="G6993" cm="1">
        <f t="array" ref="G6993">PRODUCT( _xlfn._xlws.FILTER($E:$E, ($C:$C=C6993)*($F:$F=F6993)) ) - 1</f>
        <v>1.6933544117014865E-2</v>
      </c>
    </row>
    <row r="6994" spans="1:7" x14ac:dyDescent="0.2">
      <c r="A6994" s="1">
        <v>41950</v>
      </c>
      <c r="B6994">
        <v>2</v>
      </c>
      <c r="C6994" t="s">
        <v>16</v>
      </c>
      <c r="D6994">
        <v>-5.365E-3</v>
      </c>
      <c r="E6994">
        <f t="shared" si="218"/>
        <v>0.99463500000000005</v>
      </c>
      <c r="F6994" s="1">
        <f t="shared" si="219"/>
        <v>41946</v>
      </c>
      <c r="G6994" cm="1">
        <f t="array" ref="G6994">PRODUCT( _xlfn._xlws.FILTER($E:$E, ($C:$C=C6994)*($F:$F=F6994)) ) - 1</f>
        <v>1.6933544117014865E-2</v>
      </c>
    </row>
    <row r="6995" spans="1:7" x14ac:dyDescent="0.2">
      <c r="A6995" s="1">
        <v>41953</v>
      </c>
      <c r="B6995">
        <v>2</v>
      </c>
      <c r="C6995" t="s">
        <v>16</v>
      </c>
      <c r="D6995">
        <v>1.2664E-2</v>
      </c>
      <c r="E6995">
        <f t="shared" si="218"/>
        <v>1.012664</v>
      </c>
      <c r="F6995" s="1">
        <f t="shared" si="219"/>
        <v>41953</v>
      </c>
      <c r="G6995" cm="1">
        <f t="array" ref="G6995">PRODUCT( _xlfn._xlws.FILTER($E:$E, ($C:$C=C6995)*($F:$F=F6995)) ) - 1</f>
        <v>1.7589125038768749E-2</v>
      </c>
    </row>
    <row r="6996" spans="1:7" x14ac:dyDescent="0.2">
      <c r="A6996" s="1">
        <v>41954</v>
      </c>
      <c r="B6996">
        <v>2</v>
      </c>
      <c r="C6996" t="s">
        <v>16</v>
      </c>
      <c r="D6996">
        <v>-5.0949999999999997E-3</v>
      </c>
      <c r="E6996">
        <f t="shared" si="218"/>
        <v>0.99490500000000004</v>
      </c>
      <c r="F6996" s="1">
        <f t="shared" si="219"/>
        <v>41953</v>
      </c>
      <c r="G6996" cm="1">
        <f t="array" ref="G6996">PRODUCT( _xlfn._xlws.FILTER($E:$E, ($C:$C=C6996)*($F:$F=F6996)) ) - 1</f>
        <v>1.7589125038768749E-2</v>
      </c>
    </row>
    <row r="6997" spans="1:7" x14ac:dyDescent="0.2">
      <c r="A6997" s="1">
        <v>41955</v>
      </c>
      <c r="B6997">
        <v>2</v>
      </c>
      <c r="C6997" t="s">
        <v>16</v>
      </c>
      <c r="D6997">
        <v>7.4489999999999999E-3</v>
      </c>
      <c r="E6997">
        <f t="shared" si="218"/>
        <v>1.007449</v>
      </c>
      <c r="F6997" s="1">
        <f t="shared" si="219"/>
        <v>41953</v>
      </c>
      <c r="G6997" cm="1">
        <f t="array" ref="G6997">PRODUCT( _xlfn._xlws.FILTER($E:$E, ($C:$C=C6997)*($F:$F=F6997)) ) - 1</f>
        <v>1.7589125038768749E-2</v>
      </c>
    </row>
    <row r="6998" spans="1:7" x14ac:dyDescent="0.2">
      <c r="A6998" s="1">
        <v>41956</v>
      </c>
      <c r="B6998">
        <v>2</v>
      </c>
      <c r="C6998" t="s">
        <v>16</v>
      </c>
      <c r="D6998">
        <v>1.3860000000000001E-3</v>
      </c>
      <c r="E6998">
        <f t="shared" si="218"/>
        <v>1.0013860000000001</v>
      </c>
      <c r="F6998" s="1">
        <f t="shared" si="219"/>
        <v>41953</v>
      </c>
      <c r="G6998" cm="1">
        <f t="array" ref="G6998">PRODUCT( _xlfn._xlws.FILTER($E:$E, ($C:$C=C6998)*($F:$F=F6998)) ) - 1</f>
        <v>1.7589125038768749E-2</v>
      </c>
    </row>
    <row r="6999" spans="1:7" x14ac:dyDescent="0.2">
      <c r="A6999" s="1">
        <v>41957</v>
      </c>
      <c r="B6999">
        <v>2</v>
      </c>
      <c r="C6999" t="s">
        <v>16</v>
      </c>
      <c r="D6999">
        <v>1.1540000000000001E-3</v>
      </c>
      <c r="E6999">
        <f t="shared" si="218"/>
        <v>1.0011540000000001</v>
      </c>
      <c r="F6999" s="1">
        <f t="shared" si="219"/>
        <v>41953</v>
      </c>
      <c r="G6999" cm="1">
        <f t="array" ref="G6999">PRODUCT( _xlfn._xlws.FILTER($E:$E, ($C:$C=C6999)*($F:$F=F6999)) ) - 1</f>
        <v>1.7589125038768749E-2</v>
      </c>
    </row>
    <row r="7000" spans="1:7" x14ac:dyDescent="0.2">
      <c r="A7000" s="1">
        <v>41960</v>
      </c>
      <c r="B7000">
        <v>2</v>
      </c>
      <c r="C7000" t="s">
        <v>16</v>
      </c>
      <c r="D7000">
        <v>1.3829999999999999E-3</v>
      </c>
      <c r="E7000">
        <f t="shared" si="218"/>
        <v>1.0013829999999999</v>
      </c>
      <c r="F7000" s="1">
        <f t="shared" si="219"/>
        <v>41960</v>
      </c>
      <c r="G7000" cm="1">
        <f t="array" ref="G7000">PRODUCT( _xlfn._xlws.FILTER($E:$E, ($C:$C=C7000)*($F:$F=F7000)) ) - 1</f>
        <v>2.9877655219823218E-4</v>
      </c>
    </row>
    <row r="7001" spans="1:7" x14ac:dyDescent="0.2">
      <c r="A7001" s="1">
        <v>41961</v>
      </c>
      <c r="B7001">
        <v>2</v>
      </c>
      <c r="C7001" t="s">
        <v>16</v>
      </c>
      <c r="D7001">
        <v>-1.315E-3</v>
      </c>
      <c r="E7001">
        <f t="shared" si="218"/>
        <v>0.99868500000000004</v>
      </c>
      <c r="F7001" s="1">
        <f t="shared" si="219"/>
        <v>41960</v>
      </c>
      <c r="G7001" cm="1">
        <f t="array" ref="G7001">PRODUCT( _xlfn._xlws.FILTER($E:$E, ($C:$C=C7001)*($F:$F=F7001)) ) - 1</f>
        <v>2.9877655219823218E-4</v>
      </c>
    </row>
    <row r="7002" spans="1:7" x14ac:dyDescent="0.2">
      <c r="A7002" s="1">
        <v>41962</v>
      </c>
      <c r="B7002">
        <v>2</v>
      </c>
      <c r="C7002" t="s">
        <v>16</v>
      </c>
      <c r="D7002">
        <v>3.9519999999999998E-3</v>
      </c>
      <c r="E7002">
        <f t="shared" si="218"/>
        <v>1.003952</v>
      </c>
      <c r="F7002" s="1">
        <f t="shared" si="219"/>
        <v>41960</v>
      </c>
      <c r="G7002" cm="1">
        <f t="array" ref="G7002">PRODUCT( _xlfn._xlws.FILTER($E:$E, ($C:$C=C7002)*($F:$F=F7002)) ) - 1</f>
        <v>2.9877655219823218E-4</v>
      </c>
    </row>
    <row r="7003" spans="1:7" x14ac:dyDescent="0.2">
      <c r="A7003" s="1">
        <v>41963</v>
      </c>
      <c r="B7003">
        <v>2</v>
      </c>
      <c r="C7003" t="s">
        <v>16</v>
      </c>
      <c r="D7003">
        <v>-1.389E-3</v>
      </c>
      <c r="E7003">
        <f t="shared" si="218"/>
        <v>0.99861100000000003</v>
      </c>
      <c r="F7003" s="1">
        <f t="shared" si="219"/>
        <v>41960</v>
      </c>
      <c r="G7003" cm="1">
        <f t="array" ref="G7003">PRODUCT( _xlfn._xlws.FILTER($E:$E, ($C:$C=C7003)*($F:$F=F7003)) ) - 1</f>
        <v>2.9877655219823218E-4</v>
      </c>
    </row>
    <row r="7004" spans="1:7" x14ac:dyDescent="0.2">
      <c r="A7004" s="1">
        <v>41964</v>
      </c>
      <c r="B7004">
        <v>2</v>
      </c>
      <c r="C7004" t="s">
        <v>16</v>
      </c>
      <c r="D7004">
        <v>-2.3189999999999999E-3</v>
      </c>
      <c r="E7004">
        <f t="shared" si="218"/>
        <v>0.99768100000000004</v>
      </c>
      <c r="F7004" s="1">
        <f t="shared" si="219"/>
        <v>41960</v>
      </c>
      <c r="G7004" cm="1">
        <f t="array" ref="G7004">PRODUCT( _xlfn._xlws.FILTER($E:$E, ($C:$C=C7004)*($F:$F=F7004)) ) - 1</f>
        <v>2.9877655219823218E-4</v>
      </c>
    </row>
    <row r="7005" spans="1:7" x14ac:dyDescent="0.2">
      <c r="A7005" s="1">
        <v>41967</v>
      </c>
      <c r="B7005">
        <v>2</v>
      </c>
      <c r="C7005" t="s">
        <v>16</v>
      </c>
      <c r="D7005">
        <v>7.437E-3</v>
      </c>
      <c r="E7005">
        <f t="shared" si="218"/>
        <v>1.0074369999999999</v>
      </c>
      <c r="F7005" s="1">
        <f t="shared" si="219"/>
        <v>41967</v>
      </c>
      <c r="G7005" cm="1">
        <f t="array" ref="G7005">PRODUCT( _xlfn._xlws.FILTER($E:$E, ($C:$C=C7005)*($F:$F=F7005)) ) - 1</f>
        <v>5.9726148488793651E-2</v>
      </c>
    </row>
    <row r="7006" spans="1:7" x14ac:dyDescent="0.2">
      <c r="A7006" s="1">
        <v>41968</v>
      </c>
      <c r="B7006">
        <v>2</v>
      </c>
      <c r="C7006" t="s">
        <v>16</v>
      </c>
      <c r="D7006">
        <v>6.4590000000000003E-3</v>
      </c>
      <c r="E7006">
        <f t="shared" si="218"/>
        <v>1.006459</v>
      </c>
      <c r="F7006" s="1">
        <f t="shared" si="219"/>
        <v>41967</v>
      </c>
      <c r="G7006" cm="1">
        <f t="array" ref="G7006">PRODUCT( _xlfn._xlws.FILTER($E:$E, ($C:$C=C7006)*($F:$F=F7006)) ) - 1</f>
        <v>5.9726148488793651E-2</v>
      </c>
    </row>
    <row r="7007" spans="1:7" x14ac:dyDescent="0.2">
      <c r="A7007" s="1">
        <v>41969</v>
      </c>
      <c r="B7007">
        <v>2</v>
      </c>
      <c r="C7007" t="s">
        <v>16</v>
      </c>
      <c r="D7007">
        <v>3.209E-3</v>
      </c>
      <c r="E7007">
        <f t="shared" si="218"/>
        <v>1.003209</v>
      </c>
      <c r="F7007" s="1">
        <f t="shared" si="219"/>
        <v>41967</v>
      </c>
      <c r="G7007" cm="1">
        <f t="array" ref="G7007">PRODUCT( _xlfn._xlws.FILTER($E:$E, ($C:$C=C7007)*($F:$F=F7007)) ) - 1</f>
        <v>5.9726148488793651E-2</v>
      </c>
    </row>
    <row r="7008" spans="1:7" x14ac:dyDescent="0.2">
      <c r="A7008" s="1">
        <v>41970</v>
      </c>
      <c r="B7008">
        <v>2</v>
      </c>
      <c r="C7008" t="s">
        <v>16</v>
      </c>
      <c r="D7008">
        <v>1.2109E-2</v>
      </c>
      <c r="E7008">
        <f t="shared" si="218"/>
        <v>1.0121089999999999</v>
      </c>
      <c r="F7008" s="1">
        <f t="shared" si="219"/>
        <v>41967</v>
      </c>
      <c r="G7008" cm="1">
        <f t="array" ref="G7008">PRODUCT( _xlfn._xlws.FILTER($E:$E, ($C:$C=C7008)*($F:$F=F7008)) ) - 1</f>
        <v>5.9726148488793651E-2</v>
      </c>
    </row>
    <row r="7009" spans="1:7" x14ac:dyDescent="0.2">
      <c r="A7009" s="1">
        <v>41971</v>
      </c>
      <c r="B7009">
        <v>2</v>
      </c>
      <c r="C7009" t="s">
        <v>16</v>
      </c>
      <c r="D7009">
        <v>2.9345E-2</v>
      </c>
      <c r="E7009">
        <f t="shared" si="218"/>
        <v>1.029345</v>
      </c>
      <c r="F7009" s="1">
        <f t="shared" si="219"/>
        <v>41967</v>
      </c>
      <c r="G7009" cm="1">
        <f t="array" ref="G7009">PRODUCT( _xlfn._xlws.FILTER($E:$E, ($C:$C=C7009)*($F:$F=F7009)) ) - 1</f>
        <v>5.9726148488793651E-2</v>
      </c>
    </row>
    <row r="7010" spans="1:7" x14ac:dyDescent="0.2">
      <c r="A7010" s="1">
        <v>41974</v>
      </c>
      <c r="B7010">
        <v>2</v>
      </c>
      <c r="C7010" t="s">
        <v>16</v>
      </c>
      <c r="D7010">
        <v>-7.456E-3</v>
      </c>
      <c r="E7010">
        <f t="shared" si="218"/>
        <v>0.99254399999999998</v>
      </c>
      <c r="F7010" s="1">
        <f t="shared" si="219"/>
        <v>41974</v>
      </c>
      <c r="G7010" cm="1">
        <f t="array" ref="G7010">PRODUCT( _xlfn._xlws.FILTER($E:$E, ($C:$C=C7010)*($F:$F=F7010)) ) - 1</f>
        <v>-6.7972054528384618E-3</v>
      </c>
    </row>
    <row r="7011" spans="1:7" x14ac:dyDescent="0.2">
      <c r="A7011" s="1">
        <v>41975</v>
      </c>
      <c r="B7011">
        <v>2</v>
      </c>
      <c r="C7011" t="s">
        <v>16</v>
      </c>
      <c r="D7011">
        <v>1.9889999999999999E-3</v>
      </c>
      <c r="E7011">
        <f t="shared" si="218"/>
        <v>1.001989</v>
      </c>
      <c r="F7011" s="1">
        <f t="shared" si="219"/>
        <v>41974</v>
      </c>
      <c r="G7011" cm="1">
        <f t="array" ref="G7011">PRODUCT( _xlfn._xlws.FILTER($E:$E, ($C:$C=C7011)*($F:$F=F7011)) ) - 1</f>
        <v>-6.7972054528384618E-3</v>
      </c>
    </row>
    <row r="7012" spans="1:7" x14ac:dyDescent="0.2">
      <c r="A7012" s="1">
        <v>41976</v>
      </c>
      <c r="B7012">
        <v>2</v>
      </c>
      <c r="C7012" t="s">
        <v>16</v>
      </c>
      <c r="D7012">
        <v>1.544E-3</v>
      </c>
      <c r="E7012">
        <f t="shared" si="218"/>
        <v>1.001544</v>
      </c>
      <c r="F7012" s="1">
        <f t="shared" si="219"/>
        <v>41974</v>
      </c>
      <c r="G7012" cm="1">
        <f t="array" ref="G7012">PRODUCT( _xlfn._xlws.FILTER($E:$E, ($C:$C=C7012)*($F:$F=F7012)) ) - 1</f>
        <v>-6.7972054528384618E-3</v>
      </c>
    </row>
    <row r="7013" spans="1:7" x14ac:dyDescent="0.2">
      <c r="A7013" s="1">
        <v>41977</v>
      </c>
      <c r="B7013">
        <v>2</v>
      </c>
      <c r="C7013" t="s">
        <v>16</v>
      </c>
      <c r="D7013">
        <v>-5.0639999999999999E-3</v>
      </c>
      <c r="E7013">
        <f t="shared" si="218"/>
        <v>0.99493600000000004</v>
      </c>
      <c r="F7013" s="1">
        <f t="shared" si="219"/>
        <v>41974</v>
      </c>
      <c r="G7013" cm="1">
        <f t="array" ref="G7013">PRODUCT( _xlfn._xlws.FILTER($E:$E, ($C:$C=C7013)*($F:$F=F7013)) ) - 1</f>
        <v>-6.7972054528384618E-3</v>
      </c>
    </row>
    <row r="7014" spans="1:7" x14ac:dyDescent="0.2">
      <c r="A7014" s="1">
        <v>41978</v>
      </c>
      <c r="B7014">
        <v>2</v>
      </c>
      <c r="C7014" t="s">
        <v>16</v>
      </c>
      <c r="D7014">
        <v>2.2130000000000001E-3</v>
      </c>
      <c r="E7014">
        <f t="shared" si="218"/>
        <v>1.002213</v>
      </c>
      <c r="F7014" s="1">
        <f t="shared" si="219"/>
        <v>41974</v>
      </c>
      <c r="G7014" cm="1">
        <f t="array" ref="G7014">PRODUCT( _xlfn._xlws.FILTER($E:$E, ($C:$C=C7014)*($F:$F=F7014)) ) - 1</f>
        <v>-6.7972054528384618E-3</v>
      </c>
    </row>
    <row r="7015" spans="1:7" x14ac:dyDescent="0.2">
      <c r="A7015" s="1">
        <v>41981</v>
      </c>
      <c r="B7015">
        <v>2</v>
      </c>
      <c r="C7015" t="s">
        <v>16</v>
      </c>
      <c r="D7015">
        <v>-2.8700000000000002E-3</v>
      </c>
      <c r="E7015">
        <f t="shared" si="218"/>
        <v>0.99712999999999996</v>
      </c>
      <c r="F7015" s="1">
        <f t="shared" si="219"/>
        <v>41981</v>
      </c>
      <c r="G7015" cm="1">
        <f t="array" ref="G7015">PRODUCT( _xlfn._xlws.FILTER($E:$E, ($C:$C=C7015)*($F:$F=F7015)) ) - 1</f>
        <v>-1.0818032800109845E-2</v>
      </c>
    </row>
    <row r="7016" spans="1:7" x14ac:dyDescent="0.2">
      <c r="A7016" s="1">
        <v>41982</v>
      </c>
      <c r="B7016">
        <v>2</v>
      </c>
      <c r="C7016" t="s">
        <v>16</v>
      </c>
      <c r="D7016">
        <v>-7.7499999999999999E-3</v>
      </c>
      <c r="E7016">
        <f t="shared" si="218"/>
        <v>0.99224999999999997</v>
      </c>
      <c r="F7016" s="1">
        <f t="shared" si="219"/>
        <v>41981</v>
      </c>
      <c r="G7016" cm="1">
        <f t="array" ref="G7016">PRODUCT( _xlfn._xlws.FILTER($E:$E, ($C:$C=C7016)*($F:$F=F7016)) ) - 1</f>
        <v>-1.0818032800109845E-2</v>
      </c>
    </row>
    <row r="7017" spans="1:7" x14ac:dyDescent="0.2">
      <c r="A7017" s="1">
        <v>41983</v>
      </c>
      <c r="B7017">
        <v>2</v>
      </c>
      <c r="C7017" t="s">
        <v>16</v>
      </c>
      <c r="D7017">
        <v>-6.025E-3</v>
      </c>
      <c r="E7017">
        <f t="shared" si="218"/>
        <v>0.99397500000000005</v>
      </c>
      <c r="F7017" s="1">
        <f t="shared" si="219"/>
        <v>41981</v>
      </c>
      <c r="G7017" cm="1">
        <f t="array" ref="G7017">PRODUCT( _xlfn._xlws.FILTER($E:$E, ($C:$C=C7017)*($F:$F=F7017)) ) - 1</f>
        <v>-1.0818032800109845E-2</v>
      </c>
    </row>
    <row r="7018" spans="1:7" x14ac:dyDescent="0.2">
      <c r="A7018" s="1">
        <v>41984</v>
      </c>
      <c r="B7018">
        <v>2</v>
      </c>
      <c r="C7018" t="s">
        <v>16</v>
      </c>
      <c r="D7018">
        <v>1.3471E-2</v>
      </c>
      <c r="E7018">
        <f t="shared" si="218"/>
        <v>1.013471</v>
      </c>
      <c r="F7018" s="1">
        <f t="shared" si="219"/>
        <v>41981</v>
      </c>
      <c r="G7018" cm="1">
        <f t="array" ref="G7018">PRODUCT( _xlfn._xlws.FILTER($E:$E, ($C:$C=C7018)*($F:$F=F7018)) ) - 1</f>
        <v>-1.0818032800109845E-2</v>
      </c>
    </row>
    <row r="7019" spans="1:7" x14ac:dyDescent="0.2">
      <c r="A7019" s="1">
        <v>41985</v>
      </c>
      <c r="B7019">
        <v>2</v>
      </c>
      <c r="C7019" t="s">
        <v>16</v>
      </c>
      <c r="D7019">
        <v>-7.5319999999999996E-3</v>
      </c>
      <c r="E7019">
        <f t="shared" si="218"/>
        <v>0.99246800000000002</v>
      </c>
      <c r="F7019" s="1">
        <f t="shared" si="219"/>
        <v>41981</v>
      </c>
      <c r="G7019" cm="1">
        <f t="array" ref="G7019">PRODUCT( _xlfn._xlws.FILTER($E:$E, ($C:$C=C7019)*($F:$F=F7019)) ) - 1</f>
        <v>-1.0818032800109845E-2</v>
      </c>
    </row>
    <row r="7020" spans="1:7" x14ac:dyDescent="0.2">
      <c r="A7020" s="1">
        <v>41988</v>
      </c>
      <c r="B7020">
        <v>2</v>
      </c>
      <c r="C7020" t="s">
        <v>16</v>
      </c>
      <c r="D7020">
        <v>6.0270000000000002E-3</v>
      </c>
      <c r="E7020">
        <f t="shared" si="218"/>
        <v>1.006027</v>
      </c>
      <c r="F7020" s="1">
        <f t="shared" si="219"/>
        <v>41988</v>
      </c>
      <c r="G7020" cm="1">
        <f t="array" ref="G7020">PRODUCT( _xlfn._xlws.FILTER($E:$E, ($C:$C=C7020)*($F:$F=F7020)) ) - 1</f>
        <v>4.1072082984775937E-2</v>
      </c>
    </row>
    <row r="7021" spans="1:7" x14ac:dyDescent="0.2">
      <c r="A7021" s="1">
        <v>41989</v>
      </c>
      <c r="B7021">
        <v>2</v>
      </c>
      <c r="C7021" t="s">
        <v>16</v>
      </c>
      <c r="D7021">
        <v>1.9969000000000001E-2</v>
      </c>
      <c r="E7021">
        <f t="shared" si="218"/>
        <v>1.0199689999999999</v>
      </c>
      <c r="F7021" s="1">
        <f t="shared" si="219"/>
        <v>41988</v>
      </c>
      <c r="G7021" cm="1">
        <f t="array" ref="G7021">PRODUCT( _xlfn._xlws.FILTER($E:$E, ($C:$C=C7021)*($F:$F=F7021)) ) - 1</f>
        <v>4.1072082984775937E-2</v>
      </c>
    </row>
    <row r="7022" spans="1:7" x14ac:dyDescent="0.2">
      <c r="A7022" s="1">
        <v>41990</v>
      </c>
      <c r="B7022">
        <v>2</v>
      </c>
      <c r="C7022" t="s">
        <v>16</v>
      </c>
      <c r="D7022">
        <v>1.088E-3</v>
      </c>
      <c r="E7022">
        <f t="shared" si="218"/>
        <v>1.001088</v>
      </c>
      <c r="F7022" s="1">
        <f t="shared" si="219"/>
        <v>41988</v>
      </c>
      <c r="G7022" cm="1">
        <f t="array" ref="G7022">PRODUCT( _xlfn._xlws.FILTER($E:$E, ($C:$C=C7022)*($F:$F=F7022)) ) - 1</f>
        <v>4.1072082984775937E-2</v>
      </c>
    </row>
    <row r="7023" spans="1:7" x14ac:dyDescent="0.2">
      <c r="A7023" s="1">
        <v>41991</v>
      </c>
      <c r="B7023">
        <v>2</v>
      </c>
      <c r="C7023" t="s">
        <v>16</v>
      </c>
      <c r="D7023">
        <v>2.3900000000000002E-3</v>
      </c>
      <c r="E7023">
        <f t="shared" si="218"/>
        <v>1.0023899999999999</v>
      </c>
      <c r="F7023" s="1">
        <f t="shared" si="219"/>
        <v>41988</v>
      </c>
      <c r="G7023" cm="1">
        <f t="array" ref="G7023">PRODUCT( _xlfn._xlws.FILTER($E:$E, ($C:$C=C7023)*($F:$F=F7023)) ) - 1</f>
        <v>4.1072082984775937E-2</v>
      </c>
    </row>
    <row r="7024" spans="1:7" x14ac:dyDescent="0.2">
      <c r="A7024" s="1">
        <v>41992</v>
      </c>
      <c r="B7024">
        <v>2</v>
      </c>
      <c r="C7024" t="s">
        <v>16</v>
      </c>
      <c r="D7024">
        <v>1.1056E-2</v>
      </c>
      <c r="E7024">
        <f t="shared" si="218"/>
        <v>1.011056</v>
      </c>
      <c r="F7024" s="1">
        <f t="shared" si="219"/>
        <v>41988</v>
      </c>
      <c r="G7024" cm="1">
        <f t="array" ref="G7024">PRODUCT( _xlfn._xlws.FILTER($E:$E, ($C:$C=C7024)*($F:$F=F7024)) ) - 1</f>
        <v>4.1072082984775937E-2</v>
      </c>
    </row>
    <row r="7025" spans="1:7" x14ac:dyDescent="0.2">
      <c r="A7025" s="1">
        <v>41995</v>
      </c>
      <c r="B7025">
        <v>2</v>
      </c>
      <c r="C7025" t="s">
        <v>16</v>
      </c>
      <c r="D7025">
        <v>9.4339999999999997E-3</v>
      </c>
      <c r="E7025">
        <f t="shared" si="218"/>
        <v>1.0094339999999999</v>
      </c>
      <c r="F7025" s="1">
        <f t="shared" si="219"/>
        <v>41995</v>
      </c>
      <c r="G7025" cm="1">
        <f t="array" ref="G7025">PRODUCT( _xlfn._xlws.FILTER($E:$E, ($C:$C=C7025)*($F:$F=F7025)) ) - 1</f>
        <v>2.1012725294736079E-2</v>
      </c>
    </row>
    <row r="7026" spans="1:7" x14ac:dyDescent="0.2">
      <c r="A7026" s="1">
        <v>41996</v>
      </c>
      <c r="B7026">
        <v>2</v>
      </c>
      <c r="C7026" t="s">
        <v>16</v>
      </c>
      <c r="D7026">
        <v>6.1599999999999997E-3</v>
      </c>
      <c r="E7026">
        <f t="shared" si="218"/>
        <v>1.0061599999999999</v>
      </c>
      <c r="F7026" s="1">
        <f t="shared" si="219"/>
        <v>41995</v>
      </c>
      <c r="G7026" cm="1">
        <f t="array" ref="G7026">PRODUCT( _xlfn._xlws.FILTER($E:$E, ($C:$C=C7026)*($F:$F=F7026)) ) - 1</f>
        <v>2.1012725294736079E-2</v>
      </c>
    </row>
    <row r="7027" spans="1:7" x14ac:dyDescent="0.2">
      <c r="A7027" s="1">
        <v>41997</v>
      </c>
      <c r="B7027">
        <v>2</v>
      </c>
      <c r="C7027" t="s">
        <v>16</v>
      </c>
      <c r="D7027">
        <v>5.2779999999999997E-3</v>
      </c>
      <c r="E7027">
        <f t="shared" si="218"/>
        <v>1.0052779999999999</v>
      </c>
      <c r="F7027" s="1">
        <f t="shared" si="219"/>
        <v>41995</v>
      </c>
      <c r="G7027" cm="1">
        <f t="array" ref="G7027">PRODUCT( _xlfn._xlws.FILTER($E:$E, ($C:$C=C7027)*($F:$F=F7027)) ) - 1</f>
        <v>2.1012725294736079E-2</v>
      </c>
    </row>
    <row r="7028" spans="1:7" x14ac:dyDescent="0.2">
      <c r="A7028" s="1">
        <v>42002</v>
      </c>
      <c r="B7028">
        <v>2</v>
      </c>
      <c r="C7028" t="s">
        <v>16</v>
      </c>
      <c r="D7028">
        <v>-7.1399999999999996E-3</v>
      </c>
      <c r="E7028">
        <f t="shared" si="218"/>
        <v>0.99285999999999996</v>
      </c>
      <c r="F7028" s="1">
        <f t="shared" si="219"/>
        <v>42002</v>
      </c>
      <c r="G7028" cm="1">
        <f t="array" ref="G7028">PRODUCT( _xlfn._xlws.FILTER($E:$E, ($C:$C=C7028)*($F:$F=F7028)) ) - 1</f>
        <v>-1.4069380939216947E-2</v>
      </c>
    </row>
    <row r="7029" spans="1:7" x14ac:dyDescent="0.2">
      <c r="A7029" s="1">
        <v>42003</v>
      </c>
      <c r="B7029">
        <v>2</v>
      </c>
      <c r="C7029" t="s">
        <v>16</v>
      </c>
      <c r="D7029">
        <v>-3.8070000000000001E-3</v>
      </c>
      <c r="E7029">
        <f t="shared" si="218"/>
        <v>0.996193</v>
      </c>
      <c r="F7029" s="1">
        <f t="shared" si="219"/>
        <v>42002</v>
      </c>
      <c r="G7029" cm="1">
        <f t="array" ref="G7029">PRODUCT( _xlfn._xlws.FILTER($E:$E, ($C:$C=C7029)*($F:$F=F7029)) ) - 1</f>
        <v>-1.4069380939216947E-2</v>
      </c>
    </row>
    <row r="7030" spans="1:7" x14ac:dyDescent="0.2">
      <c r="A7030" s="1">
        <v>42004</v>
      </c>
      <c r="B7030">
        <v>2</v>
      </c>
      <c r="C7030" t="s">
        <v>16</v>
      </c>
      <c r="D7030">
        <v>-4.8830000000000002E-3</v>
      </c>
      <c r="E7030">
        <f t="shared" si="218"/>
        <v>0.99511700000000003</v>
      </c>
      <c r="F7030" s="1">
        <f t="shared" si="219"/>
        <v>42002</v>
      </c>
      <c r="G7030" cm="1">
        <f t="array" ref="G7030">PRODUCT( _xlfn._xlws.FILTER($E:$E, ($C:$C=C7030)*($F:$F=F7030)) ) - 1</f>
        <v>-1.4069380939216947E-2</v>
      </c>
    </row>
    <row r="7031" spans="1:7" x14ac:dyDescent="0.2">
      <c r="A7031" s="1">
        <v>42006</v>
      </c>
      <c r="B7031">
        <v>2</v>
      </c>
      <c r="C7031" t="s">
        <v>16</v>
      </c>
      <c r="D7031">
        <v>1.707E-3</v>
      </c>
      <c r="E7031">
        <f t="shared" si="218"/>
        <v>1.0017069999999999</v>
      </c>
      <c r="F7031" s="1">
        <f t="shared" si="219"/>
        <v>42002</v>
      </c>
      <c r="G7031" cm="1">
        <f t="array" ref="G7031">PRODUCT( _xlfn._xlws.FILTER($E:$E, ($C:$C=C7031)*($F:$F=F7031)) ) - 1</f>
        <v>-1.4069380939216947E-2</v>
      </c>
    </row>
    <row r="7032" spans="1:7" x14ac:dyDescent="0.2">
      <c r="A7032" s="1">
        <v>42009</v>
      </c>
      <c r="B7032">
        <v>2</v>
      </c>
      <c r="C7032" t="s">
        <v>16</v>
      </c>
      <c r="D7032">
        <v>-2.9818999999999998E-2</v>
      </c>
      <c r="E7032">
        <f t="shared" si="218"/>
        <v>0.97018099999999996</v>
      </c>
      <c r="F7032" s="1">
        <f t="shared" si="219"/>
        <v>42009</v>
      </c>
      <c r="G7032" cm="1">
        <f t="array" ref="G7032">PRODUCT( _xlfn._xlws.FILTER($E:$E, ($C:$C=C7032)*($F:$F=F7032)) ) - 1</f>
        <v>-1.8530659692634233E-2</v>
      </c>
    </row>
    <row r="7033" spans="1:7" x14ac:dyDescent="0.2">
      <c r="A7033" s="1">
        <v>42010</v>
      </c>
      <c r="B7033">
        <v>2</v>
      </c>
      <c r="C7033" t="s">
        <v>16</v>
      </c>
      <c r="D7033">
        <v>1.098E-3</v>
      </c>
      <c r="E7033">
        <f t="shared" si="218"/>
        <v>1.001098</v>
      </c>
      <c r="F7033" s="1">
        <f t="shared" si="219"/>
        <v>42009</v>
      </c>
      <c r="G7033" cm="1">
        <f t="array" ref="G7033">PRODUCT( _xlfn._xlws.FILTER($E:$E, ($C:$C=C7033)*($F:$F=F7033)) ) - 1</f>
        <v>-1.8530659692634233E-2</v>
      </c>
    </row>
    <row r="7034" spans="1:7" x14ac:dyDescent="0.2">
      <c r="A7034" s="1">
        <v>42011</v>
      </c>
      <c r="B7034">
        <v>2</v>
      </c>
      <c r="C7034" t="s">
        <v>16</v>
      </c>
      <c r="D7034">
        <v>8.7699999999999996E-4</v>
      </c>
      <c r="E7034">
        <f t="shared" si="218"/>
        <v>1.000877</v>
      </c>
      <c r="F7034" s="1">
        <f t="shared" si="219"/>
        <v>42009</v>
      </c>
      <c r="G7034" cm="1">
        <f t="array" ref="G7034">PRODUCT( _xlfn._xlws.FILTER($E:$E, ($C:$C=C7034)*($F:$F=F7034)) ) - 1</f>
        <v>-1.8530659692634233E-2</v>
      </c>
    </row>
    <row r="7035" spans="1:7" x14ac:dyDescent="0.2">
      <c r="A7035" s="1">
        <v>42012</v>
      </c>
      <c r="B7035">
        <v>2</v>
      </c>
      <c r="C7035" t="s">
        <v>16</v>
      </c>
      <c r="D7035">
        <v>1.4461E-2</v>
      </c>
      <c r="E7035">
        <f t="shared" si="218"/>
        <v>1.0144610000000001</v>
      </c>
      <c r="F7035" s="1">
        <f t="shared" si="219"/>
        <v>42009</v>
      </c>
      <c r="G7035" cm="1">
        <f t="array" ref="G7035">PRODUCT( _xlfn._xlws.FILTER($E:$E, ($C:$C=C7035)*($F:$F=F7035)) ) - 1</f>
        <v>-1.8530659692634233E-2</v>
      </c>
    </row>
    <row r="7036" spans="1:7" x14ac:dyDescent="0.2">
      <c r="A7036" s="1">
        <v>42013</v>
      </c>
      <c r="B7036">
        <v>2</v>
      </c>
      <c r="C7036" t="s">
        <v>16</v>
      </c>
      <c r="D7036">
        <v>-4.7520000000000001E-3</v>
      </c>
      <c r="E7036">
        <f t="shared" si="218"/>
        <v>0.99524800000000002</v>
      </c>
      <c r="F7036" s="1">
        <f t="shared" si="219"/>
        <v>42009</v>
      </c>
      <c r="G7036" cm="1">
        <f t="array" ref="G7036">PRODUCT( _xlfn._xlws.FILTER($E:$E, ($C:$C=C7036)*($F:$F=F7036)) ) - 1</f>
        <v>-1.8530659692634233E-2</v>
      </c>
    </row>
    <row r="7037" spans="1:7" x14ac:dyDescent="0.2">
      <c r="A7037" s="1">
        <v>42016</v>
      </c>
      <c r="B7037">
        <v>2</v>
      </c>
      <c r="C7037" t="s">
        <v>16</v>
      </c>
      <c r="D7037">
        <v>5.6420000000000003E-3</v>
      </c>
      <c r="E7037">
        <f t="shared" si="218"/>
        <v>1.0056419999999999</v>
      </c>
      <c r="F7037" s="1">
        <f t="shared" si="219"/>
        <v>42016</v>
      </c>
      <c r="G7037" cm="1">
        <f t="array" ref="G7037">PRODUCT( _xlfn._xlws.FILTER($E:$E, ($C:$C=C7037)*($F:$F=F7037)) ) - 1</f>
        <v>3.5590698344395655E-2</v>
      </c>
    </row>
    <row r="7038" spans="1:7" x14ac:dyDescent="0.2">
      <c r="A7038" s="1">
        <v>42017</v>
      </c>
      <c r="B7038">
        <v>2</v>
      </c>
      <c r="C7038" t="s">
        <v>16</v>
      </c>
      <c r="D7038">
        <v>7.9839999999999998E-3</v>
      </c>
      <c r="E7038">
        <f t="shared" si="218"/>
        <v>1.007984</v>
      </c>
      <c r="F7038" s="1">
        <f t="shared" si="219"/>
        <v>42016</v>
      </c>
      <c r="G7038" cm="1">
        <f t="array" ref="G7038">PRODUCT( _xlfn._xlws.FILTER($E:$E, ($C:$C=C7038)*($F:$F=F7038)) ) - 1</f>
        <v>3.5590698344395655E-2</v>
      </c>
    </row>
    <row r="7039" spans="1:7" x14ac:dyDescent="0.2">
      <c r="A7039" s="1">
        <v>42018</v>
      </c>
      <c r="B7039">
        <v>2</v>
      </c>
      <c r="C7039" t="s">
        <v>16</v>
      </c>
      <c r="D7039">
        <v>-7.7070000000000003E-3</v>
      </c>
      <c r="E7039">
        <f t="shared" si="218"/>
        <v>0.99229299999999998</v>
      </c>
      <c r="F7039" s="1">
        <f t="shared" si="219"/>
        <v>42016</v>
      </c>
      <c r="G7039" cm="1">
        <f t="array" ref="G7039">PRODUCT( _xlfn._xlws.FILTER($E:$E, ($C:$C=C7039)*($F:$F=F7039)) ) - 1</f>
        <v>3.5590698344395655E-2</v>
      </c>
    </row>
    <row r="7040" spans="1:7" x14ac:dyDescent="0.2">
      <c r="A7040" s="1">
        <v>42019</v>
      </c>
      <c r="B7040">
        <v>2</v>
      </c>
      <c r="C7040" t="s">
        <v>16</v>
      </c>
      <c r="D7040">
        <v>7.3359999999999996E-3</v>
      </c>
      <c r="E7040">
        <f t="shared" si="218"/>
        <v>1.007336</v>
      </c>
      <c r="F7040" s="1">
        <f t="shared" si="219"/>
        <v>42016</v>
      </c>
      <c r="G7040" cm="1">
        <f t="array" ref="G7040">PRODUCT( _xlfn._xlws.FILTER($E:$E, ($C:$C=C7040)*($F:$F=F7040)) ) - 1</f>
        <v>3.5590698344395655E-2</v>
      </c>
    </row>
    <row r="7041" spans="1:7" x14ac:dyDescent="0.2">
      <c r="A7041" s="1">
        <v>42020</v>
      </c>
      <c r="B7041">
        <v>2</v>
      </c>
      <c r="C7041" t="s">
        <v>16</v>
      </c>
      <c r="D7041">
        <v>2.2061000000000001E-2</v>
      </c>
      <c r="E7041">
        <f t="shared" si="218"/>
        <v>1.0220610000000001</v>
      </c>
      <c r="F7041" s="1">
        <f t="shared" si="219"/>
        <v>42016</v>
      </c>
      <c r="G7041" cm="1">
        <f t="array" ref="G7041">PRODUCT( _xlfn._xlws.FILTER($E:$E, ($C:$C=C7041)*($F:$F=F7041)) ) - 1</f>
        <v>3.5590698344395655E-2</v>
      </c>
    </row>
    <row r="7042" spans="1:7" x14ac:dyDescent="0.2">
      <c r="A7042" s="1">
        <v>42023</v>
      </c>
      <c r="B7042">
        <v>2</v>
      </c>
      <c r="C7042" t="s">
        <v>16</v>
      </c>
      <c r="D7042">
        <v>-1.467E-3</v>
      </c>
      <c r="E7042">
        <f t="shared" si="218"/>
        <v>0.998533</v>
      </c>
      <c r="F7042" s="1">
        <f t="shared" si="219"/>
        <v>42023</v>
      </c>
      <c r="G7042" cm="1">
        <f t="array" ref="G7042">PRODUCT( _xlfn._xlws.FILTER($E:$E, ($C:$C=C7042)*($F:$F=F7042)) ) - 1</f>
        <v>3.4995603002764497E-2</v>
      </c>
    </row>
    <row r="7043" spans="1:7" x14ac:dyDescent="0.2">
      <c r="A7043" s="1">
        <v>42024</v>
      </c>
      <c r="B7043">
        <v>2</v>
      </c>
      <c r="C7043" t="s">
        <v>16</v>
      </c>
      <c r="D7043">
        <v>8.3940000000000004E-3</v>
      </c>
      <c r="E7043">
        <f t="shared" si="218"/>
        <v>1.008394</v>
      </c>
      <c r="F7043" s="1">
        <f t="shared" si="219"/>
        <v>42023</v>
      </c>
      <c r="G7043" cm="1">
        <f t="array" ref="G7043">PRODUCT( _xlfn._xlws.FILTER($E:$E, ($C:$C=C7043)*($F:$F=F7043)) ) - 1</f>
        <v>3.4995603002764497E-2</v>
      </c>
    </row>
    <row r="7044" spans="1:7" x14ac:dyDescent="0.2">
      <c r="A7044" s="1">
        <v>42025</v>
      </c>
      <c r="B7044">
        <v>2</v>
      </c>
      <c r="C7044" t="s">
        <v>16</v>
      </c>
      <c r="D7044">
        <v>-2.4970000000000001E-3</v>
      </c>
      <c r="E7044">
        <f t="shared" ref="E7044:E7107" si="220">D7044+1</f>
        <v>0.99750300000000003</v>
      </c>
      <c r="F7044" s="1">
        <f t="shared" ref="F7044:F7107" si="221">A7044 - (WEEKDAY(A7044, 2) - 1)</f>
        <v>42023</v>
      </c>
      <c r="G7044" cm="1">
        <f t="array" ref="G7044">PRODUCT( _xlfn._xlws.FILTER($E:$E, ($C:$C=C7044)*($F:$F=F7044)) ) - 1</f>
        <v>3.4995603002764497E-2</v>
      </c>
    </row>
    <row r="7045" spans="1:7" x14ac:dyDescent="0.2">
      <c r="A7045" s="1">
        <v>42026</v>
      </c>
      <c r="B7045">
        <v>2</v>
      </c>
      <c r="C7045" t="s">
        <v>16</v>
      </c>
      <c r="D7045">
        <v>3.0252000000000001E-2</v>
      </c>
      <c r="E7045">
        <f t="shared" si="220"/>
        <v>1.0302519999999999</v>
      </c>
      <c r="F7045" s="1">
        <f t="shared" si="221"/>
        <v>42023</v>
      </c>
      <c r="G7045" cm="1">
        <f t="array" ref="G7045">PRODUCT( _xlfn._xlws.FILTER($E:$E, ($C:$C=C7045)*($F:$F=F7045)) ) - 1</f>
        <v>3.4995603002764497E-2</v>
      </c>
    </row>
    <row r="7046" spans="1:7" x14ac:dyDescent="0.2">
      <c r="A7046" s="1">
        <v>42027</v>
      </c>
      <c r="B7046">
        <v>2</v>
      </c>
      <c r="C7046" t="s">
        <v>16</v>
      </c>
      <c r="D7046">
        <v>2.03E-4</v>
      </c>
      <c r="E7046">
        <f t="shared" si="220"/>
        <v>1.000203</v>
      </c>
      <c r="F7046" s="1">
        <f t="shared" si="221"/>
        <v>42023</v>
      </c>
      <c r="G7046" cm="1">
        <f t="array" ref="G7046">PRODUCT( _xlfn._xlws.FILTER($E:$E, ($C:$C=C7046)*($F:$F=F7046)) ) - 1</f>
        <v>3.4995603002764497E-2</v>
      </c>
    </row>
    <row r="7047" spans="1:7" x14ac:dyDescent="0.2">
      <c r="A7047" s="1">
        <v>42030</v>
      </c>
      <c r="B7047">
        <v>2</v>
      </c>
      <c r="C7047" t="s">
        <v>16</v>
      </c>
      <c r="D7047">
        <v>7.8960000000000002E-3</v>
      </c>
      <c r="E7047">
        <f t="shared" si="220"/>
        <v>1.0078959999999999</v>
      </c>
      <c r="F7047" s="1">
        <f t="shared" si="221"/>
        <v>42030</v>
      </c>
      <c r="G7047" cm="1">
        <f t="array" ref="G7047">PRODUCT( _xlfn._xlws.FILTER($E:$E, ($C:$C=C7047)*($F:$F=F7047)) ) - 1</f>
        <v>-1.2756078285554584E-2</v>
      </c>
    </row>
    <row r="7048" spans="1:7" x14ac:dyDescent="0.2">
      <c r="A7048" s="1">
        <v>42031</v>
      </c>
      <c r="B7048">
        <v>2</v>
      </c>
      <c r="C7048" t="s">
        <v>16</v>
      </c>
      <c r="D7048">
        <v>-1.2253999999999999E-2</v>
      </c>
      <c r="E7048">
        <f t="shared" si="220"/>
        <v>0.98774600000000001</v>
      </c>
      <c r="F7048" s="1">
        <f t="shared" si="221"/>
        <v>42030</v>
      </c>
      <c r="G7048" cm="1">
        <f t="array" ref="G7048">PRODUCT( _xlfn._xlws.FILTER($E:$E, ($C:$C=C7048)*($F:$F=F7048)) ) - 1</f>
        <v>-1.2756078285554584E-2</v>
      </c>
    </row>
    <row r="7049" spans="1:7" x14ac:dyDescent="0.2">
      <c r="A7049" s="1">
        <v>42032</v>
      </c>
      <c r="B7049">
        <v>2</v>
      </c>
      <c r="C7049" t="s">
        <v>16</v>
      </c>
      <c r="D7049">
        <v>-1.4239999999999999E-3</v>
      </c>
      <c r="E7049">
        <f t="shared" si="220"/>
        <v>0.99857600000000002</v>
      </c>
      <c r="F7049" s="1">
        <f t="shared" si="221"/>
        <v>42030</v>
      </c>
      <c r="G7049" cm="1">
        <f t="array" ref="G7049">PRODUCT( _xlfn._xlws.FILTER($E:$E, ($C:$C=C7049)*($F:$F=F7049)) ) - 1</f>
        <v>-1.2756078285554584E-2</v>
      </c>
    </row>
    <row r="7050" spans="1:7" x14ac:dyDescent="0.2">
      <c r="A7050" s="1">
        <v>42033</v>
      </c>
      <c r="B7050">
        <v>2</v>
      </c>
      <c r="C7050" t="s">
        <v>16</v>
      </c>
      <c r="D7050">
        <v>-5.2950000000000002E-3</v>
      </c>
      <c r="E7050">
        <f t="shared" si="220"/>
        <v>0.99470499999999995</v>
      </c>
      <c r="F7050" s="1">
        <f t="shared" si="221"/>
        <v>42030</v>
      </c>
      <c r="G7050" cm="1">
        <f t="array" ref="G7050">PRODUCT( _xlfn._xlws.FILTER($E:$E, ($C:$C=C7050)*($F:$F=F7050)) ) - 1</f>
        <v>-1.2756078285554584E-2</v>
      </c>
    </row>
    <row r="7051" spans="1:7" x14ac:dyDescent="0.2">
      <c r="A7051" s="1">
        <v>42034</v>
      </c>
      <c r="B7051">
        <v>2</v>
      </c>
      <c r="C7051" t="s">
        <v>16</v>
      </c>
      <c r="D7051">
        <v>-1.6379999999999999E-3</v>
      </c>
      <c r="E7051">
        <f t="shared" si="220"/>
        <v>0.99836199999999997</v>
      </c>
      <c r="F7051" s="1">
        <f t="shared" si="221"/>
        <v>42030</v>
      </c>
      <c r="G7051" cm="1">
        <f t="array" ref="G7051">PRODUCT( _xlfn._xlws.FILTER($E:$E, ($C:$C=C7051)*($F:$F=F7051)) ) - 1</f>
        <v>-1.2756078285554584E-2</v>
      </c>
    </row>
    <row r="7052" spans="1:7" x14ac:dyDescent="0.2">
      <c r="A7052" s="1">
        <v>42037</v>
      </c>
      <c r="B7052">
        <v>2</v>
      </c>
      <c r="C7052" t="s">
        <v>16</v>
      </c>
      <c r="D7052">
        <v>5.947E-3</v>
      </c>
      <c r="E7052">
        <f t="shared" si="220"/>
        <v>1.0059469999999999</v>
      </c>
      <c r="F7052" s="1">
        <f t="shared" si="221"/>
        <v>42037</v>
      </c>
      <c r="G7052" cm="1">
        <f t="array" ref="G7052">PRODUCT( _xlfn._xlws.FILTER($E:$E, ($C:$C=C7052)*($F:$F=F7052)) ) - 1</f>
        <v>2.2764537257062845E-2</v>
      </c>
    </row>
    <row r="7053" spans="1:7" x14ac:dyDescent="0.2">
      <c r="A7053" s="1">
        <v>42038</v>
      </c>
      <c r="B7053">
        <v>2</v>
      </c>
      <c r="C7053" t="s">
        <v>16</v>
      </c>
      <c r="D7053">
        <v>-2.4459999999999998E-3</v>
      </c>
      <c r="E7053">
        <f t="shared" si="220"/>
        <v>0.99755400000000005</v>
      </c>
      <c r="F7053" s="1">
        <f t="shared" si="221"/>
        <v>42037</v>
      </c>
      <c r="G7053" cm="1">
        <f t="array" ref="G7053">PRODUCT( _xlfn._xlws.FILTER($E:$E, ($C:$C=C7053)*($F:$F=F7053)) ) - 1</f>
        <v>2.2764537257062845E-2</v>
      </c>
    </row>
    <row r="7054" spans="1:7" x14ac:dyDescent="0.2">
      <c r="A7054" s="1">
        <v>42039</v>
      </c>
      <c r="B7054">
        <v>2</v>
      </c>
      <c r="C7054" t="s">
        <v>16</v>
      </c>
      <c r="D7054">
        <v>2.2072000000000001E-2</v>
      </c>
      <c r="E7054">
        <f t="shared" si="220"/>
        <v>1.0220720000000001</v>
      </c>
      <c r="F7054" s="1">
        <f t="shared" si="221"/>
        <v>42037</v>
      </c>
      <c r="G7054" cm="1">
        <f t="array" ref="G7054">PRODUCT( _xlfn._xlws.FILTER($E:$E, ($C:$C=C7054)*($F:$F=F7054)) ) - 1</f>
        <v>2.2764537257062845E-2</v>
      </c>
    </row>
    <row r="7055" spans="1:7" x14ac:dyDescent="0.2">
      <c r="A7055" s="1">
        <v>42040</v>
      </c>
      <c r="B7055">
        <v>2</v>
      </c>
      <c r="C7055" t="s">
        <v>16</v>
      </c>
      <c r="D7055">
        <v>-5.3990000000000002E-3</v>
      </c>
      <c r="E7055">
        <f t="shared" si="220"/>
        <v>0.99460099999999996</v>
      </c>
      <c r="F7055" s="1">
        <f t="shared" si="221"/>
        <v>42037</v>
      </c>
      <c r="G7055" cm="1">
        <f t="array" ref="G7055">PRODUCT( _xlfn._xlws.FILTER($E:$E, ($C:$C=C7055)*($F:$F=F7055)) ) - 1</f>
        <v>2.2764537257062845E-2</v>
      </c>
    </row>
    <row r="7056" spans="1:7" x14ac:dyDescent="0.2">
      <c r="A7056" s="1">
        <v>42041</v>
      </c>
      <c r="B7056">
        <v>2</v>
      </c>
      <c r="C7056" t="s">
        <v>16</v>
      </c>
      <c r="D7056">
        <v>2.614E-3</v>
      </c>
      <c r="E7056">
        <f t="shared" si="220"/>
        <v>1.0026139999999999</v>
      </c>
      <c r="F7056" s="1">
        <f t="shared" si="221"/>
        <v>42037</v>
      </c>
      <c r="G7056" cm="1">
        <f t="array" ref="G7056">PRODUCT( _xlfn._xlws.FILTER($E:$E, ($C:$C=C7056)*($F:$F=F7056)) ) - 1</f>
        <v>2.2764537257062845E-2</v>
      </c>
    </row>
    <row r="7057" spans="1:7" x14ac:dyDescent="0.2">
      <c r="A7057" s="1">
        <v>42044</v>
      </c>
      <c r="B7057">
        <v>2</v>
      </c>
      <c r="C7057" t="s">
        <v>16</v>
      </c>
      <c r="D7057">
        <v>-6.417E-3</v>
      </c>
      <c r="E7057">
        <f t="shared" si="220"/>
        <v>0.99358299999999999</v>
      </c>
      <c r="F7057" s="1">
        <f t="shared" si="221"/>
        <v>42044</v>
      </c>
      <c r="G7057" cm="1">
        <f t="array" ref="G7057">PRODUCT( _xlfn._xlws.FILTER($E:$E, ($C:$C=C7057)*($F:$F=F7057)) ) - 1</f>
        <v>-2.0053006043934118E-2</v>
      </c>
    </row>
    <row r="7058" spans="1:7" x14ac:dyDescent="0.2">
      <c r="A7058" s="1">
        <v>42045</v>
      </c>
      <c r="B7058">
        <v>2</v>
      </c>
      <c r="C7058" t="s">
        <v>16</v>
      </c>
      <c r="D7058">
        <v>4.2379999999999996E-3</v>
      </c>
      <c r="E7058">
        <f t="shared" si="220"/>
        <v>1.004238</v>
      </c>
      <c r="F7058" s="1">
        <f t="shared" si="221"/>
        <v>42044</v>
      </c>
      <c r="G7058" cm="1">
        <f t="array" ref="G7058">PRODUCT( _xlfn._xlws.FILTER($E:$E, ($C:$C=C7058)*($F:$F=F7058)) ) - 1</f>
        <v>-2.0053006043934118E-2</v>
      </c>
    </row>
    <row r="7059" spans="1:7" x14ac:dyDescent="0.2">
      <c r="A7059" s="1">
        <v>42046</v>
      </c>
      <c r="B7059">
        <v>2</v>
      </c>
      <c r="C7059" t="s">
        <v>16</v>
      </c>
      <c r="D7059">
        <v>-1.9293000000000001E-2</v>
      </c>
      <c r="E7059">
        <f t="shared" si="220"/>
        <v>0.980707</v>
      </c>
      <c r="F7059" s="1">
        <f t="shared" si="221"/>
        <v>42044</v>
      </c>
      <c r="G7059" cm="1">
        <f t="array" ref="G7059">PRODUCT( _xlfn._xlws.FILTER($E:$E, ($C:$C=C7059)*($F:$F=F7059)) ) - 1</f>
        <v>-2.0053006043934118E-2</v>
      </c>
    </row>
    <row r="7060" spans="1:7" x14ac:dyDescent="0.2">
      <c r="A7060" s="1">
        <v>42047</v>
      </c>
      <c r="B7060">
        <v>2</v>
      </c>
      <c r="C7060" t="s">
        <v>16</v>
      </c>
      <c r="D7060">
        <v>-2.4589999999999998E-3</v>
      </c>
      <c r="E7060">
        <f t="shared" si="220"/>
        <v>0.99754100000000001</v>
      </c>
      <c r="F7060" s="1">
        <f t="shared" si="221"/>
        <v>42044</v>
      </c>
      <c r="G7060" cm="1">
        <f t="array" ref="G7060">PRODUCT( _xlfn._xlws.FILTER($E:$E, ($C:$C=C7060)*($F:$F=F7060)) ) - 1</f>
        <v>-2.0053006043934118E-2</v>
      </c>
    </row>
    <row r="7061" spans="1:7" x14ac:dyDescent="0.2">
      <c r="A7061" s="1">
        <v>42048</v>
      </c>
      <c r="B7061">
        <v>2</v>
      </c>
      <c r="C7061" t="s">
        <v>16</v>
      </c>
      <c r="D7061">
        <v>3.9029999999999998E-3</v>
      </c>
      <c r="E7061">
        <f t="shared" si="220"/>
        <v>1.003903</v>
      </c>
      <c r="F7061" s="1">
        <f t="shared" si="221"/>
        <v>42044</v>
      </c>
      <c r="G7061" cm="1">
        <f t="array" ref="G7061">PRODUCT( _xlfn._xlws.FILTER($E:$E, ($C:$C=C7061)*($F:$F=F7061)) ) - 1</f>
        <v>-2.0053006043934118E-2</v>
      </c>
    </row>
    <row r="7062" spans="1:7" x14ac:dyDescent="0.2">
      <c r="A7062" s="1">
        <v>42052</v>
      </c>
      <c r="B7062">
        <v>2</v>
      </c>
      <c r="C7062" t="s">
        <v>16</v>
      </c>
      <c r="D7062">
        <v>7.3670000000000003E-3</v>
      </c>
      <c r="E7062">
        <f t="shared" si="220"/>
        <v>1.0073669999999999</v>
      </c>
      <c r="F7062" s="1">
        <f t="shared" si="221"/>
        <v>42051</v>
      </c>
      <c r="G7062" cm="1">
        <f t="array" ref="G7062">PRODUCT( _xlfn._xlws.FILTER($E:$E, ($C:$C=C7062)*($F:$F=F7062)) ) - 1</f>
        <v>1.76625695385213E-2</v>
      </c>
    </row>
    <row r="7063" spans="1:7" x14ac:dyDescent="0.2">
      <c r="A7063" s="1">
        <v>42053</v>
      </c>
      <c r="B7063">
        <v>2</v>
      </c>
      <c r="C7063" t="s">
        <v>16</v>
      </c>
      <c r="D7063">
        <v>-6.0899999999999995E-4</v>
      </c>
      <c r="E7063">
        <f t="shared" si="220"/>
        <v>0.99939100000000003</v>
      </c>
      <c r="F7063" s="1">
        <f t="shared" si="221"/>
        <v>42051</v>
      </c>
      <c r="G7063" cm="1">
        <f t="array" ref="G7063">PRODUCT( _xlfn._xlws.FILTER($E:$E, ($C:$C=C7063)*($F:$F=F7063)) ) - 1</f>
        <v>1.76625695385213E-2</v>
      </c>
    </row>
    <row r="7064" spans="1:7" x14ac:dyDescent="0.2">
      <c r="A7064" s="1">
        <v>42054</v>
      </c>
      <c r="B7064">
        <v>2</v>
      </c>
      <c r="C7064" t="s">
        <v>16</v>
      </c>
      <c r="D7064">
        <v>1.76E-4</v>
      </c>
      <c r="E7064">
        <f t="shared" si="220"/>
        <v>1.000176</v>
      </c>
      <c r="F7064" s="1">
        <f t="shared" si="221"/>
        <v>42051</v>
      </c>
      <c r="G7064" cm="1">
        <f t="array" ref="G7064">PRODUCT( _xlfn._xlws.FILTER($E:$E, ($C:$C=C7064)*($F:$F=F7064)) ) - 1</f>
        <v>1.76625695385213E-2</v>
      </c>
    </row>
    <row r="7065" spans="1:7" x14ac:dyDescent="0.2">
      <c r="A7065" s="1">
        <v>42055</v>
      </c>
      <c r="B7065">
        <v>2</v>
      </c>
      <c r="C7065" t="s">
        <v>16</v>
      </c>
      <c r="D7065">
        <v>1.0658000000000001E-2</v>
      </c>
      <c r="E7065">
        <f t="shared" si="220"/>
        <v>1.0106580000000001</v>
      </c>
      <c r="F7065" s="1">
        <f t="shared" si="221"/>
        <v>42051</v>
      </c>
      <c r="G7065" cm="1">
        <f t="array" ref="G7065">PRODUCT( _xlfn._xlws.FILTER($E:$E, ($C:$C=C7065)*($F:$F=F7065)) ) - 1</f>
        <v>1.76625695385213E-2</v>
      </c>
    </row>
    <row r="7066" spans="1:7" x14ac:dyDescent="0.2">
      <c r="A7066" s="1">
        <v>42058</v>
      </c>
      <c r="B7066">
        <v>2</v>
      </c>
      <c r="C7066" t="s">
        <v>16</v>
      </c>
      <c r="D7066">
        <v>1.4803999999999999E-2</v>
      </c>
      <c r="E7066">
        <f t="shared" si="220"/>
        <v>1.014804</v>
      </c>
      <c r="F7066" s="1">
        <f t="shared" si="221"/>
        <v>42058</v>
      </c>
      <c r="G7066" cm="1">
        <f t="array" ref="G7066">PRODUCT( _xlfn._xlws.FILTER($E:$E, ($C:$C=C7066)*($F:$F=F7066)) ) - 1</f>
        <v>-5.0696364140986327E-3</v>
      </c>
    </row>
    <row r="7067" spans="1:7" x14ac:dyDescent="0.2">
      <c r="A7067" s="1">
        <v>42059</v>
      </c>
      <c r="B7067">
        <v>2</v>
      </c>
      <c r="C7067" t="s">
        <v>16</v>
      </c>
      <c r="D7067">
        <v>-3.1970000000000002E-3</v>
      </c>
      <c r="E7067">
        <f t="shared" si="220"/>
        <v>0.99680299999999999</v>
      </c>
      <c r="F7067" s="1">
        <f t="shared" si="221"/>
        <v>42058</v>
      </c>
      <c r="G7067" cm="1">
        <f t="array" ref="G7067">PRODUCT( _xlfn._xlws.FILTER($E:$E, ($C:$C=C7067)*($F:$F=F7067)) ) - 1</f>
        <v>-5.0696364140986327E-3</v>
      </c>
    </row>
    <row r="7068" spans="1:7" x14ac:dyDescent="0.2">
      <c r="A7068" s="1">
        <v>42060</v>
      </c>
      <c r="B7068">
        <v>2</v>
      </c>
      <c r="C7068" t="s">
        <v>16</v>
      </c>
      <c r="D7068">
        <v>-7.6179999999999998E-3</v>
      </c>
      <c r="E7068">
        <f t="shared" si="220"/>
        <v>0.99238199999999999</v>
      </c>
      <c r="F7068" s="1">
        <f t="shared" si="221"/>
        <v>42058</v>
      </c>
      <c r="G7068" cm="1">
        <f t="array" ref="G7068">PRODUCT( _xlfn._xlws.FILTER($E:$E, ($C:$C=C7068)*($F:$F=F7068)) ) - 1</f>
        <v>-5.0696364140986327E-3</v>
      </c>
    </row>
    <row r="7069" spans="1:7" x14ac:dyDescent="0.2">
      <c r="A7069" s="1">
        <v>42061</v>
      </c>
      <c r="B7069">
        <v>2</v>
      </c>
      <c r="C7069" t="s">
        <v>16</v>
      </c>
      <c r="D7069">
        <v>2.0200000000000001E-3</v>
      </c>
      <c r="E7069">
        <f t="shared" si="220"/>
        <v>1.0020199999999999</v>
      </c>
      <c r="F7069" s="1">
        <f t="shared" si="221"/>
        <v>42058</v>
      </c>
      <c r="G7069" cm="1">
        <f t="array" ref="G7069">PRODUCT( _xlfn._xlws.FILTER($E:$E, ($C:$C=C7069)*($F:$F=F7069)) ) - 1</f>
        <v>-5.0696364140986327E-3</v>
      </c>
    </row>
    <row r="7070" spans="1:7" x14ac:dyDescent="0.2">
      <c r="A7070" s="1">
        <v>42062</v>
      </c>
      <c r="B7070">
        <v>2</v>
      </c>
      <c r="C7070" t="s">
        <v>16</v>
      </c>
      <c r="D7070">
        <v>-1.0887000000000001E-2</v>
      </c>
      <c r="E7070">
        <f t="shared" si="220"/>
        <v>0.98911300000000002</v>
      </c>
      <c r="F7070" s="1">
        <f t="shared" si="221"/>
        <v>42058</v>
      </c>
      <c r="G7070" cm="1">
        <f t="array" ref="G7070">PRODUCT( _xlfn._xlws.FILTER($E:$E, ($C:$C=C7070)*($F:$F=F7070)) ) - 1</f>
        <v>-5.0696364140986327E-3</v>
      </c>
    </row>
    <row r="7071" spans="1:7" x14ac:dyDescent="0.2">
      <c r="A7071" s="1">
        <v>42065</v>
      </c>
      <c r="B7071">
        <v>2</v>
      </c>
      <c r="C7071" t="s">
        <v>16</v>
      </c>
      <c r="D7071">
        <v>5.5030000000000001E-3</v>
      </c>
      <c r="E7071">
        <f t="shared" si="220"/>
        <v>1.005503</v>
      </c>
      <c r="F7071" s="1">
        <f t="shared" si="221"/>
        <v>42065</v>
      </c>
      <c r="G7071" cm="1">
        <f t="array" ref="G7071">PRODUCT( _xlfn._xlws.FILTER($E:$E, ($C:$C=C7071)*($F:$F=F7071)) ) - 1</f>
        <v>3.6682542662551665E-3</v>
      </c>
    </row>
    <row r="7072" spans="1:7" x14ac:dyDescent="0.2">
      <c r="A7072" s="1">
        <v>42066</v>
      </c>
      <c r="B7072">
        <v>2</v>
      </c>
      <c r="C7072" t="s">
        <v>16</v>
      </c>
      <c r="D7072">
        <v>4.8650000000000004E-3</v>
      </c>
      <c r="E7072">
        <f t="shared" si="220"/>
        <v>1.0048649999999999</v>
      </c>
      <c r="F7072" s="1">
        <f t="shared" si="221"/>
        <v>42065</v>
      </c>
      <c r="G7072" cm="1">
        <f t="array" ref="G7072">PRODUCT( _xlfn._xlws.FILTER($E:$E, ($C:$C=C7072)*($F:$F=F7072)) ) - 1</f>
        <v>3.6682542662551665E-3</v>
      </c>
    </row>
    <row r="7073" spans="1:7" x14ac:dyDescent="0.2">
      <c r="A7073" s="1">
        <v>42067</v>
      </c>
      <c r="B7073">
        <v>2</v>
      </c>
      <c r="C7073" t="s">
        <v>16</v>
      </c>
      <c r="D7073">
        <v>-5.0429999999999997E-3</v>
      </c>
      <c r="E7073">
        <f t="shared" si="220"/>
        <v>0.99495699999999998</v>
      </c>
      <c r="F7073" s="1">
        <f t="shared" si="221"/>
        <v>42065</v>
      </c>
      <c r="G7073" cm="1">
        <f t="array" ref="G7073">PRODUCT( _xlfn._xlws.FILTER($E:$E, ($C:$C=C7073)*($F:$F=F7073)) ) - 1</f>
        <v>3.6682542662551665E-3</v>
      </c>
    </row>
    <row r="7074" spans="1:7" x14ac:dyDescent="0.2">
      <c r="A7074" s="1">
        <v>42068</v>
      </c>
      <c r="B7074">
        <v>2</v>
      </c>
      <c r="C7074" t="s">
        <v>16</v>
      </c>
      <c r="D7074">
        <v>1.0746E-2</v>
      </c>
      <c r="E7074">
        <f t="shared" si="220"/>
        <v>1.0107459999999999</v>
      </c>
      <c r="F7074" s="1">
        <f t="shared" si="221"/>
        <v>42065</v>
      </c>
      <c r="G7074" cm="1">
        <f t="array" ref="G7074">PRODUCT( _xlfn._xlws.FILTER($E:$E, ($C:$C=C7074)*($F:$F=F7074)) ) - 1</f>
        <v>3.6682542662551665E-3</v>
      </c>
    </row>
    <row r="7075" spans="1:7" x14ac:dyDescent="0.2">
      <c r="A7075" s="1">
        <v>42069</v>
      </c>
      <c r="B7075">
        <v>2</v>
      </c>
      <c r="C7075" t="s">
        <v>16</v>
      </c>
      <c r="D7075">
        <v>-1.2237E-2</v>
      </c>
      <c r="E7075">
        <f t="shared" si="220"/>
        <v>0.98776299999999995</v>
      </c>
      <c r="F7075" s="1">
        <f t="shared" si="221"/>
        <v>42065</v>
      </c>
      <c r="G7075" cm="1">
        <f t="array" ref="G7075">PRODUCT( _xlfn._xlws.FILTER($E:$E, ($C:$C=C7075)*($F:$F=F7075)) ) - 1</f>
        <v>3.6682542662551665E-3</v>
      </c>
    </row>
    <row r="7076" spans="1:7" x14ac:dyDescent="0.2">
      <c r="A7076" s="1">
        <v>42072</v>
      </c>
      <c r="B7076">
        <v>2</v>
      </c>
      <c r="C7076" t="s">
        <v>16</v>
      </c>
      <c r="D7076">
        <v>8.123E-3</v>
      </c>
      <c r="E7076">
        <f t="shared" si="220"/>
        <v>1.0081230000000001</v>
      </c>
      <c r="F7076" s="1">
        <f t="shared" si="221"/>
        <v>42072</v>
      </c>
      <c r="G7076" cm="1">
        <f t="array" ref="G7076">PRODUCT( _xlfn._xlws.FILTER($E:$E, ($C:$C=C7076)*($F:$F=F7076)) ) - 1</f>
        <v>3.269756115252398E-2</v>
      </c>
    </row>
    <row r="7077" spans="1:7" x14ac:dyDescent="0.2">
      <c r="A7077" s="1">
        <v>42073</v>
      </c>
      <c r="B7077">
        <v>2</v>
      </c>
      <c r="C7077" t="s">
        <v>16</v>
      </c>
      <c r="D7077">
        <v>-5.842E-3</v>
      </c>
      <c r="E7077">
        <f t="shared" si="220"/>
        <v>0.99415799999999999</v>
      </c>
      <c r="F7077" s="1">
        <f t="shared" si="221"/>
        <v>42072</v>
      </c>
      <c r="G7077" cm="1">
        <f t="array" ref="G7077">PRODUCT( _xlfn._xlws.FILTER($E:$E, ($C:$C=C7077)*($F:$F=F7077)) ) - 1</f>
        <v>3.269756115252398E-2</v>
      </c>
    </row>
    <row r="7078" spans="1:7" x14ac:dyDescent="0.2">
      <c r="A7078" s="1">
        <v>42074</v>
      </c>
      <c r="B7078">
        <v>2</v>
      </c>
      <c r="C7078" t="s">
        <v>16</v>
      </c>
      <c r="D7078">
        <v>2.1885000000000002E-2</v>
      </c>
      <c r="E7078">
        <f t="shared" si="220"/>
        <v>1.0218849999999999</v>
      </c>
      <c r="F7078" s="1">
        <f t="shared" si="221"/>
        <v>42072</v>
      </c>
      <c r="G7078" cm="1">
        <f t="array" ref="G7078">PRODUCT( _xlfn._xlws.FILTER($E:$E, ($C:$C=C7078)*($F:$F=F7078)) ) - 1</f>
        <v>3.269756115252398E-2</v>
      </c>
    </row>
    <row r="7079" spans="1:7" x14ac:dyDescent="0.2">
      <c r="A7079" s="1">
        <v>42075</v>
      </c>
      <c r="B7079">
        <v>2</v>
      </c>
      <c r="C7079" t="s">
        <v>16</v>
      </c>
      <c r="D7079">
        <v>9.3200000000000002E-3</v>
      </c>
      <c r="E7079">
        <f t="shared" si="220"/>
        <v>1.00932</v>
      </c>
      <c r="F7079" s="1">
        <f t="shared" si="221"/>
        <v>42072</v>
      </c>
      <c r="G7079" cm="1">
        <f t="array" ref="G7079">PRODUCT( _xlfn._xlws.FILTER($E:$E, ($C:$C=C7079)*($F:$F=F7079)) ) - 1</f>
        <v>3.269756115252398E-2</v>
      </c>
    </row>
    <row r="7080" spans="1:7" x14ac:dyDescent="0.2">
      <c r="A7080" s="1">
        <v>42076</v>
      </c>
      <c r="B7080">
        <v>2</v>
      </c>
      <c r="C7080" t="s">
        <v>16</v>
      </c>
      <c r="D7080">
        <v>-9.8200000000000002E-4</v>
      </c>
      <c r="E7080">
        <f t="shared" si="220"/>
        <v>0.99901799999999996</v>
      </c>
      <c r="F7080" s="1">
        <f t="shared" si="221"/>
        <v>42072</v>
      </c>
      <c r="G7080" cm="1">
        <f t="array" ref="G7080">PRODUCT( _xlfn._xlws.FILTER($E:$E, ($C:$C=C7080)*($F:$F=F7080)) ) - 1</f>
        <v>3.269756115252398E-2</v>
      </c>
    </row>
    <row r="7081" spans="1:7" x14ac:dyDescent="0.2">
      <c r="A7081" s="1">
        <v>42079</v>
      </c>
      <c r="B7081">
        <v>2</v>
      </c>
      <c r="C7081" t="s">
        <v>16</v>
      </c>
      <c r="D7081">
        <v>9.6360000000000005E-3</v>
      </c>
      <c r="E7081">
        <f t="shared" si="220"/>
        <v>1.009636</v>
      </c>
      <c r="F7081" s="1">
        <f t="shared" si="221"/>
        <v>42079</v>
      </c>
      <c r="G7081" cm="1">
        <f t="array" ref="G7081">PRODUCT( _xlfn._xlws.FILTER($E:$E, ($C:$C=C7081)*($F:$F=F7081)) ) - 1</f>
        <v>8.2584624568231568E-3</v>
      </c>
    </row>
    <row r="7082" spans="1:7" x14ac:dyDescent="0.2">
      <c r="A7082" s="1">
        <v>42080</v>
      </c>
      <c r="B7082">
        <v>2</v>
      </c>
      <c r="C7082" t="s">
        <v>16</v>
      </c>
      <c r="D7082">
        <v>4.0899999999999999E-3</v>
      </c>
      <c r="E7082">
        <f t="shared" si="220"/>
        <v>1.0040899999999999</v>
      </c>
      <c r="F7082" s="1">
        <f t="shared" si="221"/>
        <v>42079</v>
      </c>
      <c r="G7082" cm="1">
        <f t="array" ref="G7082">PRODUCT( _xlfn._xlws.FILTER($E:$E, ($C:$C=C7082)*($F:$F=F7082)) ) - 1</f>
        <v>8.2584624568231568E-3</v>
      </c>
    </row>
    <row r="7083" spans="1:7" x14ac:dyDescent="0.2">
      <c r="A7083" s="1">
        <v>42081</v>
      </c>
      <c r="B7083">
        <v>2</v>
      </c>
      <c r="C7083" t="s">
        <v>16</v>
      </c>
      <c r="D7083">
        <v>-5.6259999999999999E-3</v>
      </c>
      <c r="E7083">
        <f t="shared" si="220"/>
        <v>0.99437399999999998</v>
      </c>
      <c r="F7083" s="1">
        <f t="shared" si="221"/>
        <v>42079</v>
      </c>
      <c r="G7083" cm="1">
        <f t="array" ref="G7083">PRODUCT( _xlfn._xlws.FILTER($E:$E, ($C:$C=C7083)*($F:$F=F7083)) ) - 1</f>
        <v>8.2584624568231568E-3</v>
      </c>
    </row>
    <row r="7084" spans="1:7" x14ac:dyDescent="0.2">
      <c r="A7084" s="1">
        <v>42082</v>
      </c>
      <c r="B7084">
        <v>2</v>
      </c>
      <c r="C7084" t="s">
        <v>16</v>
      </c>
      <c r="D7084">
        <v>-1.95E-4</v>
      </c>
      <c r="E7084">
        <f t="shared" si="220"/>
        <v>0.99980500000000005</v>
      </c>
      <c r="F7084" s="1">
        <f t="shared" si="221"/>
        <v>42079</v>
      </c>
      <c r="G7084" cm="1">
        <f t="array" ref="G7084">PRODUCT( _xlfn._xlws.FILTER($E:$E, ($C:$C=C7084)*($F:$F=F7084)) ) - 1</f>
        <v>8.2584624568231568E-3</v>
      </c>
    </row>
    <row r="7085" spans="1:7" x14ac:dyDescent="0.2">
      <c r="A7085" s="1">
        <v>42083</v>
      </c>
      <c r="B7085">
        <v>2</v>
      </c>
      <c r="C7085" t="s">
        <v>16</v>
      </c>
      <c r="D7085">
        <v>3.8999999999999999E-4</v>
      </c>
      <c r="E7085">
        <f t="shared" si="220"/>
        <v>1.0003899999999999</v>
      </c>
      <c r="F7085" s="1">
        <f t="shared" si="221"/>
        <v>42079</v>
      </c>
      <c r="G7085" cm="1">
        <f t="array" ref="G7085">PRODUCT( _xlfn._xlws.FILTER($E:$E, ($C:$C=C7085)*($F:$F=F7085)) ) - 1</f>
        <v>8.2584624568231568E-3</v>
      </c>
    </row>
    <row r="7086" spans="1:7" x14ac:dyDescent="0.2">
      <c r="A7086" s="1">
        <v>42086</v>
      </c>
      <c r="B7086">
        <v>2</v>
      </c>
      <c r="C7086" t="s">
        <v>16</v>
      </c>
      <c r="D7086">
        <v>-1.0142E-2</v>
      </c>
      <c r="E7086">
        <f t="shared" si="220"/>
        <v>0.98985800000000002</v>
      </c>
      <c r="F7086" s="1">
        <f t="shared" si="221"/>
        <v>42086</v>
      </c>
      <c r="G7086" cm="1">
        <f t="array" ref="G7086">PRODUCT( _xlfn._xlws.FILTER($E:$E, ($C:$C=C7086)*($F:$F=F7086)) ) - 1</f>
        <v>-1.4237840936240698E-2</v>
      </c>
    </row>
    <row r="7087" spans="1:7" x14ac:dyDescent="0.2">
      <c r="A7087" s="1">
        <v>42087</v>
      </c>
      <c r="B7087">
        <v>2</v>
      </c>
      <c r="C7087" t="s">
        <v>16</v>
      </c>
      <c r="D7087">
        <v>8.8669999999999999E-3</v>
      </c>
      <c r="E7087">
        <f t="shared" si="220"/>
        <v>1.008867</v>
      </c>
      <c r="F7087" s="1">
        <f t="shared" si="221"/>
        <v>42086</v>
      </c>
      <c r="G7087" cm="1">
        <f t="array" ref="G7087">PRODUCT( _xlfn._xlws.FILTER($E:$E, ($C:$C=C7087)*($F:$F=F7087)) ) - 1</f>
        <v>-1.4237840936240698E-2</v>
      </c>
    </row>
    <row r="7088" spans="1:7" x14ac:dyDescent="0.2">
      <c r="A7088" s="1">
        <v>42088</v>
      </c>
      <c r="B7088">
        <v>2</v>
      </c>
      <c r="C7088" t="s">
        <v>16</v>
      </c>
      <c r="D7088">
        <v>-1.4453000000000001E-2</v>
      </c>
      <c r="E7088">
        <f t="shared" si="220"/>
        <v>0.98554699999999995</v>
      </c>
      <c r="F7088" s="1">
        <f t="shared" si="221"/>
        <v>42086</v>
      </c>
      <c r="G7088" cm="1">
        <f t="array" ref="G7088">PRODUCT( _xlfn._xlws.FILTER($E:$E, ($C:$C=C7088)*($F:$F=F7088)) ) - 1</f>
        <v>-1.4237840936240698E-2</v>
      </c>
    </row>
    <row r="7089" spans="1:7" x14ac:dyDescent="0.2">
      <c r="A7089" s="1">
        <v>42089</v>
      </c>
      <c r="B7089">
        <v>2</v>
      </c>
      <c r="C7089" t="s">
        <v>16</v>
      </c>
      <c r="D7089">
        <v>-2.9729999999999999E-3</v>
      </c>
      <c r="E7089">
        <f t="shared" si="220"/>
        <v>0.997027</v>
      </c>
      <c r="F7089" s="1">
        <f t="shared" si="221"/>
        <v>42086</v>
      </c>
      <c r="G7089" cm="1">
        <f t="array" ref="G7089">PRODUCT( _xlfn._xlws.FILTER($E:$E, ($C:$C=C7089)*($F:$F=F7089)) ) - 1</f>
        <v>-1.4237840936240698E-2</v>
      </c>
    </row>
    <row r="7090" spans="1:7" x14ac:dyDescent="0.2">
      <c r="A7090" s="1">
        <v>42090</v>
      </c>
      <c r="B7090">
        <v>2</v>
      </c>
      <c r="C7090" t="s">
        <v>16</v>
      </c>
      <c r="D7090">
        <v>4.5719999999999997E-3</v>
      </c>
      <c r="E7090">
        <f t="shared" si="220"/>
        <v>1.004572</v>
      </c>
      <c r="F7090" s="1">
        <f t="shared" si="221"/>
        <v>42086</v>
      </c>
      <c r="G7090" cm="1">
        <f t="array" ref="G7090">PRODUCT( _xlfn._xlws.FILTER($E:$E, ($C:$C=C7090)*($F:$F=F7090)) ) - 1</f>
        <v>-1.4237840936240698E-2</v>
      </c>
    </row>
    <row r="7091" spans="1:7" x14ac:dyDescent="0.2">
      <c r="A7091" s="1">
        <v>42093</v>
      </c>
      <c r="B7091">
        <v>2</v>
      </c>
      <c r="C7091" t="s">
        <v>16</v>
      </c>
      <c r="D7091">
        <v>5.9360000000000003E-3</v>
      </c>
      <c r="E7091">
        <f t="shared" si="220"/>
        <v>1.0059359999999999</v>
      </c>
      <c r="F7091" s="1">
        <f t="shared" si="221"/>
        <v>42093</v>
      </c>
      <c r="G7091" cm="1">
        <f t="array" ref="G7091">PRODUCT( _xlfn._xlws.FILTER($E:$E, ($C:$C=C7091)*($F:$F=F7091)) ) - 1</f>
        <v>2.5524401452972523E-2</v>
      </c>
    </row>
    <row r="7092" spans="1:7" x14ac:dyDescent="0.2">
      <c r="A7092" s="1">
        <v>42094</v>
      </c>
      <c r="B7092">
        <v>2</v>
      </c>
      <c r="C7092" t="s">
        <v>16</v>
      </c>
      <c r="D7092">
        <v>1.0031E-2</v>
      </c>
      <c r="E7092">
        <f t="shared" si="220"/>
        <v>1.0100309999999999</v>
      </c>
      <c r="F7092" s="1">
        <f t="shared" si="221"/>
        <v>42093</v>
      </c>
      <c r="G7092" cm="1">
        <f t="array" ref="G7092">PRODUCT( _xlfn._xlws.FILTER($E:$E, ($C:$C=C7092)*($F:$F=F7092)) ) - 1</f>
        <v>2.5524401452972523E-2</v>
      </c>
    </row>
    <row r="7093" spans="1:7" x14ac:dyDescent="0.2">
      <c r="A7093" s="1">
        <v>42095</v>
      </c>
      <c r="B7093">
        <v>2</v>
      </c>
      <c r="C7093" t="s">
        <v>16</v>
      </c>
      <c r="D7093">
        <v>-3.1159999999999998E-3</v>
      </c>
      <c r="E7093">
        <f t="shared" si="220"/>
        <v>0.99688399999999999</v>
      </c>
      <c r="F7093" s="1">
        <f t="shared" si="221"/>
        <v>42093</v>
      </c>
      <c r="G7093" cm="1">
        <f t="array" ref="G7093">PRODUCT( _xlfn._xlws.FILTER($E:$E, ($C:$C=C7093)*($F:$F=F7093)) ) - 1</f>
        <v>2.5524401452972523E-2</v>
      </c>
    </row>
    <row r="7094" spans="1:7" x14ac:dyDescent="0.2">
      <c r="A7094" s="1">
        <v>42096</v>
      </c>
      <c r="B7094">
        <v>2</v>
      </c>
      <c r="C7094" t="s">
        <v>16</v>
      </c>
      <c r="D7094">
        <v>1.2503E-2</v>
      </c>
      <c r="E7094">
        <f t="shared" si="220"/>
        <v>1.0125029999999999</v>
      </c>
      <c r="F7094" s="1">
        <f t="shared" si="221"/>
        <v>42093</v>
      </c>
      <c r="G7094" cm="1">
        <f t="array" ref="G7094">PRODUCT( _xlfn._xlws.FILTER($E:$E, ($C:$C=C7094)*($F:$F=F7094)) ) - 1</f>
        <v>2.5524401452972523E-2</v>
      </c>
    </row>
    <row r="7095" spans="1:7" x14ac:dyDescent="0.2">
      <c r="A7095" s="1">
        <v>42100</v>
      </c>
      <c r="B7095">
        <v>2</v>
      </c>
      <c r="C7095" t="s">
        <v>16</v>
      </c>
      <c r="D7095">
        <v>3.2799999999999999E-3</v>
      </c>
      <c r="E7095">
        <f t="shared" si="220"/>
        <v>1.0032799999999999</v>
      </c>
      <c r="F7095" s="1">
        <f t="shared" si="221"/>
        <v>42100</v>
      </c>
      <c r="G7095" cm="1">
        <f t="array" ref="G7095">PRODUCT( _xlfn._xlws.FILTER($E:$E, ($C:$C=C7095)*($F:$F=F7095)) ) - 1</f>
        <v>1.678665162370474E-2</v>
      </c>
    </row>
    <row r="7096" spans="1:7" x14ac:dyDescent="0.2">
      <c r="A7096" s="1">
        <v>42101</v>
      </c>
      <c r="B7096">
        <v>2</v>
      </c>
      <c r="C7096" t="s">
        <v>16</v>
      </c>
      <c r="D7096">
        <v>-1.92E-4</v>
      </c>
      <c r="E7096">
        <f t="shared" si="220"/>
        <v>0.99980800000000003</v>
      </c>
      <c r="F7096" s="1">
        <f t="shared" si="221"/>
        <v>42100</v>
      </c>
      <c r="G7096" cm="1">
        <f t="array" ref="G7096">PRODUCT( _xlfn._xlws.FILTER($E:$E, ($C:$C=C7096)*($F:$F=F7096)) ) - 1</f>
        <v>1.678665162370474E-2</v>
      </c>
    </row>
    <row r="7097" spans="1:7" x14ac:dyDescent="0.2">
      <c r="A7097" s="1">
        <v>42102</v>
      </c>
      <c r="B7097">
        <v>2</v>
      </c>
      <c r="C7097" t="s">
        <v>16</v>
      </c>
      <c r="D7097">
        <v>5.3860000000000002E-3</v>
      </c>
      <c r="E7097">
        <f t="shared" si="220"/>
        <v>1.0053859999999999</v>
      </c>
      <c r="F7097" s="1">
        <f t="shared" si="221"/>
        <v>42100</v>
      </c>
      <c r="G7097" cm="1">
        <f t="array" ref="G7097">PRODUCT( _xlfn._xlws.FILTER($E:$E, ($C:$C=C7097)*($F:$F=F7097)) ) - 1</f>
        <v>1.678665162370474E-2</v>
      </c>
    </row>
    <row r="7098" spans="1:7" x14ac:dyDescent="0.2">
      <c r="A7098" s="1">
        <v>42103</v>
      </c>
      <c r="B7098">
        <v>2</v>
      </c>
      <c r="C7098" t="s">
        <v>16</v>
      </c>
      <c r="D7098">
        <v>6.1219999999999998E-3</v>
      </c>
      <c r="E7098">
        <f t="shared" si="220"/>
        <v>1.006122</v>
      </c>
      <c r="F7098" s="1">
        <f t="shared" si="221"/>
        <v>42100</v>
      </c>
      <c r="G7098" cm="1">
        <f t="array" ref="G7098">PRODUCT( _xlfn._xlws.FILTER($E:$E, ($C:$C=C7098)*($F:$F=F7098)) ) - 1</f>
        <v>1.678665162370474E-2</v>
      </c>
    </row>
    <row r="7099" spans="1:7" x14ac:dyDescent="0.2">
      <c r="A7099" s="1">
        <v>42104</v>
      </c>
      <c r="B7099">
        <v>2</v>
      </c>
      <c r="C7099" t="s">
        <v>16</v>
      </c>
      <c r="D7099">
        <v>2.0920000000000001E-3</v>
      </c>
      <c r="E7099">
        <f t="shared" si="220"/>
        <v>1.002092</v>
      </c>
      <c r="F7099" s="1">
        <f t="shared" si="221"/>
        <v>42100</v>
      </c>
      <c r="G7099" cm="1">
        <f t="array" ref="G7099">PRODUCT( _xlfn._xlws.FILTER($E:$E, ($C:$C=C7099)*($F:$F=F7099)) ) - 1</f>
        <v>1.678665162370474E-2</v>
      </c>
    </row>
    <row r="7100" spans="1:7" x14ac:dyDescent="0.2">
      <c r="A7100" s="1">
        <v>42107</v>
      </c>
      <c r="B7100">
        <v>2</v>
      </c>
      <c r="C7100" t="s">
        <v>16</v>
      </c>
      <c r="D7100">
        <v>-5.1229999999999999E-3</v>
      </c>
      <c r="E7100">
        <f t="shared" si="220"/>
        <v>0.99487700000000001</v>
      </c>
      <c r="F7100" s="1">
        <f t="shared" si="221"/>
        <v>42107</v>
      </c>
      <c r="G7100" cm="1">
        <f t="array" ref="G7100">PRODUCT( _xlfn._xlws.FILTER($E:$E, ($C:$C=C7100)*($F:$F=F7100)) ) - 1</f>
        <v>-4.3642643574934192E-2</v>
      </c>
    </row>
    <row r="7101" spans="1:7" x14ac:dyDescent="0.2">
      <c r="A7101" s="1">
        <v>42108</v>
      </c>
      <c r="B7101">
        <v>2</v>
      </c>
      <c r="C7101" t="s">
        <v>16</v>
      </c>
      <c r="D7101">
        <v>0</v>
      </c>
      <c r="E7101">
        <f t="shared" si="220"/>
        <v>1</v>
      </c>
      <c r="F7101" s="1">
        <f t="shared" si="221"/>
        <v>42107</v>
      </c>
      <c r="G7101" cm="1">
        <f t="array" ref="G7101">PRODUCT( _xlfn._xlws.FILTER($E:$E, ($C:$C=C7101)*($F:$F=F7101)) ) - 1</f>
        <v>-4.3642643574934192E-2</v>
      </c>
    </row>
    <row r="7102" spans="1:7" x14ac:dyDescent="0.2">
      <c r="A7102" s="1">
        <v>42109</v>
      </c>
      <c r="B7102">
        <v>2</v>
      </c>
      <c r="C7102" t="s">
        <v>16</v>
      </c>
      <c r="D7102">
        <v>-7.0569999999999999E-3</v>
      </c>
      <c r="E7102">
        <f t="shared" si="220"/>
        <v>0.99294300000000002</v>
      </c>
      <c r="F7102" s="1">
        <f t="shared" si="221"/>
        <v>42107</v>
      </c>
      <c r="G7102" cm="1">
        <f t="array" ref="G7102">PRODUCT( _xlfn._xlws.FILTER($E:$E, ($C:$C=C7102)*($F:$F=F7102)) ) - 1</f>
        <v>-4.3642643574934192E-2</v>
      </c>
    </row>
    <row r="7103" spans="1:7" x14ac:dyDescent="0.2">
      <c r="A7103" s="1">
        <v>42110</v>
      </c>
      <c r="B7103">
        <v>2</v>
      </c>
      <c r="C7103" t="s">
        <v>16</v>
      </c>
      <c r="D7103">
        <v>-2.4587000000000001E-2</v>
      </c>
      <c r="E7103">
        <f t="shared" si="220"/>
        <v>0.97541299999999997</v>
      </c>
      <c r="F7103" s="1">
        <f t="shared" si="221"/>
        <v>42107</v>
      </c>
      <c r="G7103" cm="1">
        <f t="array" ref="G7103">PRODUCT( _xlfn._xlws.FILTER($E:$E, ($C:$C=C7103)*($F:$F=F7103)) ) - 1</f>
        <v>-4.3642643574934192E-2</v>
      </c>
    </row>
    <row r="7104" spans="1:7" x14ac:dyDescent="0.2">
      <c r="A7104" s="1">
        <v>42111</v>
      </c>
      <c r="B7104">
        <v>2</v>
      </c>
      <c r="C7104" t="s">
        <v>16</v>
      </c>
      <c r="D7104">
        <v>-7.4830000000000001E-3</v>
      </c>
      <c r="E7104">
        <f t="shared" si="220"/>
        <v>0.99251699999999998</v>
      </c>
      <c r="F7104" s="1">
        <f t="shared" si="221"/>
        <v>42107</v>
      </c>
      <c r="G7104" cm="1">
        <f t="array" ref="G7104">PRODUCT( _xlfn._xlws.FILTER($E:$E, ($C:$C=C7104)*($F:$F=F7104)) ) - 1</f>
        <v>-4.3642643574934192E-2</v>
      </c>
    </row>
    <row r="7105" spans="1:7" x14ac:dyDescent="0.2">
      <c r="A7105" s="1">
        <v>42114</v>
      </c>
      <c r="B7105">
        <v>2</v>
      </c>
      <c r="C7105" t="s">
        <v>16</v>
      </c>
      <c r="D7105">
        <v>-1.5870000000000001E-3</v>
      </c>
      <c r="E7105">
        <f t="shared" si="220"/>
        <v>0.99841299999999999</v>
      </c>
      <c r="F7105" s="1">
        <f t="shared" si="221"/>
        <v>42114</v>
      </c>
      <c r="G7105" cm="1">
        <f t="array" ref="G7105">PRODUCT( _xlfn._xlws.FILTER($E:$E, ($C:$C=C7105)*($F:$F=F7105)) ) - 1</f>
        <v>-7.940148392849844E-4</v>
      </c>
    </row>
    <row r="7106" spans="1:7" x14ac:dyDescent="0.2">
      <c r="A7106" s="1">
        <v>42115</v>
      </c>
      <c r="B7106">
        <v>2</v>
      </c>
      <c r="C7106" t="s">
        <v>16</v>
      </c>
      <c r="D7106">
        <v>-3.7759999999999998E-3</v>
      </c>
      <c r="E7106">
        <f t="shared" si="220"/>
        <v>0.996224</v>
      </c>
      <c r="F7106" s="1">
        <f t="shared" si="221"/>
        <v>42114</v>
      </c>
      <c r="G7106" cm="1">
        <f t="array" ref="G7106">PRODUCT( _xlfn._xlws.FILTER($E:$E, ($C:$C=C7106)*($F:$F=F7106)) ) - 1</f>
        <v>-7.940148392849844E-4</v>
      </c>
    </row>
    <row r="7107" spans="1:7" x14ac:dyDescent="0.2">
      <c r="A7107" s="1">
        <v>42116</v>
      </c>
      <c r="B7107">
        <v>2</v>
      </c>
      <c r="C7107" t="s">
        <v>16</v>
      </c>
      <c r="D7107">
        <v>8.378E-3</v>
      </c>
      <c r="E7107">
        <f t="shared" si="220"/>
        <v>1.008378</v>
      </c>
      <c r="F7107" s="1">
        <f t="shared" si="221"/>
        <v>42114</v>
      </c>
      <c r="G7107" cm="1">
        <f t="array" ref="G7107">PRODUCT( _xlfn._xlws.FILTER($E:$E, ($C:$C=C7107)*($F:$F=F7107)) ) - 1</f>
        <v>-7.940148392849844E-4</v>
      </c>
    </row>
    <row r="7108" spans="1:7" x14ac:dyDescent="0.2">
      <c r="A7108" s="1">
        <v>42117</v>
      </c>
      <c r="B7108">
        <v>2</v>
      </c>
      <c r="C7108" t="s">
        <v>16</v>
      </c>
      <c r="D7108">
        <v>-2.5720000000000001E-3</v>
      </c>
      <c r="E7108">
        <f t="shared" ref="E7108:E7171" si="222">D7108+1</f>
        <v>0.99742799999999998</v>
      </c>
      <c r="F7108" s="1">
        <f t="shared" ref="F7108:F7171" si="223">A7108 - (WEEKDAY(A7108, 2) - 1)</f>
        <v>42114</v>
      </c>
      <c r="G7108" cm="1">
        <f t="array" ref="G7108">PRODUCT( _xlfn._xlws.FILTER($E:$E, ($C:$C=C7108)*($F:$F=F7108)) ) - 1</f>
        <v>-7.940148392849844E-4</v>
      </c>
    </row>
    <row r="7109" spans="1:7" x14ac:dyDescent="0.2">
      <c r="A7109" s="1">
        <v>42118</v>
      </c>
      <c r="B7109">
        <v>2</v>
      </c>
      <c r="C7109" t="s">
        <v>16</v>
      </c>
      <c r="D7109">
        <v>-1.1900000000000001E-3</v>
      </c>
      <c r="E7109">
        <f t="shared" si="222"/>
        <v>0.99880999999999998</v>
      </c>
      <c r="F7109" s="1">
        <f t="shared" si="223"/>
        <v>42114</v>
      </c>
      <c r="G7109" cm="1">
        <f t="array" ref="G7109">PRODUCT( _xlfn._xlws.FILTER($E:$E, ($C:$C=C7109)*($F:$F=F7109)) ) - 1</f>
        <v>-7.940148392849844E-4</v>
      </c>
    </row>
    <row r="7110" spans="1:7" x14ac:dyDescent="0.2">
      <c r="A7110" s="1">
        <v>42121</v>
      </c>
      <c r="B7110">
        <v>2</v>
      </c>
      <c r="C7110" t="s">
        <v>16</v>
      </c>
      <c r="D7110">
        <v>-1.9460000000000002E-2</v>
      </c>
      <c r="E7110">
        <f t="shared" si="222"/>
        <v>0.98053999999999997</v>
      </c>
      <c r="F7110" s="1">
        <f t="shared" si="223"/>
        <v>42121</v>
      </c>
      <c r="G7110" cm="1">
        <f t="array" ref="G7110">PRODUCT( _xlfn._xlws.FILTER($E:$E, ($C:$C=C7110)*($F:$F=F7110)) ) - 1</f>
        <v>-3.9718584620823671E-3</v>
      </c>
    </row>
    <row r="7111" spans="1:7" x14ac:dyDescent="0.2">
      <c r="A7111" s="1">
        <v>42122</v>
      </c>
      <c r="B7111">
        <v>2</v>
      </c>
      <c r="C7111" t="s">
        <v>16</v>
      </c>
      <c r="D7111">
        <v>-5.6699999999999997E-3</v>
      </c>
      <c r="E7111">
        <f t="shared" si="222"/>
        <v>0.99433000000000005</v>
      </c>
      <c r="F7111" s="1">
        <f t="shared" si="223"/>
        <v>42121</v>
      </c>
      <c r="G7111" cm="1">
        <f t="array" ref="G7111">PRODUCT( _xlfn._xlws.FILTER($E:$E, ($C:$C=C7111)*($F:$F=F7111)) ) - 1</f>
        <v>-3.9718584620823671E-3</v>
      </c>
    </row>
    <row r="7112" spans="1:7" x14ac:dyDescent="0.2">
      <c r="A7112" s="1">
        <v>42123</v>
      </c>
      <c r="B7112">
        <v>2</v>
      </c>
      <c r="C7112" t="s">
        <v>16</v>
      </c>
      <c r="D7112">
        <v>9.5720000000000006E-3</v>
      </c>
      <c r="E7112">
        <f t="shared" si="222"/>
        <v>1.0095719999999999</v>
      </c>
      <c r="F7112" s="1">
        <f t="shared" si="223"/>
        <v>42121</v>
      </c>
      <c r="G7112" cm="1">
        <f t="array" ref="G7112">PRODUCT( _xlfn._xlws.FILTER($E:$E, ($C:$C=C7112)*($F:$F=F7112)) ) - 1</f>
        <v>-3.9718584620823671E-3</v>
      </c>
    </row>
    <row r="7113" spans="1:7" x14ac:dyDescent="0.2">
      <c r="A7113" s="1">
        <v>42124</v>
      </c>
      <c r="B7113">
        <v>2</v>
      </c>
      <c r="C7113" t="s">
        <v>16</v>
      </c>
      <c r="D7113">
        <v>0</v>
      </c>
      <c r="E7113">
        <f t="shared" si="222"/>
        <v>1</v>
      </c>
      <c r="F7113" s="1">
        <f t="shared" si="223"/>
        <v>42121</v>
      </c>
      <c r="G7113" cm="1">
        <f t="array" ref="G7113">PRODUCT( _xlfn._xlws.FILTER($E:$E, ($C:$C=C7113)*($F:$F=F7113)) ) - 1</f>
        <v>-3.9718584620823671E-3</v>
      </c>
    </row>
    <row r="7114" spans="1:7" x14ac:dyDescent="0.2">
      <c r="A7114" s="1">
        <v>42125</v>
      </c>
      <c r="B7114">
        <v>2</v>
      </c>
      <c r="C7114" t="s">
        <v>16</v>
      </c>
      <c r="D7114">
        <v>1.1901999999999999E-2</v>
      </c>
      <c r="E7114">
        <f t="shared" si="222"/>
        <v>1.0119020000000001</v>
      </c>
      <c r="F7114" s="1">
        <f t="shared" si="223"/>
        <v>42121</v>
      </c>
      <c r="G7114" cm="1">
        <f t="array" ref="G7114">PRODUCT( _xlfn._xlws.FILTER($E:$E, ($C:$C=C7114)*($F:$F=F7114)) ) - 1</f>
        <v>-3.9718584620823671E-3</v>
      </c>
    </row>
    <row r="7115" spans="1:7" x14ac:dyDescent="0.2">
      <c r="A7115" s="1">
        <v>42128</v>
      </c>
      <c r="B7115">
        <v>2</v>
      </c>
      <c r="C7115" t="s">
        <v>16</v>
      </c>
      <c r="D7115">
        <v>-7.9699999999999997E-4</v>
      </c>
      <c r="E7115">
        <f t="shared" si="222"/>
        <v>0.99920299999999995</v>
      </c>
      <c r="F7115" s="1">
        <f t="shared" si="223"/>
        <v>42128</v>
      </c>
      <c r="G7115" cm="1">
        <f t="array" ref="G7115">PRODUCT( _xlfn._xlws.FILTER($E:$E, ($C:$C=C7115)*($F:$F=F7115)) ) - 1</f>
        <v>-1.4153289006013758E-2</v>
      </c>
    </row>
    <row r="7116" spans="1:7" x14ac:dyDescent="0.2">
      <c r="A7116" s="1">
        <v>42129</v>
      </c>
      <c r="B7116">
        <v>2</v>
      </c>
      <c r="C7116" t="s">
        <v>16</v>
      </c>
      <c r="D7116">
        <v>-1.7357999999999998E-2</v>
      </c>
      <c r="E7116">
        <f t="shared" si="222"/>
        <v>0.98264200000000002</v>
      </c>
      <c r="F7116" s="1">
        <f t="shared" si="223"/>
        <v>42128</v>
      </c>
      <c r="G7116" cm="1">
        <f t="array" ref="G7116">PRODUCT( _xlfn._xlws.FILTER($E:$E, ($C:$C=C7116)*($F:$F=F7116)) ) - 1</f>
        <v>-1.4153289006013758E-2</v>
      </c>
    </row>
    <row r="7117" spans="1:7" x14ac:dyDescent="0.2">
      <c r="A7117" s="1">
        <v>42130</v>
      </c>
      <c r="B7117">
        <v>2</v>
      </c>
      <c r="C7117" t="s">
        <v>16</v>
      </c>
      <c r="D7117">
        <v>-6.0910000000000001E-3</v>
      </c>
      <c r="E7117">
        <f t="shared" si="222"/>
        <v>0.99390900000000004</v>
      </c>
      <c r="F7117" s="1">
        <f t="shared" si="223"/>
        <v>42128</v>
      </c>
      <c r="G7117" cm="1">
        <f t="array" ref="G7117">PRODUCT( _xlfn._xlws.FILTER($E:$E, ($C:$C=C7117)*($F:$F=F7117)) ) - 1</f>
        <v>-1.4153289006013758E-2</v>
      </c>
    </row>
    <row r="7118" spans="1:7" x14ac:dyDescent="0.2">
      <c r="A7118" s="1">
        <v>42131</v>
      </c>
      <c r="B7118">
        <v>2</v>
      </c>
      <c r="C7118" t="s">
        <v>16</v>
      </c>
      <c r="D7118">
        <v>5.5160000000000001E-3</v>
      </c>
      <c r="E7118">
        <f t="shared" si="222"/>
        <v>1.0055160000000001</v>
      </c>
      <c r="F7118" s="1">
        <f t="shared" si="223"/>
        <v>42128</v>
      </c>
      <c r="G7118" cm="1">
        <f t="array" ref="G7118">PRODUCT( _xlfn._xlws.FILTER($E:$E, ($C:$C=C7118)*($F:$F=F7118)) ) - 1</f>
        <v>-1.4153289006013758E-2</v>
      </c>
    </row>
    <row r="7119" spans="1:7" x14ac:dyDescent="0.2">
      <c r="A7119" s="1">
        <v>42132</v>
      </c>
      <c r="B7119">
        <v>2</v>
      </c>
      <c r="C7119" t="s">
        <v>16</v>
      </c>
      <c r="D7119">
        <v>4.6730000000000001E-3</v>
      </c>
      <c r="E7119">
        <f t="shared" si="222"/>
        <v>1.0046729999999999</v>
      </c>
      <c r="F7119" s="1">
        <f t="shared" si="223"/>
        <v>42128</v>
      </c>
      <c r="G7119" cm="1">
        <f t="array" ref="G7119">PRODUCT( _xlfn._xlws.FILTER($E:$E, ($C:$C=C7119)*($F:$F=F7119)) ) - 1</f>
        <v>-1.4153289006013758E-2</v>
      </c>
    </row>
    <row r="7120" spans="1:7" x14ac:dyDescent="0.2">
      <c r="A7120" s="1">
        <v>42135</v>
      </c>
      <c r="B7120">
        <v>2</v>
      </c>
      <c r="C7120" t="s">
        <v>16</v>
      </c>
      <c r="D7120">
        <v>-5.4599999999999996E-3</v>
      </c>
      <c r="E7120">
        <f t="shared" si="222"/>
        <v>0.99453999999999998</v>
      </c>
      <c r="F7120" s="1">
        <f t="shared" si="223"/>
        <v>42135</v>
      </c>
      <c r="G7120" cm="1">
        <f t="array" ref="G7120">PRODUCT( _xlfn._xlws.FILTER($E:$E, ($C:$C=C7120)*($F:$F=F7120)) ) - 1</f>
        <v>-3.6411092044428273E-3</v>
      </c>
    </row>
    <row r="7121" spans="1:7" x14ac:dyDescent="0.2">
      <c r="A7121" s="1">
        <v>42136</v>
      </c>
      <c r="B7121">
        <v>2</v>
      </c>
      <c r="C7121" t="s">
        <v>16</v>
      </c>
      <c r="D7121">
        <v>-1.5859999999999999E-2</v>
      </c>
      <c r="E7121">
        <f t="shared" si="222"/>
        <v>0.98414000000000001</v>
      </c>
      <c r="F7121" s="1">
        <f t="shared" si="223"/>
        <v>42135</v>
      </c>
      <c r="G7121" cm="1">
        <f t="array" ref="G7121">PRODUCT( _xlfn._xlws.FILTER($E:$E, ($C:$C=C7121)*($F:$F=F7121)) ) - 1</f>
        <v>-3.6411092044428273E-3</v>
      </c>
    </row>
    <row r="7122" spans="1:7" x14ac:dyDescent="0.2">
      <c r="A7122" s="1">
        <v>42137</v>
      </c>
      <c r="B7122">
        <v>2</v>
      </c>
      <c r="C7122" t="s">
        <v>16</v>
      </c>
      <c r="D7122">
        <v>-9.2980000000000007E-3</v>
      </c>
      <c r="E7122">
        <f t="shared" si="222"/>
        <v>0.99070199999999997</v>
      </c>
      <c r="F7122" s="1">
        <f t="shared" si="223"/>
        <v>42135</v>
      </c>
      <c r="G7122" cm="1">
        <f t="array" ref="G7122">PRODUCT( _xlfn._xlws.FILTER($E:$E, ($C:$C=C7122)*($F:$F=F7122)) ) - 1</f>
        <v>-3.6411092044428273E-3</v>
      </c>
    </row>
    <row r="7123" spans="1:7" x14ac:dyDescent="0.2">
      <c r="A7123" s="1">
        <v>42138</v>
      </c>
      <c r="B7123">
        <v>2</v>
      </c>
      <c r="C7123" t="s">
        <v>16</v>
      </c>
      <c r="D7123">
        <v>1.9812E-2</v>
      </c>
      <c r="E7123">
        <f t="shared" si="222"/>
        <v>1.0198119999999999</v>
      </c>
      <c r="F7123" s="1">
        <f t="shared" si="223"/>
        <v>42135</v>
      </c>
      <c r="G7123" cm="1">
        <f t="array" ref="G7123">PRODUCT( _xlfn._xlws.FILTER($E:$E, ($C:$C=C7123)*($F:$F=F7123)) ) - 1</f>
        <v>-3.6411092044428273E-3</v>
      </c>
    </row>
    <row r="7124" spans="1:7" x14ac:dyDescent="0.2">
      <c r="A7124" s="1">
        <v>42139</v>
      </c>
      <c r="B7124">
        <v>2</v>
      </c>
      <c r="C7124" t="s">
        <v>16</v>
      </c>
      <c r="D7124">
        <v>7.5659999999999998E-3</v>
      </c>
      <c r="E7124">
        <f t="shared" si="222"/>
        <v>1.007566</v>
      </c>
      <c r="F7124" s="1">
        <f t="shared" si="223"/>
        <v>42135</v>
      </c>
      <c r="G7124" cm="1">
        <f t="array" ref="G7124">PRODUCT( _xlfn._xlws.FILTER($E:$E, ($C:$C=C7124)*($F:$F=F7124)) ) - 1</f>
        <v>-3.6411092044428273E-3</v>
      </c>
    </row>
    <row r="7125" spans="1:7" x14ac:dyDescent="0.2">
      <c r="A7125" s="1">
        <v>42143</v>
      </c>
      <c r="B7125">
        <v>2</v>
      </c>
      <c r="C7125" t="s">
        <v>16</v>
      </c>
      <c r="D7125">
        <v>1.9886000000000001E-2</v>
      </c>
      <c r="E7125">
        <f t="shared" si="222"/>
        <v>1.0198860000000001</v>
      </c>
      <c r="F7125" s="1">
        <f t="shared" si="223"/>
        <v>42142</v>
      </c>
      <c r="G7125" cm="1">
        <f t="array" ref="G7125">PRODUCT( _xlfn._xlws.FILTER($E:$E, ($C:$C=C7125)*($F:$F=F7125)) ) - 1</f>
        <v>1.8658061545925753E-2</v>
      </c>
    </row>
    <row r="7126" spans="1:7" x14ac:dyDescent="0.2">
      <c r="A7126" s="1">
        <v>42144</v>
      </c>
      <c r="B7126">
        <v>2</v>
      </c>
      <c r="C7126" t="s">
        <v>16</v>
      </c>
      <c r="D7126">
        <v>-7.424E-3</v>
      </c>
      <c r="E7126">
        <f t="shared" si="222"/>
        <v>0.99257600000000001</v>
      </c>
      <c r="F7126" s="1">
        <f t="shared" si="223"/>
        <v>42142</v>
      </c>
      <c r="G7126" cm="1">
        <f t="array" ref="G7126">PRODUCT( _xlfn._xlws.FILTER($E:$E, ($C:$C=C7126)*($F:$F=F7126)) ) - 1</f>
        <v>1.8658061545925753E-2</v>
      </c>
    </row>
    <row r="7127" spans="1:7" x14ac:dyDescent="0.2">
      <c r="A7127" s="1">
        <v>42145</v>
      </c>
      <c r="B7127">
        <v>2</v>
      </c>
      <c r="C7127" t="s">
        <v>16</v>
      </c>
      <c r="D7127">
        <v>3.6389999999999999E-3</v>
      </c>
      <c r="E7127">
        <f t="shared" si="222"/>
        <v>1.0036389999999999</v>
      </c>
      <c r="F7127" s="1">
        <f t="shared" si="223"/>
        <v>42142</v>
      </c>
      <c r="G7127" cm="1">
        <f t="array" ref="G7127">PRODUCT( _xlfn._xlws.FILTER($E:$E, ($C:$C=C7127)*($F:$F=F7127)) ) - 1</f>
        <v>1.8658061545925753E-2</v>
      </c>
    </row>
    <row r="7128" spans="1:7" x14ac:dyDescent="0.2">
      <c r="A7128" s="1">
        <v>42146</v>
      </c>
      <c r="B7128">
        <v>2</v>
      </c>
      <c r="C7128" t="s">
        <v>16</v>
      </c>
      <c r="D7128">
        <v>2.6180000000000001E-3</v>
      </c>
      <c r="E7128">
        <f t="shared" si="222"/>
        <v>1.002618</v>
      </c>
      <c r="F7128" s="1">
        <f t="shared" si="223"/>
        <v>42142</v>
      </c>
      <c r="G7128" cm="1">
        <f t="array" ref="G7128">PRODUCT( _xlfn._xlws.FILTER($E:$E, ($C:$C=C7128)*($F:$F=F7128)) ) - 1</f>
        <v>1.8658061545925753E-2</v>
      </c>
    </row>
    <row r="7129" spans="1:7" x14ac:dyDescent="0.2">
      <c r="A7129" s="1">
        <v>42149</v>
      </c>
      <c r="B7129">
        <v>2</v>
      </c>
      <c r="C7129" t="s">
        <v>16</v>
      </c>
      <c r="D7129">
        <v>-3.4150000000000001E-3</v>
      </c>
      <c r="E7129">
        <f t="shared" si="222"/>
        <v>0.99658500000000005</v>
      </c>
      <c r="F7129" s="1">
        <f t="shared" si="223"/>
        <v>42149</v>
      </c>
      <c r="G7129" cm="1">
        <f t="array" ref="G7129">PRODUCT( _xlfn._xlws.FILTER($E:$E, ($C:$C=C7129)*($F:$F=F7129)) ) - 1</f>
        <v>-2.4103407279546518E-3</v>
      </c>
    </row>
    <row r="7130" spans="1:7" x14ac:dyDescent="0.2">
      <c r="A7130" s="1">
        <v>42150</v>
      </c>
      <c r="B7130">
        <v>2</v>
      </c>
      <c r="C7130" t="s">
        <v>16</v>
      </c>
      <c r="D7130">
        <v>-3.4269999999999999E-3</v>
      </c>
      <c r="E7130">
        <f t="shared" si="222"/>
        <v>0.99657300000000004</v>
      </c>
      <c r="F7130" s="1">
        <f t="shared" si="223"/>
        <v>42149</v>
      </c>
      <c r="G7130" cm="1">
        <f t="array" ref="G7130">PRODUCT( _xlfn._xlws.FILTER($E:$E, ($C:$C=C7130)*($F:$F=F7130)) ) - 1</f>
        <v>-2.4103407279546518E-3</v>
      </c>
    </row>
    <row r="7131" spans="1:7" x14ac:dyDescent="0.2">
      <c r="A7131" s="1">
        <v>42151</v>
      </c>
      <c r="B7131">
        <v>2</v>
      </c>
      <c r="C7131" t="s">
        <v>16</v>
      </c>
      <c r="D7131">
        <v>8.293E-3</v>
      </c>
      <c r="E7131">
        <f t="shared" si="222"/>
        <v>1.0082930000000001</v>
      </c>
      <c r="F7131" s="1">
        <f t="shared" si="223"/>
        <v>42149</v>
      </c>
      <c r="G7131" cm="1">
        <f t="array" ref="G7131">PRODUCT( _xlfn._xlws.FILTER($E:$E, ($C:$C=C7131)*($F:$F=F7131)) ) - 1</f>
        <v>-2.4103407279546518E-3</v>
      </c>
    </row>
    <row r="7132" spans="1:7" x14ac:dyDescent="0.2">
      <c r="A7132" s="1">
        <v>42152</v>
      </c>
      <c r="B7132">
        <v>2</v>
      </c>
      <c r="C7132" t="s">
        <v>16</v>
      </c>
      <c r="D7132">
        <v>5.0150000000000004E-3</v>
      </c>
      <c r="E7132">
        <f t="shared" si="222"/>
        <v>1.005015</v>
      </c>
      <c r="F7132" s="1">
        <f t="shared" si="223"/>
        <v>42149</v>
      </c>
      <c r="G7132" cm="1">
        <f t="array" ref="G7132">PRODUCT( _xlfn._xlws.FILTER($E:$E, ($C:$C=C7132)*($F:$F=F7132)) ) - 1</f>
        <v>-2.4103407279546518E-3</v>
      </c>
    </row>
    <row r="7133" spans="1:7" x14ac:dyDescent="0.2">
      <c r="A7133" s="1">
        <v>42153</v>
      </c>
      <c r="B7133">
        <v>2</v>
      </c>
      <c r="C7133" t="s">
        <v>16</v>
      </c>
      <c r="D7133">
        <v>-8.7819999999999999E-3</v>
      </c>
      <c r="E7133">
        <f t="shared" si="222"/>
        <v>0.99121800000000004</v>
      </c>
      <c r="F7133" s="1">
        <f t="shared" si="223"/>
        <v>42149</v>
      </c>
      <c r="G7133" cm="1">
        <f t="array" ref="G7133">PRODUCT( _xlfn._xlws.FILTER($E:$E, ($C:$C=C7133)*($F:$F=F7133)) ) - 1</f>
        <v>-2.4103407279546518E-3</v>
      </c>
    </row>
    <row r="7134" spans="1:7" x14ac:dyDescent="0.2">
      <c r="A7134" s="1">
        <v>42156</v>
      </c>
      <c r="B7134">
        <v>2</v>
      </c>
      <c r="C7134" t="s">
        <v>16</v>
      </c>
      <c r="D7134">
        <v>1.0470999999999999E-2</v>
      </c>
      <c r="E7134">
        <f t="shared" si="222"/>
        <v>1.0104709999999999</v>
      </c>
      <c r="F7134" s="1">
        <f t="shared" si="223"/>
        <v>42156</v>
      </c>
      <c r="G7134" cm="1">
        <f t="array" ref="G7134">PRODUCT( _xlfn._xlws.FILTER($E:$E, ($C:$C=C7134)*($F:$F=F7134)) ) - 1</f>
        <v>-1.1679719514307019E-2</v>
      </c>
    </row>
    <row r="7135" spans="1:7" x14ac:dyDescent="0.2">
      <c r="A7135" s="1">
        <v>42157</v>
      </c>
      <c r="B7135">
        <v>2</v>
      </c>
      <c r="C7135" t="s">
        <v>16</v>
      </c>
      <c r="D7135">
        <v>-1.0163E-2</v>
      </c>
      <c r="E7135">
        <f t="shared" si="222"/>
        <v>0.98983699999999997</v>
      </c>
      <c r="F7135" s="1">
        <f t="shared" si="223"/>
        <v>42156</v>
      </c>
      <c r="G7135" cm="1">
        <f t="array" ref="G7135">PRODUCT( _xlfn._xlws.FILTER($E:$E, ($C:$C=C7135)*($F:$F=F7135)) ) - 1</f>
        <v>-1.1679719514307019E-2</v>
      </c>
    </row>
    <row r="7136" spans="1:7" x14ac:dyDescent="0.2">
      <c r="A7136" s="1">
        <v>42158</v>
      </c>
      <c r="B7136">
        <v>2</v>
      </c>
      <c r="C7136" t="s">
        <v>16</v>
      </c>
      <c r="D7136">
        <v>5.6369999999999996E-3</v>
      </c>
      <c r="E7136">
        <f t="shared" si="222"/>
        <v>1.0056369999999999</v>
      </c>
      <c r="F7136" s="1">
        <f t="shared" si="223"/>
        <v>42156</v>
      </c>
      <c r="G7136" cm="1">
        <f t="array" ref="G7136">PRODUCT( _xlfn._xlws.FILTER($E:$E, ($C:$C=C7136)*($F:$F=F7136)) ) - 1</f>
        <v>-1.1679719514307019E-2</v>
      </c>
    </row>
    <row r="7137" spans="1:7" x14ac:dyDescent="0.2">
      <c r="A7137" s="1">
        <v>42159</v>
      </c>
      <c r="B7137">
        <v>2</v>
      </c>
      <c r="C7137" t="s">
        <v>16</v>
      </c>
      <c r="D7137">
        <v>-4.6049999999999997E-3</v>
      </c>
      <c r="E7137">
        <f t="shared" si="222"/>
        <v>0.99539500000000003</v>
      </c>
      <c r="F7137" s="1">
        <f t="shared" si="223"/>
        <v>42156</v>
      </c>
      <c r="G7137" cm="1">
        <f t="array" ref="G7137">PRODUCT( _xlfn._xlws.FILTER($E:$E, ($C:$C=C7137)*($F:$F=F7137)) ) - 1</f>
        <v>-1.1679719514307019E-2</v>
      </c>
    </row>
    <row r="7138" spans="1:7" x14ac:dyDescent="0.2">
      <c r="A7138" s="1">
        <v>42160</v>
      </c>
      <c r="B7138">
        <v>2</v>
      </c>
      <c r="C7138" t="s">
        <v>16</v>
      </c>
      <c r="D7138">
        <v>-1.2872E-2</v>
      </c>
      <c r="E7138">
        <f t="shared" si="222"/>
        <v>0.98712800000000001</v>
      </c>
      <c r="F7138" s="1">
        <f t="shared" si="223"/>
        <v>42156</v>
      </c>
      <c r="G7138" cm="1">
        <f t="array" ref="G7138">PRODUCT( _xlfn._xlws.FILTER($E:$E, ($C:$C=C7138)*($F:$F=F7138)) ) - 1</f>
        <v>-1.1679719514307019E-2</v>
      </c>
    </row>
    <row r="7139" spans="1:7" x14ac:dyDescent="0.2">
      <c r="A7139" s="1">
        <v>42163</v>
      </c>
      <c r="B7139">
        <v>2</v>
      </c>
      <c r="C7139" t="s">
        <v>16</v>
      </c>
      <c r="D7139">
        <v>-1.7930000000000001E-2</v>
      </c>
      <c r="E7139">
        <f t="shared" si="222"/>
        <v>0.98207</v>
      </c>
      <c r="F7139" s="1">
        <f t="shared" si="223"/>
        <v>42163</v>
      </c>
      <c r="G7139" cm="1">
        <f t="array" ref="G7139">PRODUCT( _xlfn._xlws.FILTER($E:$E, ($C:$C=C7139)*($F:$F=F7139)) ) - 1</f>
        <v>-2.343084669407236E-2</v>
      </c>
    </row>
    <row r="7140" spans="1:7" x14ac:dyDescent="0.2">
      <c r="A7140" s="1">
        <v>42164</v>
      </c>
      <c r="B7140">
        <v>2</v>
      </c>
      <c r="C7140" t="s">
        <v>16</v>
      </c>
      <c r="D7140">
        <v>-5.8089999999999999E-3</v>
      </c>
      <c r="E7140">
        <f t="shared" si="222"/>
        <v>0.99419100000000005</v>
      </c>
      <c r="F7140" s="1">
        <f t="shared" si="223"/>
        <v>42163</v>
      </c>
      <c r="G7140" cm="1">
        <f t="array" ref="G7140">PRODUCT( _xlfn._xlws.FILTER($E:$E, ($C:$C=C7140)*($F:$F=F7140)) ) - 1</f>
        <v>-2.343084669407236E-2</v>
      </c>
    </row>
    <row r="7141" spans="1:7" x14ac:dyDescent="0.2">
      <c r="A7141" s="1">
        <v>42165</v>
      </c>
      <c r="B7141">
        <v>2</v>
      </c>
      <c r="C7141" t="s">
        <v>16</v>
      </c>
      <c r="D7141">
        <v>3.9649999999999998E-3</v>
      </c>
      <c r="E7141">
        <f t="shared" si="222"/>
        <v>1.003965</v>
      </c>
      <c r="F7141" s="1">
        <f t="shared" si="223"/>
        <v>42163</v>
      </c>
      <c r="G7141" cm="1">
        <f t="array" ref="G7141">PRODUCT( _xlfn._xlws.FILTER($E:$E, ($C:$C=C7141)*($F:$F=F7141)) ) - 1</f>
        <v>-2.343084669407236E-2</v>
      </c>
    </row>
    <row r="7142" spans="1:7" x14ac:dyDescent="0.2">
      <c r="A7142" s="1">
        <v>42166</v>
      </c>
      <c r="B7142">
        <v>2</v>
      </c>
      <c r="C7142" t="s">
        <v>16</v>
      </c>
      <c r="D7142">
        <v>4.365E-3</v>
      </c>
      <c r="E7142">
        <f t="shared" si="222"/>
        <v>1.004365</v>
      </c>
      <c r="F7142" s="1">
        <f t="shared" si="223"/>
        <v>42163</v>
      </c>
      <c r="G7142" cm="1">
        <f t="array" ref="G7142">PRODUCT( _xlfn._xlws.FILTER($E:$E, ($C:$C=C7142)*($F:$F=F7142)) ) - 1</f>
        <v>-2.343084669407236E-2</v>
      </c>
    </row>
    <row r="7143" spans="1:7" x14ac:dyDescent="0.2">
      <c r="A7143" s="1">
        <v>42167</v>
      </c>
      <c r="B7143">
        <v>2</v>
      </c>
      <c r="C7143" t="s">
        <v>16</v>
      </c>
      <c r="D7143">
        <v>-8.071E-3</v>
      </c>
      <c r="E7143">
        <f t="shared" si="222"/>
        <v>0.99192899999999995</v>
      </c>
      <c r="F7143" s="1">
        <f t="shared" si="223"/>
        <v>42163</v>
      </c>
      <c r="G7143" cm="1">
        <f t="array" ref="G7143">PRODUCT( _xlfn._xlws.FILTER($E:$E, ($C:$C=C7143)*($F:$F=F7143)) ) - 1</f>
        <v>-2.343084669407236E-2</v>
      </c>
    </row>
    <row r="7144" spans="1:7" x14ac:dyDescent="0.2">
      <c r="A7144" s="1">
        <v>42170</v>
      </c>
      <c r="B7144">
        <v>2</v>
      </c>
      <c r="C7144" t="s">
        <v>16</v>
      </c>
      <c r="D7144">
        <v>0</v>
      </c>
      <c r="E7144">
        <f t="shared" si="222"/>
        <v>1</v>
      </c>
      <c r="F7144" s="1">
        <f t="shared" si="223"/>
        <v>42170</v>
      </c>
      <c r="G7144" cm="1">
        <f t="array" ref="G7144">PRODUCT( _xlfn._xlws.FILTER($E:$E, ($C:$C=C7144)*($F:$F=F7144)) ) - 1</f>
        <v>1.668066058235107E-3</v>
      </c>
    </row>
    <row r="7145" spans="1:7" x14ac:dyDescent="0.2">
      <c r="A7145" s="1">
        <v>42171</v>
      </c>
      <c r="B7145">
        <v>2</v>
      </c>
      <c r="C7145" t="s">
        <v>16</v>
      </c>
      <c r="D7145">
        <v>1.4599999999999999E-3</v>
      </c>
      <c r="E7145">
        <f t="shared" si="222"/>
        <v>1.00146</v>
      </c>
      <c r="F7145" s="1">
        <f t="shared" si="223"/>
        <v>42170</v>
      </c>
      <c r="G7145" cm="1">
        <f t="array" ref="G7145">PRODUCT( _xlfn._xlws.FILTER($E:$E, ($C:$C=C7145)*($F:$F=F7145)) ) - 1</f>
        <v>1.668066058235107E-3</v>
      </c>
    </row>
    <row r="7146" spans="1:7" x14ac:dyDescent="0.2">
      <c r="A7146" s="1">
        <v>42172</v>
      </c>
      <c r="B7146">
        <v>2</v>
      </c>
      <c r="C7146" t="s">
        <v>16</v>
      </c>
      <c r="D7146">
        <v>2.0799999999999999E-4</v>
      </c>
      <c r="E7146">
        <f t="shared" si="222"/>
        <v>1.000208</v>
      </c>
      <c r="F7146" s="1">
        <f t="shared" si="223"/>
        <v>42170</v>
      </c>
      <c r="G7146" cm="1">
        <f t="array" ref="G7146">PRODUCT( _xlfn._xlws.FILTER($E:$E, ($C:$C=C7146)*($F:$F=F7146)) ) - 1</f>
        <v>1.668066058235107E-3</v>
      </c>
    </row>
    <row r="7147" spans="1:7" x14ac:dyDescent="0.2">
      <c r="A7147" s="1">
        <v>42173</v>
      </c>
      <c r="B7147">
        <v>2</v>
      </c>
      <c r="C7147" t="s">
        <v>16</v>
      </c>
      <c r="D7147">
        <v>2.2910000000000001E-3</v>
      </c>
      <c r="E7147">
        <f t="shared" si="222"/>
        <v>1.002291</v>
      </c>
      <c r="F7147" s="1">
        <f t="shared" si="223"/>
        <v>42170</v>
      </c>
      <c r="G7147" cm="1">
        <f t="array" ref="G7147">PRODUCT( _xlfn._xlws.FILTER($E:$E, ($C:$C=C7147)*($F:$F=F7147)) ) - 1</f>
        <v>1.668066058235107E-3</v>
      </c>
    </row>
    <row r="7148" spans="1:7" x14ac:dyDescent="0.2">
      <c r="A7148" s="1">
        <v>42174</v>
      </c>
      <c r="B7148">
        <v>2</v>
      </c>
      <c r="C7148" t="s">
        <v>16</v>
      </c>
      <c r="D7148">
        <v>-2.2859999999999998E-3</v>
      </c>
      <c r="E7148">
        <f t="shared" si="222"/>
        <v>0.99771399999999999</v>
      </c>
      <c r="F7148" s="1">
        <f t="shared" si="223"/>
        <v>42170</v>
      </c>
      <c r="G7148" cm="1">
        <f t="array" ref="G7148">PRODUCT( _xlfn._xlws.FILTER($E:$E, ($C:$C=C7148)*($F:$F=F7148)) ) - 1</f>
        <v>1.668066058235107E-3</v>
      </c>
    </row>
    <row r="7149" spans="1:7" x14ac:dyDescent="0.2">
      <c r="A7149" s="1">
        <v>42177</v>
      </c>
      <c r="B7149">
        <v>2</v>
      </c>
      <c r="C7149" t="s">
        <v>16</v>
      </c>
      <c r="D7149">
        <v>7.2899999999999996E-3</v>
      </c>
      <c r="E7149">
        <f t="shared" si="222"/>
        <v>1.00729</v>
      </c>
      <c r="F7149" s="1">
        <f t="shared" si="223"/>
        <v>42177</v>
      </c>
      <c r="G7149" cm="1">
        <f t="array" ref="G7149">PRODUCT( _xlfn._xlws.FILTER($E:$E, ($C:$C=C7149)*($F:$F=F7149)) ) - 1</f>
        <v>4.3751199781920658E-3</v>
      </c>
    </row>
    <row r="7150" spans="1:7" x14ac:dyDescent="0.2">
      <c r="A7150" s="1">
        <v>42178</v>
      </c>
      <c r="B7150">
        <v>2</v>
      </c>
      <c r="C7150" t="s">
        <v>16</v>
      </c>
      <c r="D7150">
        <v>3.3089999999999999E-3</v>
      </c>
      <c r="E7150">
        <f t="shared" si="222"/>
        <v>1.003309</v>
      </c>
      <c r="F7150" s="1">
        <f t="shared" si="223"/>
        <v>42177</v>
      </c>
      <c r="G7150" cm="1">
        <f t="array" ref="G7150">PRODUCT( _xlfn._xlws.FILTER($E:$E, ($C:$C=C7150)*($F:$F=F7150)) ) - 1</f>
        <v>4.3751199781920658E-3</v>
      </c>
    </row>
    <row r="7151" spans="1:7" x14ac:dyDescent="0.2">
      <c r="A7151" s="1">
        <v>42179</v>
      </c>
      <c r="B7151">
        <v>2</v>
      </c>
      <c r="C7151" t="s">
        <v>16</v>
      </c>
      <c r="D7151">
        <v>-7.8320000000000004E-3</v>
      </c>
      <c r="E7151">
        <f t="shared" si="222"/>
        <v>0.99216800000000005</v>
      </c>
      <c r="F7151" s="1">
        <f t="shared" si="223"/>
        <v>42177</v>
      </c>
      <c r="G7151" cm="1">
        <f t="array" ref="G7151">PRODUCT( _xlfn._xlws.FILTER($E:$E, ($C:$C=C7151)*($F:$F=F7151)) ) - 1</f>
        <v>4.3751199781920658E-3</v>
      </c>
    </row>
    <row r="7152" spans="1:7" x14ac:dyDescent="0.2">
      <c r="A7152" s="1">
        <v>42180</v>
      </c>
      <c r="B7152">
        <v>2</v>
      </c>
      <c r="C7152" t="s">
        <v>16</v>
      </c>
      <c r="D7152">
        <v>-4.9849999999999998E-3</v>
      </c>
      <c r="E7152">
        <f t="shared" si="222"/>
        <v>0.99501499999999998</v>
      </c>
      <c r="F7152" s="1">
        <f t="shared" si="223"/>
        <v>42177</v>
      </c>
      <c r="G7152" cm="1">
        <f t="array" ref="G7152">PRODUCT( _xlfn._xlws.FILTER($E:$E, ($C:$C=C7152)*($F:$F=F7152)) ) - 1</f>
        <v>4.3751199781920658E-3</v>
      </c>
    </row>
    <row r="7153" spans="1:7" x14ac:dyDescent="0.2">
      <c r="A7153" s="1">
        <v>42181</v>
      </c>
      <c r="B7153">
        <v>2</v>
      </c>
      <c r="C7153" t="s">
        <v>16</v>
      </c>
      <c r="D7153">
        <v>6.6810000000000003E-3</v>
      </c>
      <c r="E7153">
        <f t="shared" si="222"/>
        <v>1.0066809999999999</v>
      </c>
      <c r="F7153" s="1">
        <f t="shared" si="223"/>
        <v>42177</v>
      </c>
      <c r="G7153" cm="1">
        <f t="array" ref="G7153">PRODUCT( _xlfn._xlws.FILTER($E:$E, ($C:$C=C7153)*($F:$F=F7153)) ) - 1</f>
        <v>4.3751199781920658E-3</v>
      </c>
    </row>
    <row r="7154" spans="1:7" x14ac:dyDescent="0.2">
      <c r="A7154" s="1">
        <v>42184</v>
      </c>
      <c r="B7154">
        <v>2</v>
      </c>
      <c r="C7154" t="s">
        <v>16</v>
      </c>
      <c r="D7154">
        <v>-1.9078999999999999E-2</v>
      </c>
      <c r="E7154">
        <f t="shared" si="222"/>
        <v>0.98092100000000004</v>
      </c>
      <c r="F7154" s="1">
        <f t="shared" si="223"/>
        <v>42184</v>
      </c>
      <c r="G7154" cm="1">
        <f t="array" ref="G7154">PRODUCT( _xlfn._xlws.FILTER($E:$E, ($C:$C=C7154)*($F:$F=F7154)) ) - 1</f>
        <v>-3.6702585370917973E-7</v>
      </c>
    </row>
    <row r="7155" spans="1:7" x14ac:dyDescent="0.2">
      <c r="A7155" s="1">
        <v>42185</v>
      </c>
      <c r="B7155">
        <v>2</v>
      </c>
      <c r="C7155" t="s">
        <v>16</v>
      </c>
      <c r="D7155">
        <v>5.4970000000000001E-3</v>
      </c>
      <c r="E7155">
        <f t="shared" si="222"/>
        <v>1.0054970000000001</v>
      </c>
      <c r="F7155" s="1">
        <f t="shared" si="223"/>
        <v>42184</v>
      </c>
      <c r="G7155" cm="1">
        <f t="array" ref="G7155">PRODUCT( _xlfn._xlws.FILTER($E:$E, ($C:$C=C7155)*($F:$F=F7155)) ) - 1</f>
        <v>-3.6702585370917973E-7</v>
      </c>
    </row>
    <row r="7156" spans="1:7" x14ac:dyDescent="0.2">
      <c r="A7156" s="1">
        <v>42187</v>
      </c>
      <c r="B7156">
        <v>2</v>
      </c>
      <c r="C7156" t="s">
        <v>16</v>
      </c>
      <c r="D7156">
        <v>1.1564E-2</v>
      </c>
      <c r="E7156">
        <f t="shared" si="222"/>
        <v>1.0115639999999999</v>
      </c>
      <c r="F7156" s="1">
        <f t="shared" si="223"/>
        <v>42184</v>
      </c>
      <c r="G7156" cm="1">
        <f t="array" ref="G7156">PRODUCT( _xlfn._xlws.FILTER($E:$E, ($C:$C=C7156)*($F:$F=F7156)) ) - 1</f>
        <v>-3.6702585370917973E-7</v>
      </c>
    </row>
    <row r="7157" spans="1:7" x14ac:dyDescent="0.2">
      <c r="A7157" s="1">
        <v>42188</v>
      </c>
      <c r="B7157">
        <v>2</v>
      </c>
      <c r="C7157" t="s">
        <v>16</v>
      </c>
      <c r="D7157">
        <v>2.2859999999999998E-3</v>
      </c>
      <c r="E7157">
        <f t="shared" si="222"/>
        <v>1.002286</v>
      </c>
      <c r="F7157" s="1">
        <f t="shared" si="223"/>
        <v>42184</v>
      </c>
      <c r="G7157" cm="1">
        <f t="array" ref="G7157">PRODUCT( _xlfn._xlws.FILTER($E:$E, ($C:$C=C7157)*($F:$F=F7157)) ) - 1</f>
        <v>-3.6702585370917973E-7</v>
      </c>
    </row>
    <row r="7158" spans="1:7" x14ac:dyDescent="0.2">
      <c r="A7158" s="1">
        <v>42191</v>
      </c>
      <c r="B7158">
        <v>2</v>
      </c>
      <c r="C7158" t="s">
        <v>16</v>
      </c>
      <c r="D7158">
        <v>4.15E-4</v>
      </c>
      <c r="E7158">
        <f t="shared" si="222"/>
        <v>1.0004150000000001</v>
      </c>
      <c r="F7158" s="1">
        <f t="shared" si="223"/>
        <v>42191</v>
      </c>
      <c r="G7158" cm="1">
        <f t="array" ref="G7158">PRODUCT( _xlfn._xlws.FILTER($E:$E, ($C:$C=C7158)*($F:$F=F7158)) ) - 1</f>
        <v>6.6360499602191592E-3</v>
      </c>
    </row>
    <row r="7159" spans="1:7" x14ac:dyDescent="0.2">
      <c r="A7159" s="1">
        <v>42192</v>
      </c>
      <c r="B7159">
        <v>2</v>
      </c>
      <c r="C7159" t="s">
        <v>16</v>
      </c>
      <c r="D7159">
        <v>1.2852000000000001E-2</v>
      </c>
      <c r="E7159">
        <f t="shared" si="222"/>
        <v>1.0128520000000001</v>
      </c>
      <c r="F7159" s="1">
        <f t="shared" si="223"/>
        <v>42191</v>
      </c>
      <c r="G7159" cm="1">
        <f t="array" ref="G7159">PRODUCT( _xlfn._xlws.FILTER($E:$E, ($C:$C=C7159)*($F:$F=F7159)) ) - 1</f>
        <v>6.6360499602191592E-3</v>
      </c>
    </row>
    <row r="7160" spans="1:7" x14ac:dyDescent="0.2">
      <c r="A7160" s="1">
        <v>42193</v>
      </c>
      <c r="B7160">
        <v>2</v>
      </c>
      <c r="C7160" t="s">
        <v>16</v>
      </c>
      <c r="D7160">
        <v>-1.8010999999999999E-2</v>
      </c>
      <c r="E7160">
        <f t="shared" si="222"/>
        <v>0.981989</v>
      </c>
      <c r="F7160" s="1">
        <f t="shared" si="223"/>
        <v>42191</v>
      </c>
      <c r="G7160" cm="1">
        <f t="array" ref="G7160">PRODUCT( _xlfn._xlws.FILTER($E:$E, ($C:$C=C7160)*($F:$F=F7160)) ) - 1</f>
        <v>6.6360499602191592E-3</v>
      </c>
    </row>
    <row r="7161" spans="1:7" x14ac:dyDescent="0.2">
      <c r="A7161" s="1">
        <v>42194</v>
      </c>
      <c r="B7161">
        <v>2</v>
      </c>
      <c r="C7161" t="s">
        <v>16</v>
      </c>
      <c r="D7161">
        <v>-6.6689999999999996E-3</v>
      </c>
      <c r="E7161">
        <f t="shared" si="222"/>
        <v>0.99333099999999996</v>
      </c>
      <c r="F7161" s="1">
        <f t="shared" si="223"/>
        <v>42191</v>
      </c>
      <c r="G7161" cm="1">
        <f t="array" ref="G7161">PRODUCT( _xlfn._xlws.FILTER($E:$E, ($C:$C=C7161)*($F:$F=F7161)) ) - 1</f>
        <v>6.6360499602191592E-3</v>
      </c>
    </row>
    <row r="7162" spans="1:7" x14ac:dyDescent="0.2">
      <c r="A7162" s="1">
        <v>42195</v>
      </c>
      <c r="B7162">
        <v>2</v>
      </c>
      <c r="C7162" t="s">
        <v>16</v>
      </c>
      <c r="D7162">
        <v>1.8464000000000001E-2</v>
      </c>
      <c r="E7162">
        <f t="shared" si="222"/>
        <v>1.018464</v>
      </c>
      <c r="F7162" s="1">
        <f t="shared" si="223"/>
        <v>42191</v>
      </c>
      <c r="G7162" cm="1">
        <f t="array" ref="G7162">PRODUCT( _xlfn._xlws.FILTER($E:$E, ($C:$C=C7162)*($F:$F=F7162)) ) - 1</f>
        <v>6.6360499602191592E-3</v>
      </c>
    </row>
    <row r="7163" spans="1:7" x14ac:dyDescent="0.2">
      <c r="A7163" s="1">
        <v>42198</v>
      </c>
      <c r="B7163">
        <v>2</v>
      </c>
      <c r="C7163" t="s">
        <v>16</v>
      </c>
      <c r="D7163">
        <v>1.0095E-2</v>
      </c>
      <c r="E7163">
        <f t="shared" si="222"/>
        <v>1.010095</v>
      </c>
      <c r="F7163" s="1">
        <f t="shared" si="223"/>
        <v>42198</v>
      </c>
      <c r="G7163" cm="1">
        <f t="array" ref="G7163">PRODUCT( _xlfn._xlws.FILTER($E:$E, ($C:$C=C7163)*($F:$F=F7163)) ) - 1</f>
        <v>3.0078008824093727E-2</v>
      </c>
    </row>
    <row r="7164" spans="1:7" x14ac:dyDescent="0.2">
      <c r="A7164" s="1">
        <v>42199</v>
      </c>
      <c r="B7164">
        <v>2</v>
      </c>
      <c r="C7164" t="s">
        <v>16</v>
      </c>
      <c r="D7164">
        <v>8.1599999999999999E-4</v>
      </c>
      <c r="E7164">
        <f t="shared" si="222"/>
        <v>1.0008159999999999</v>
      </c>
      <c r="F7164" s="1">
        <f t="shared" si="223"/>
        <v>42198</v>
      </c>
      <c r="G7164" cm="1">
        <f t="array" ref="G7164">PRODUCT( _xlfn._xlws.FILTER($E:$E, ($C:$C=C7164)*($F:$F=F7164)) ) - 1</f>
        <v>3.0078008824093727E-2</v>
      </c>
    </row>
    <row r="7165" spans="1:7" x14ac:dyDescent="0.2">
      <c r="A7165" s="1">
        <v>42200</v>
      </c>
      <c r="B7165">
        <v>2</v>
      </c>
      <c r="C7165" t="s">
        <v>16</v>
      </c>
      <c r="D7165">
        <v>8.3549999999999996E-3</v>
      </c>
      <c r="E7165">
        <f t="shared" si="222"/>
        <v>1.0083549999999999</v>
      </c>
      <c r="F7165" s="1">
        <f t="shared" si="223"/>
        <v>42198</v>
      </c>
      <c r="G7165" cm="1">
        <f t="array" ref="G7165">PRODUCT( _xlfn._xlws.FILTER($E:$E, ($C:$C=C7165)*($F:$F=F7165)) ) - 1</f>
        <v>3.0078008824093727E-2</v>
      </c>
    </row>
    <row r="7166" spans="1:7" x14ac:dyDescent="0.2">
      <c r="A7166" s="1">
        <v>42201</v>
      </c>
      <c r="B7166">
        <v>2</v>
      </c>
      <c r="C7166" t="s">
        <v>16</v>
      </c>
      <c r="D7166">
        <v>1.4551E-2</v>
      </c>
      <c r="E7166">
        <f t="shared" si="222"/>
        <v>1.014551</v>
      </c>
      <c r="F7166" s="1">
        <f t="shared" si="223"/>
        <v>42198</v>
      </c>
      <c r="G7166" cm="1">
        <f t="array" ref="G7166">PRODUCT( _xlfn._xlws.FILTER($E:$E, ($C:$C=C7166)*($F:$F=F7166)) ) - 1</f>
        <v>3.0078008824093727E-2</v>
      </c>
    </row>
    <row r="7167" spans="1:7" x14ac:dyDescent="0.2">
      <c r="A7167" s="1">
        <v>42202</v>
      </c>
      <c r="B7167">
        <v>2</v>
      </c>
      <c r="C7167" t="s">
        <v>16</v>
      </c>
      <c r="D7167">
        <v>-3.9839999999999997E-3</v>
      </c>
      <c r="E7167">
        <f t="shared" si="222"/>
        <v>0.99601600000000001</v>
      </c>
      <c r="F7167" s="1">
        <f t="shared" si="223"/>
        <v>42198</v>
      </c>
      <c r="G7167" cm="1">
        <f t="array" ref="G7167">PRODUCT( _xlfn._xlws.FILTER($E:$E, ($C:$C=C7167)*($F:$F=F7167)) ) - 1</f>
        <v>3.0078008824093727E-2</v>
      </c>
    </row>
    <row r="7168" spans="1:7" x14ac:dyDescent="0.2">
      <c r="A7168" s="1">
        <v>42205</v>
      </c>
      <c r="B7168">
        <v>2</v>
      </c>
      <c r="C7168" t="s">
        <v>16</v>
      </c>
      <c r="D7168">
        <v>-2.0000000000000001E-4</v>
      </c>
      <c r="E7168">
        <f t="shared" si="222"/>
        <v>0.99980000000000002</v>
      </c>
      <c r="F7168" s="1">
        <f t="shared" si="223"/>
        <v>42205</v>
      </c>
      <c r="G7168" cm="1">
        <f t="array" ref="G7168">PRODUCT( _xlfn._xlws.FILTER($E:$E, ($C:$C=C7168)*($F:$F=F7168)) ) - 1</f>
        <v>-1.9200287360949142E-2</v>
      </c>
    </row>
    <row r="7169" spans="1:7" x14ac:dyDescent="0.2">
      <c r="A7169" s="1">
        <v>42206</v>
      </c>
      <c r="B7169">
        <v>2</v>
      </c>
      <c r="C7169" t="s">
        <v>16</v>
      </c>
      <c r="D7169">
        <v>-1.4003E-2</v>
      </c>
      <c r="E7169">
        <f t="shared" si="222"/>
        <v>0.98599700000000001</v>
      </c>
      <c r="F7169" s="1">
        <f t="shared" si="223"/>
        <v>42205</v>
      </c>
      <c r="G7169" cm="1">
        <f t="array" ref="G7169">PRODUCT( _xlfn._xlws.FILTER($E:$E, ($C:$C=C7169)*($F:$F=F7169)) ) - 1</f>
        <v>-1.9200287360949142E-2</v>
      </c>
    </row>
    <row r="7170" spans="1:7" x14ac:dyDescent="0.2">
      <c r="A7170" s="1">
        <v>42207</v>
      </c>
      <c r="B7170">
        <v>2</v>
      </c>
      <c r="C7170" t="s">
        <v>16</v>
      </c>
      <c r="D7170">
        <v>2.03E-4</v>
      </c>
      <c r="E7170">
        <f t="shared" si="222"/>
        <v>1.000203</v>
      </c>
      <c r="F7170" s="1">
        <f t="shared" si="223"/>
        <v>42205</v>
      </c>
      <c r="G7170" cm="1">
        <f t="array" ref="G7170">PRODUCT( _xlfn._xlws.FILTER($E:$E, ($C:$C=C7170)*($F:$F=F7170)) ) - 1</f>
        <v>-1.9200287360949142E-2</v>
      </c>
    </row>
    <row r="7171" spans="1:7" x14ac:dyDescent="0.2">
      <c r="A7171" s="1">
        <v>42208</v>
      </c>
      <c r="B7171">
        <v>2</v>
      </c>
      <c r="C7171" t="s">
        <v>16</v>
      </c>
      <c r="D7171">
        <v>-4.0569999999999998E-3</v>
      </c>
      <c r="E7171">
        <f t="shared" si="222"/>
        <v>0.99594300000000002</v>
      </c>
      <c r="F7171" s="1">
        <f t="shared" si="223"/>
        <v>42205</v>
      </c>
      <c r="G7171" cm="1">
        <f t="array" ref="G7171">PRODUCT( _xlfn._xlws.FILTER($E:$E, ($C:$C=C7171)*($F:$F=F7171)) ) - 1</f>
        <v>-1.9200287360949142E-2</v>
      </c>
    </row>
    <row r="7172" spans="1:7" x14ac:dyDescent="0.2">
      <c r="A7172" s="1">
        <v>42209</v>
      </c>
      <c r="B7172">
        <v>2</v>
      </c>
      <c r="C7172" t="s">
        <v>16</v>
      </c>
      <c r="D7172">
        <v>-1.222E-3</v>
      </c>
      <c r="E7172">
        <f t="shared" ref="E7172:E7235" si="224">D7172+1</f>
        <v>0.99877800000000005</v>
      </c>
      <c r="F7172" s="1">
        <f t="shared" ref="F7172:F7235" si="225">A7172 - (WEEKDAY(A7172, 2) - 1)</f>
        <v>42205</v>
      </c>
      <c r="G7172" cm="1">
        <f t="array" ref="G7172">PRODUCT( _xlfn._xlws.FILTER($E:$E, ($C:$C=C7172)*($F:$F=F7172)) ) - 1</f>
        <v>-1.9200287360949142E-2</v>
      </c>
    </row>
    <row r="7173" spans="1:7" x14ac:dyDescent="0.2">
      <c r="A7173" s="1">
        <v>42212</v>
      </c>
      <c r="B7173">
        <v>2</v>
      </c>
      <c r="C7173" t="s">
        <v>16</v>
      </c>
      <c r="D7173">
        <v>-7.7489999999999998E-3</v>
      </c>
      <c r="E7173">
        <f t="shared" si="224"/>
        <v>0.99225099999999999</v>
      </c>
      <c r="F7173" s="1">
        <f t="shared" si="225"/>
        <v>42212</v>
      </c>
      <c r="G7173" cm="1">
        <f t="array" ref="G7173">PRODUCT( _xlfn._xlws.FILTER($E:$E, ($C:$C=C7173)*($F:$F=F7173)) ) - 1</f>
        <v>7.9730442928245493E-2</v>
      </c>
    </row>
    <row r="7174" spans="1:7" x14ac:dyDescent="0.2">
      <c r="A7174" s="1">
        <v>42213</v>
      </c>
      <c r="B7174">
        <v>2</v>
      </c>
      <c r="C7174" t="s">
        <v>16</v>
      </c>
      <c r="D7174">
        <v>2.0599999999999999E-4</v>
      </c>
      <c r="E7174">
        <f t="shared" si="224"/>
        <v>1.0002059999999999</v>
      </c>
      <c r="F7174" s="1">
        <f t="shared" si="225"/>
        <v>42212</v>
      </c>
      <c r="G7174" cm="1">
        <f t="array" ref="G7174">PRODUCT( _xlfn._xlws.FILTER($E:$E, ($C:$C=C7174)*($F:$F=F7174)) ) - 1</f>
        <v>7.9730442928245493E-2</v>
      </c>
    </row>
    <row r="7175" spans="1:7" x14ac:dyDescent="0.2">
      <c r="A7175" s="1">
        <v>42214</v>
      </c>
      <c r="B7175">
        <v>2</v>
      </c>
      <c r="C7175" t="s">
        <v>16</v>
      </c>
      <c r="D7175">
        <v>4.2530999999999999E-2</v>
      </c>
      <c r="E7175">
        <f t="shared" si="224"/>
        <v>1.0425310000000001</v>
      </c>
      <c r="F7175" s="1">
        <f t="shared" si="225"/>
        <v>42212</v>
      </c>
      <c r="G7175" cm="1">
        <f t="array" ref="G7175">PRODUCT( _xlfn._xlws.FILTER($E:$E, ($C:$C=C7175)*($F:$F=F7175)) ) - 1</f>
        <v>7.9730442928245493E-2</v>
      </c>
    </row>
    <row r="7176" spans="1:7" x14ac:dyDescent="0.2">
      <c r="A7176" s="1">
        <v>42215</v>
      </c>
      <c r="B7176">
        <v>2</v>
      </c>
      <c r="C7176" t="s">
        <v>16</v>
      </c>
      <c r="D7176">
        <v>4.6116999999999998E-2</v>
      </c>
      <c r="E7176">
        <f t="shared" si="224"/>
        <v>1.046117</v>
      </c>
      <c r="F7176" s="1">
        <f t="shared" si="225"/>
        <v>42212</v>
      </c>
      <c r="G7176" cm="1">
        <f t="array" ref="G7176">PRODUCT( _xlfn._xlws.FILTER($E:$E, ($C:$C=C7176)*($F:$F=F7176)) ) - 1</f>
        <v>7.9730442928245493E-2</v>
      </c>
    </row>
    <row r="7177" spans="1:7" x14ac:dyDescent="0.2">
      <c r="A7177" s="1">
        <v>42216</v>
      </c>
      <c r="B7177">
        <v>2</v>
      </c>
      <c r="C7177" t="s">
        <v>16</v>
      </c>
      <c r="D7177">
        <v>-2.4489999999999998E-3</v>
      </c>
      <c r="E7177">
        <f t="shared" si="224"/>
        <v>0.99755099999999997</v>
      </c>
      <c r="F7177" s="1">
        <f t="shared" si="225"/>
        <v>42212</v>
      </c>
      <c r="G7177" cm="1">
        <f t="array" ref="G7177">PRODUCT( _xlfn._xlws.FILTER($E:$E, ($C:$C=C7177)*($F:$F=F7177)) ) - 1</f>
        <v>7.9730442928245493E-2</v>
      </c>
    </row>
    <row r="7178" spans="1:7" x14ac:dyDescent="0.2">
      <c r="A7178" s="1">
        <v>42220</v>
      </c>
      <c r="B7178">
        <v>2</v>
      </c>
      <c r="C7178" t="s">
        <v>16</v>
      </c>
      <c r="D7178">
        <v>1.2465E-2</v>
      </c>
      <c r="E7178">
        <f t="shared" si="224"/>
        <v>1.0124649999999999</v>
      </c>
      <c r="F7178" s="1">
        <f t="shared" si="225"/>
        <v>42219</v>
      </c>
      <c r="G7178" cm="1">
        <f t="array" ref="G7178">PRODUCT( _xlfn._xlws.FILTER($E:$E, ($C:$C=C7178)*($F:$F=F7178)) ) - 1</f>
        <v>8.121359759345026E-3</v>
      </c>
    </row>
    <row r="7179" spans="1:7" x14ac:dyDescent="0.2">
      <c r="A7179" s="1">
        <v>42221</v>
      </c>
      <c r="B7179">
        <v>2</v>
      </c>
      <c r="C7179" t="s">
        <v>16</v>
      </c>
      <c r="D7179">
        <v>1.3244000000000001E-2</v>
      </c>
      <c r="E7179">
        <f t="shared" si="224"/>
        <v>1.013244</v>
      </c>
      <c r="F7179" s="1">
        <f t="shared" si="225"/>
        <v>42219</v>
      </c>
      <c r="G7179" cm="1">
        <f t="array" ref="G7179">PRODUCT( _xlfn._xlws.FILTER($E:$E, ($C:$C=C7179)*($F:$F=F7179)) ) - 1</f>
        <v>8.121359759345026E-3</v>
      </c>
    </row>
    <row r="7180" spans="1:7" x14ac:dyDescent="0.2">
      <c r="A7180" s="1">
        <v>42222</v>
      </c>
      <c r="B7180">
        <v>2</v>
      </c>
      <c r="C7180" t="s">
        <v>16</v>
      </c>
      <c r="D7180">
        <v>-1.3991E-2</v>
      </c>
      <c r="E7180">
        <f t="shared" si="224"/>
        <v>0.98600900000000002</v>
      </c>
      <c r="F7180" s="1">
        <f t="shared" si="225"/>
        <v>42219</v>
      </c>
      <c r="G7180" cm="1">
        <f t="array" ref="G7180">PRODUCT( _xlfn._xlws.FILTER($E:$E, ($C:$C=C7180)*($F:$F=F7180)) ) - 1</f>
        <v>8.121359759345026E-3</v>
      </c>
    </row>
    <row r="7181" spans="1:7" x14ac:dyDescent="0.2">
      <c r="A7181" s="1">
        <v>42223</v>
      </c>
      <c r="B7181">
        <v>2</v>
      </c>
      <c r="C7181" t="s">
        <v>16</v>
      </c>
      <c r="D7181">
        <v>-3.3609999999999998E-3</v>
      </c>
      <c r="E7181">
        <f t="shared" si="224"/>
        <v>0.99663900000000005</v>
      </c>
      <c r="F7181" s="1">
        <f t="shared" si="225"/>
        <v>42219</v>
      </c>
      <c r="G7181" cm="1">
        <f t="array" ref="G7181">PRODUCT( _xlfn._xlws.FILTER($E:$E, ($C:$C=C7181)*($F:$F=F7181)) ) - 1</f>
        <v>8.121359759345026E-3</v>
      </c>
    </row>
    <row r="7182" spans="1:7" x14ac:dyDescent="0.2">
      <c r="A7182" s="1">
        <v>42226</v>
      </c>
      <c r="B7182">
        <v>2</v>
      </c>
      <c r="C7182" t="s">
        <v>16</v>
      </c>
      <c r="D7182">
        <v>-6.182E-3</v>
      </c>
      <c r="E7182">
        <f t="shared" si="224"/>
        <v>0.99381799999999998</v>
      </c>
      <c r="F7182" s="1">
        <f t="shared" si="225"/>
        <v>42226</v>
      </c>
      <c r="G7182" cm="1">
        <f t="array" ref="G7182">PRODUCT( _xlfn._xlws.FILTER($E:$E, ($C:$C=C7182)*($F:$F=F7182)) ) - 1</f>
        <v>9.1782438586016646E-3</v>
      </c>
    </row>
    <row r="7183" spans="1:7" x14ac:dyDescent="0.2">
      <c r="A7183" s="1">
        <v>42227</v>
      </c>
      <c r="B7183">
        <v>2</v>
      </c>
      <c r="C7183" t="s">
        <v>16</v>
      </c>
      <c r="D7183">
        <v>-2.0739999999999999E-3</v>
      </c>
      <c r="E7183">
        <f t="shared" si="224"/>
        <v>0.99792599999999998</v>
      </c>
      <c r="F7183" s="1">
        <f t="shared" si="225"/>
        <v>42226</v>
      </c>
      <c r="G7183" cm="1">
        <f t="array" ref="G7183">PRODUCT( _xlfn._xlws.FILTER($E:$E, ($C:$C=C7183)*($F:$F=F7183)) ) - 1</f>
        <v>9.1782438586016646E-3</v>
      </c>
    </row>
    <row r="7184" spans="1:7" x14ac:dyDescent="0.2">
      <c r="A7184" s="1">
        <v>42228</v>
      </c>
      <c r="B7184">
        <v>2</v>
      </c>
      <c r="C7184" t="s">
        <v>16</v>
      </c>
      <c r="D7184">
        <v>8.5000000000000006E-3</v>
      </c>
      <c r="E7184">
        <f t="shared" si="224"/>
        <v>1.0085</v>
      </c>
      <c r="F7184" s="1">
        <f t="shared" si="225"/>
        <v>42226</v>
      </c>
      <c r="G7184" cm="1">
        <f t="array" ref="G7184">PRODUCT( _xlfn._xlws.FILTER($E:$E, ($C:$C=C7184)*($F:$F=F7184)) ) - 1</f>
        <v>9.1782438586016646E-3</v>
      </c>
    </row>
    <row r="7185" spans="1:7" x14ac:dyDescent="0.2">
      <c r="A7185" s="1">
        <v>42229</v>
      </c>
      <c r="B7185">
        <v>2</v>
      </c>
      <c r="C7185" t="s">
        <v>16</v>
      </c>
      <c r="D7185">
        <v>3.9329999999999999E-3</v>
      </c>
      <c r="E7185">
        <f t="shared" si="224"/>
        <v>1.003933</v>
      </c>
      <c r="F7185" s="1">
        <f t="shared" si="225"/>
        <v>42226</v>
      </c>
      <c r="G7185" cm="1">
        <f t="array" ref="G7185">PRODUCT( _xlfn._xlws.FILTER($E:$E, ($C:$C=C7185)*($F:$F=F7185)) ) - 1</f>
        <v>9.1782438586016646E-3</v>
      </c>
    </row>
    <row r="7186" spans="1:7" x14ac:dyDescent="0.2">
      <c r="A7186" s="1">
        <v>42230</v>
      </c>
      <c r="B7186">
        <v>2</v>
      </c>
      <c r="C7186" t="s">
        <v>16</v>
      </c>
      <c r="D7186">
        <v>5.0369999999999998E-3</v>
      </c>
      <c r="E7186">
        <f t="shared" si="224"/>
        <v>1.005037</v>
      </c>
      <c r="F7186" s="1">
        <f t="shared" si="225"/>
        <v>42226</v>
      </c>
      <c r="G7186" cm="1">
        <f t="array" ref="G7186">PRODUCT( _xlfn._xlws.FILTER($E:$E, ($C:$C=C7186)*($F:$F=F7186)) ) - 1</f>
        <v>9.1782438586016646E-3</v>
      </c>
    </row>
    <row r="7187" spans="1:7" x14ac:dyDescent="0.2">
      <c r="A7187" s="1">
        <v>42233</v>
      </c>
      <c r="B7187">
        <v>2</v>
      </c>
      <c r="C7187" t="s">
        <v>16</v>
      </c>
      <c r="D7187">
        <v>1.299E-3</v>
      </c>
      <c r="E7187">
        <f t="shared" si="224"/>
        <v>1.0012989999999999</v>
      </c>
      <c r="F7187" s="1">
        <f t="shared" si="225"/>
        <v>42233</v>
      </c>
      <c r="G7187" cm="1">
        <f t="array" ref="G7187">PRODUCT( _xlfn._xlws.FILTER($E:$E, ($C:$C=C7187)*($F:$F=F7187)) ) - 1</f>
        <v>-4.3822696831632535E-2</v>
      </c>
    </row>
    <row r="7188" spans="1:7" x14ac:dyDescent="0.2">
      <c r="A7188" s="1">
        <v>42234</v>
      </c>
      <c r="B7188">
        <v>2</v>
      </c>
      <c r="C7188" t="s">
        <v>16</v>
      </c>
      <c r="D7188">
        <v>-3.9420000000000002E-3</v>
      </c>
      <c r="E7188">
        <f t="shared" si="224"/>
        <v>0.996058</v>
      </c>
      <c r="F7188" s="1">
        <f t="shared" si="225"/>
        <v>42233</v>
      </c>
      <c r="G7188" cm="1">
        <f t="array" ref="G7188">PRODUCT( _xlfn._xlws.FILTER($E:$E, ($C:$C=C7188)*($F:$F=F7188)) ) - 1</f>
        <v>-4.3822696831632535E-2</v>
      </c>
    </row>
    <row r="7189" spans="1:7" x14ac:dyDescent="0.2">
      <c r="A7189" s="1">
        <v>42235</v>
      </c>
      <c r="B7189">
        <v>2</v>
      </c>
      <c r="C7189" t="s">
        <v>16</v>
      </c>
      <c r="D7189">
        <v>5.6300000000000002E-4</v>
      </c>
      <c r="E7189">
        <f t="shared" si="224"/>
        <v>1.0005630000000001</v>
      </c>
      <c r="F7189" s="1">
        <f t="shared" si="225"/>
        <v>42233</v>
      </c>
      <c r="G7189" cm="1">
        <f t="array" ref="G7189">PRODUCT( _xlfn._xlws.FILTER($E:$E, ($C:$C=C7189)*($F:$F=F7189)) ) - 1</f>
        <v>-4.3822696831632535E-2</v>
      </c>
    </row>
    <row r="7190" spans="1:7" x14ac:dyDescent="0.2">
      <c r="A7190" s="1">
        <v>42236</v>
      </c>
      <c r="B7190">
        <v>2</v>
      </c>
      <c r="C7190" t="s">
        <v>16</v>
      </c>
      <c r="D7190">
        <v>-2.6631999999999999E-2</v>
      </c>
      <c r="E7190">
        <f t="shared" si="224"/>
        <v>0.97336800000000001</v>
      </c>
      <c r="F7190" s="1">
        <f t="shared" si="225"/>
        <v>42233</v>
      </c>
      <c r="G7190" cm="1">
        <f t="array" ref="G7190">PRODUCT( _xlfn._xlws.FILTER($E:$E, ($C:$C=C7190)*($F:$F=F7190)) ) - 1</f>
        <v>-4.3822696831632535E-2</v>
      </c>
    </row>
    <row r="7191" spans="1:7" x14ac:dyDescent="0.2">
      <c r="A7191" s="1">
        <v>42237</v>
      </c>
      <c r="B7191">
        <v>2</v>
      </c>
      <c r="C7191" t="s">
        <v>16</v>
      </c>
      <c r="D7191">
        <v>-1.5606999999999999E-2</v>
      </c>
      <c r="E7191">
        <f t="shared" si="224"/>
        <v>0.98439299999999996</v>
      </c>
      <c r="F7191" s="1">
        <f t="shared" si="225"/>
        <v>42233</v>
      </c>
      <c r="G7191" cm="1">
        <f t="array" ref="G7191">PRODUCT( _xlfn._xlws.FILTER($E:$E, ($C:$C=C7191)*($F:$F=F7191)) ) - 1</f>
        <v>-4.3822696831632535E-2</v>
      </c>
    </row>
    <row r="7192" spans="1:7" x14ac:dyDescent="0.2">
      <c r="A7192" s="1">
        <v>42240</v>
      </c>
      <c r="B7192">
        <v>2</v>
      </c>
      <c r="C7192" t="s">
        <v>16</v>
      </c>
      <c r="D7192">
        <v>-3.073E-2</v>
      </c>
      <c r="E7192">
        <f t="shared" si="224"/>
        <v>0.96926999999999996</v>
      </c>
      <c r="F7192" s="1">
        <f t="shared" si="225"/>
        <v>42240</v>
      </c>
      <c r="G7192" cm="1">
        <f t="array" ref="G7192">PRODUCT( _xlfn._xlws.FILTER($E:$E, ($C:$C=C7192)*($F:$F=F7192)) ) - 1</f>
        <v>1.0764984068108774E-2</v>
      </c>
    </row>
    <row r="7193" spans="1:7" x14ac:dyDescent="0.2">
      <c r="A7193" s="1">
        <v>42241</v>
      </c>
      <c r="B7193">
        <v>2</v>
      </c>
      <c r="C7193" t="s">
        <v>16</v>
      </c>
      <c r="D7193">
        <v>-1.817E-3</v>
      </c>
      <c r="E7193">
        <f t="shared" si="224"/>
        <v>0.99818300000000004</v>
      </c>
      <c r="F7193" s="1">
        <f t="shared" si="225"/>
        <v>42240</v>
      </c>
      <c r="G7193" cm="1">
        <f t="array" ref="G7193">PRODUCT( _xlfn._xlws.FILTER($E:$E, ($C:$C=C7193)*($F:$F=F7193)) ) - 1</f>
        <v>1.0764984068108774E-2</v>
      </c>
    </row>
    <row r="7194" spans="1:7" x14ac:dyDescent="0.2">
      <c r="A7194" s="1">
        <v>42242</v>
      </c>
      <c r="B7194">
        <v>2</v>
      </c>
      <c r="C7194" t="s">
        <v>16</v>
      </c>
      <c r="D7194">
        <v>2.8726999999999999E-2</v>
      </c>
      <c r="E7194">
        <f t="shared" si="224"/>
        <v>1.0287269999999999</v>
      </c>
      <c r="F7194" s="1">
        <f t="shared" si="225"/>
        <v>42240</v>
      </c>
      <c r="G7194" cm="1">
        <f t="array" ref="G7194">PRODUCT( _xlfn._xlws.FILTER($E:$E, ($C:$C=C7194)*($F:$F=F7194)) ) - 1</f>
        <v>1.0764984068108774E-2</v>
      </c>
    </row>
    <row r="7195" spans="1:7" x14ac:dyDescent="0.2">
      <c r="A7195" s="1">
        <v>42243</v>
      </c>
      <c r="B7195">
        <v>2</v>
      </c>
      <c r="C7195" t="s">
        <v>16</v>
      </c>
      <c r="D7195">
        <v>1.0815999999999999E-2</v>
      </c>
      <c r="E7195">
        <f t="shared" si="224"/>
        <v>1.0108159999999999</v>
      </c>
      <c r="F7195" s="1">
        <f t="shared" si="225"/>
        <v>42240</v>
      </c>
      <c r="G7195" cm="1">
        <f t="array" ref="G7195">PRODUCT( _xlfn._xlws.FILTER($E:$E, ($C:$C=C7195)*($F:$F=F7195)) ) - 1</f>
        <v>1.0764984068108774E-2</v>
      </c>
    </row>
    <row r="7196" spans="1:7" x14ac:dyDescent="0.2">
      <c r="A7196" s="1">
        <v>42244</v>
      </c>
      <c r="B7196">
        <v>2</v>
      </c>
      <c r="C7196" t="s">
        <v>16</v>
      </c>
      <c r="D7196">
        <v>4.6690000000000004E-3</v>
      </c>
      <c r="E7196">
        <f t="shared" si="224"/>
        <v>1.004669</v>
      </c>
      <c r="F7196" s="1">
        <f t="shared" si="225"/>
        <v>42240</v>
      </c>
      <c r="G7196" cm="1">
        <f t="array" ref="G7196">PRODUCT( _xlfn._xlws.FILTER($E:$E, ($C:$C=C7196)*($F:$F=F7196)) ) - 1</f>
        <v>1.0764984068108774E-2</v>
      </c>
    </row>
    <row r="7197" spans="1:7" x14ac:dyDescent="0.2">
      <c r="A7197" s="1">
        <v>42247</v>
      </c>
      <c r="B7197">
        <v>2</v>
      </c>
      <c r="C7197" t="s">
        <v>16</v>
      </c>
      <c r="D7197">
        <v>-8.9079999999999993E-3</v>
      </c>
      <c r="E7197">
        <f t="shared" si="224"/>
        <v>0.99109199999999997</v>
      </c>
      <c r="F7197" s="1">
        <f t="shared" si="225"/>
        <v>42247</v>
      </c>
      <c r="G7197" cm="1">
        <f t="array" ref="G7197">PRODUCT( _xlfn._xlws.FILTER($E:$E, ($C:$C=C7197)*($F:$F=F7197)) ) - 1</f>
        <v>-7.748979640465059E-4</v>
      </c>
    </row>
    <row r="7198" spans="1:7" x14ac:dyDescent="0.2">
      <c r="A7198" s="1">
        <v>42248</v>
      </c>
      <c r="B7198">
        <v>2</v>
      </c>
      <c r="C7198" t="s">
        <v>16</v>
      </c>
      <c r="D7198">
        <v>-2.2079000000000001E-2</v>
      </c>
      <c r="E7198">
        <f t="shared" si="224"/>
        <v>0.97792100000000004</v>
      </c>
      <c r="F7198" s="1">
        <f t="shared" si="225"/>
        <v>42247</v>
      </c>
      <c r="G7198" cm="1">
        <f t="array" ref="G7198">PRODUCT( _xlfn._xlws.FILTER($E:$E, ($C:$C=C7198)*($F:$F=F7198)) ) - 1</f>
        <v>-7.748979640465059E-4</v>
      </c>
    </row>
    <row r="7199" spans="1:7" x14ac:dyDescent="0.2">
      <c r="A7199" s="1">
        <v>42249</v>
      </c>
      <c r="B7199">
        <v>2</v>
      </c>
      <c r="C7199" t="s">
        <v>16</v>
      </c>
      <c r="D7199">
        <v>2.2977000000000001E-2</v>
      </c>
      <c r="E7199">
        <f t="shared" si="224"/>
        <v>1.022977</v>
      </c>
      <c r="F7199" s="1">
        <f t="shared" si="225"/>
        <v>42247</v>
      </c>
      <c r="G7199" cm="1">
        <f t="array" ref="G7199">PRODUCT( _xlfn._xlws.FILTER($E:$E, ($C:$C=C7199)*($F:$F=F7199)) ) - 1</f>
        <v>-7.748979640465059E-4</v>
      </c>
    </row>
    <row r="7200" spans="1:7" x14ac:dyDescent="0.2">
      <c r="A7200" s="1">
        <v>42250</v>
      </c>
      <c r="B7200">
        <v>2</v>
      </c>
      <c r="C7200" t="s">
        <v>16</v>
      </c>
      <c r="D7200">
        <v>1.0547000000000001E-2</v>
      </c>
      <c r="E7200">
        <f t="shared" si="224"/>
        <v>1.0105470000000001</v>
      </c>
      <c r="F7200" s="1">
        <f t="shared" si="225"/>
        <v>42247</v>
      </c>
      <c r="G7200" cm="1">
        <f t="array" ref="G7200">PRODUCT( _xlfn._xlws.FILTER($E:$E, ($C:$C=C7200)*($F:$F=F7200)) ) - 1</f>
        <v>-7.748979640465059E-4</v>
      </c>
    </row>
    <row r="7201" spans="1:7" x14ac:dyDescent="0.2">
      <c r="A7201" s="1">
        <v>42251</v>
      </c>
      <c r="B7201">
        <v>2</v>
      </c>
      <c r="C7201" t="s">
        <v>16</v>
      </c>
      <c r="D7201">
        <v>-2.7060000000000001E-3</v>
      </c>
      <c r="E7201">
        <f t="shared" si="224"/>
        <v>0.99729400000000001</v>
      </c>
      <c r="F7201" s="1">
        <f t="shared" si="225"/>
        <v>42247</v>
      </c>
      <c r="G7201" cm="1">
        <f t="array" ref="G7201">PRODUCT( _xlfn._xlws.FILTER($E:$E, ($C:$C=C7201)*($F:$F=F7201)) ) - 1</f>
        <v>-7.748979640465059E-4</v>
      </c>
    </row>
    <row r="7202" spans="1:7" x14ac:dyDescent="0.2">
      <c r="A7202" s="1">
        <v>42255</v>
      </c>
      <c r="B7202">
        <v>2</v>
      </c>
      <c r="C7202" t="s">
        <v>16</v>
      </c>
      <c r="D7202">
        <v>1.0271000000000001E-2</v>
      </c>
      <c r="E7202">
        <f t="shared" si="224"/>
        <v>1.0102709999999999</v>
      </c>
      <c r="F7202" s="1">
        <f t="shared" si="225"/>
        <v>42254</v>
      </c>
      <c r="G7202" cm="1">
        <f t="array" ref="G7202">PRODUCT( _xlfn._xlws.FILTER($E:$E, ($C:$C=C7202)*($F:$F=F7202)) ) - 1</f>
        <v>2.3837256037261945E-2</v>
      </c>
    </row>
    <row r="7203" spans="1:7" x14ac:dyDescent="0.2">
      <c r="A7203" s="1">
        <v>42256</v>
      </c>
      <c r="B7203">
        <v>2</v>
      </c>
      <c r="C7203" t="s">
        <v>16</v>
      </c>
      <c r="D7203">
        <v>2.8770000000000002E-3</v>
      </c>
      <c r="E7203">
        <f t="shared" si="224"/>
        <v>1.002877</v>
      </c>
      <c r="F7203" s="1">
        <f t="shared" si="225"/>
        <v>42254</v>
      </c>
      <c r="G7203" cm="1">
        <f t="array" ref="G7203">PRODUCT( _xlfn._xlws.FILTER($E:$E, ($C:$C=C7203)*($F:$F=F7203)) ) - 1</f>
        <v>2.3837256037261945E-2</v>
      </c>
    </row>
    <row r="7204" spans="1:7" x14ac:dyDescent="0.2">
      <c r="A7204" s="1">
        <v>42257</v>
      </c>
      <c r="B7204">
        <v>2</v>
      </c>
      <c r="C7204" t="s">
        <v>16</v>
      </c>
      <c r="D7204">
        <v>5.9300000000000004E-3</v>
      </c>
      <c r="E7204">
        <f t="shared" si="224"/>
        <v>1.00593</v>
      </c>
      <c r="F7204" s="1">
        <f t="shared" si="225"/>
        <v>42254</v>
      </c>
      <c r="G7204" cm="1">
        <f t="array" ref="G7204">PRODUCT( _xlfn._xlws.FILTER($E:$E, ($C:$C=C7204)*($F:$F=F7204)) ) - 1</f>
        <v>2.3837256037261945E-2</v>
      </c>
    </row>
    <row r="7205" spans="1:7" x14ac:dyDescent="0.2">
      <c r="A7205" s="1">
        <v>42258</v>
      </c>
      <c r="B7205">
        <v>2</v>
      </c>
      <c r="C7205" t="s">
        <v>16</v>
      </c>
      <c r="D7205">
        <v>4.5640000000000003E-3</v>
      </c>
      <c r="E7205">
        <f t="shared" si="224"/>
        <v>1.004564</v>
      </c>
      <c r="F7205" s="1">
        <f t="shared" si="225"/>
        <v>42254</v>
      </c>
      <c r="G7205" cm="1">
        <f t="array" ref="G7205">PRODUCT( _xlfn._xlws.FILTER($E:$E, ($C:$C=C7205)*($F:$F=F7205)) ) - 1</f>
        <v>2.3837256037261945E-2</v>
      </c>
    </row>
    <row r="7206" spans="1:7" x14ac:dyDescent="0.2">
      <c r="A7206" s="1">
        <v>42261</v>
      </c>
      <c r="B7206">
        <v>2</v>
      </c>
      <c r="C7206" t="s">
        <v>16</v>
      </c>
      <c r="D7206">
        <v>-2.0820000000000001E-3</v>
      </c>
      <c r="E7206">
        <f t="shared" si="224"/>
        <v>0.99791799999999997</v>
      </c>
      <c r="F7206" s="1">
        <f t="shared" si="225"/>
        <v>42261</v>
      </c>
      <c r="G7206" cm="1">
        <f t="array" ref="G7206">PRODUCT( _xlfn._xlws.FILTER($E:$E, ($C:$C=C7206)*($F:$F=F7206)) ) - 1</f>
        <v>-1.5148628086021354E-3</v>
      </c>
    </row>
    <row r="7207" spans="1:7" x14ac:dyDescent="0.2">
      <c r="A7207" s="1">
        <v>42262</v>
      </c>
      <c r="B7207">
        <v>2</v>
      </c>
      <c r="C7207" t="s">
        <v>16</v>
      </c>
      <c r="D7207">
        <v>3.79E-4</v>
      </c>
      <c r="E7207">
        <f t="shared" si="224"/>
        <v>1.0003789999999999</v>
      </c>
      <c r="F7207" s="1">
        <f t="shared" si="225"/>
        <v>42261</v>
      </c>
      <c r="G7207" cm="1">
        <f t="array" ref="G7207">PRODUCT( _xlfn._xlws.FILTER($E:$E, ($C:$C=C7207)*($F:$F=F7207)) ) - 1</f>
        <v>-1.5148628086021354E-3</v>
      </c>
    </row>
    <row r="7208" spans="1:7" x14ac:dyDescent="0.2">
      <c r="A7208" s="1">
        <v>42263</v>
      </c>
      <c r="B7208">
        <v>2</v>
      </c>
      <c r="C7208" t="s">
        <v>16</v>
      </c>
      <c r="D7208">
        <v>6.6360000000000004E-3</v>
      </c>
      <c r="E7208">
        <f t="shared" si="224"/>
        <v>1.0066360000000001</v>
      </c>
      <c r="F7208" s="1">
        <f t="shared" si="225"/>
        <v>42261</v>
      </c>
      <c r="G7208" cm="1">
        <f t="array" ref="G7208">PRODUCT( _xlfn._xlws.FILTER($E:$E, ($C:$C=C7208)*($F:$F=F7208)) ) - 1</f>
        <v>-1.5148628086021354E-3</v>
      </c>
    </row>
    <row r="7209" spans="1:7" x14ac:dyDescent="0.2">
      <c r="A7209" s="1">
        <v>42264</v>
      </c>
      <c r="B7209">
        <v>2</v>
      </c>
      <c r="C7209" t="s">
        <v>16</v>
      </c>
      <c r="D7209">
        <v>-6.5929999999999999E-3</v>
      </c>
      <c r="E7209">
        <f t="shared" si="224"/>
        <v>0.99340700000000004</v>
      </c>
      <c r="F7209" s="1">
        <f t="shared" si="225"/>
        <v>42261</v>
      </c>
      <c r="G7209" cm="1">
        <f t="array" ref="G7209">PRODUCT( _xlfn._xlws.FILTER($E:$E, ($C:$C=C7209)*($F:$F=F7209)) ) - 1</f>
        <v>-1.5148628086021354E-3</v>
      </c>
    </row>
    <row r="7210" spans="1:7" x14ac:dyDescent="0.2">
      <c r="A7210" s="1">
        <v>42265</v>
      </c>
      <c r="B7210">
        <v>2</v>
      </c>
      <c r="C7210" t="s">
        <v>16</v>
      </c>
      <c r="D7210">
        <v>1.9000000000000001E-4</v>
      </c>
      <c r="E7210">
        <f t="shared" si="224"/>
        <v>1.0001899999999999</v>
      </c>
      <c r="F7210" s="1">
        <f t="shared" si="225"/>
        <v>42261</v>
      </c>
      <c r="G7210" cm="1">
        <f t="array" ref="G7210">PRODUCT( _xlfn._xlws.FILTER($E:$E, ($C:$C=C7210)*($F:$F=F7210)) ) - 1</f>
        <v>-1.5148628086021354E-3</v>
      </c>
    </row>
    <row r="7211" spans="1:7" x14ac:dyDescent="0.2">
      <c r="A7211" s="1">
        <v>42268</v>
      </c>
      <c r="B7211">
        <v>2</v>
      </c>
      <c r="C7211" t="s">
        <v>16</v>
      </c>
      <c r="D7211">
        <v>1.8388999999999999E-2</v>
      </c>
      <c r="E7211">
        <f t="shared" si="224"/>
        <v>1.018389</v>
      </c>
      <c r="F7211" s="1">
        <f t="shared" si="225"/>
        <v>42268</v>
      </c>
      <c r="G7211" cm="1">
        <f t="array" ref="G7211">PRODUCT( _xlfn._xlws.FILTER($E:$E, ($C:$C=C7211)*($F:$F=F7211)) ) - 1</f>
        <v>6.636000078920512E-3</v>
      </c>
    </row>
    <row r="7212" spans="1:7" x14ac:dyDescent="0.2">
      <c r="A7212" s="1">
        <v>42269</v>
      </c>
      <c r="B7212">
        <v>2</v>
      </c>
      <c r="C7212" t="s">
        <v>16</v>
      </c>
      <c r="D7212">
        <v>-2.2710000000000001E-2</v>
      </c>
      <c r="E7212">
        <f t="shared" si="224"/>
        <v>0.97728999999999999</v>
      </c>
      <c r="F7212" s="1">
        <f t="shared" si="225"/>
        <v>42268</v>
      </c>
      <c r="G7212" cm="1">
        <f t="array" ref="G7212">PRODUCT( _xlfn._xlws.FILTER($E:$E, ($C:$C=C7212)*($F:$F=F7212)) ) - 1</f>
        <v>6.636000078920512E-3</v>
      </c>
    </row>
    <row r="7213" spans="1:7" x14ac:dyDescent="0.2">
      <c r="A7213" s="1">
        <v>42270</v>
      </c>
      <c r="B7213">
        <v>2</v>
      </c>
      <c r="C7213" t="s">
        <v>16</v>
      </c>
      <c r="D7213">
        <v>1.2952E-2</v>
      </c>
      <c r="E7213">
        <f t="shared" si="224"/>
        <v>1.0129520000000001</v>
      </c>
      <c r="F7213" s="1">
        <f t="shared" si="225"/>
        <v>42268</v>
      </c>
      <c r="G7213" cm="1">
        <f t="array" ref="G7213">PRODUCT( _xlfn._xlws.FILTER($E:$E, ($C:$C=C7213)*($F:$F=F7213)) ) - 1</f>
        <v>6.636000078920512E-3</v>
      </c>
    </row>
    <row r="7214" spans="1:7" x14ac:dyDescent="0.2">
      <c r="A7214" s="1">
        <v>42271</v>
      </c>
      <c r="B7214">
        <v>2</v>
      </c>
      <c r="C7214" t="s">
        <v>16</v>
      </c>
      <c r="D7214">
        <v>-1.3159999999999999E-3</v>
      </c>
      <c r="E7214">
        <f t="shared" si="224"/>
        <v>0.99868400000000002</v>
      </c>
      <c r="F7214" s="1">
        <f t="shared" si="225"/>
        <v>42268</v>
      </c>
      <c r="G7214" cm="1">
        <f t="array" ref="G7214">PRODUCT( _xlfn._xlws.FILTER($E:$E, ($C:$C=C7214)*($F:$F=F7214)) ) - 1</f>
        <v>6.636000078920512E-3</v>
      </c>
    </row>
    <row r="7215" spans="1:7" x14ac:dyDescent="0.2">
      <c r="A7215" s="1">
        <v>42272</v>
      </c>
      <c r="B7215">
        <v>2</v>
      </c>
      <c r="C7215" t="s">
        <v>16</v>
      </c>
      <c r="D7215">
        <v>-1.8799999999999999E-4</v>
      </c>
      <c r="E7215">
        <f t="shared" si="224"/>
        <v>0.99981200000000003</v>
      </c>
      <c r="F7215" s="1">
        <f t="shared" si="225"/>
        <v>42268</v>
      </c>
      <c r="G7215" cm="1">
        <f t="array" ref="G7215">PRODUCT( _xlfn._xlws.FILTER($E:$E, ($C:$C=C7215)*($F:$F=F7215)) ) - 1</f>
        <v>6.636000078920512E-3</v>
      </c>
    </row>
    <row r="7216" spans="1:7" x14ac:dyDescent="0.2">
      <c r="A7216" s="1">
        <v>42275</v>
      </c>
      <c r="B7216">
        <v>2</v>
      </c>
      <c r="C7216" t="s">
        <v>16</v>
      </c>
      <c r="D7216">
        <v>-1.5630999999999999E-2</v>
      </c>
      <c r="E7216">
        <f t="shared" si="224"/>
        <v>0.98436900000000005</v>
      </c>
      <c r="F7216" s="1">
        <f t="shared" si="225"/>
        <v>42275</v>
      </c>
      <c r="G7216" cm="1">
        <f t="array" ref="G7216">PRODUCT( _xlfn._xlws.FILTER($E:$E, ($C:$C=C7216)*($F:$F=F7216)) ) - 1</f>
        <v>7.1561888504596549E-3</v>
      </c>
    </row>
    <row r="7217" spans="1:7" x14ac:dyDescent="0.2">
      <c r="A7217" s="1">
        <v>42276</v>
      </c>
      <c r="B7217">
        <v>2</v>
      </c>
      <c r="C7217" t="s">
        <v>16</v>
      </c>
      <c r="D7217">
        <v>8.0350000000000005E-3</v>
      </c>
      <c r="E7217">
        <f t="shared" si="224"/>
        <v>1.008035</v>
      </c>
      <c r="F7217" s="1">
        <f t="shared" si="225"/>
        <v>42275</v>
      </c>
      <c r="G7217" cm="1">
        <f t="array" ref="G7217">PRODUCT( _xlfn._xlws.FILTER($E:$E, ($C:$C=C7217)*($F:$F=F7217)) ) - 1</f>
        <v>7.1561888504596549E-3</v>
      </c>
    </row>
    <row r="7218" spans="1:7" x14ac:dyDescent="0.2">
      <c r="A7218" s="1">
        <v>42277</v>
      </c>
      <c r="B7218">
        <v>2</v>
      </c>
      <c r="C7218" t="s">
        <v>16</v>
      </c>
      <c r="D7218">
        <v>1.8030000000000001E-2</v>
      </c>
      <c r="E7218">
        <f t="shared" si="224"/>
        <v>1.01803</v>
      </c>
      <c r="F7218" s="1">
        <f t="shared" si="225"/>
        <v>42275</v>
      </c>
      <c r="G7218" cm="1">
        <f t="array" ref="G7218">PRODUCT( _xlfn._xlws.FILTER($E:$E, ($C:$C=C7218)*($F:$F=F7218)) ) - 1</f>
        <v>7.1561888504596549E-3</v>
      </c>
    </row>
    <row r="7219" spans="1:7" x14ac:dyDescent="0.2">
      <c r="A7219" s="1">
        <v>42278</v>
      </c>
      <c r="B7219">
        <v>2</v>
      </c>
      <c r="C7219" t="s">
        <v>16</v>
      </c>
      <c r="D7219">
        <v>-3.9150000000000001E-3</v>
      </c>
      <c r="E7219">
        <f t="shared" si="224"/>
        <v>0.996085</v>
      </c>
      <c r="F7219" s="1">
        <f t="shared" si="225"/>
        <v>42275</v>
      </c>
      <c r="G7219" cm="1">
        <f t="array" ref="G7219">PRODUCT( _xlfn._xlws.FILTER($E:$E, ($C:$C=C7219)*($F:$F=F7219)) ) - 1</f>
        <v>7.1561888504596549E-3</v>
      </c>
    </row>
    <row r="7220" spans="1:7" x14ac:dyDescent="0.2">
      <c r="A7220" s="1">
        <v>42279</v>
      </c>
      <c r="B7220">
        <v>2</v>
      </c>
      <c r="C7220" t="s">
        <v>16</v>
      </c>
      <c r="D7220">
        <v>9.3599999999999998E-4</v>
      </c>
      <c r="E7220">
        <f t="shared" si="224"/>
        <v>1.000936</v>
      </c>
      <c r="F7220" s="1">
        <f t="shared" si="225"/>
        <v>42275</v>
      </c>
      <c r="G7220" cm="1">
        <f t="array" ref="G7220">PRODUCT( _xlfn._xlws.FILTER($E:$E, ($C:$C=C7220)*($F:$F=F7220)) ) - 1</f>
        <v>7.1561888504596549E-3</v>
      </c>
    </row>
    <row r="7221" spans="1:7" x14ac:dyDescent="0.2">
      <c r="A7221" s="1">
        <v>42282</v>
      </c>
      <c r="B7221">
        <v>2</v>
      </c>
      <c r="C7221" t="s">
        <v>16</v>
      </c>
      <c r="D7221">
        <v>-1.122E-3</v>
      </c>
      <c r="E7221">
        <f t="shared" si="224"/>
        <v>0.99887800000000004</v>
      </c>
      <c r="F7221" s="1">
        <f t="shared" si="225"/>
        <v>42282</v>
      </c>
      <c r="G7221" cm="1">
        <f t="array" ref="G7221">PRODUCT( _xlfn._xlws.FILTER($E:$E, ($C:$C=C7221)*($F:$F=F7221)) ) - 1</f>
        <v>2.0576647756171962E-3</v>
      </c>
    </row>
    <row r="7222" spans="1:7" x14ac:dyDescent="0.2">
      <c r="A7222" s="1">
        <v>42283</v>
      </c>
      <c r="B7222">
        <v>2</v>
      </c>
      <c r="C7222" t="s">
        <v>16</v>
      </c>
      <c r="D7222">
        <v>5.62E-4</v>
      </c>
      <c r="E7222">
        <f t="shared" si="224"/>
        <v>1.000562</v>
      </c>
      <c r="F7222" s="1">
        <f t="shared" si="225"/>
        <v>42282</v>
      </c>
      <c r="G7222" cm="1">
        <f t="array" ref="G7222">PRODUCT( _xlfn._xlws.FILTER($E:$E, ($C:$C=C7222)*($F:$F=F7222)) ) - 1</f>
        <v>2.0576647756171962E-3</v>
      </c>
    </row>
    <row r="7223" spans="1:7" x14ac:dyDescent="0.2">
      <c r="A7223" s="1">
        <v>42284</v>
      </c>
      <c r="B7223">
        <v>2</v>
      </c>
      <c r="C7223" t="s">
        <v>16</v>
      </c>
      <c r="D7223">
        <v>3.3679999999999999E-3</v>
      </c>
      <c r="E7223">
        <f t="shared" si="224"/>
        <v>1.003368</v>
      </c>
      <c r="F7223" s="1">
        <f t="shared" si="225"/>
        <v>42282</v>
      </c>
      <c r="G7223" cm="1">
        <f t="array" ref="G7223">PRODUCT( _xlfn._xlws.FILTER($E:$E, ($C:$C=C7223)*($F:$F=F7223)) ) - 1</f>
        <v>2.0576647756171962E-3</v>
      </c>
    </row>
    <row r="7224" spans="1:7" x14ac:dyDescent="0.2">
      <c r="A7224" s="1">
        <v>42285</v>
      </c>
      <c r="B7224">
        <v>2</v>
      </c>
      <c r="C7224" t="s">
        <v>16</v>
      </c>
      <c r="D7224">
        <v>2.0509999999999999E-3</v>
      </c>
      <c r="E7224">
        <f t="shared" si="224"/>
        <v>1.002051</v>
      </c>
      <c r="F7224" s="1">
        <f t="shared" si="225"/>
        <v>42282</v>
      </c>
      <c r="G7224" cm="1">
        <f t="array" ref="G7224">PRODUCT( _xlfn._xlws.FILTER($E:$E, ($C:$C=C7224)*($F:$F=F7224)) ) - 1</f>
        <v>2.0576647756171962E-3</v>
      </c>
    </row>
    <row r="7225" spans="1:7" x14ac:dyDescent="0.2">
      <c r="A7225" s="1">
        <v>42286</v>
      </c>
      <c r="B7225">
        <v>2</v>
      </c>
      <c r="C7225" t="s">
        <v>16</v>
      </c>
      <c r="D7225">
        <v>-2.7910000000000001E-3</v>
      </c>
      <c r="E7225">
        <f t="shared" si="224"/>
        <v>0.99720900000000001</v>
      </c>
      <c r="F7225" s="1">
        <f t="shared" si="225"/>
        <v>42282</v>
      </c>
      <c r="G7225" cm="1">
        <f t="array" ref="G7225">PRODUCT( _xlfn._xlws.FILTER($E:$E, ($C:$C=C7225)*($F:$F=F7225)) ) - 1</f>
        <v>2.0576647756171962E-3</v>
      </c>
    </row>
    <row r="7226" spans="1:7" x14ac:dyDescent="0.2">
      <c r="A7226" s="1">
        <v>42290</v>
      </c>
      <c r="B7226">
        <v>2</v>
      </c>
      <c r="C7226" t="s">
        <v>16</v>
      </c>
      <c r="D7226">
        <v>8.2100000000000003E-3</v>
      </c>
      <c r="E7226">
        <f t="shared" si="224"/>
        <v>1.0082100000000001</v>
      </c>
      <c r="F7226" s="1">
        <f t="shared" si="225"/>
        <v>42289</v>
      </c>
      <c r="G7226" cm="1">
        <f t="array" ref="G7226">PRODUCT( _xlfn._xlws.FILTER($E:$E, ($C:$C=C7226)*($F:$F=F7226)) ) - 1</f>
        <v>-1.874418575426029E-4</v>
      </c>
    </row>
    <row r="7227" spans="1:7" x14ac:dyDescent="0.2">
      <c r="A7227" s="1">
        <v>42291</v>
      </c>
      <c r="B7227">
        <v>2</v>
      </c>
      <c r="C7227" t="s">
        <v>16</v>
      </c>
      <c r="D7227">
        <v>-1.0735E-2</v>
      </c>
      <c r="E7227">
        <f t="shared" si="224"/>
        <v>0.98926499999999995</v>
      </c>
      <c r="F7227" s="1">
        <f t="shared" si="225"/>
        <v>42289</v>
      </c>
      <c r="G7227" cm="1">
        <f t="array" ref="G7227">PRODUCT( _xlfn._xlws.FILTER($E:$E, ($C:$C=C7227)*($F:$F=F7227)) ) - 1</f>
        <v>-1.874418575426029E-4</v>
      </c>
    </row>
    <row r="7228" spans="1:7" x14ac:dyDescent="0.2">
      <c r="A7228" s="1">
        <v>42292</v>
      </c>
      <c r="B7228">
        <v>2</v>
      </c>
      <c r="C7228" t="s">
        <v>16</v>
      </c>
      <c r="D7228">
        <v>1.8710000000000001E-3</v>
      </c>
      <c r="E7228">
        <f t="shared" si="224"/>
        <v>1.001871</v>
      </c>
      <c r="F7228" s="1">
        <f t="shared" si="225"/>
        <v>42289</v>
      </c>
      <c r="G7228" cm="1">
        <f t="array" ref="G7228">PRODUCT( _xlfn._xlws.FILTER($E:$E, ($C:$C=C7228)*($F:$F=F7228)) ) - 1</f>
        <v>-1.874418575426029E-4</v>
      </c>
    </row>
    <row r="7229" spans="1:7" x14ac:dyDescent="0.2">
      <c r="A7229" s="1">
        <v>42293</v>
      </c>
      <c r="B7229">
        <v>2</v>
      </c>
      <c r="C7229" t="s">
        <v>16</v>
      </c>
      <c r="D7229">
        <v>5.5999999999999995E-4</v>
      </c>
      <c r="E7229">
        <f t="shared" si="224"/>
        <v>1.0005599999999999</v>
      </c>
      <c r="F7229" s="1">
        <f t="shared" si="225"/>
        <v>42289</v>
      </c>
      <c r="G7229" cm="1">
        <f t="array" ref="G7229">PRODUCT( _xlfn._xlws.FILTER($E:$E, ($C:$C=C7229)*($F:$F=F7229)) ) - 1</f>
        <v>-1.874418575426029E-4</v>
      </c>
    </row>
    <row r="7230" spans="1:7" x14ac:dyDescent="0.2">
      <c r="A7230" s="1">
        <v>42296</v>
      </c>
      <c r="B7230">
        <v>2</v>
      </c>
      <c r="C7230" t="s">
        <v>16</v>
      </c>
      <c r="D7230">
        <v>9.1450000000000004E-3</v>
      </c>
      <c r="E7230">
        <f t="shared" si="224"/>
        <v>1.009145</v>
      </c>
      <c r="F7230" s="1">
        <f t="shared" si="225"/>
        <v>42296</v>
      </c>
      <c r="G7230" cm="1">
        <f t="array" ref="G7230">PRODUCT( _xlfn._xlws.FILTER($E:$E, ($C:$C=C7230)*($F:$F=F7230)) ) - 1</f>
        <v>1.9036422976254741E-2</v>
      </c>
    </row>
    <row r="7231" spans="1:7" x14ac:dyDescent="0.2">
      <c r="A7231" s="1">
        <v>42297</v>
      </c>
      <c r="B7231">
        <v>2</v>
      </c>
      <c r="C7231" t="s">
        <v>16</v>
      </c>
      <c r="D7231">
        <v>1.0912E-2</v>
      </c>
      <c r="E7231">
        <f t="shared" si="224"/>
        <v>1.010912</v>
      </c>
      <c r="F7231" s="1">
        <f t="shared" si="225"/>
        <v>42296</v>
      </c>
      <c r="G7231" cm="1">
        <f t="array" ref="G7231">PRODUCT( _xlfn._xlws.FILTER($E:$E, ($C:$C=C7231)*($F:$F=F7231)) ) - 1</f>
        <v>1.9036422976254741E-2</v>
      </c>
    </row>
    <row r="7232" spans="1:7" x14ac:dyDescent="0.2">
      <c r="A7232" s="1">
        <v>42298</v>
      </c>
      <c r="B7232">
        <v>2</v>
      </c>
      <c r="C7232" t="s">
        <v>16</v>
      </c>
      <c r="D7232">
        <v>-1.098E-3</v>
      </c>
      <c r="E7232">
        <f t="shared" si="224"/>
        <v>0.99890199999999996</v>
      </c>
      <c r="F7232" s="1">
        <f t="shared" si="225"/>
        <v>42296</v>
      </c>
      <c r="G7232" cm="1">
        <f t="array" ref="G7232">PRODUCT( _xlfn._xlws.FILTER($E:$E, ($C:$C=C7232)*($F:$F=F7232)) ) - 1</f>
        <v>1.9036422976254741E-2</v>
      </c>
    </row>
    <row r="7233" spans="1:7" x14ac:dyDescent="0.2">
      <c r="A7233" s="1">
        <v>42299</v>
      </c>
      <c r="B7233">
        <v>2</v>
      </c>
      <c r="C7233" t="s">
        <v>16</v>
      </c>
      <c r="D7233">
        <v>1.3553000000000001E-2</v>
      </c>
      <c r="E7233">
        <f t="shared" si="224"/>
        <v>1.0135529999999999</v>
      </c>
      <c r="F7233" s="1">
        <f t="shared" si="225"/>
        <v>42296</v>
      </c>
      <c r="G7233" cm="1">
        <f t="array" ref="G7233">PRODUCT( _xlfn._xlws.FILTER($E:$E, ($C:$C=C7233)*($F:$F=F7233)) ) - 1</f>
        <v>1.9036422976254741E-2</v>
      </c>
    </row>
    <row r="7234" spans="1:7" x14ac:dyDescent="0.2">
      <c r="A7234" s="1">
        <v>42300</v>
      </c>
      <c r="B7234">
        <v>2</v>
      </c>
      <c r="C7234" t="s">
        <v>16</v>
      </c>
      <c r="D7234">
        <v>-1.3372E-2</v>
      </c>
      <c r="E7234">
        <f t="shared" si="224"/>
        <v>0.98662799999999995</v>
      </c>
      <c r="F7234" s="1">
        <f t="shared" si="225"/>
        <v>42296</v>
      </c>
      <c r="G7234" cm="1">
        <f t="array" ref="G7234">PRODUCT( _xlfn._xlws.FILTER($E:$E, ($C:$C=C7234)*($F:$F=F7234)) ) - 1</f>
        <v>1.9036422976254741E-2</v>
      </c>
    </row>
    <row r="7235" spans="1:7" x14ac:dyDescent="0.2">
      <c r="A7235" s="1">
        <v>42303</v>
      </c>
      <c r="B7235">
        <v>2</v>
      </c>
      <c r="C7235" t="s">
        <v>16</v>
      </c>
      <c r="D7235">
        <v>-1.0989000000000001E-2</v>
      </c>
      <c r="E7235">
        <f t="shared" si="224"/>
        <v>0.98901099999999997</v>
      </c>
      <c r="F7235" s="1">
        <f t="shared" si="225"/>
        <v>42303</v>
      </c>
      <c r="G7235" cm="1">
        <f t="array" ref="G7235">PRODUCT( _xlfn._xlws.FILTER($E:$E, ($C:$C=C7235)*($F:$F=F7235)) ) - 1</f>
        <v>-1.6850546398427535E-2</v>
      </c>
    </row>
    <row r="7236" spans="1:7" x14ac:dyDescent="0.2">
      <c r="A7236" s="1">
        <v>42304</v>
      </c>
      <c r="B7236">
        <v>2</v>
      </c>
      <c r="C7236" t="s">
        <v>16</v>
      </c>
      <c r="D7236">
        <v>-5.1850000000000004E-3</v>
      </c>
      <c r="E7236">
        <f t="shared" ref="E7236:E7299" si="226">D7236+1</f>
        <v>0.994815</v>
      </c>
      <c r="F7236" s="1">
        <f t="shared" ref="F7236:F7299" si="227">A7236 - (WEEKDAY(A7236, 2) - 1)</f>
        <v>42303</v>
      </c>
      <c r="G7236" cm="1">
        <f t="array" ref="G7236">PRODUCT( _xlfn._xlws.FILTER($E:$E, ($C:$C=C7236)*($F:$F=F7236)) ) - 1</f>
        <v>-1.6850546398427535E-2</v>
      </c>
    </row>
    <row r="7237" spans="1:7" x14ac:dyDescent="0.2">
      <c r="A7237" s="1">
        <v>42305</v>
      </c>
      <c r="B7237">
        <v>2</v>
      </c>
      <c r="C7237" t="s">
        <v>16</v>
      </c>
      <c r="D7237">
        <v>3.9090000000000001E-3</v>
      </c>
      <c r="E7237">
        <f t="shared" si="226"/>
        <v>1.0039089999999999</v>
      </c>
      <c r="F7237" s="1">
        <f t="shared" si="227"/>
        <v>42303</v>
      </c>
      <c r="G7237" cm="1">
        <f t="array" ref="G7237">PRODUCT( _xlfn._xlws.FILTER($E:$E, ($C:$C=C7237)*($F:$F=F7237)) ) - 1</f>
        <v>-1.6850546398427535E-2</v>
      </c>
    </row>
    <row r="7238" spans="1:7" x14ac:dyDescent="0.2">
      <c r="A7238" s="1">
        <v>42306</v>
      </c>
      <c r="B7238">
        <v>2</v>
      </c>
      <c r="C7238" t="s">
        <v>16</v>
      </c>
      <c r="D7238">
        <v>1.1124999999999999E-2</v>
      </c>
      <c r="E7238">
        <f t="shared" si="226"/>
        <v>1.0111250000000001</v>
      </c>
      <c r="F7238" s="1">
        <f t="shared" si="227"/>
        <v>42303</v>
      </c>
      <c r="G7238" cm="1">
        <f t="array" ref="G7238">PRODUCT( _xlfn._xlws.FILTER($E:$E, ($C:$C=C7238)*($F:$F=F7238)) ) - 1</f>
        <v>-1.6850546398427535E-2</v>
      </c>
    </row>
    <row r="7239" spans="1:7" x14ac:dyDescent="0.2">
      <c r="A7239" s="1">
        <v>42307</v>
      </c>
      <c r="B7239">
        <v>2</v>
      </c>
      <c r="C7239" t="s">
        <v>16</v>
      </c>
      <c r="D7239">
        <v>-1.5587999999999999E-2</v>
      </c>
      <c r="E7239">
        <f t="shared" si="226"/>
        <v>0.98441199999999995</v>
      </c>
      <c r="F7239" s="1">
        <f t="shared" si="227"/>
        <v>42303</v>
      </c>
      <c r="G7239" cm="1">
        <f t="array" ref="G7239">PRODUCT( _xlfn._xlws.FILTER($E:$E, ($C:$C=C7239)*($F:$F=F7239)) ) - 1</f>
        <v>-1.6850546398427535E-2</v>
      </c>
    </row>
    <row r="7240" spans="1:7" x14ac:dyDescent="0.2">
      <c r="A7240" s="1">
        <v>42310</v>
      </c>
      <c r="B7240">
        <v>2</v>
      </c>
      <c r="C7240" t="s">
        <v>16</v>
      </c>
      <c r="D7240">
        <v>8.7559999999999999E-3</v>
      </c>
      <c r="E7240">
        <f t="shared" si="226"/>
        <v>1.008756</v>
      </c>
      <c r="F7240" s="1">
        <f t="shared" si="227"/>
        <v>42310</v>
      </c>
      <c r="G7240" cm="1">
        <f t="array" ref="G7240">PRODUCT( _xlfn._xlws.FILTER($E:$E, ($C:$C=C7240)*($F:$F=F7240)) ) - 1</f>
        <v>-6.1476068739523271E-3</v>
      </c>
    </row>
    <row r="7241" spans="1:7" x14ac:dyDescent="0.2">
      <c r="A7241" s="1">
        <v>42311</v>
      </c>
      <c r="B7241">
        <v>2</v>
      </c>
      <c r="C7241" t="s">
        <v>16</v>
      </c>
      <c r="D7241">
        <v>-2.4009999999999999E-3</v>
      </c>
      <c r="E7241">
        <f t="shared" si="226"/>
        <v>0.99759900000000001</v>
      </c>
      <c r="F7241" s="1">
        <f t="shared" si="227"/>
        <v>42310</v>
      </c>
      <c r="G7241" cm="1">
        <f t="array" ref="G7241">PRODUCT( _xlfn._xlws.FILTER($E:$E, ($C:$C=C7241)*($F:$F=F7241)) ) - 1</f>
        <v>-6.1476068739523271E-3</v>
      </c>
    </row>
    <row r="7242" spans="1:7" x14ac:dyDescent="0.2">
      <c r="A7242" s="1">
        <v>42312</v>
      </c>
      <c r="B7242">
        <v>2</v>
      </c>
      <c r="C7242" t="s">
        <v>16</v>
      </c>
      <c r="D7242">
        <v>-8.8859999999999998E-3</v>
      </c>
      <c r="E7242">
        <f t="shared" si="226"/>
        <v>0.99111400000000005</v>
      </c>
      <c r="F7242" s="1">
        <f t="shared" si="227"/>
        <v>42310</v>
      </c>
      <c r="G7242" cm="1">
        <f t="array" ref="G7242">PRODUCT( _xlfn._xlws.FILTER($E:$E, ($C:$C=C7242)*($F:$F=F7242)) ) - 1</f>
        <v>-6.1476068739523271E-3</v>
      </c>
    </row>
    <row r="7243" spans="1:7" x14ac:dyDescent="0.2">
      <c r="A7243" s="1">
        <v>42313</v>
      </c>
      <c r="B7243">
        <v>2</v>
      </c>
      <c r="C7243" t="s">
        <v>16</v>
      </c>
      <c r="D7243">
        <v>-9.3400000000000004E-4</v>
      </c>
      <c r="E7243">
        <f t="shared" si="226"/>
        <v>0.99906600000000001</v>
      </c>
      <c r="F7243" s="1">
        <f t="shared" si="227"/>
        <v>42310</v>
      </c>
      <c r="G7243" cm="1">
        <f t="array" ref="G7243">PRODUCT( _xlfn._xlws.FILTER($E:$E, ($C:$C=C7243)*($F:$F=F7243)) ) - 1</f>
        <v>-6.1476068739523271E-3</v>
      </c>
    </row>
    <row r="7244" spans="1:7" x14ac:dyDescent="0.2">
      <c r="A7244" s="1">
        <v>42314</v>
      </c>
      <c r="B7244">
        <v>2</v>
      </c>
      <c r="C7244" t="s">
        <v>16</v>
      </c>
      <c r="D7244">
        <v>-2.617E-3</v>
      </c>
      <c r="E7244">
        <f t="shared" si="226"/>
        <v>0.99738300000000002</v>
      </c>
      <c r="F7244" s="1">
        <f t="shared" si="227"/>
        <v>42310</v>
      </c>
      <c r="G7244" cm="1">
        <f t="array" ref="G7244">PRODUCT( _xlfn._xlws.FILTER($E:$E, ($C:$C=C7244)*($F:$F=F7244)) ) - 1</f>
        <v>-6.1476068739523271E-3</v>
      </c>
    </row>
    <row r="7245" spans="1:7" x14ac:dyDescent="0.2">
      <c r="A7245" s="1">
        <v>42317</v>
      </c>
      <c r="B7245">
        <v>2</v>
      </c>
      <c r="C7245" t="s">
        <v>16</v>
      </c>
      <c r="D7245">
        <v>-8.2470000000000009E-3</v>
      </c>
      <c r="E7245">
        <f t="shared" si="226"/>
        <v>0.991753</v>
      </c>
      <c r="F7245" s="1">
        <f t="shared" si="227"/>
        <v>42317</v>
      </c>
      <c r="G7245" cm="1">
        <f t="array" ref="G7245">PRODUCT( _xlfn._xlws.FILTER($E:$E, ($C:$C=C7245)*($F:$F=F7245)) ) - 1</f>
        <v>-2.6616812187134964E-2</v>
      </c>
    </row>
    <row r="7246" spans="1:7" x14ac:dyDescent="0.2">
      <c r="A7246" s="1">
        <v>42318</v>
      </c>
      <c r="B7246">
        <v>2</v>
      </c>
      <c r="C7246" t="s">
        <v>16</v>
      </c>
      <c r="D7246">
        <v>7.5600000000000005E-4</v>
      </c>
      <c r="E7246">
        <f t="shared" si="226"/>
        <v>1.000756</v>
      </c>
      <c r="F7246" s="1">
        <f t="shared" si="227"/>
        <v>42317</v>
      </c>
      <c r="G7246" cm="1">
        <f t="array" ref="G7246">PRODUCT( _xlfn._xlws.FILTER($E:$E, ($C:$C=C7246)*($F:$F=F7246)) ) - 1</f>
        <v>-2.6616812187134964E-2</v>
      </c>
    </row>
    <row r="7247" spans="1:7" x14ac:dyDescent="0.2">
      <c r="A7247" s="1">
        <v>42319</v>
      </c>
      <c r="B7247">
        <v>2</v>
      </c>
      <c r="C7247" t="s">
        <v>16</v>
      </c>
      <c r="D7247">
        <v>2.0018999999999999E-2</v>
      </c>
      <c r="E7247">
        <f t="shared" si="226"/>
        <v>1.020019</v>
      </c>
      <c r="F7247" s="1">
        <f t="shared" si="227"/>
        <v>42317</v>
      </c>
      <c r="G7247" cm="1">
        <f t="array" ref="G7247">PRODUCT( _xlfn._xlws.FILTER($E:$E, ($C:$C=C7247)*($F:$F=F7247)) ) - 1</f>
        <v>-2.6616812187134964E-2</v>
      </c>
    </row>
    <row r="7248" spans="1:7" x14ac:dyDescent="0.2">
      <c r="A7248" s="1">
        <v>42320</v>
      </c>
      <c r="B7248">
        <v>2</v>
      </c>
      <c r="C7248" t="s">
        <v>16</v>
      </c>
      <c r="D7248">
        <v>-1.9071000000000001E-2</v>
      </c>
      <c r="E7248">
        <f t="shared" si="226"/>
        <v>0.98092900000000005</v>
      </c>
      <c r="F7248" s="1">
        <f t="shared" si="227"/>
        <v>42317</v>
      </c>
      <c r="G7248" cm="1">
        <f t="array" ref="G7248">PRODUCT( _xlfn._xlws.FILTER($E:$E, ($C:$C=C7248)*($F:$F=F7248)) ) - 1</f>
        <v>-2.6616812187134964E-2</v>
      </c>
    </row>
    <row r="7249" spans="1:7" x14ac:dyDescent="0.2">
      <c r="A7249" s="1">
        <v>42321</v>
      </c>
      <c r="B7249">
        <v>2</v>
      </c>
      <c r="C7249" t="s">
        <v>16</v>
      </c>
      <c r="D7249">
        <v>-1.9819E-2</v>
      </c>
      <c r="E7249">
        <f t="shared" si="226"/>
        <v>0.98018099999999997</v>
      </c>
      <c r="F7249" s="1">
        <f t="shared" si="227"/>
        <v>42317</v>
      </c>
      <c r="G7249" cm="1">
        <f t="array" ref="G7249">PRODUCT( _xlfn._xlws.FILTER($E:$E, ($C:$C=C7249)*($F:$F=F7249)) ) - 1</f>
        <v>-2.6616812187134964E-2</v>
      </c>
    </row>
    <row r="7250" spans="1:7" x14ac:dyDescent="0.2">
      <c r="A7250" s="1">
        <v>42324</v>
      </c>
      <c r="B7250">
        <v>2</v>
      </c>
      <c r="C7250" t="s">
        <v>16</v>
      </c>
      <c r="D7250">
        <v>1.2902E-2</v>
      </c>
      <c r="E7250">
        <f t="shared" si="226"/>
        <v>1.012902</v>
      </c>
      <c r="F7250" s="1">
        <f t="shared" si="227"/>
        <v>42324</v>
      </c>
      <c r="G7250" cm="1">
        <f t="array" ref="G7250">PRODUCT( _xlfn._xlws.FILTER($E:$E, ($C:$C=C7250)*($F:$F=F7250)) ) - 1</f>
        <v>2.9662225102106365E-2</v>
      </c>
    </row>
    <row r="7251" spans="1:7" x14ac:dyDescent="0.2">
      <c r="A7251" s="1">
        <v>42325</v>
      </c>
      <c r="B7251">
        <v>2</v>
      </c>
      <c r="C7251" t="s">
        <v>16</v>
      </c>
      <c r="D7251">
        <v>6.1939999999999999E-3</v>
      </c>
      <c r="E7251">
        <f t="shared" si="226"/>
        <v>1.006194</v>
      </c>
      <c r="F7251" s="1">
        <f t="shared" si="227"/>
        <v>42324</v>
      </c>
      <c r="G7251" cm="1">
        <f t="array" ref="G7251">PRODUCT( _xlfn._xlws.FILTER($E:$E, ($C:$C=C7251)*($F:$F=F7251)) ) - 1</f>
        <v>2.9662225102106365E-2</v>
      </c>
    </row>
    <row r="7252" spans="1:7" x14ac:dyDescent="0.2">
      <c r="A7252" s="1">
        <v>42326</v>
      </c>
      <c r="B7252">
        <v>2</v>
      </c>
      <c r="C7252" t="s">
        <v>16</v>
      </c>
      <c r="D7252">
        <v>1.0861000000000001E-2</v>
      </c>
      <c r="E7252">
        <f t="shared" si="226"/>
        <v>1.010861</v>
      </c>
      <c r="F7252" s="1">
        <f t="shared" si="227"/>
        <v>42324</v>
      </c>
      <c r="G7252" cm="1">
        <f t="array" ref="G7252">PRODUCT( _xlfn._xlws.FILTER($E:$E, ($C:$C=C7252)*($F:$F=F7252)) ) - 1</f>
        <v>2.9662225102106365E-2</v>
      </c>
    </row>
    <row r="7253" spans="1:7" x14ac:dyDescent="0.2">
      <c r="A7253" s="1">
        <v>42327</v>
      </c>
      <c r="B7253">
        <v>2</v>
      </c>
      <c r="C7253" t="s">
        <v>16</v>
      </c>
      <c r="D7253">
        <v>-2.2620000000000001E-3</v>
      </c>
      <c r="E7253">
        <f t="shared" si="226"/>
        <v>0.99773800000000001</v>
      </c>
      <c r="F7253" s="1">
        <f t="shared" si="227"/>
        <v>42324</v>
      </c>
      <c r="G7253" cm="1">
        <f t="array" ref="G7253">PRODUCT( _xlfn._xlws.FILTER($E:$E, ($C:$C=C7253)*($F:$F=F7253)) ) - 1</f>
        <v>2.9662225102106365E-2</v>
      </c>
    </row>
    <row r="7254" spans="1:7" x14ac:dyDescent="0.2">
      <c r="A7254" s="1">
        <v>42328</v>
      </c>
      <c r="B7254">
        <v>2</v>
      </c>
      <c r="C7254" t="s">
        <v>16</v>
      </c>
      <c r="D7254">
        <v>1.6999999999999999E-3</v>
      </c>
      <c r="E7254">
        <f t="shared" si="226"/>
        <v>1.0017</v>
      </c>
      <c r="F7254" s="1">
        <f t="shared" si="227"/>
        <v>42324</v>
      </c>
      <c r="G7254" cm="1">
        <f t="array" ref="G7254">PRODUCT( _xlfn._xlws.FILTER($E:$E, ($C:$C=C7254)*($F:$F=F7254)) ) - 1</f>
        <v>2.9662225102106365E-2</v>
      </c>
    </row>
    <row r="7255" spans="1:7" x14ac:dyDescent="0.2">
      <c r="A7255" s="1">
        <v>42331</v>
      </c>
      <c r="B7255">
        <v>2</v>
      </c>
      <c r="C7255" t="s">
        <v>16</v>
      </c>
      <c r="D7255">
        <v>-3.7720000000000002E-3</v>
      </c>
      <c r="E7255">
        <f t="shared" si="226"/>
        <v>0.996228</v>
      </c>
      <c r="F7255" s="1">
        <f t="shared" si="227"/>
        <v>42331</v>
      </c>
      <c r="G7255" cm="1">
        <f t="array" ref="G7255">PRODUCT( _xlfn._xlws.FILTER($E:$E, ($C:$C=C7255)*($F:$F=F7255)) ) - 1</f>
        <v>8.4873477860767377E-3</v>
      </c>
    </row>
    <row r="7256" spans="1:7" x14ac:dyDescent="0.2">
      <c r="A7256" s="1">
        <v>42332</v>
      </c>
      <c r="B7256">
        <v>2</v>
      </c>
      <c r="C7256" t="s">
        <v>16</v>
      </c>
      <c r="D7256">
        <v>1.8929999999999999E-3</v>
      </c>
      <c r="E7256">
        <f t="shared" si="226"/>
        <v>1.0018929999999999</v>
      </c>
      <c r="F7256" s="1">
        <f t="shared" si="227"/>
        <v>42331</v>
      </c>
      <c r="G7256" cm="1">
        <f t="array" ref="G7256">PRODUCT( _xlfn._xlws.FILTER($E:$E, ($C:$C=C7256)*($F:$F=F7256)) ) - 1</f>
        <v>8.4873477860767377E-3</v>
      </c>
    </row>
    <row r="7257" spans="1:7" x14ac:dyDescent="0.2">
      <c r="A7257" s="1">
        <v>42333</v>
      </c>
      <c r="B7257">
        <v>2</v>
      </c>
      <c r="C7257" t="s">
        <v>16</v>
      </c>
      <c r="D7257">
        <v>5.2909999999999997E-3</v>
      </c>
      <c r="E7257">
        <f t="shared" si="226"/>
        <v>1.0052909999999999</v>
      </c>
      <c r="F7257" s="1">
        <f t="shared" si="227"/>
        <v>42331</v>
      </c>
      <c r="G7257" cm="1">
        <f t="array" ref="G7257">PRODUCT( _xlfn._xlws.FILTER($E:$E, ($C:$C=C7257)*($F:$F=F7257)) ) - 1</f>
        <v>8.4873477860767377E-3</v>
      </c>
    </row>
    <row r="7258" spans="1:7" x14ac:dyDescent="0.2">
      <c r="A7258" s="1">
        <v>42334</v>
      </c>
      <c r="B7258">
        <v>2</v>
      </c>
      <c r="C7258" t="s">
        <v>16</v>
      </c>
      <c r="D7258">
        <v>4.3229999999999996E-3</v>
      </c>
      <c r="E7258">
        <f t="shared" si="226"/>
        <v>1.0043230000000001</v>
      </c>
      <c r="F7258" s="1">
        <f t="shared" si="227"/>
        <v>42331</v>
      </c>
      <c r="G7258" cm="1">
        <f t="array" ref="G7258">PRODUCT( _xlfn._xlws.FILTER($E:$E, ($C:$C=C7258)*($F:$F=F7258)) ) - 1</f>
        <v>8.4873477860767377E-3</v>
      </c>
    </row>
    <row r="7259" spans="1:7" x14ac:dyDescent="0.2">
      <c r="A7259" s="1">
        <v>42335</v>
      </c>
      <c r="B7259">
        <v>2</v>
      </c>
      <c r="C7259" t="s">
        <v>16</v>
      </c>
      <c r="D7259">
        <v>7.4899999999999999E-4</v>
      </c>
      <c r="E7259">
        <f t="shared" si="226"/>
        <v>1.0007490000000001</v>
      </c>
      <c r="F7259" s="1">
        <f t="shared" si="227"/>
        <v>42331</v>
      </c>
      <c r="G7259" cm="1">
        <f t="array" ref="G7259">PRODUCT( _xlfn._xlws.FILTER($E:$E, ($C:$C=C7259)*($F:$F=F7259)) ) - 1</f>
        <v>8.4873477860767377E-3</v>
      </c>
    </row>
    <row r="7260" spans="1:7" x14ac:dyDescent="0.2">
      <c r="A7260" s="1">
        <v>42338</v>
      </c>
      <c r="B7260">
        <v>2</v>
      </c>
      <c r="C7260" t="s">
        <v>16</v>
      </c>
      <c r="D7260">
        <v>1.0099E-2</v>
      </c>
      <c r="E7260">
        <f t="shared" si="226"/>
        <v>1.0100990000000001</v>
      </c>
      <c r="F7260" s="1">
        <f t="shared" si="227"/>
        <v>42338</v>
      </c>
      <c r="G7260" cm="1">
        <f t="array" ref="G7260">PRODUCT( _xlfn._xlws.FILTER($E:$E, ($C:$C=C7260)*($F:$F=F7260)) ) - 1</f>
        <v>1.271688272346827E-2</v>
      </c>
    </row>
    <row r="7261" spans="1:7" x14ac:dyDescent="0.2">
      <c r="A7261" s="1">
        <v>42339</v>
      </c>
      <c r="B7261">
        <v>2</v>
      </c>
      <c r="C7261" t="s">
        <v>16</v>
      </c>
      <c r="D7261">
        <v>1.5553000000000001E-2</v>
      </c>
      <c r="E7261">
        <f t="shared" si="226"/>
        <v>1.0155529999999999</v>
      </c>
      <c r="F7261" s="1">
        <f t="shared" si="227"/>
        <v>42338</v>
      </c>
      <c r="G7261" cm="1">
        <f t="array" ref="G7261">PRODUCT( _xlfn._xlws.FILTER($E:$E, ($C:$C=C7261)*($F:$F=F7261)) ) - 1</f>
        <v>1.271688272346827E-2</v>
      </c>
    </row>
    <row r="7262" spans="1:7" x14ac:dyDescent="0.2">
      <c r="A7262" s="1">
        <v>42340</v>
      </c>
      <c r="B7262">
        <v>2</v>
      </c>
      <c r="C7262" t="s">
        <v>16</v>
      </c>
      <c r="D7262">
        <v>-3.6499999999999998E-4</v>
      </c>
      <c r="E7262">
        <f t="shared" si="226"/>
        <v>0.99963500000000005</v>
      </c>
      <c r="F7262" s="1">
        <f t="shared" si="227"/>
        <v>42338</v>
      </c>
      <c r="G7262" cm="1">
        <f t="array" ref="G7262">PRODUCT( _xlfn._xlws.FILTER($E:$E, ($C:$C=C7262)*($F:$F=F7262)) ) - 1</f>
        <v>1.271688272346827E-2</v>
      </c>
    </row>
    <row r="7263" spans="1:7" x14ac:dyDescent="0.2">
      <c r="A7263" s="1">
        <v>42341</v>
      </c>
      <c r="B7263">
        <v>2</v>
      </c>
      <c r="C7263" t="s">
        <v>16</v>
      </c>
      <c r="D7263">
        <v>-1.4226000000000001E-2</v>
      </c>
      <c r="E7263">
        <f t="shared" si="226"/>
        <v>0.98577400000000004</v>
      </c>
      <c r="F7263" s="1">
        <f t="shared" si="227"/>
        <v>42338</v>
      </c>
      <c r="G7263" cm="1">
        <f t="array" ref="G7263">PRODUCT( _xlfn._xlws.FILTER($E:$E, ($C:$C=C7263)*($F:$F=F7263)) ) - 1</f>
        <v>1.271688272346827E-2</v>
      </c>
    </row>
    <row r="7264" spans="1:7" x14ac:dyDescent="0.2">
      <c r="A7264" s="1">
        <v>42342</v>
      </c>
      <c r="B7264">
        <v>2</v>
      </c>
      <c r="C7264" t="s">
        <v>16</v>
      </c>
      <c r="D7264">
        <v>1.8500000000000001E-3</v>
      </c>
      <c r="E7264">
        <f t="shared" si="226"/>
        <v>1.0018499999999999</v>
      </c>
      <c r="F7264" s="1">
        <f t="shared" si="227"/>
        <v>42338</v>
      </c>
      <c r="G7264" cm="1">
        <f t="array" ref="G7264">PRODUCT( _xlfn._xlws.FILTER($E:$E, ($C:$C=C7264)*($F:$F=F7264)) ) - 1</f>
        <v>1.271688272346827E-2</v>
      </c>
    </row>
    <row r="7265" spans="1:7" x14ac:dyDescent="0.2">
      <c r="A7265" s="1">
        <v>42345</v>
      </c>
      <c r="B7265">
        <v>2</v>
      </c>
      <c r="C7265" t="s">
        <v>16</v>
      </c>
      <c r="D7265">
        <v>-1.1819E-2</v>
      </c>
      <c r="E7265">
        <f t="shared" si="226"/>
        <v>0.98818099999999998</v>
      </c>
      <c r="F7265" s="1">
        <f t="shared" si="227"/>
        <v>42345</v>
      </c>
      <c r="G7265" cm="1">
        <f t="array" ref="G7265">PRODUCT( _xlfn._xlws.FILTER($E:$E, ($C:$C=C7265)*($F:$F=F7265)) ) - 1</f>
        <v>-3.2318241602619424E-2</v>
      </c>
    </row>
    <row r="7266" spans="1:7" x14ac:dyDescent="0.2">
      <c r="A7266" s="1">
        <v>42346</v>
      </c>
      <c r="B7266">
        <v>2</v>
      </c>
      <c r="C7266" t="s">
        <v>16</v>
      </c>
      <c r="D7266">
        <v>-2.0560000000000001E-3</v>
      </c>
      <c r="E7266">
        <f t="shared" si="226"/>
        <v>0.99794400000000005</v>
      </c>
      <c r="F7266" s="1">
        <f t="shared" si="227"/>
        <v>42345</v>
      </c>
      <c r="G7266" cm="1">
        <f t="array" ref="G7266">PRODUCT( _xlfn._xlws.FILTER($E:$E, ($C:$C=C7266)*($F:$F=F7266)) ) - 1</f>
        <v>-3.2318241602619424E-2</v>
      </c>
    </row>
    <row r="7267" spans="1:7" x14ac:dyDescent="0.2">
      <c r="A7267" s="1">
        <v>42347</v>
      </c>
      <c r="B7267">
        <v>2</v>
      </c>
      <c r="C7267" t="s">
        <v>16</v>
      </c>
      <c r="D7267">
        <v>-1.3671000000000001E-2</v>
      </c>
      <c r="E7267">
        <f t="shared" si="226"/>
        <v>0.98632900000000001</v>
      </c>
      <c r="F7267" s="1">
        <f t="shared" si="227"/>
        <v>42345</v>
      </c>
      <c r="G7267" cm="1">
        <f t="array" ref="G7267">PRODUCT( _xlfn._xlws.FILTER($E:$E, ($C:$C=C7267)*($F:$F=F7267)) ) - 1</f>
        <v>-3.2318241602619424E-2</v>
      </c>
    </row>
    <row r="7268" spans="1:7" x14ac:dyDescent="0.2">
      <c r="A7268" s="1">
        <v>42348</v>
      </c>
      <c r="B7268">
        <v>2</v>
      </c>
      <c r="C7268" t="s">
        <v>16</v>
      </c>
      <c r="D7268">
        <v>0</v>
      </c>
      <c r="E7268">
        <f t="shared" si="226"/>
        <v>1</v>
      </c>
      <c r="F7268" s="1">
        <f t="shared" si="227"/>
        <v>42345</v>
      </c>
      <c r="G7268" cm="1">
        <f t="array" ref="G7268">PRODUCT( _xlfn._xlws.FILTER($E:$E, ($C:$C=C7268)*($F:$F=F7268)) ) - 1</f>
        <v>-3.2318241602619424E-2</v>
      </c>
    </row>
    <row r="7269" spans="1:7" x14ac:dyDescent="0.2">
      <c r="A7269" s="1">
        <v>42349</v>
      </c>
      <c r="B7269">
        <v>2</v>
      </c>
      <c r="C7269" t="s">
        <v>16</v>
      </c>
      <c r="D7269">
        <v>-5.1260000000000003E-3</v>
      </c>
      <c r="E7269">
        <f t="shared" si="226"/>
        <v>0.99487400000000004</v>
      </c>
      <c r="F7269" s="1">
        <f t="shared" si="227"/>
        <v>42345</v>
      </c>
      <c r="G7269" cm="1">
        <f t="array" ref="G7269">PRODUCT( _xlfn._xlws.FILTER($E:$E, ($C:$C=C7269)*($F:$F=F7269)) ) - 1</f>
        <v>-3.2318241602619424E-2</v>
      </c>
    </row>
    <row r="7270" spans="1:7" x14ac:dyDescent="0.2">
      <c r="A7270" s="1">
        <v>42352</v>
      </c>
      <c r="B7270">
        <v>2</v>
      </c>
      <c r="C7270" t="s">
        <v>16</v>
      </c>
      <c r="D7270">
        <v>8.0149999999999996E-3</v>
      </c>
      <c r="E7270">
        <f t="shared" si="226"/>
        <v>1.0080150000000001</v>
      </c>
      <c r="F7270" s="1">
        <f t="shared" si="227"/>
        <v>42352</v>
      </c>
      <c r="G7270" cm="1">
        <f t="array" ref="G7270">PRODUCT( _xlfn._xlws.FILTER($E:$E, ($C:$C=C7270)*($F:$F=F7270)) ) - 1</f>
        <v>7.6377941573224639E-4</v>
      </c>
    </row>
    <row r="7271" spans="1:7" x14ac:dyDescent="0.2">
      <c r="A7271" s="1">
        <v>42353</v>
      </c>
      <c r="B7271">
        <v>2</v>
      </c>
      <c r="C7271" t="s">
        <v>16</v>
      </c>
      <c r="D7271">
        <v>7.0049999999999999E-3</v>
      </c>
      <c r="E7271">
        <f t="shared" si="226"/>
        <v>1.0070049999999999</v>
      </c>
      <c r="F7271" s="1">
        <f t="shared" si="227"/>
        <v>42352</v>
      </c>
      <c r="G7271" cm="1">
        <f t="array" ref="G7271">PRODUCT( _xlfn._xlws.FILTER($E:$E, ($C:$C=C7271)*($F:$F=F7271)) ) - 1</f>
        <v>7.6377941573224639E-4</v>
      </c>
    </row>
    <row r="7272" spans="1:7" x14ac:dyDescent="0.2">
      <c r="A7272" s="1">
        <v>42354</v>
      </c>
      <c r="B7272">
        <v>2</v>
      </c>
      <c r="C7272" t="s">
        <v>16</v>
      </c>
      <c r="D7272">
        <v>3.7599999999999999E-3</v>
      </c>
      <c r="E7272">
        <f t="shared" si="226"/>
        <v>1.00376</v>
      </c>
      <c r="F7272" s="1">
        <f t="shared" si="227"/>
        <v>42352</v>
      </c>
      <c r="G7272" cm="1">
        <f t="array" ref="G7272">PRODUCT( _xlfn._xlws.FILTER($E:$E, ($C:$C=C7272)*($F:$F=F7272)) ) - 1</f>
        <v>7.6377941573224639E-4</v>
      </c>
    </row>
    <row r="7273" spans="1:7" x14ac:dyDescent="0.2">
      <c r="A7273" s="1">
        <v>42355</v>
      </c>
      <c r="B7273">
        <v>2</v>
      </c>
      <c r="C7273" t="s">
        <v>16</v>
      </c>
      <c r="D7273">
        <v>-1.0862999999999999E-2</v>
      </c>
      <c r="E7273">
        <f t="shared" si="226"/>
        <v>0.98913700000000004</v>
      </c>
      <c r="F7273" s="1">
        <f t="shared" si="227"/>
        <v>42352</v>
      </c>
      <c r="G7273" cm="1">
        <f t="array" ref="G7273">PRODUCT( _xlfn._xlws.FILTER($E:$E, ($C:$C=C7273)*($F:$F=F7273)) ) - 1</f>
        <v>7.6377941573224639E-4</v>
      </c>
    </row>
    <row r="7274" spans="1:7" x14ac:dyDescent="0.2">
      <c r="A7274" s="1">
        <v>42356</v>
      </c>
      <c r="B7274">
        <v>2</v>
      </c>
      <c r="C7274" t="s">
        <v>16</v>
      </c>
      <c r="D7274">
        <v>-7.0060000000000001E-3</v>
      </c>
      <c r="E7274">
        <f t="shared" si="226"/>
        <v>0.99299400000000004</v>
      </c>
      <c r="F7274" s="1">
        <f t="shared" si="227"/>
        <v>42352</v>
      </c>
      <c r="G7274" cm="1">
        <f t="array" ref="G7274">PRODUCT( _xlfn._xlws.FILTER($E:$E, ($C:$C=C7274)*($F:$F=F7274)) ) - 1</f>
        <v>7.6377941573224639E-4</v>
      </c>
    </row>
    <row r="7275" spans="1:7" x14ac:dyDescent="0.2">
      <c r="A7275" s="1">
        <v>42359</v>
      </c>
      <c r="B7275">
        <v>2</v>
      </c>
      <c r="C7275" t="s">
        <v>16</v>
      </c>
      <c r="D7275">
        <v>-4.3860000000000001E-3</v>
      </c>
      <c r="E7275">
        <f t="shared" si="226"/>
        <v>0.995614</v>
      </c>
      <c r="F7275" s="1">
        <f t="shared" si="227"/>
        <v>42359</v>
      </c>
      <c r="G7275" cm="1">
        <f t="array" ref="G7275">PRODUCT( _xlfn._xlws.FILTER($E:$E, ($C:$C=C7275)*($F:$F=F7275)) ) - 1</f>
        <v>7.0560120125198189E-3</v>
      </c>
    </row>
    <row r="7276" spans="1:7" x14ac:dyDescent="0.2">
      <c r="A7276" s="1">
        <v>42360</v>
      </c>
      <c r="B7276">
        <v>2</v>
      </c>
      <c r="C7276" t="s">
        <v>16</v>
      </c>
      <c r="D7276">
        <v>5.555E-3</v>
      </c>
      <c r="E7276">
        <f t="shared" si="226"/>
        <v>1.005555</v>
      </c>
      <c r="F7276" s="1">
        <f t="shared" si="227"/>
        <v>42359</v>
      </c>
      <c r="G7276" cm="1">
        <f t="array" ref="G7276">PRODUCT( _xlfn._xlws.FILTER($E:$E, ($C:$C=C7276)*($F:$F=F7276)) ) - 1</f>
        <v>7.0560120125198189E-3</v>
      </c>
    </row>
    <row r="7277" spans="1:7" x14ac:dyDescent="0.2">
      <c r="A7277" s="1">
        <v>42361</v>
      </c>
      <c r="B7277">
        <v>2</v>
      </c>
      <c r="C7277" t="s">
        <v>16</v>
      </c>
      <c r="D7277">
        <v>6.2859999999999999E-3</v>
      </c>
      <c r="E7277">
        <f t="shared" si="226"/>
        <v>1.006286</v>
      </c>
      <c r="F7277" s="1">
        <f t="shared" si="227"/>
        <v>42359</v>
      </c>
      <c r="G7277" cm="1">
        <f t="array" ref="G7277">PRODUCT( _xlfn._xlws.FILTER($E:$E, ($C:$C=C7277)*($F:$F=F7277)) ) - 1</f>
        <v>7.0560120125198189E-3</v>
      </c>
    </row>
    <row r="7278" spans="1:7" x14ac:dyDescent="0.2">
      <c r="A7278" s="1">
        <v>42362</v>
      </c>
      <c r="B7278">
        <v>2</v>
      </c>
      <c r="C7278" t="s">
        <v>16</v>
      </c>
      <c r="D7278">
        <v>-3.79E-4</v>
      </c>
      <c r="E7278">
        <f t="shared" si="226"/>
        <v>0.99962099999999998</v>
      </c>
      <c r="F7278" s="1">
        <f t="shared" si="227"/>
        <v>42359</v>
      </c>
      <c r="G7278" cm="1">
        <f t="array" ref="G7278">PRODUCT( _xlfn._xlws.FILTER($E:$E, ($C:$C=C7278)*($F:$F=F7278)) ) - 1</f>
        <v>7.0560120125198189E-3</v>
      </c>
    </row>
    <row r="7279" spans="1:7" x14ac:dyDescent="0.2">
      <c r="A7279" s="1">
        <v>42367</v>
      </c>
      <c r="B7279">
        <v>2</v>
      </c>
      <c r="C7279" t="s">
        <v>16</v>
      </c>
      <c r="D7279">
        <v>1.1551000000000001E-2</v>
      </c>
      <c r="E7279">
        <f t="shared" si="226"/>
        <v>1.0115510000000001</v>
      </c>
      <c r="F7279" s="1">
        <f t="shared" si="227"/>
        <v>42366</v>
      </c>
      <c r="G7279" cm="1">
        <f t="array" ref="G7279">PRODUCT( _xlfn._xlws.FILTER($E:$E, ($C:$C=C7279)*($F:$F=F7279)) ) - 1</f>
        <v>-7.5745987777325885E-3</v>
      </c>
    </row>
    <row r="7280" spans="1:7" x14ac:dyDescent="0.2">
      <c r="A7280" s="1">
        <v>42368</v>
      </c>
      <c r="B7280">
        <v>2</v>
      </c>
      <c r="C7280" t="s">
        <v>16</v>
      </c>
      <c r="D7280">
        <v>-2.6210000000000001E-3</v>
      </c>
      <c r="E7280">
        <f t="shared" si="226"/>
        <v>0.99737900000000002</v>
      </c>
      <c r="F7280" s="1">
        <f t="shared" si="227"/>
        <v>42366</v>
      </c>
      <c r="G7280" cm="1">
        <f t="array" ref="G7280">PRODUCT( _xlfn._xlws.FILTER($E:$E, ($C:$C=C7280)*($F:$F=F7280)) ) - 1</f>
        <v>-7.5745987777325885E-3</v>
      </c>
    </row>
    <row r="7281" spans="1:7" x14ac:dyDescent="0.2">
      <c r="A7281" s="1">
        <v>42369</v>
      </c>
      <c r="B7281">
        <v>2</v>
      </c>
      <c r="C7281" t="s">
        <v>16</v>
      </c>
      <c r="D7281">
        <v>-1.6329E-2</v>
      </c>
      <c r="E7281">
        <f t="shared" si="226"/>
        <v>0.98367099999999996</v>
      </c>
      <c r="F7281" s="1">
        <f t="shared" si="227"/>
        <v>42366</v>
      </c>
      <c r="G7281" cm="1">
        <f t="array" ref="G7281">PRODUCT( _xlfn._xlws.FILTER($E:$E, ($C:$C=C7281)*($F:$F=F7281)) ) - 1</f>
        <v>-7.5745987777325885E-3</v>
      </c>
    </row>
    <row r="7282" spans="1:7" x14ac:dyDescent="0.2">
      <c r="A7282" s="1">
        <v>42373</v>
      </c>
      <c r="B7282">
        <v>2</v>
      </c>
      <c r="C7282" t="s">
        <v>16</v>
      </c>
      <c r="D7282">
        <v>-1.2402E-2</v>
      </c>
      <c r="E7282">
        <f t="shared" si="226"/>
        <v>0.98759799999999998</v>
      </c>
      <c r="F7282" s="1">
        <f t="shared" si="227"/>
        <v>42373</v>
      </c>
      <c r="G7282" cm="1">
        <f t="array" ref="G7282">PRODUCT( _xlfn._xlws.FILTER($E:$E, ($C:$C=C7282)*($F:$F=F7282)) ) - 1</f>
        <v>-4.0259266919377312E-2</v>
      </c>
    </row>
    <row r="7283" spans="1:7" x14ac:dyDescent="0.2">
      <c r="A7283" s="1">
        <v>42374</v>
      </c>
      <c r="B7283">
        <v>2</v>
      </c>
      <c r="C7283" t="s">
        <v>16</v>
      </c>
      <c r="D7283">
        <v>9.6599999999999995E-4</v>
      </c>
      <c r="E7283">
        <f t="shared" si="226"/>
        <v>1.000966</v>
      </c>
      <c r="F7283" s="1">
        <f t="shared" si="227"/>
        <v>42373</v>
      </c>
      <c r="G7283" cm="1">
        <f t="array" ref="G7283">PRODUCT( _xlfn._xlws.FILTER($E:$E, ($C:$C=C7283)*($F:$F=F7283)) ) - 1</f>
        <v>-4.0259266919377312E-2</v>
      </c>
    </row>
    <row r="7284" spans="1:7" x14ac:dyDescent="0.2">
      <c r="A7284" s="1">
        <v>42375</v>
      </c>
      <c r="B7284">
        <v>2</v>
      </c>
      <c r="C7284" t="s">
        <v>16</v>
      </c>
      <c r="D7284">
        <v>5.4039999999999999E-3</v>
      </c>
      <c r="E7284">
        <f t="shared" si="226"/>
        <v>1.005404</v>
      </c>
      <c r="F7284" s="1">
        <f t="shared" si="227"/>
        <v>42373</v>
      </c>
      <c r="G7284" cm="1">
        <f t="array" ref="G7284">PRODUCT( _xlfn._xlws.FILTER($E:$E, ($C:$C=C7284)*($F:$F=F7284)) ) - 1</f>
        <v>-4.0259266919377312E-2</v>
      </c>
    </row>
    <row r="7285" spans="1:7" x14ac:dyDescent="0.2">
      <c r="A7285" s="1">
        <v>42376</v>
      </c>
      <c r="B7285">
        <v>2</v>
      </c>
      <c r="C7285" t="s">
        <v>16</v>
      </c>
      <c r="D7285">
        <v>-4.4345999999999997E-2</v>
      </c>
      <c r="E7285">
        <f t="shared" si="226"/>
        <v>0.955654</v>
      </c>
      <c r="F7285" s="1">
        <f t="shared" si="227"/>
        <v>42373</v>
      </c>
      <c r="G7285" cm="1">
        <f t="array" ref="G7285">PRODUCT( _xlfn._xlws.FILTER($E:$E, ($C:$C=C7285)*($F:$F=F7285)) ) - 1</f>
        <v>-4.0259266919377312E-2</v>
      </c>
    </row>
    <row r="7286" spans="1:7" x14ac:dyDescent="0.2">
      <c r="A7286" s="1">
        <v>42377</v>
      </c>
      <c r="B7286">
        <v>2</v>
      </c>
      <c r="C7286" t="s">
        <v>16</v>
      </c>
      <c r="D7286">
        <v>1.0446E-2</v>
      </c>
      <c r="E7286">
        <f t="shared" si="226"/>
        <v>1.010446</v>
      </c>
      <c r="F7286" s="1">
        <f t="shared" si="227"/>
        <v>42373</v>
      </c>
      <c r="G7286" cm="1">
        <f t="array" ref="G7286">PRODUCT( _xlfn._xlws.FILTER($E:$E, ($C:$C=C7286)*($F:$F=F7286)) ) - 1</f>
        <v>-4.0259266919377312E-2</v>
      </c>
    </row>
    <row r="7287" spans="1:7" x14ac:dyDescent="0.2">
      <c r="A7287" s="1">
        <v>42380</v>
      </c>
      <c r="B7287">
        <v>2</v>
      </c>
      <c r="C7287" t="s">
        <v>16</v>
      </c>
      <c r="D7287">
        <v>-1.392E-3</v>
      </c>
      <c r="E7287">
        <f t="shared" si="226"/>
        <v>0.99860800000000005</v>
      </c>
      <c r="F7287" s="1">
        <f t="shared" si="227"/>
        <v>42380</v>
      </c>
      <c r="G7287" cm="1">
        <f t="array" ref="G7287">PRODUCT( _xlfn._xlws.FILTER($E:$E, ($C:$C=C7287)*($F:$F=F7287)) ) - 1</f>
        <v>1.5904699700389768E-2</v>
      </c>
    </row>
    <row r="7288" spans="1:7" x14ac:dyDescent="0.2">
      <c r="A7288" s="1">
        <v>42381</v>
      </c>
      <c r="B7288">
        <v>2</v>
      </c>
      <c r="C7288" t="s">
        <v>16</v>
      </c>
      <c r="D7288">
        <v>1.1348E-2</v>
      </c>
      <c r="E7288">
        <f t="shared" si="226"/>
        <v>1.0113479999999999</v>
      </c>
      <c r="F7288" s="1">
        <f t="shared" si="227"/>
        <v>42380</v>
      </c>
      <c r="G7288" cm="1">
        <f t="array" ref="G7288">PRODUCT( _xlfn._xlws.FILTER($E:$E, ($C:$C=C7288)*($F:$F=F7288)) ) - 1</f>
        <v>1.5904699700389768E-2</v>
      </c>
    </row>
    <row r="7289" spans="1:7" x14ac:dyDescent="0.2">
      <c r="A7289" s="1">
        <v>42382</v>
      </c>
      <c r="B7289">
        <v>2</v>
      </c>
      <c r="C7289" t="s">
        <v>16</v>
      </c>
      <c r="D7289">
        <v>-7.8740000000000008E-3</v>
      </c>
      <c r="E7289">
        <f t="shared" si="226"/>
        <v>0.99212599999999995</v>
      </c>
      <c r="F7289" s="1">
        <f t="shared" si="227"/>
        <v>42380</v>
      </c>
      <c r="G7289" cm="1">
        <f t="array" ref="G7289">PRODUCT( _xlfn._xlws.FILTER($E:$E, ($C:$C=C7289)*($F:$F=F7289)) ) - 1</f>
        <v>1.5904699700389768E-2</v>
      </c>
    </row>
    <row r="7290" spans="1:7" x14ac:dyDescent="0.2">
      <c r="A7290" s="1">
        <v>42383</v>
      </c>
      <c r="B7290">
        <v>2</v>
      </c>
      <c r="C7290" t="s">
        <v>16</v>
      </c>
      <c r="D7290">
        <v>1.9643000000000001E-2</v>
      </c>
      <c r="E7290">
        <f t="shared" si="226"/>
        <v>1.0196430000000001</v>
      </c>
      <c r="F7290" s="1">
        <f t="shared" si="227"/>
        <v>42380</v>
      </c>
      <c r="G7290" cm="1">
        <f t="array" ref="G7290">PRODUCT( _xlfn._xlws.FILTER($E:$E, ($C:$C=C7290)*($F:$F=F7290)) ) - 1</f>
        <v>1.5904699700389768E-2</v>
      </c>
    </row>
    <row r="7291" spans="1:7" x14ac:dyDescent="0.2">
      <c r="A7291" s="1">
        <v>42384</v>
      </c>
      <c r="B7291">
        <v>2</v>
      </c>
      <c r="C7291" t="s">
        <v>16</v>
      </c>
      <c r="D7291">
        <v>-5.6429999999999996E-3</v>
      </c>
      <c r="E7291">
        <f t="shared" si="226"/>
        <v>0.99435700000000005</v>
      </c>
      <c r="F7291" s="1">
        <f t="shared" si="227"/>
        <v>42380</v>
      </c>
      <c r="G7291" cm="1">
        <f t="array" ref="G7291">PRODUCT( _xlfn._xlws.FILTER($E:$E, ($C:$C=C7291)*($F:$F=F7291)) ) - 1</f>
        <v>1.5904699700389768E-2</v>
      </c>
    </row>
    <row r="7292" spans="1:7" x14ac:dyDescent="0.2">
      <c r="A7292" s="1">
        <v>42387</v>
      </c>
      <c r="B7292">
        <v>2</v>
      </c>
      <c r="C7292" t="s">
        <v>16</v>
      </c>
      <c r="D7292">
        <v>-1.4677000000000001E-2</v>
      </c>
      <c r="E7292">
        <f t="shared" si="226"/>
        <v>0.98532299999999995</v>
      </c>
      <c r="F7292" s="1">
        <f t="shared" si="227"/>
        <v>42387</v>
      </c>
      <c r="G7292" cm="1">
        <f t="array" ref="G7292">PRODUCT( _xlfn._xlws.FILTER($E:$E, ($C:$C=C7292)*($F:$F=F7292)) ) - 1</f>
        <v>1.1546066652927012E-2</v>
      </c>
    </row>
    <row r="7293" spans="1:7" x14ac:dyDescent="0.2">
      <c r="A7293" s="1">
        <v>42388</v>
      </c>
      <c r="B7293">
        <v>2</v>
      </c>
      <c r="C7293" t="s">
        <v>16</v>
      </c>
      <c r="D7293">
        <v>2.4230000000000002E-2</v>
      </c>
      <c r="E7293">
        <f t="shared" si="226"/>
        <v>1.02423</v>
      </c>
      <c r="F7293" s="1">
        <f t="shared" si="227"/>
        <v>42387</v>
      </c>
      <c r="G7293" cm="1">
        <f t="array" ref="G7293">PRODUCT( _xlfn._xlws.FILTER($E:$E, ($C:$C=C7293)*($F:$F=F7293)) ) - 1</f>
        <v>1.1546066652927012E-2</v>
      </c>
    </row>
    <row r="7294" spans="1:7" x14ac:dyDescent="0.2">
      <c r="A7294" s="1">
        <v>42389</v>
      </c>
      <c r="B7294">
        <v>2</v>
      </c>
      <c r="C7294" t="s">
        <v>16</v>
      </c>
      <c r="D7294">
        <v>-1.4931E-2</v>
      </c>
      <c r="E7294">
        <f t="shared" si="226"/>
        <v>0.98506899999999997</v>
      </c>
      <c r="F7294" s="1">
        <f t="shared" si="227"/>
        <v>42387</v>
      </c>
      <c r="G7294" cm="1">
        <f t="array" ref="G7294">PRODUCT( _xlfn._xlws.FILTER($E:$E, ($C:$C=C7294)*($F:$F=F7294)) ) - 1</f>
        <v>1.1546066652927012E-2</v>
      </c>
    </row>
    <row r="7295" spans="1:7" x14ac:dyDescent="0.2">
      <c r="A7295" s="1">
        <v>42390</v>
      </c>
      <c r="B7295">
        <v>2</v>
      </c>
      <c r="C7295" t="s">
        <v>16</v>
      </c>
      <c r="D7295">
        <v>4.3309999999999998E-3</v>
      </c>
      <c r="E7295">
        <f t="shared" si="226"/>
        <v>1.0043310000000001</v>
      </c>
      <c r="F7295" s="1">
        <f t="shared" si="227"/>
        <v>42387</v>
      </c>
      <c r="G7295" cm="1">
        <f t="array" ref="G7295">PRODUCT( _xlfn._xlws.FILTER($E:$E, ($C:$C=C7295)*($F:$F=F7295)) ) - 1</f>
        <v>1.1546066652927012E-2</v>
      </c>
    </row>
    <row r="7296" spans="1:7" x14ac:dyDescent="0.2">
      <c r="A7296" s="1">
        <v>42391</v>
      </c>
      <c r="B7296">
        <v>2</v>
      </c>
      <c r="C7296" t="s">
        <v>16</v>
      </c>
      <c r="D7296">
        <v>1.3132E-2</v>
      </c>
      <c r="E7296">
        <f t="shared" si="226"/>
        <v>1.0131319999999999</v>
      </c>
      <c r="F7296" s="1">
        <f t="shared" si="227"/>
        <v>42387</v>
      </c>
      <c r="G7296" cm="1">
        <f t="array" ref="G7296">PRODUCT( _xlfn._xlws.FILTER($E:$E, ($C:$C=C7296)*($F:$F=F7296)) ) - 1</f>
        <v>1.1546066652927012E-2</v>
      </c>
    </row>
    <row r="7297" spans="1:7" x14ac:dyDescent="0.2">
      <c r="A7297" s="1">
        <v>42394</v>
      </c>
      <c r="B7297">
        <v>2</v>
      </c>
      <c r="C7297" t="s">
        <v>16</v>
      </c>
      <c r="D7297">
        <v>-1.0059999999999999E-2</v>
      </c>
      <c r="E7297">
        <f t="shared" si="226"/>
        <v>0.98994000000000004</v>
      </c>
      <c r="F7297" s="1">
        <f t="shared" si="227"/>
        <v>42394</v>
      </c>
      <c r="G7297" cm="1">
        <f t="array" ref="G7297">PRODUCT( _xlfn._xlws.FILTER($E:$E, ($C:$C=C7297)*($F:$F=F7297)) ) - 1</f>
        <v>1.3735655908690525E-2</v>
      </c>
    </row>
    <row r="7298" spans="1:7" x14ac:dyDescent="0.2">
      <c r="A7298" s="1">
        <v>42395</v>
      </c>
      <c r="B7298">
        <v>2</v>
      </c>
      <c r="C7298" t="s">
        <v>16</v>
      </c>
      <c r="D7298">
        <v>8.7939999999999997E-3</v>
      </c>
      <c r="E7298">
        <f t="shared" si="226"/>
        <v>1.008794</v>
      </c>
      <c r="F7298" s="1">
        <f t="shared" si="227"/>
        <v>42394</v>
      </c>
      <c r="G7298" cm="1">
        <f t="array" ref="G7298">PRODUCT( _xlfn._xlws.FILTER($E:$E, ($C:$C=C7298)*($F:$F=F7298)) ) - 1</f>
        <v>1.3735655908690525E-2</v>
      </c>
    </row>
    <row r="7299" spans="1:7" x14ac:dyDescent="0.2">
      <c r="A7299" s="1">
        <v>42396</v>
      </c>
      <c r="B7299">
        <v>2</v>
      </c>
      <c r="C7299" t="s">
        <v>16</v>
      </c>
      <c r="D7299">
        <v>-9.1050000000000002E-3</v>
      </c>
      <c r="E7299">
        <f t="shared" si="226"/>
        <v>0.99089499999999997</v>
      </c>
      <c r="F7299" s="1">
        <f t="shared" si="227"/>
        <v>42394</v>
      </c>
      <c r="G7299" cm="1">
        <f t="array" ref="G7299">PRODUCT( _xlfn._xlws.FILTER($E:$E, ($C:$C=C7299)*($F:$F=F7299)) ) - 1</f>
        <v>1.3735655908690525E-2</v>
      </c>
    </row>
    <row r="7300" spans="1:7" x14ac:dyDescent="0.2">
      <c r="A7300" s="1">
        <v>42397</v>
      </c>
      <c r="B7300">
        <v>2</v>
      </c>
      <c r="C7300" t="s">
        <v>16</v>
      </c>
      <c r="D7300">
        <v>1.5835999999999999E-2</v>
      </c>
      <c r="E7300">
        <f t="shared" ref="E7300:E7363" si="228">D7300+1</f>
        <v>1.015836</v>
      </c>
      <c r="F7300" s="1">
        <f t="shared" ref="F7300:F7363" si="229">A7300 - (WEEKDAY(A7300, 2) - 1)</f>
        <v>42394</v>
      </c>
      <c r="G7300" cm="1">
        <f t="array" ref="G7300">PRODUCT( _xlfn._xlws.FILTER($E:$E, ($C:$C=C7300)*($F:$F=F7300)) ) - 1</f>
        <v>1.3735655908690525E-2</v>
      </c>
    </row>
    <row r="7301" spans="1:7" x14ac:dyDescent="0.2">
      <c r="A7301" s="1">
        <v>42398</v>
      </c>
      <c r="B7301">
        <v>2</v>
      </c>
      <c r="C7301" t="s">
        <v>16</v>
      </c>
      <c r="D7301">
        <v>8.4679999999999998E-3</v>
      </c>
      <c r="E7301">
        <f t="shared" si="228"/>
        <v>1.0084679999999999</v>
      </c>
      <c r="F7301" s="1">
        <f t="shared" si="229"/>
        <v>42394</v>
      </c>
      <c r="G7301" cm="1">
        <f t="array" ref="G7301">PRODUCT( _xlfn._xlws.FILTER($E:$E, ($C:$C=C7301)*($F:$F=F7301)) ) - 1</f>
        <v>1.3735655908690525E-2</v>
      </c>
    </row>
    <row r="7302" spans="1:7" x14ac:dyDescent="0.2">
      <c r="A7302" s="1">
        <v>42401</v>
      </c>
      <c r="B7302">
        <v>2</v>
      </c>
      <c r="C7302" t="s">
        <v>16</v>
      </c>
      <c r="D7302">
        <v>-2.6719999999999999E-3</v>
      </c>
      <c r="E7302">
        <f t="shared" si="228"/>
        <v>0.99732799999999999</v>
      </c>
      <c r="F7302" s="1">
        <f t="shared" si="229"/>
        <v>42401</v>
      </c>
      <c r="G7302" cm="1">
        <f t="array" ref="G7302">PRODUCT( _xlfn._xlws.FILTER($E:$E, ($C:$C=C7302)*($F:$F=F7302)) ) - 1</f>
        <v>-3.0152793801941025E-2</v>
      </c>
    </row>
    <row r="7303" spans="1:7" x14ac:dyDescent="0.2">
      <c r="A7303" s="1">
        <v>42402</v>
      </c>
      <c r="B7303">
        <v>2</v>
      </c>
      <c r="C7303" t="s">
        <v>16</v>
      </c>
      <c r="D7303">
        <v>-4.5919999999999997E-3</v>
      </c>
      <c r="E7303">
        <f t="shared" si="228"/>
        <v>0.99540799999999996</v>
      </c>
      <c r="F7303" s="1">
        <f t="shared" si="229"/>
        <v>42401</v>
      </c>
      <c r="G7303" cm="1">
        <f t="array" ref="G7303">PRODUCT( _xlfn._xlws.FILTER($E:$E, ($C:$C=C7303)*($F:$F=F7303)) ) - 1</f>
        <v>-3.0152793801941025E-2</v>
      </c>
    </row>
    <row r="7304" spans="1:7" x14ac:dyDescent="0.2">
      <c r="A7304" s="1">
        <v>42403</v>
      </c>
      <c r="B7304">
        <v>2</v>
      </c>
      <c r="C7304" t="s">
        <v>16</v>
      </c>
      <c r="D7304">
        <v>-5.7670000000000004E-3</v>
      </c>
      <c r="E7304">
        <f t="shared" si="228"/>
        <v>0.99423300000000003</v>
      </c>
      <c r="F7304" s="1">
        <f t="shared" si="229"/>
        <v>42401</v>
      </c>
      <c r="G7304" cm="1">
        <f t="array" ref="G7304">PRODUCT( _xlfn._xlws.FILTER($E:$E, ($C:$C=C7304)*($F:$F=F7304)) ) - 1</f>
        <v>-3.0152793801941025E-2</v>
      </c>
    </row>
    <row r="7305" spans="1:7" x14ac:dyDescent="0.2">
      <c r="A7305" s="1">
        <v>42404</v>
      </c>
      <c r="B7305">
        <v>2</v>
      </c>
      <c r="C7305" t="s">
        <v>16</v>
      </c>
      <c r="D7305">
        <v>2.8999999999999998E-3</v>
      </c>
      <c r="E7305">
        <f t="shared" si="228"/>
        <v>1.0028999999999999</v>
      </c>
      <c r="F7305" s="1">
        <f t="shared" si="229"/>
        <v>42401</v>
      </c>
      <c r="G7305" cm="1">
        <f t="array" ref="G7305">PRODUCT( _xlfn._xlws.FILTER($E:$E, ($C:$C=C7305)*($F:$F=F7305)) ) - 1</f>
        <v>-3.0152793801941025E-2</v>
      </c>
    </row>
    <row r="7306" spans="1:7" x14ac:dyDescent="0.2">
      <c r="A7306" s="1">
        <v>42405</v>
      </c>
      <c r="B7306">
        <v>2</v>
      </c>
      <c r="C7306" t="s">
        <v>16</v>
      </c>
      <c r="D7306">
        <v>-2.0243000000000001E-2</v>
      </c>
      <c r="E7306">
        <f t="shared" si="228"/>
        <v>0.97975699999999999</v>
      </c>
      <c r="F7306" s="1">
        <f t="shared" si="229"/>
        <v>42401</v>
      </c>
      <c r="G7306" cm="1">
        <f t="array" ref="G7306">PRODUCT( _xlfn._xlws.FILTER($E:$E, ($C:$C=C7306)*($F:$F=F7306)) ) - 1</f>
        <v>-3.0152793801941025E-2</v>
      </c>
    </row>
    <row r="7307" spans="1:7" x14ac:dyDescent="0.2">
      <c r="A7307" s="1">
        <v>42408</v>
      </c>
      <c r="B7307">
        <v>2</v>
      </c>
      <c r="C7307" t="s">
        <v>16</v>
      </c>
      <c r="D7307">
        <v>-1.771E-2</v>
      </c>
      <c r="E7307">
        <f t="shared" si="228"/>
        <v>0.98229</v>
      </c>
      <c r="F7307" s="1">
        <f t="shared" si="229"/>
        <v>42408</v>
      </c>
      <c r="G7307" cm="1">
        <f t="array" ref="G7307">PRODUCT( _xlfn._xlws.FILTER($E:$E, ($C:$C=C7307)*($F:$F=F7307)) ) - 1</f>
        <v>-2.6761190165285997E-2</v>
      </c>
    </row>
    <row r="7308" spans="1:7" x14ac:dyDescent="0.2">
      <c r="A7308" s="1">
        <v>42409</v>
      </c>
      <c r="B7308">
        <v>2</v>
      </c>
      <c r="C7308" t="s">
        <v>16</v>
      </c>
      <c r="D7308">
        <v>-9.4149999999999998E-3</v>
      </c>
      <c r="E7308">
        <f t="shared" si="228"/>
        <v>0.99058500000000005</v>
      </c>
      <c r="F7308" s="1">
        <f t="shared" si="229"/>
        <v>42408</v>
      </c>
      <c r="G7308" cm="1">
        <f t="array" ref="G7308">PRODUCT( _xlfn._xlws.FILTER($E:$E, ($C:$C=C7308)*($F:$F=F7308)) ) - 1</f>
        <v>-2.6761190165285997E-2</v>
      </c>
    </row>
    <row r="7309" spans="1:7" x14ac:dyDescent="0.2">
      <c r="A7309" s="1">
        <v>42410</v>
      </c>
      <c r="B7309">
        <v>2</v>
      </c>
      <c r="C7309" t="s">
        <v>16</v>
      </c>
      <c r="D7309">
        <v>4.045E-3</v>
      </c>
      <c r="E7309">
        <f t="shared" si="228"/>
        <v>1.0040450000000001</v>
      </c>
      <c r="F7309" s="1">
        <f t="shared" si="229"/>
        <v>42408</v>
      </c>
      <c r="G7309" cm="1">
        <f t="array" ref="G7309">PRODUCT( _xlfn._xlws.FILTER($E:$E, ($C:$C=C7309)*($F:$F=F7309)) ) - 1</f>
        <v>-2.6761190165285997E-2</v>
      </c>
    </row>
    <row r="7310" spans="1:7" x14ac:dyDescent="0.2">
      <c r="A7310" s="1">
        <v>42411</v>
      </c>
      <c r="B7310">
        <v>2</v>
      </c>
      <c r="C7310" t="s">
        <v>16</v>
      </c>
      <c r="D7310">
        <v>-2.9003000000000001E-2</v>
      </c>
      <c r="E7310">
        <f t="shared" si="228"/>
        <v>0.970997</v>
      </c>
      <c r="F7310" s="1">
        <f t="shared" si="229"/>
        <v>42408</v>
      </c>
      <c r="G7310" cm="1">
        <f t="array" ref="G7310">PRODUCT( _xlfn._xlws.FILTER($E:$E, ($C:$C=C7310)*($F:$F=F7310)) ) - 1</f>
        <v>-2.6761190165285997E-2</v>
      </c>
    </row>
    <row r="7311" spans="1:7" x14ac:dyDescent="0.2">
      <c r="A7311" s="1">
        <v>42412</v>
      </c>
      <c r="B7311">
        <v>2</v>
      </c>
      <c r="C7311" t="s">
        <v>16</v>
      </c>
      <c r="D7311">
        <v>2.5928E-2</v>
      </c>
      <c r="E7311">
        <f t="shared" si="228"/>
        <v>1.025928</v>
      </c>
      <c r="F7311" s="1">
        <f t="shared" si="229"/>
        <v>42408</v>
      </c>
      <c r="G7311" cm="1">
        <f t="array" ref="G7311">PRODUCT( _xlfn._xlws.FILTER($E:$E, ($C:$C=C7311)*($F:$F=F7311)) ) - 1</f>
        <v>-2.6761190165285997E-2</v>
      </c>
    </row>
    <row r="7312" spans="1:7" x14ac:dyDescent="0.2">
      <c r="A7312" s="1">
        <v>42416</v>
      </c>
      <c r="B7312">
        <v>2</v>
      </c>
      <c r="C7312" t="s">
        <v>16</v>
      </c>
      <c r="D7312">
        <v>5.2570000000000004E-3</v>
      </c>
      <c r="E7312">
        <f t="shared" si="228"/>
        <v>1.0052570000000001</v>
      </c>
      <c r="F7312" s="1">
        <f t="shared" si="229"/>
        <v>42415</v>
      </c>
      <c r="G7312" cm="1">
        <f t="array" ref="G7312">PRODUCT( _xlfn._xlws.FILTER($E:$E, ($C:$C=C7312)*($F:$F=F7312)) ) - 1</f>
        <v>1.02744205694274E-2</v>
      </c>
    </row>
    <row r="7313" spans="1:7" x14ac:dyDescent="0.2">
      <c r="A7313" s="1">
        <v>42417</v>
      </c>
      <c r="B7313">
        <v>2</v>
      </c>
      <c r="C7313" t="s">
        <v>16</v>
      </c>
      <c r="D7313">
        <v>7.8440000000000003E-3</v>
      </c>
      <c r="E7313">
        <f t="shared" si="228"/>
        <v>1.007844</v>
      </c>
      <c r="F7313" s="1">
        <f t="shared" si="229"/>
        <v>42415</v>
      </c>
      <c r="G7313" cm="1">
        <f t="array" ref="G7313">PRODUCT( _xlfn._xlws.FILTER($E:$E, ($C:$C=C7313)*($F:$F=F7313)) ) - 1</f>
        <v>1.02744205694274E-2</v>
      </c>
    </row>
    <row r="7314" spans="1:7" x14ac:dyDescent="0.2">
      <c r="A7314" s="1">
        <v>42418</v>
      </c>
      <c r="B7314">
        <v>2</v>
      </c>
      <c r="C7314" t="s">
        <v>16</v>
      </c>
      <c r="D7314">
        <v>1.9959999999999999E-3</v>
      </c>
      <c r="E7314">
        <f t="shared" si="228"/>
        <v>1.0019960000000001</v>
      </c>
      <c r="F7314" s="1">
        <f t="shared" si="229"/>
        <v>42415</v>
      </c>
      <c r="G7314" cm="1">
        <f t="array" ref="G7314">PRODUCT( _xlfn._xlws.FILTER($E:$E, ($C:$C=C7314)*($F:$F=F7314)) ) - 1</f>
        <v>1.02744205694274E-2</v>
      </c>
    </row>
    <row r="7315" spans="1:7" x14ac:dyDescent="0.2">
      <c r="A7315" s="1">
        <v>42419</v>
      </c>
      <c r="B7315">
        <v>2</v>
      </c>
      <c r="C7315" t="s">
        <v>16</v>
      </c>
      <c r="D7315">
        <v>-4.8170000000000001E-3</v>
      </c>
      <c r="E7315">
        <f t="shared" si="228"/>
        <v>0.99518300000000004</v>
      </c>
      <c r="F7315" s="1">
        <f t="shared" si="229"/>
        <v>42415</v>
      </c>
      <c r="G7315" cm="1">
        <f t="array" ref="G7315">PRODUCT( _xlfn._xlws.FILTER($E:$E, ($C:$C=C7315)*($F:$F=F7315)) ) - 1</f>
        <v>1.02744205694274E-2</v>
      </c>
    </row>
    <row r="7316" spans="1:7" x14ac:dyDescent="0.2">
      <c r="A7316" s="1">
        <v>42422</v>
      </c>
      <c r="B7316">
        <v>2</v>
      </c>
      <c r="C7316" t="s">
        <v>16</v>
      </c>
      <c r="D7316">
        <v>1.1717E-2</v>
      </c>
      <c r="E7316">
        <f t="shared" si="228"/>
        <v>1.011717</v>
      </c>
      <c r="F7316" s="1">
        <f t="shared" si="229"/>
        <v>42422</v>
      </c>
      <c r="G7316" cm="1">
        <f t="array" ref="G7316">PRODUCT( _xlfn._xlws.FILTER($E:$E, ($C:$C=C7316)*($F:$F=F7316)) ) - 1</f>
        <v>-1.818486724915247E-3</v>
      </c>
    </row>
    <row r="7317" spans="1:7" x14ac:dyDescent="0.2">
      <c r="A7317" s="1">
        <v>42423</v>
      </c>
      <c r="B7317">
        <v>2</v>
      </c>
      <c r="C7317" t="s">
        <v>16</v>
      </c>
      <c r="D7317">
        <v>5.9900000000000003E-4</v>
      </c>
      <c r="E7317">
        <f t="shared" si="228"/>
        <v>1.000599</v>
      </c>
      <c r="F7317" s="1">
        <f t="shared" si="229"/>
        <v>42422</v>
      </c>
      <c r="G7317" cm="1">
        <f t="array" ref="G7317">PRODUCT( _xlfn._xlws.FILTER($E:$E, ($C:$C=C7317)*($F:$F=F7317)) ) - 1</f>
        <v>-1.818486724915247E-3</v>
      </c>
    </row>
    <row r="7318" spans="1:7" x14ac:dyDescent="0.2">
      <c r="A7318" s="1">
        <v>42424</v>
      </c>
      <c r="B7318">
        <v>2</v>
      </c>
      <c r="C7318" t="s">
        <v>16</v>
      </c>
      <c r="D7318">
        <v>-7.9799999999999999E-4</v>
      </c>
      <c r="E7318">
        <f t="shared" si="228"/>
        <v>0.99920200000000003</v>
      </c>
      <c r="F7318" s="1">
        <f t="shared" si="229"/>
        <v>42422</v>
      </c>
      <c r="G7318" cm="1">
        <f t="array" ref="G7318">PRODUCT( _xlfn._xlws.FILTER($E:$E, ($C:$C=C7318)*($F:$F=F7318)) ) - 1</f>
        <v>-1.818486724915247E-3</v>
      </c>
    </row>
    <row r="7319" spans="1:7" x14ac:dyDescent="0.2">
      <c r="A7319" s="1">
        <v>42425</v>
      </c>
      <c r="B7319">
        <v>2</v>
      </c>
      <c r="C7319" t="s">
        <v>16</v>
      </c>
      <c r="D7319">
        <v>-2.7959999999999999E-3</v>
      </c>
      <c r="E7319">
        <f t="shared" si="228"/>
        <v>0.99720399999999998</v>
      </c>
      <c r="F7319" s="1">
        <f t="shared" si="229"/>
        <v>42422</v>
      </c>
      <c r="G7319" cm="1">
        <f t="array" ref="G7319">PRODUCT( _xlfn._xlws.FILTER($E:$E, ($C:$C=C7319)*($F:$F=F7319)) ) - 1</f>
        <v>-1.818486724915247E-3</v>
      </c>
    </row>
    <row r="7320" spans="1:7" x14ac:dyDescent="0.2">
      <c r="A7320" s="1">
        <v>42426</v>
      </c>
      <c r="B7320">
        <v>2</v>
      </c>
      <c r="C7320" t="s">
        <v>16</v>
      </c>
      <c r="D7320">
        <v>-1.0415000000000001E-2</v>
      </c>
      <c r="E7320">
        <f t="shared" si="228"/>
        <v>0.98958500000000005</v>
      </c>
      <c r="F7320" s="1">
        <f t="shared" si="229"/>
        <v>42422</v>
      </c>
      <c r="G7320" cm="1">
        <f t="array" ref="G7320">PRODUCT( _xlfn._xlws.FILTER($E:$E, ($C:$C=C7320)*($F:$F=F7320)) ) - 1</f>
        <v>-1.818486724915247E-3</v>
      </c>
    </row>
    <row r="7321" spans="1:7" x14ac:dyDescent="0.2">
      <c r="A7321" s="1">
        <v>42429</v>
      </c>
      <c r="B7321">
        <v>2</v>
      </c>
      <c r="C7321" t="s">
        <v>16</v>
      </c>
      <c r="D7321">
        <v>3.238E-3</v>
      </c>
      <c r="E7321">
        <f t="shared" si="228"/>
        <v>1.0032380000000001</v>
      </c>
      <c r="F7321" s="1">
        <f t="shared" si="229"/>
        <v>42429</v>
      </c>
      <c r="G7321" cm="1">
        <f t="array" ref="G7321">PRODUCT( _xlfn._xlws.FILTER($E:$E, ($C:$C=C7321)*($F:$F=F7321)) ) - 1</f>
        <v>-1.0523661874114132E-2</v>
      </c>
    </row>
    <row r="7322" spans="1:7" x14ac:dyDescent="0.2">
      <c r="A7322" s="1">
        <v>42430</v>
      </c>
      <c r="B7322">
        <v>2</v>
      </c>
      <c r="C7322" t="s">
        <v>16</v>
      </c>
      <c r="D7322">
        <v>8.0699999999999999E-4</v>
      </c>
      <c r="E7322">
        <f t="shared" si="228"/>
        <v>1.000807</v>
      </c>
      <c r="F7322" s="1">
        <f t="shared" si="229"/>
        <v>42429</v>
      </c>
      <c r="G7322" cm="1">
        <f t="array" ref="G7322">PRODUCT( _xlfn._xlws.FILTER($E:$E, ($C:$C=C7322)*($F:$F=F7322)) ) - 1</f>
        <v>-1.0523661874114132E-2</v>
      </c>
    </row>
    <row r="7323" spans="1:7" x14ac:dyDescent="0.2">
      <c r="A7323" s="1">
        <v>42431</v>
      </c>
      <c r="B7323">
        <v>2</v>
      </c>
      <c r="C7323" t="s">
        <v>16</v>
      </c>
      <c r="D7323">
        <v>-8.8690000000000001E-3</v>
      </c>
      <c r="E7323">
        <f t="shared" si="228"/>
        <v>0.99113099999999998</v>
      </c>
      <c r="F7323" s="1">
        <f t="shared" si="229"/>
        <v>42429</v>
      </c>
      <c r="G7323" cm="1">
        <f t="array" ref="G7323">PRODUCT( _xlfn._xlws.FILTER($E:$E, ($C:$C=C7323)*($F:$F=F7323)) ) - 1</f>
        <v>-1.0523661874114132E-2</v>
      </c>
    </row>
    <row r="7324" spans="1:7" x14ac:dyDescent="0.2">
      <c r="A7324" s="1">
        <v>42432</v>
      </c>
      <c r="B7324">
        <v>2</v>
      </c>
      <c r="C7324" t="s">
        <v>16</v>
      </c>
      <c r="D7324">
        <v>-3.2539999999999999E-3</v>
      </c>
      <c r="E7324">
        <f t="shared" si="228"/>
        <v>0.99674600000000002</v>
      </c>
      <c r="F7324" s="1">
        <f t="shared" si="229"/>
        <v>42429</v>
      </c>
      <c r="G7324" cm="1">
        <f t="array" ref="G7324">PRODUCT( _xlfn._xlws.FILTER($E:$E, ($C:$C=C7324)*($F:$F=F7324)) ) - 1</f>
        <v>-1.0523661874114132E-2</v>
      </c>
    </row>
    <row r="7325" spans="1:7" x14ac:dyDescent="0.2">
      <c r="A7325" s="1">
        <v>42433</v>
      </c>
      <c r="B7325">
        <v>2</v>
      </c>
      <c r="C7325" t="s">
        <v>16</v>
      </c>
      <c r="D7325">
        <v>-2.4480000000000001E-3</v>
      </c>
      <c r="E7325">
        <f t="shared" si="228"/>
        <v>0.99755199999999999</v>
      </c>
      <c r="F7325" s="1">
        <f t="shared" si="229"/>
        <v>42429</v>
      </c>
      <c r="G7325" cm="1">
        <f t="array" ref="G7325">PRODUCT( _xlfn._xlws.FILTER($E:$E, ($C:$C=C7325)*($F:$F=F7325)) ) - 1</f>
        <v>-1.0523661874114132E-2</v>
      </c>
    </row>
    <row r="7326" spans="1:7" x14ac:dyDescent="0.2">
      <c r="A7326" s="1">
        <v>42436</v>
      </c>
      <c r="B7326">
        <v>2</v>
      </c>
      <c r="C7326" t="s">
        <v>16</v>
      </c>
      <c r="D7326">
        <v>7.5680000000000001E-3</v>
      </c>
      <c r="E7326">
        <f t="shared" si="228"/>
        <v>1.007568</v>
      </c>
      <c r="F7326" s="1">
        <f t="shared" si="229"/>
        <v>42436</v>
      </c>
      <c r="G7326" cm="1">
        <f t="array" ref="G7326">PRODUCT( _xlfn._xlws.FILTER($E:$E, ($C:$C=C7326)*($F:$F=F7326)) ) - 1</f>
        <v>2.7203677637661405E-2</v>
      </c>
    </row>
    <row r="7327" spans="1:7" x14ac:dyDescent="0.2">
      <c r="A7327" s="1">
        <v>42437</v>
      </c>
      <c r="B7327">
        <v>2</v>
      </c>
      <c r="C7327" t="s">
        <v>16</v>
      </c>
      <c r="D7327">
        <v>7.5110000000000003E-3</v>
      </c>
      <c r="E7327">
        <f t="shared" si="228"/>
        <v>1.007511</v>
      </c>
      <c r="F7327" s="1">
        <f t="shared" si="229"/>
        <v>42436</v>
      </c>
      <c r="G7327" cm="1">
        <f t="array" ref="G7327">PRODUCT( _xlfn._xlws.FILTER($E:$E, ($C:$C=C7327)*($F:$F=F7327)) ) - 1</f>
        <v>2.7203677637661405E-2</v>
      </c>
    </row>
    <row r="7328" spans="1:7" x14ac:dyDescent="0.2">
      <c r="A7328" s="1">
        <v>42438</v>
      </c>
      <c r="B7328">
        <v>2</v>
      </c>
      <c r="C7328" t="s">
        <v>16</v>
      </c>
      <c r="D7328">
        <v>4.0299999999999997E-3</v>
      </c>
      <c r="E7328">
        <f t="shared" si="228"/>
        <v>1.00403</v>
      </c>
      <c r="F7328" s="1">
        <f t="shared" si="229"/>
        <v>42436</v>
      </c>
      <c r="G7328" cm="1">
        <f t="array" ref="G7328">PRODUCT( _xlfn._xlws.FILTER($E:$E, ($C:$C=C7328)*($F:$F=F7328)) ) - 1</f>
        <v>2.7203677637661405E-2</v>
      </c>
    </row>
    <row r="7329" spans="1:7" x14ac:dyDescent="0.2">
      <c r="A7329" s="1">
        <v>42439</v>
      </c>
      <c r="B7329">
        <v>2</v>
      </c>
      <c r="C7329" t="s">
        <v>16</v>
      </c>
      <c r="D7329">
        <v>-6.8230000000000001E-3</v>
      </c>
      <c r="E7329">
        <f t="shared" si="228"/>
        <v>0.99317699999999998</v>
      </c>
      <c r="F7329" s="1">
        <f t="shared" si="229"/>
        <v>42436</v>
      </c>
      <c r="G7329" cm="1">
        <f t="array" ref="G7329">PRODUCT( _xlfn._xlws.FILTER($E:$E, ($C:$C=C7329)*($F:$F=F7329)) ) - 1</f>
        <v>2.7203677637661405E-2</v>
      </c>
    </row>
    <row r="7330" spans="1:7" x14ac:dyDescent="0.2">
      <c r="A7330" s="1">
        <v>42440</v>
      </c>
      <c r="B7330">
        <v>2</v>
      </c>
      <c r="C7330" t="s">
        <v>16</v>
      </c>
      <c r="D7330">
        <v>1.4749999999999999E-2</v>
      </c>
      <c r="E7330">
        <f t="shared" si="228"/>
        <v>1.01475</v>
      </c>
      <c r="F7330" s="1">
        <f t="shared" si="229"/>
        <v>42436</v>
      </c>
      <c r="G7330" cm="1">
        <f t="array" ref="G7330">PRODUCT( _xlfn._xlws.FILTER($E:$E, ($C:$C=C7330)*($F:$F=F7330)) ) - 1</f>
        <v>2.7203677637661405E-2</v>
      </c>
    </row>
    <row r="7331" spans="1:7" x14ac:dyDescent="0.2">
      <c r="A7331" s="1">
        <v>42443</v>
      </c>
      <c r="B7331">
        <v>2</v>
      </c>
      <c r="C7331" t="s">
        <v>16</v>
      </c>
      <c r="D7331">
        <v>7.5669999999999999E-3</v>
      </c>
      <c r="E7331">
        <f t="shared" si="228"/>
        <v>1.0075670000000001</v>
      </c>
      <c r="F7331" s="1">
        <f t="shared" si="229"/>
        <v>42443</v>
      </c>
      <c r="G7331" cm="1">
        <f t="array" ref="G7331">PRODUCT( _xlfn._xlws.FILTER($E:$E, ($C:$C=C7331)*($F:$F=F7331)) ) - 1</f>
        <v>1.8519611832997329E-2</v>
      </c>
    </row>
    <row r="7332" spans="1:7" x14ac:dyDescent="0.2">
      <c r="A7332" s="1">
        <v>42444</v>
      </c>
      <c r="B7332">
        <v>2</v>
      </c>
      <c r="C7332" t="s">
        <v>16</v>
      </c>
      <c r="D7332">
        <v>9.0910000000000001E-3</v>
      </c>
      <c r="E7332">
        <f t="shared" si="228"/>
        <v>1.009091</v>
      </c>
      <c r="F7332" s="1">
        <f t="shared" si="229"/>
        <v>42443</v>
      </c>
      <c r="G7332" cm="1">
        <f t="array" ref="G7332">PRODUCT( _xlfn._xlws.FILTER($E:$E, ($C:$C=C7332)*($F:$F=F7332)) ) - 1</f>
        <v>1.8519611832997329E-2</v>
      </c>
    </row>
    <row r="7333" spans="1:7" x14ac:dyDescent="0.2">
      <c r="A7333" s="1">
        <v>42445</v>
      </c>
      <c r="B7333">
        <v>2</v>
      </c>
      <c r="C7333" t="s">
        <v>16</v>
      </c>
      <c r="D7333">
        <v>-2.5460000000000001E-3</v>
      </c>
      <c r="E7333">
        <f t="shared" si="228"/>
        <v>0.99745399999999995</v>
      </c>
      <c r="F7333" s="1">
        <f t="shared" si="229"/>
        <v>42443</v>
      </c>
      <c r="G7333" cm="1">
        <f t="array" ref="G7333">PRODUCT( _xlfn._xlws.FILTER($E:$E, ($C:$C=C7333)*($F:$F=F7333)) ) - 1</f>
        <v>1.8519611832997329E-2</v>
      </c>
    </row>
    <row r="7334" spans="1:7" x14ac:dyDescent="0.2">
      <c r="A7334" s="1">
        <v>42446</v>
      </c>
      <c r="B7334">
        <v>2</v>
      </c>
      <c r="C7334" t="s">
        <v>16</v>
      </c>
      <c r="D7334">
        <v>1.6101000000000001E-2</v>
      </c>
      <c r="E7334">
        <f t="shared" si="228"/>
        <v>1.0161009999999999</v>
      </c>
      <c r="F7334" s="1">
        <f t="shared" si="229"/>
        <v>42443</v>
      </c>
      <c r="G7334" cm="1">
        <f t="array" ref="G7334">PRODUCT( _xlfn._xlws.FILTER($E:$E, ($C:$C=C7334)*($F:$F=F7334)) ) - 1</f>
        <v>1.8519611832997329E-2</v>
      </c>
    </row>
    <row r="7335" spans="1:7" x14ac:dyDescent="0.2">
      <c r="A7335" s="1">
        <v>42447</v>
      </c>
      <c r="B7335">
        <v>2</v>
      </c>
      <c r="C7335" t="s">
        <v>16</v>
      </c>
      <c r="D7335">
        <v>-1.1594E-2</v>
      </c>
      <c r="E7335">
        <f t="shared" si="228"/>
        <v>0.98840600000000001</v>
      </c>
      <c r="F7335" s="1">
        <f t="shared" si="229"/>
        <v>42443</v>
      </c>
      <c r="G7335" cm="1">
        <f t="array" ref="G7335">PRODUCT( _xlfn._xlws.FILTER($E:$E, ($C:$C=C7335)*($F:$F=F7335)) ) - 1</f>
        <v>1.8519611832997329E-2</v>
      </c>
    </row>
    <row r="7336" spans="1:7" x14ac:dyDescent="0.2">
      <c r="A7336" s="1">
        <v>42450</v>
      </c>
      <c r="B7336">
        <v>2</v>
      </c>
      <c r="C7336" t="s">
        <v>16</v>
      </c>
      <c r="D7336">
        <v>9.9710000000000007E-3</v>
      </c>
      <c r="E7336">
        <f t="shared" si="228"/>
        <v>1.009971</v>
      </c>
      <c r="F7336" s="1">
        <f t="shared" si="229"/>
        <v>42450</v>
      </c>
      <c r="G7336" cm="1">
        <f t="array" ref="G7336">PRODUCT( _xlfn._xlws.FILTER($E:$E, ($C:$C=C7336)*($F:$F=F7336)) ) - 1</f>
        <v>1.9160230850775006E-2</v>
      </c>
    </row>
    <row r="7337" spans="1:7" x14ac:dyDescent="0.2">
      <c r="A7337" s="1">
        <v>42451</v>
      </c>
      <c r="B7337">
        <v>2</v>
      </c>
      <c r="C7337" t="s">
        <v>16</v>
      </c>
      <c r="D7337">
        <v>-2.323E-3</v>
      </c>
      <c r="E7337">
        <f t="shared" si="228"/>
        <v>0.99767700000000004</v>
      </c>
      <c r="F7337" s="1">
        <f t="shared" si="229"/>
        <v>42450</v>
      </c>
      <c r="G7337" cm="1">
        <f t="array" ref="G7337">PRODUCT( _xlfn._xlws.FILTER($E:$E, ($C:$C=C7337)*($F:$F=F7337)) ) - 1</f>
        <v>1.9160230850775006E-2</v>
      </c>
    </row>
    <row r="7338" spans="1:7" x14ac:dyDescent="0.2">
      <c r="A7338" s="1">
        <v>42452</v>
      </c>
      <c r="B7338">
        <v>2</v>
      </c>
      <c r="C7338" t="s">
        <v>16</v>
      </c>
      <c r="D7338">
        <v>1.2418E-2</v>
      </c>
      <c r="E7338">
        <f t="shared" si="228"/>
        <v>1.012418</v>
      </c>
      <c r="F7338" s="1">
        <f t="shared" si="229"/>
        <v>42450</v>
      </c>
      <c r="G7338" cm="1">
        <f t="array" ref="G7338">PRODUCT( _xlfn._xlws.FILTER($E:$E, ($C:$C=C7338)*($F:$F=F7338)) ) - 1</f>
        <v>1.9160230850775006E-2</v>
      </c>
    </row>
    <row r="7339" spans="1:7" x14ac:dyDescent="0.2">
      <c r="A7339" s="1">
        <v>42453</v>
      </c>
      <c r="B7339">
        <v>2</v>
      </c>
      <c r="C7339" t="s">
        <v>16</v>
      </c>
      <c r="D7339">
        <v>-9.5799999999999998E-4</v>
      </c>
      <c r="E7339">
        <f t="shared" si="228"/>
        <v>0.99904199999999999</v>
      </c>
      <c r="F7339" s="1">
        <f t="shared" si="229"/>
        <v>42450</v>
      </c>
      <c r="G7339" cm="1">
        <f t="array" ref="G7339">PRODUCT( _xlfn._xlws.FILTER($E:$E, ($C:$C=C7339)*($F:$F=F7339)) ) - 1</f>
        <v>1.9160230850775006E-2</v>
      </c>
    </row>
    <row r="7340" spans="1:7" x14ac:dyDescent="0.2">
      <c r="A7340" s="1">
        <v>42457</v>
      </c>
      <c r="B7340">
        <v>2</v>
      </c>
      <c r="C7340" t="s">
        <v>16</v>
      </c>
      <c r="D7340">
        <v>7.6730000000000001E-3</v>
      </c>
      <c r="E7340">
        <f t="shared" si="228"/>
        <v>1.007673</v>
      </c>
      <c r="F7340" s="1">
        <f t="shared" si="229"/>
        <v>42457</v>
      </c>
      <c r="G7340" cm="1">
        <f t="array" ref="G7340">PRODUCT( _xlfn._xlws.FILTER($E:$E, ($C:$C=C7340)*($F:$F=F7340)) ) - 1</f>
        <v>1.1318237716954949E-2</v>
      </c>
    </row>
    <row r="7341" spans="1:7" x14ac:dyDescent="0.2">
      <c r="A7341" s="1">
        <v>42458</v>
      </c>
      <c r="B7341">
        <v>2</v>
      </c>
      <c r="C7341" t="s">
        <v>16</v>
      </c>
      <c r="D7341">
        <v>-5.71E-4</v>
      </c>
      <c r="E7341">
        <f t="shared" si="228"/>
        <v>0.99942900000000001</v>
      </c>
      <c r="F7341" s="1">
        <f t="shared" si="229"/>
        <v>42457</v>
      </c>
      <c r="G7341" cm="1">
        <f t="array" ref="G7341">PRODUCT( _xlfn._xlws.FILTER($E:$E, ($C:$C=C7341)*($F:$F=F7341)) ) - 1</f>
        <v>1.1318237716954949E-2</v>
      </c>
    </row>
    <row r="7342" spans="1:7" x14ac:dyDescent="0.2">
      <c r="A7342" s="1">
        <v>42459</v>
      </c>
      <c r="B7342">
        <v>2</v>
      </c>
      <c r="C7342" t="s">
        <v>16</v>
      </c>
      <c r="D7342">
        <v>-1.9000000000000001E-4</v>
      </c>
      <c r="E7342">
        <f t="shared" si="228"/>
        <v>0.99980999999999998</v>
      </c>
      <c r="F7342" s="1">
        <f t="shared" si="229"/>
        <v>42457</v>
      </c>
      <c r="G7342" cm="1">
        <f t="array" ref="G7342">PRODUCT( _xlfn._xlws.FILTER($E:$E, ($C:$C=C7342)*($F:$F=F7342)) ) - 1</f>
        <v>1.1318237716954949E-2</v>
      </c>
    </row>
    <row r="7343" spans="1:7" x14ac:dyDescent="0.2">
      <c r="A7343" s="1">
        <v>42460</v>
      </c>
      <c r="B7343">
        <v>2</v>
      </c>
      <c r="C7343" t="s">
        <v>16</v>
      </c>
      <c r="D7343">
        <v>2.477E-3</v>
      </c>
      <c r="E7343">
        <f t="shared" si="228"/>
        <v>1.0024770000000001</v>
      </c>
      <c r="F7343" s="1">
        <f t="shared" si="229"/>
        <v>42457</v>
      </c>
      <c r="G7343" cm="1">
        <f t="array" ref="G7343">PRODUCT( _xlfn._xlws.FILTER($E:$E, ($C:$C=C7343)*($F:$F=F7343)) ) - 1</f>
        <v>1.1318237716954949E-2</v>
      </c>
    </row>
    <row r="7344" spans="1:7" x14ac:dyDescent="0.2">
      <c r="A7344" s="1">
        <v>42461</v>
      </c>
      <c r="B7344">
        <v>2</v>
      </c>
      <c r="C7344" t="s">
        <v>16</v>
      </c>
      <c r="D7344">
        <v>1.9E-3</v>
      </c>
      <c r="E7344">
        <f t="shared" si="228"/>
        <v>1.0019</v>
      </c>
      <c r="F7344" s="1">
        <f t="shared" si="229"/>
        <v>42457</v>
      </c>
      <c r="G7344" cm="1">
        <f t="array" ref="G7344">PRODUCT( _xlfn._xlws.FILTER($E:$E, ($C:$C=C7344)*($F:$F=F7344)) ) - 1</f>
        <v>1.1318237716954949E-2</v>
      </c>
    </row>
    <row r="7345" spans="1:7" x14ac:dyDescent="0.2">
      <c r="A7345" s="1">
        <v>42464</v>
      </c>
      <c r="B7345">
        <v>2</v>
      </c>
      <c r="C7345" t="s">
        <v>16</v>
      </c>
      <c r="D7345">
        <v>1.328E-3</v>
      </c>
      <c r="E7345">
        <f t="shared" si="228"/>
        <v>1.001328</v>
      </c>
      <c r="F7345" s="1">
        <f t="shared" si="229"/>
        <v>42464</v>
      </c>
      <c r="G7345" cm="1">
        <f t="array" ref="G7345">PRODUCT( _xlfn._xlws.FILTER($E:$E, ($C:$C=C7345)*($F:$F=F7345)) ) - 1</f>
        <v>-1.3846507190375834E-2</v>
      </c>
    </row>
    <row r="7346" spans="1:7" x14ac:dyDescent="0.2">
      <c r="A7346" s="1">
        <v>42465</v>
      </c>
      <c r="B7346">
        <v>2</v>
      </c>
      <c r="C7346" t="s">
        <v>16</v>
      </c>
      <c r="D7346">
        <v>-9.4700000000000003E-4</v>
      </c>
      <c r="E7346">
        <f t="shared" si="228"/>
        <v>0.99905299999999997</v>
      </c>
      <c r="F7346" s="1">
        <f t="shared" si="229"/>
        <v>42464</v>
      </c>
      <c r="G7346" cm="1">
        <f t="array" ref="G7346">PRODUCT( _xlfn._xlws.FILTER($E:$E, ($C:$C=C7346)*($F:$F=F7346)) ) - 1</f>
        <v>-1.3846507190375834E-2</v>
      </c>
    </row>
    <row r="7347" spans="1:7" x14ac:dyDescent="0.2">
      <c r="A7347" s="1">
        <v>42466</v>
      </c>
      <c r="B7347">
        <v>2</v>
      </c>
      <c r="C7347" t="s">
        <v>16</v>
      </c>
      <c r="D7347">
        <v>-3.4129999999999998E-3</v>
      </c>
      <c r="E7347">
        <f t="shared" si="228"/>
        <v>0.996587</v>
      </c>
      <c r="F7347" s="1">
        <f t="shared" si="229"/>
        <v>42464</v>
      </c>
      <c r="G7347" cm="1">
        <f t="array" ref="G7347">PRODUCT( _xlfn._xlws.FILTER($E:$E, ($C:$C=C7347)*($F:$F=F7347)) ) - 1</f>
        <v>-1.3846507190375834E-2</v>
      </c>
    </row>
    <row r="7348" spans="1:7" x14ac:dyDescent="0.2">
      <c r="A7348" s="1">
        <v>42467</v>
      </c>
      <c r="B7348">
        <v>2</v>
      </c>
      <c r="C7348" t="s">
        <v>16</v>
      </c>
      <c r="D7348">
        <v>-6.0879999999999997E-3</v>
      </c>
      <c r="E7348">
        <f t="shared" si="228"/>
        <v>0.99391200000000002</v>
      </c>
      <c r="F7348" s="1">
        <f t="shared" si="229"/>
        <v>42464</v>
      </c>
      <c r="G7348" cm="1">
        <f t="array" ref="G7348">PRODUCT( _xlfn._xlws.FILTER($E:$E, ($C:$C=C7348)*($F:$F=F7348)) ) - 1</f>
        <v>-1.3846507190375834E-2</v>
      </c>
    </row>
    <row r="7349" spans="1:7" x14ac:dyDescent="0.2">
      <c r="A7349" s="1">
        <v>42468</v>
      </c>
      <c r="B7349">
        <v>2</v>
      </c>
      <c r="C7349" t="s">
        <v>16</v>
      </c>
      <c r="D7349">
        <v>-4.7860000000000003E-3</v>
      </c>
      <c r="E7349">
        <f t="shared" si="228"/>
        <v>0.99521400000000004</v>
      </c>
      <c r="F7349" s="1">
        <f t="shared" si="229"/>
        <v>42464</v>
      </c>
      <c r="G7349" cm="1">
        <f t="array" ref="G7349">PRODUCT( _xlfn._xlws.FILTER($E:$E, ($C:$C=C7349)*($F:$F=F7349)) ) - 1</f>
        <v>-1.3846507190375834E-2</v>
      </c>
    </row>
    <row r="7350" spans="1:7" x14ac:dyDescent="0.2">
      <c r="A7350" s="1">
        <v>42471</v>
      </c>
      <c r="B7350">
        <v>2</v>
      </c>
      <c r="C7350" t="s">
        <v>16</v>
      </c>
      <c r="D7350">
        <v>1.923E-3</v>
      </c>
      <c r="E7350">
        <f t="shared" si="228"/>
        <v>1.0019229999999999</v>
      </c>
      <c r="F7350" s="1">
        <f t="shared" si="229"/>
        <v>42471</v>
      </c>
      <c r="G7350" cm="1">
        <f t="array" ref="G7350">PRODUCT( _xlfn._xlws.FILTER($E:$E, ($C:$C=C7350)*($F:$F=F7350)) ) - 1</f>
        <v>4.0383063607234426E-3</v>
      </c>
    </row>
    <row r="7351" spans="1:7" x14ac:dyDescent="0.2">
      <c r="A7351" s="1">
        <v>42472</v>
      </c>
      <c r="B7351">
        <v>2</v>
      </c>
      <c r="C7351" t="s">
        <v>16</v>
      </c>
      <c r="D7351">
        <v>7.6800000000000002E-4</v>
      </c>
      <c r="E7351">
        <f t="shared" si="228"/>
        <v>1.0007680000000001</v>
      </c>
      <c r="F7351" s="1">
        <f t="shared" si="229"/>
        <v>42471</v>
      </c>
      <c r="G7351" cm="1">
        <f t="array" ref="G7351">PRODUCT( _xlfn._xlws.FILTER($E:$E, ($C:$C=C7351)*($F:$F=F7351)) ) - 1</f>
        <v>4.0383063607234426E-3</v>
      </c>
    </row>
    <row r="7352" spans="1:7" x14ac:dyDescent="0.2">
      <c r="A7352" s="1">
        <v>42473</v>
      </c>
      <c r="B7352">
        <v>2</v>
      </c>
      <c r="C7352" t="s">
        <v>16</v>
      </c>
      <c r="D7352">
        <v>7.67E-4</v>
      </c>
      <c r="E7352">
        <f t="shared" si="228"/>
        <v>1.000767</v>
      </c>
      <c r="F7352" s="1">
        <f t="shared" si="229"/>
        <v>42471</v>
      </c>
      <c r="G7352" cm="1">
        <f t="array" ref="G7352">PRODUCT( _xlfn._xlws.FILTER($E:$E, ($C:$C=C7352)*($F:$F=F7352)) ) - 1</f>
        <v>4.0383063607234426E-3</v>
      </c>
    </row>
    <row r="7353" spans="1:7" x14ac:dyDescent="0.2">
      <c r="A7353" s="1">
        <v>42474</v>
      </c>
      <c r="B7353">
        <v>2</v>
      </c>
      <c r="C7353" t="s">
        <v>16</v>
      </c>
      <c r="D7353">
        <v>2.1080000000000001E-3</v>
      </c>
      <c r="E7353">
        <f t="shared" si="228"/>
        <v>1.002108</v>
      </c>
      <c r="F7353" s="1">
        <f t="shared" si="229"/>
        <v>42471</v>
      </c>
      <c r="G7353" cm="1">
        <f t="array" ref="G7353">PRODUCT( _xlfn._xlws.FILTER($E:$E, ($C:$C=C7353)*($F:$F=F7353)) ) - 1</f>
        <v>4.0383063607234426E-3</v>
      </c>
    </row>
    <row r="7354" spans="1:7" x14ac:dyDescent="0.2">
      <c r="A7354" s="1">
        <v>42475</v>
      </c>
      <c r="B7354">
        <v>2</v>
      </c>
      <c r="C7354" t="s">
        <v>16</v>
      </c>
      <c r="D7354">
        <v>-1.5299999999999999E-3</v>
      </c>
      <c r="E7354">
        <f t="shared" si="228"/>
        <v>0.99846999999999997</v>
      </c>
      <c r="F7354" s="1">
        <f t="shared" si="229"/>
        <v>42471</v>
      </c>
      <c r="G7354" cm="1">
        <f t="array" ref="G7354">PRODUCT( _xlfn._xlws.FILTER($E:$E, ($C:$C=C7354)*($F:$F=F7354)) ) - 1</f>
        <v>4.0383063607234426E-3</v>
      </c>
    </row>
    <row r="7355" spans="1:7" x14ac:dyDescent="0.2">
      <c r="A7355" s="1">
        <v>42478</v>
      </c>
      <c r="B7355">
        <v>2</v>
      </c>
      <c r="C7355" t="s">
        <v>16</v>
      </c>
      <c r="D7355">
        <v>9.5799999999999998E-4</v>
      </c>
      <c r="E7355">
        <f t="shared" si="228"/>
        <v>1.000958</v>
      </c>
      <c r="F7355" s="1">
        <f t="shared" si="229"/>
        <v>42478</v>
      </c>
      <c r="G7355" cm="1">
        <f t="array" ref="G7355">PRODUCT( _xlfn._xlws.FILTER($E:$E, ($C:$C=C7355)*($F:$F=F7355)) ) - 1</f>
        <v>-9.5771720497813684E-3</v>
      </c>
    </row>
    <row r="7356" spans="1:7" x14ac:dyDescent="0.2">
      <c r="A7356" s="1">
        <v>42479</v>
      </c>
      <c r="B7356">
        <v>2</v>
      </c>
      <c r="C7356" t="s">
        <v>16</v>
      </c>
      <c r="D7356">
        <v>7.6599999999999997E-4</v>
      </c>
      <c r="E7356">
        <f t="shared" si="228"/>
        <v>1.000766</v>
      </c>
      <c r="F7356" s="1">
        <f t="shared" si="229"/>
        <v>42478</v>
      </c>
      <c r="G7356" cm="1">
        <f t="array" ref="G7356">PRODUCT( _xlfn._xlws.FILTER($E:$E, ($C:$C=C7356)*($F:$F=F7356)) ) - 1</f>
        <v>-9.5771720497813684E-3</v>
      </c>
    </row>
    <row r="7357" spans="1:7" x14ac:dyDescent="0.2">
      <c r="A7357" s="1">
        <v>42480</v>
      </c>
      <c r="B7357">
        <v>2</v>
      </c>
      <c r="C7357" t="s">
        <v>16</v>
      </c>
      <c r="D7357">
        <v>-8.0319999999999992E-3</v>
      </c>
      <c r="E7357">
        <f t="shared" si="228"/>
        <v>0.99196799999999996</v>
      </c>
      <c r="F7357" s="1">
        <f t="shared" si="229"/>
        <v>42478</v>
      </c>
      <c r="G7357" cm="1">
        <f t="array" ref="G7357">PRODUCT( _xlfn._xlws.FILTER($E:$E, ($C:$C=C7357)*($F:$F=F7357)) ) - 1</f>
        <v>-9.5771720497813684E-3</v>
      </c>
    </row>
    <row r="7358" spans="1:7" x14ac:dyDescent="0.2">
      <c r="A7358" s="1">
        <v>42481</v>
      </c>
      <c r="B7358">
        <v>2</v>
      </c>
      <c r="C7358" t="s">
        <v>16</v>
      </c>
      <c r="D7358">
        <v>-2.313E-3</v>
      </c>
      <c r="E7358">
        <f t="shared" si="228"/>
        <v>0.99768699999999999</v>
      </c>
      <c r="F7358" s="1">
        <f t="shared" si="229"/>
        <v>42478</v>
      </c>
      <c r="G7358" cm="1">
        <f t="array" ref="G7358">PRODUCT( _xlfn._xlws.FILTER($E:$E, ($C:$C=C7358)*($F:$F=F7358)) ) - 1</f>
        <v>-9.5771720497813684E-3</v>
      </c>
    </row>
    <row r="7359" spans="1:7" x14ac:dyDescent="0.2">
      <c r="A7359" s="1">
        <v>42482</v>
      </c>
      <c r="B7359">
        <v>2</v>
      </c>
      <c r="C7359" t="s">
        <v>16</v>
      </c>
      <c r="D7359">
        <v>-9.6599999999999995E-4</v>
      </c>
      <c r="E7359">
        <f t="shared" si="228"/>
        <v>0.99903399999999998</v>
      </c>
      <c r="F7359" s="1">
        <f t="shared" si="229"/>
        <v>42478</v>
      </c>
      <c r="G7359" cm="1">
        <f t="array" ref="G7359">PRODUCT( _xlfn._xlws.FILTER($E:$E, ($C:$C=C7359)*($F:$F=F7359)) ) - 1</f>
        <v>-9.5771720497813684E-3</v>
      </c>
    </row>
    <row r="7360" spans="1:7" x14ac:dyDescent="0.2">
      <c r="A7360" s="1">
        <v>42485</v>
      </c>
      <c r="B7360">
        <v>2</v>
      </c>
      <c r="C7360" t="s">
        <v>16</v>
      </c>
      <c r="D7360">
        <v>2.1280000000000001E-3</v>
      </c>
      <c r="E7360">
        <f t="shared" si="228"/>
        <v>1.0021279999999999</v>
      </c>
      <c r="F7360" s="1">
        <f t="shared" si="229"/>
        <v>42485</v>
      </c>
      <c r="G7360" cm="1">
        <f t="array" ref="G7360">PRODUCT( _xlfn._xlws.FILTER($E:$E, ($C:$C=C7360)*($F:$F=F7360)) ) - 1</f>
        <v>-1.1609447240011894E-3</v>
      </c>
    </row>
    <row r="7361" spans="1:7" x14ac:dyDescent="0.2">
      <c r="A7361" s="1">
        <v>42486</v>
      </c>
      <c r="B7361">
        <v>2</v>
      </c>
      <c r="C7361" t="s">
        <v>16</v>
      </c>
      <c r="D7361">
        <v>1.4475999999999999E-2</v>
      </c>
      <c r="E7361">
        <f t="shared" si="228"/>
        <v>1.0144759999999999</v>
      </c>
      <c r="F7361" s="1">
        <f t="shared" si="229"/>
        <v>42485</v>
      </c>
      <c r="G7361" cm="1">
        <f t="array" ref="G7361">PRODUCT( _xlfn._xlws.FILTER($E:$E, ($C:$C=C7361)*($F:$F=F7361)) ) - 1</f>
        <v>-1.1609447240011894E-3</v>
      </c>
    </row>
    <row r="7362" spans="1:7" x14ac:dyDescent="0.2">
      <c r="A7362" s="1">
        <v>42487</v>
      </c>
      <c r="B7362">
        <v>2</v>
      </c>
      <c r="C7362" t="s">
        <v>16</v>
      </c>
      <c r="D7362">
        <v>-2.0929999999999998E-3</v>
      </c>
      <c r="E7362">
        <f t="shared" si="228"/>
        <v>0.99790699999999999</v>
      </c>
      <c r="F7362" s="1">
        <f t="shared" si="229"/>
        <v>42485</v>
      </c>
      <c r="G7362" cm="1">
        <f t="array" ref="G7362">PRODUCT( _xlfn._xlws.FILTER($E:$E, ($C:$C=C7362)*($F:$F=F7362)) ) - 1</f>
        <v>-1.1609447240011894E-3</v>
      </c>
    </row>
    <row r="7363" spans="1:7" x14ac:dyDescent="0.2">
      <c r="A7363" s="1">
        <v>42488</v>
      </c>
      <c r="B7363">
        <v>2</v>
      </c>
      <c r="C7363" t="s">
        <v>16</v>
      </c>
      <c r="D7363">
        <v>-1.6396999999999998E-2</v>
      </c>
      <c r="E7363">
        <f t="shared" si="228"/>
        <v>0.98360300000000001</v>
      </c>
      <c r="F7363" s="1">
        <f t="shared" si="229"/>
        <v>42485</v>
      </c>
      <c r="G7363" cm="1">
        <f t="array" ref="G7363">PRODUCT( _xlfn._xlws.FILTER($E:$E, ($C:$C=C7363)*($F:$F=F7363)) ) - 1</f>
        <v>-1.1609447240011894E-3</v>
      </c>
    </row>
    <row r="7364" spans="1:7" x14ac:dyDescent="0.2">
      <c r="A7364" s="1">
        <v>42489</v>
      </c>
      <c r="B7364">
        <v>2</v>
      </c>
      <c r="C7364" t="s">
        <v>16</v>
      </c>
      <c r="D7364">
        <v>9.6900000000000003E-4</v>
      </c>
      <c r="E7364">
        <f t="shared" ref="E7364:E7427" si="230">D7364+1</f>
        <v>1.000969</v>
      </c>
      <c r="F7364" s="1">
        <f t="shared" ref="F7364:F7427" si="231">A7364 - (WEEKDAY(A7364, 2) - 1)</f>
        <v>42485</v>
      </c>
      <c r="G7364" cm="1">
        <f t="array" ref="G7364">PRODUCT( _xlfn._xlws.FILTER($E:$E, ($C:$C=C7364)*($F:$F=F7364)) ) - 1</f>
        <v>-1.1609447240011894E-3</v>
      </c>
    </row>
    <row r="7365" spans="1:7" x14ac:dyDescent="0.2">
      <c r="A7365" s="1">
        <v>42492</v>
      </c>
      <c r="B7365">
        <v>2</v>
      </c>
      <c r="C7365" t="s">
        <v>16</v>
      </c>
      <c r="D7365">
        <v>1.549E-3</v>
      </c>
      <c r="E7365">
        <f t="shared" si="230"/>
        <v>1.001549</v>
      </c>
      <c r="F7365" s="1">
        <f t="shared" si="231"/>
        <v>42492</v>
      </c>
      <c r="G7365" cm="1">
        <f t="array" ref="G7365">PRODUCT( _xlfn._xlws.FILTER($E:$E, ($C:$C=C7365)*($F:$F=F7365)) ) - 1</f>
        <v>1.4524335861213489E-2</v>
      </c>
    </row>
    <row r="7366" spans="1:7" x14ac:dyDescent="0.2">
      <c r="A7366" s="1">
        <v>42493</v>
      </c>
      <c r="B7366">
        <v>2</v>
      </c>
      <c r="C7366" t="s">
        <v>16</v>
      </c>
      <c r="D7366">
        <v>-2.7070000000000002E-3</v>
      </c>
      <c r="E7366">
        <f t="shared" si="230"/>
        <v>0.99729299999999999</v>
      </c>
      <c r="F7366" s="1">
        <f t="shared" si="231"/>
        <v>42492</v>
      </c>
      <c r="G7366" cm="1">
        <f t="array" ref="G7366">PRODUCT( _xlfn._xlws.FILTER($E:$E, ($C:$C=C7366)*($F:$F=F7366)) ) - 1</f>
        <v>1.4524335861213489E-2</v>
      </c>
    </row>
    <row r="7367" spans="1:7" x14ac:dyDescent="0.2">
      <c r="A7367" s="1">
        <v>42494</v>
      </c>
      <c r="B7367">
        <v>2</v>
      </c>
      <c r="C7367" t="s">
        <v>16</v>
      </c>
      <c r="D7367">
        <v>1.299E-2</v>
      </c>
      <c r="E7367">
        <f t="shared" si="230"/>
        <v>1.0129900000000001</v>
      </c>
      <c r="F7367" s="1">
        <f t="shared" si="231"/>
        <v>42492</v>
      </c>
      <c r="G7367" cm="1">
        <f t="array" ref="G7367">PRODUCT( _xlfn._xlws.FILTER($E:$E, ($C:$C=C7367)*($F:$F=F7367)) ) - 1</f>
        <v>1.4524335861213489E-2</v>
      </c>
    </row>
    <row r="7368" spans="1:7" x14ac:dyDescent="0.2">
      <c r="A7368" s="1">
        <v>42495</v>
      </c>
      <c r="B7368">
        <v>2</v>
      </c>
      <c r="C7368" t="s">
        <v>16</v>
      </c>
      <c r="D7368">
        <v>-4.019E-3</v>
      </c>
      <c r="E7368">
        <f t="shared" si="230"/>
        <v>0.99598100000000001</v>
      </c>
      <c r="F7368" s="1">
        <f t="shared" si="231"/>
        <v>42492</v>
      </c>
      <c r="G7368" cm="1">
        <f t="array" ref="G7368">PRODUCT( _xlfn._xlws.FILTER($E:$E, ($C:$C=C7368)*($F:$F=F7368)) ) - 1</f>
        <v>1.4524335861213489E-2</v>
      </c>
    </row>
    <row r="7369" spans="1:7" x14ac:dyDescent="0.2">
      <c r="A7369" s="1">
        <v>42496</v>
      </c>
      <c r="B7369">
        <v>2</v>
      </c>
      <c r="C7369" t="s">
        <v>16</v>
      </c>
      <c r="D7369">
        <v>6.7260000000000002E-3</v>
      </c>
      <c r="E7369">
        <f t="shared" si="230"/>
        <v>1.006726</v>
      </c>
      <c r="F7369" s="1">
        <f t="shared" si="231"/>
        <v>42492</v>
      </c>
      <c r="G7369" cm="1">
        <f t="array" ref="G7369">PRODUCT( _xlfn._xlws.FILTER($E:$E, ($C:$C=C7369)*($F:$F=F7369)) ) - 1</f>
        <v>1.4524335861213489E-2</v>
      </c>
    </row>
    <row r="7370" spans="1:7" x14ac:dyDescent="0.2">
      <c r="A7370" s="1">
        <v>42499</v>
      </c>
      <c r="B7370">
        <v>2</v>
      </c>
      <c r="C7370" t="s">
        <v>16</v>
      </c>
      <c r="D7370">
        <v>7.2529999999999999E-3</v>
      </c>
      <c r="E7370">
        <f t="shared" si="230"/>
        <v>1.007253</v>
      </c>
      <c r="F7370" s="1">
        <f t="shared" si="231"/>
        <v>42499</v>
      </c>
      <c r="G7370" cm="1">
        <f t="array" ref="G7370">PRODUCT( _xlfn._xlws.FILTER($E:$E, ($C:$C=C7370)*($F:$F=F7370)) ) - 1</f>
        <v>1.469762914657835E-2</v>
      </c>
    </row>
    <row r="7371" spans="1:7" x14ac:dyDescent="0.2">
      <c r="A7371" s="1">
        <v>42500</v>
      </c>
      <c r="B7371">
        <v>2</v>
      </c>
      <c r="C7371" t="s">
        <v>16</v>
      </c>
      <c r="D7371">
        <v>1.4213E-2</v>
      </c>
      <c r="E7371">
        <f t="shared" si="230"/>
        <v>1.014213</v>
      </c>
      <c r="F7371" s="1">
        <f t="shared" si="231"/>
        <v>42499</v>
      </c>
      <c r="G7371" cm="1">
        <f t="array" ref="G7371">PRODUCT( _xlfn._xlws.FILTER($E:$E, ($C:$C=C7371)*($F:$F=F7371)) ) - 1</f>
        <v>1.469762914657835E-2</v>
      </c>
    </row>
    <row r="7372" spans="1:7" x14ac:dyDescent="0.2">
      <c r="A7372" s="1">
        <v>42501</v>
      </c>
      <c r="B7372">
        <v>2</v>
      </c>
      <c r="C7372" t="s">
        <v>16</v>
      </c>
      <c r="D7372">
        <v>-1.4761E-2</v>
      </c>
      <c r="E7372">
        <f t="shared" si="230"/>
        <v>0.98523899999999998</v>
      </c>
      <c r="F7372" s="1">
        <f t="shared" si="231"/>
        <v>42499</v>
      </c>
      <c r="G7372" cm="1">
        <f t="array" ref="G7372">PRODUCT( _xlfn._xlws.FILTER($E:$E, ($C:$C=C7372)*($F:$F=F7372)) ) - 1</f>
        <v>1.469762914657835E-2</v>
      </c>
    </row>
    <row r="7373" spans="1:7" x14ac:dyDescent="0.2">
      <c r="A7373" s="1">
        <v>42502</v>
      </c>
      <c r="B7373">
        <v>2</v>
      </c>
      <c r="C7373" t="s">
        <v>16</v>
      </c>
      <c r="D7373">
        <v>8.1550000000000008E-3</v>
      </c>
      <c r="E7373">
        <f t="shared" si="230"/>
        <v>1.0081549999999999</v>
      </c>
      <c r="F7373" s="1">
        <f t="shared" si="231"/>
        <v>42499</v>
      </c>
      <c r="G7373" cm="1">
        <f t="array" ref="G7373">PRODUCT( _xlfn._xlws.FILTER($E:$E, ($C:$C=C7373)*($F:$F=F7373)) ) - 1</f>
        <v>1.469762914657835E-2</v>
      </c>
    </row>
    <row r="7374" spans="1:7" x14ac:dyDescent="0.2">
      <c r="A7374" s="1">
        <v>42503</v>
      </c>
      <c r="B7374">
        <v>2</v>
      </c>
      <c r="C7374" t="s">
        <v>16</v>
      </c>
      <c r="D7374">
        <v>0</v>
      </c>
      <c r="E7374">
        <f t="shared" si="230"/>
        <v>1</v>
      </c>
      <c r="F7374" s="1">
        <f t="shared" si="231"/>
        <v>42499</v>
      </c>
      <c r="G7374" cm="1">
        <f t="array" ref="G7374">PRODUCT( _xlfn._xlws.FILTER($E:$E, ($C:$C=C7374)*($F:$F=F7374)) ) - 1</f>
        <v>1.469762914657835E-2</v>
      </c>
    </row>
    <row r="7375" spans="1:7" x14ac:dyDescent="0.2">
      <c r="A7375" s="1">
        <v>42506</v>
      </c>
      <c r="B7375">
        <v>2</v>
      </c>
      <c r="C7375" t="s">
        <v>16</v>
      </c>
      <c r="D7375">
        <v>5.0790000000000002E-3</v>
      </c>
      <c r="E7375">
        <f t="shared" si="230"/>
        <v>1.0050790000000001</v>
      </c>
      <c r="F7375" s="1">
        <f t="shared" si="231"/>
        <v>42506</v>
      </c>
      <c r="G7375" cm="1">
        <f t="array" ref="G7375">PRODUCT( _xlfn._xlws.FILTER($E:$E, ($C:$C=C7375)*($F:$F=F7375)) ) - 1</f>
        <v>2.6789676195603462E-2</v>
      </c>
    </row>
    <row r="7376" spans="1:7" x14ac:dyDescent="0.2">
      <c r="A7376" s="1">
        <v>42507</v>
      </c>
      <c r="B7376">
        <v>2</v>
      </c>
      <c r="C7376" t="s">
        <v>16</v>
      </c>
      <c r="D7376">
        <v>-1.0106E-2</v>
      </c>
      <c r="E7376">
        <f t="shared" si="230"/>
        <v>0.98989400000000005</v>
      </c>
      <c r="F7376" s="1">
        <f t="shared" si="231"/>
        <v>42506</v>
      </c>
      <c r="G7376" cm="1">
        <f t="array" ref="G7376">PRODUCT( _xlfn._xlws.FILTER($E:$E, ($C:$C=C7376)*($F:$F=F7376)) ) - 1</f>
        <v>2.6789676195603462E-2</v>
      </c>
    </row>
    <row r="7377" spans="1:7" x14ac:dyDescent="0.2">
      <c r="A7377" s="1">
        <v>42508</v>
      </c>
      <c r="B7377">
        <v>2</v>
      </c>
      <c r="C7377" t="s">
        <v>16</v>
      </c>
      <c r="D7377">
        <v>4.9569999999999996E-3</v>
      </c>
      <c r="E7377">
        <f t="shared" si="230"/>
        <v>1.0049570000000001</v>
      </c>
      <c r="F7377" s="1">
        <f t="shared" si="231"/>
        <v>42506</v>
      </c>
      <c r="G7377" cm="1">
        <f t="array" ref="G7377">PRODUCT( _xlfn._xlws.FILTER($E:$E, ($C:$C=C7377)*($F:$F=F7377)) ) - 1</f>
        <v>2.6789676195603462E-2</v>
      </c>
    </row>
    <row r="7378" spans="1:7" x14ac:dyDescent="0.2">
      <c r="A7378" s="1">
        <v>42509</v>
      </c>
      <c r="B7378">
        <v>2</v>
      </c>
      <c r="C7378" t="s">
        <v>16</v>
      </c>
      <c r="D7378">
        <v>5.8809999999999999E-3</v>
      </c>
      <c r="E7378">
        <f t="shared" si="230"/>
        <v>1.005881</v>
      </c>
      <c r="F7378" s="1">
        <f t="shared" si="231"/>
        <v>42506</v>
      </c>
      <c r="G7378" cm="1">
        <f t="array" ref="G7378">PRODUCT( _xlfn._xlws.FILTER($E:$E, ($C:$C=C7378)*($F:$F=F7378)) ) - 1</f>
        <v>2.6789676195603462E-2</v>
      </c>
    </row>
    <row r="7379" spans="1:7" x14ac:dyDescent="0.2">
      <c r="A7379" s="1">
        <v>42510</v>
      </c>
      <c r="B7379">
        <v>2</v>
      </c>
      <c r="C7379" t="s">
        <v>16</v>
      </c>
      <c r="D7379">
        <v>2.0936E-2</v>
      </c>
      <c r="E7379">
        <f t="shared" si="230"/>
        <v>1.0209360000000001</v>
      </c>
      <c r="F7379" s="1">
        <f t="shared" si="231"/>
        <v>42506</v>
      </c>
      <c r="G7379" cm="1">
        <f t="array" ref="G7379">PRODUCT( _xlfn._xlws.FILTER($E:$E, ($C:$C=C7379)*($F:$F=F7379)) ) - 1</f>
        <v>2.6789676195603462E-2</v>
      </c>
    </row>
    <row r="7380" spans="1:7" x14ac:dyDescent="0.2">
      <c r="A7380" s="1">
        <v>42514</v>
      </c>
      <c r="B7380">
        <v>2</v>
      </c>
      <c r="C7380" t="s">
        <v>16</v>
      </c>
      <c r="D7380">
        <v>6.6509999999999998E-3</v>
      </c>
      <c r="E7380">
        <f t="shared" si="230"/>
        <v>1.006651</v>
      </c>
      <c r="F7380" s="1">
        <f t="shared" si="231"/>
        <v>42513</v>
      </c>
      <c r="G7380" cm="1">
        <f t="array" ref="G7380">PRODUCT( _xlfn._xlws.FILTER($E:$E, ($C:$C=C7380)*($F:$F=F7380)) ) - 1</f>
        <v>1.7920715491988037E-2</v>
      </c>
    </row>
    <row r="7381" spans="1:7" x14ac:dyDescent="0.2">
      <c r="A7381" s="1">
        <v>42515</v>
      </c>
      <c r="B7381">
        <v>2</v>
      </c>
      <c r="C7381" t="s">
        <v>16</v>
      </c>
      <c r="D7381">
        <v>-2.9359999999999998E-3</v>
      </c>
      <c r="E7381">
        <f t="shared" si="230"/>
        <v>0.99706399999999995</v>
      </c>
      <c r="F7381" s="1">
        <f t="shared" si="231"/>
        <v>42513</v>
      </c>
      <c r="G7381" cm="1">
        <f t="array" ref="G7381">PRODUCT( _xlfn._xlws.FILTER($E:$E, ($C:$C=C7381)*($F:$F=F7381)) ) - 1</f>
        <v>1.7920715491988037E-2</v>
      </c>
    </row>
    <row r="7382" spans="1:7" x14ac:dyDescent="0.2">
      <c r="A7382" s="1">
        <v>42516</v>
      </c>
      <c r="B7382">
        <v>2</v>
      </c>
      <c r="C7382" t="s">
        <v>16</v>
      </c>
      <c r="D7382">
        <v>-5.5199999999999997E-4</v>
      </c>
      <c r="E7382">
        <f t="shared" si="230"/>
        <v>0.999448</v>
      </c>
      <c r="F7382" s="1">
        <f t="shared" si="231"/>
        <v>42513</v>
      </c>
      <c r="G7382" cm="1">
        <f t="array" ref="G7382">PRODUCT( _xlfn._xlws.FILTER($E:$E, ($C:$C=C7382)*($F:$F=F7382)) ) - 1</f>
        <v>1.7920715491988037E-2</v>
      </c>
    </row>
    <row r="7383" spans="1:7" x14ac:dyDescent="0.2">
      <c r="A7383" s="1">
        <v>42517</v>
      </c>
      <c r="B7383">
        <v>2</v>
      </c>
      <c r="C7383" t="s">
        <v>16</v>
      </c>
      <c r="D7383">
        <v>1.4733E-2</v>
      </c>
      <c r="E7383">
        <f t="shared" si="230"/>
        <v>1.0147330000000001</v>
      </c>
      <c r="F7383" s="1">
        <f t="shared" si="231"/>
        <v>42513</v>
      </c>
      <c r="G7383" cm="1">
        <f t="array" ref="G7383">PRODUCT( _xlfn._xlws.FILTER($E:$E, ($C:$C=C7383)*($F:$F=F7383)) ) - 1</f>
        <v>1.7920715491988037E-2</v>
      </c>
    </row>
    <row r="7384" spans="1:7" x14ac:dyDescent="0.2">
      <c r="A7384" s="1">
        <v>42520</v>
      </c>
      <c r="B7384">
        <v>2</v>
      </c>
      <c r="C7384" t="s">
        <v>16</v>
      </c>
      <c r="D7384">
        <v>7.2599999999999997E-4</v>
      </c>
      <c r="E7384">
        <f t="shared" si="230"/>
        <v>1.000726</v>
      </c>
      <c r="F7384" s="1">
        <f t="shared" si="231"/>
        <v>42520</v>
      </c>
      <c r="G7384" cm="1">
        <f t="array" ref="G7384">PRODUCT( _xlfn._xlws.FILTER($E:$E, ($C:$C=C7384)*($F:$F=F7384)) ) - 1</f>
        <v>-6.3520860148494895E-3</v>
      </c>
    </row>
    <row r="7385" spans="1:7" x14ac:dyDescent="0.2">
      <c r="A7385" s="1">
        <v>42521</v>
      </c>
      <c r="B7385">
        <v>2</v>
      </c>
      <c r="C7385" t="s">
        <v>16</v>
      </c>
      <c r="D7385">
        <v>-1.2700000000000001E-3</v>
      </c>
      <c r="E7385">
        <f t="shared" si="230"/>
        <v>0.99873000000000001</v>
      </c>
      <c r="F7385" s="1">
        <f t="shared" si="231"/>
        <v>42520</v>
      </c>
      <c r="G7385" cm="1">
        <f t="array" ref="G7385">PRODUCT( _xlfn._xlws.FILTER($E:$E, ($C:$C=C7385)*($F:$F=F7385)) ) - 1</f>
        <v>-6.3520860148494895E-3</v>
      </c>
    </row>
    <row r="7386" spans="1:7" x14ac:dyDescent="0.2">
      <c r="A7386" s="1">
        <v>42522</v>
      </c>
      <c r="B7386">
        <v>2</v>
      </c>
      <c r="C7386" t="s">
        <v>16</v>
      </c>
      <c r="D7386">
        <v>-2.542E-3</v>
      </c>
      <c r="E7386">
        <f t="shared" si="230"/>
        <v>0.99745799999999996</v>
      </c>
      <c r="F7386" s="1">
        <f t="shared" si="231"/>
        <v>42520</v>
      </c>
      <c r="G7386" cm="1">
        <f t="array" ref="G7386">PRODUCT( _xlfn._xlws.FILTER($E:$E, ($C:$C=C7386)*($F:$F=F7386)) ) - 1</f>
        <v>-6.3520860148494895E-3</v>
      </c>
    </row>
    <row r="7387" spans="1:7" x14ac:dyDescent="0.2">
      <c r="A7387" s="1">
        <v>42523</v>
      </c>
      <c r="B7387">
        <v>2</v>
      </c>
      <c r="C7387" t="s">
        <v>16</v>
      </c>
      <c r="D7387">
        <v>3.0950000000000001E-3</v>
      </c>
      <c r="E7387">
        <f t="shared" si="230"/>
        <v>1.0030950000000001</v>
      </c>
      <c r="F7387" s="1">
        <f t="shared" si="231"/>
        <v>42520</v>
      </c>
      <c r="G7387" cm="1">
        <f t="array" ref="G7387">PRODUCT( _xlfn._xlws.FILTER($E:$E, ($C:$C=C7387)*($F:$F=F7387)) ) - 1</f>
        <v>-6.3520860148494895E-3</v>
      </c>
    </row>
    <row r="7388" spans="1:7" x14ac:dyDescent="0.2">
      <c r="A7388" s="1">
        <v>42524</v>
      </c>
      <c r="B7388">
        <v>2</v>
      </c>
      <c r="C7388" t="s">
        <v>16</v>
      </c>
      <c r="D7388">
        <v>-6.352E-3</v>
      </c>
      <c r="E7388">
        <f t="shared" si="230"/>
        <v>0.99364799999999998</v>
      </c>
      <c r="F7388" s="1">
        <f t="shared" si="231"/>
        <v>42520</v>
      </c>
      <c r="G7388" cm="1">
        <f t="array" ref="G7388">PRODUCT( _xlfn._xlws.FILTER($E:$E, ($C:$C=C7388)*($F:$F=F7388)) ) - 1</f>
        <v>-6.3520860148494895E-3</v>
      </c>
    </row>
    <row r="7389" spans="1:7" x14ac:dyDescent="0.2">
      <c r="A7389" s="1">
        <v>42527</v>
      </c>
      <c r="B7389">
        <v>2</v>
      </c>
      <c r="C7389" t="s">
        <v>16</v>
      </c>
      <c r="D7389">
        <v>-7.6709999999999999E-3</v>
      </c>
      <c r="E7389">
        <f t="shared" si="230"/>
        <v>0.99232900000000002</v>
      </c>
      <c r="F7389" s="1">
        <f t="shared" si="231"/>
        <v>42527</v>
      </c>
      <c r="G7389" cm="1">
        <f t="array" ref="G7389">PRODUCT( _xlfn._xlws.FILTER($E:$E, ($C:$C=C7389)*($F:$F=F7389)) ) - 1</f>
        <v>-2.3012605628738192E-2</v>
      </c>
    </row>
    <row r="7390" spans="1:7" x14ac:dyDescent="0.2">
      <c r="A7390" s="1">
        <v>42528</v>
      </c>
      <c r="B7390">
        <v>2</v>
      </c>
      <c r="C7390" t="s">
        <v>16</v>
      </c>
      <c r="D7390">
        <v>0</v>
      </c>
      <c r="E7390">
        <f t="shared" si="230"/>
        <v>1</v>
      </c>
      <c r="F7390" s="1">
        <f t="shared" si="231"/>
        <v>42527</v>
      </c>
      <c r="G7390" cm="1">
        <f t="array" ref="G7390">PRODUCT( _xlfn._xlws.FILTER($E:$E, ($C:$C=C7390)*($F:$F=F7390)) ) - 1</f>
        <v>-2.3012605628738192E-2</v>
      </c>
    </row>
    <row r="7391" spans="1:7" x14ac:dyDescent="0.2">
      <c r="A7391" s="1">
        <v>42529</v>
      </c>
      <c r="B7391">
        <v>2</v>
      </c>
      <c r="C7391" t="s">
        <v>16</v>
      </c>
      <c r="D7391">
        <v>-2.9450000000000001E-3</v>
      </c>
      <c r="E7391">
        <f t="shared" si="230"/>
        <v>0.99705500000000002</v>
      </c>
      <c r="F7391" s="1">
        <f t="shared" si="231"/>
        <v>42527</v>
      </c>
      <c r="G7391" cm="1">
        <f t="array" ref="G7391">PRODUCT( _xlfn._xlws.FILTER($E:$E, ($C:$C=C7391)*($F:$F=F7391)) ) - 1</f>
        <v>-2.3012605628738192E-2</v>
      </c>
    </row>
    <row r="7392" spans="1:7" x14ac:dyDescent="0.2">
      <c r="A7392" s="1">
        <v>42530</v>
      </c>
      <c r="B7392">
        <v>2</v>
      </c>
      <c r="C7392" t="s">
        <v>16</v>
      </c>
      <c r="D7392">
        <v>-3.5070000000000001E-3</v>
      </c>
      <c r="E7392">
        <f t="shared" si="230"/>
        <v>0.99649299999999996</v>
      </c>
      <c r="F7392" s="1">
        <f t="shared" si="231"/>
        <v>42527</v>
      </c>
      <c r="G7392" cm="1">
        <f t="array" ref="G7392">PRODUCT( _xlfn._xlws.FILTER($E:$E, ($C:$C=C7392)*($F:$F=F7392)) ) - 1</f>
        <v>-2.3012605628738192E-2</v>
      </c>
    </row>
    <row r="7393" spans="1:7" x14ac:dyDescent="0.2">
      <c r="A7393" s="1">
        <v>42531</v>
      </c>
      <c r="B7393">
        <v>2</v>
      </c>
      <c r="C7393" t="s">
        <v>16</v>
      </c>
      <c r="D7393">
        <v>-9.077E-3</v>
      </c>
      <c r="E7393">
        <f t="shared" si="230"/>
        <v>0.990923</v>
      </c>
      <c r="F7393" s="1">
        <f t="shared" si="231"/>
        <v>42527</v>
      </c>
      <c r="G7393" cm="1">
        <f t="array" ref="G7393">PRODUCT( _xlfn._xlws.FILTER($E:$E, ($C:$C=C7393)*($F:$F=F7393)) ) - 1</f>
        <v>-2.3012605628738192E-2</v>
      </c>
    </row>
    <row r="7394" spans="1:7" x14ac:dyDescent="0.2">
      <c r="A7394" s="1">
        <v>42534</v>
      </c>
      <c r="B7394">
        <v>2</v>
      </c>
      <c r="C7394" t="s">
        <v>16</v>
      </c>
      <c r="D7394">
        <v>-2.4299999999999999E-3</v>
      </c>
      <c r="E7394">
        <f t="shared" si="230"/>
        <v>0.99756999999999996</v>
      </c>
      <c r="F7394" s="1">
        <f t="shared" si="231"/>
        <v>42534</v>
      </c>
      <c r="G7394" cm="1">
        <f t="array" ref="G7394">PRODUCT( _xlfn._xlws.FILTER($E:$E, ($C:$C=C7394)*($F:$F=F7394)) ) - 1</f>
        <v>-1.2899464030424523E-2</v>
      </c>
    </row>
    <row r="7395" spans="1:7" x14ac:dyDescent="0.2">
      <c r="A7395" s="1">
        <v>42535</v>
      </c>
      <c r="B7395">
        <v>2</v>
      </c>
      <c r="C7395" t="s">
        <v>16</v>
      </c>
      <c r="D7395">
        <v>-1.312E-3</v>
      </c>
      <c r="E7395">
        <f t="shared" si="230"/>
        <v>0.99868800000000002</v>
      </c>
      <c r="F7395" s="1">
        <f t="shared" si="231"/>
        <v>42534</v>
      </c>
      <c r="G7395" cm="1">
        <f t="array" ref="G7395">PRODUCT( _xlfn._xlws.FILTER($E:$E, ($C:$C=C7395)*($F:$F=F7395)) ) - 1</f>
        <v>-1.2899464030424523E-2</v>
      </c>
    </row>
    <row r="7396" spans="1:7" x14ac:dyDescent="0.2">
      <c r="A7396" s="1">
        <v>42536</v>
      </c>
      <c r="B7396">
        <v>2</v>
      </c>
      <c r="C7396" t="s">
        <v>16</v>
      </c>
      <c r="D7396">
        <v>0</v>
      </c>
      <c r="E7396">
        <f t="shared" si="230"/>
        <v>1</v>
      </c>
      <c r="F7396" s="1">
        <f t="shared" si="231"/>
        <v>42534</v>
      </c>
      <c r="G7396" cm="1">
        <f t="array" ref="G7396">PRODUCT( _xlfn._xlws.FILTER($E:$E, ($C:$C=C7396)*($F:$F=F7396)) ) - 1</f>
        <v>-1.2899464030424523E-2</v>
      </c>
    </row>
    <row r="7397" spans="1:7" x14ac:dyDescent="0.2">
      <c r="A7397" s="1">
        <v>42537</v>
      </c>
      <c r="B7397">
        <v>2</v>
      </c>
      <c r="C7397" t="s">
        <v>16</v>
      </c>
      <c r="D7397">
        <v>1.5009999999999999E-3</v>
      </c>
      <c r="E7397">
        <f t="shared" si="230"/>
        <v>1.001501</v>
      </c>
      <c r="F7397" s="1">
        <f t="shared" si="231"/>
        <v>42534</v>
      </c>
      <c r="G7397" cm="1">
        <f t="array" ref="G7397">PRODUCT( _xlfn._xlws.FILTER($E:$E, ($C:$C=C7397)*($F:$F=F7397)) ) - 1</f>
        <v>-1.2899464030424523E-2</v>
      </c>
    </row>
    <row r="7398" spans="1:7" x14ac:dyDescent="0.2">
      <c r="A7398" s="1">
        <v>42538</v>
      </c>
      <c r="B7398">
        <v>2</v>
      </c>
      <c r="C7398" t="s">
        <v>16</v>
      </c>
      <c r="D7398">
        <v>-1.068E-2</v>
      </c>
      <c r="E7398">
        <f t="shared" si="230"/>
        <v>0.98931999999999998</v>
      </c>
      <c r="F7398" s="1">
        <f t="shared" si="231"/>
        <v>42534</v>
      </c>
      <c r="G7398" cm="1">
        <f t="array" ref="G7398">PRODUCT( _xlfn._xlws.FILTER($E:$E, ($C:$C=C7398)*($F:$F=F7398)) ) - 1</f>
        <v>-1.2899464030424523E-2</v>
      </c>
    </row>
    <row r="7399" spans="1:7" x14ac:dyDescent="0.2">
      <c r="A7399" s="1">
        <v>42541</v>
      </c>
      <c r="B7399">
        <v>2</v>
      </c>
      <c r="C7399" t="s">
        <v>16</v>
      </c>
      <c r="D7399">
        <v>3.2200000000000002E-3</v>
      </c>
      <c r="E7399">
        <f t="shared" si="230"/>
        <v>1.00322</v>
      </c>
      <c r="F7399" s="1">
        <f t="shared" si="231"/>
        <v>42541</v>
      </c>
      <c r="G7399" cm="1">
        <f t="array" ref="G7399">PRODUCT( _xlfn._xlws.FILTER($E:$E, ($C:$C=C7399)*($F:$F=F7399)) ) - 1</f>
        <v>-1.4772365473884164E-2</v>
      </c>
    </row>
    <row r="7400" spans="1:7" x14ac:dyDescent="0.2">
      <c r="A7400" s="1">
        <v>42542</v>
      </c>
      <c r="B7400">
        <v>2</v>
      </c>
      <c r="C7400" t="s">
        <v>16</v>
      </c>
      <c r="D7400">
        <v>2.643E-3</v>
      </c>
      <c r="E7400">
        <f t="shared" si="230"/>
        <v>1.002643</v>
      </c>
      <c r="F7400" s="1">
        <f t="shared" si="231"/>
        <v>42541</v>
      </c>
      <c r="G7400" cm="1">
        <f t="array" ref="G7400">PRODUCT( _xlfn._xlws.FILTER($E:$E, ($C:$C=C7400)*($F:$F=F7400)) ) - 1</f>
        <v>-1.4772365473884164E-2</v>
      </c>
    </row>
    <row r="7401" spans="1:7" x14ac:dyDescent="0.2">
      <c r="A7401" s="1">
        <v>42543</v>
      </c>
      <c r="B7401">
        <v>2</v>
      </c>
      <c r="C7401" t="s">
        <v>16</v>
      </c>
      <c r="D7401">
        <v>1.8799999999999999E-4</v>
      </c>
      <c r="E7401">
        <f t="shared" si="230"/>
        <v>1.0001880000000001</v>
      </c>
      <c r="F7401" s="1">
        <f t="shared" si="231"/>
        <v>42541</v>
      </c>
      <c r="G7401" cm="1">
        <f t="array" ref="G7401">PRODUCT( _xlfn._xlws.FILTER($E:$E, ($C:$C=C7401)*($F:$F=F7401)) ) - 1</f>
        <v>-1.4772365473884164E-2</v>
      </c>
    </row>
    <row r="7402" spans="1:7" x14ac:dyDescent="0.2">
      <c r="A7402" s="1">
        <v>42544</v>
      </c>
      <c r="B7402">
        <v>2</v>
      </c>
      <c r="C7402" t="s">
        <v>16</v>
      </c>
      <c r="D7402">
        <v>7.9070000000000008E-3</v>
      </c>
      <c r="E7402">
        <f t="shared" si="230"/>
        <v>1.0079070000000001</v>
      </c>
      <c r="F7402" s="1">
        <f t="shared" si="231"/>
        <v>42541</v>
      </c>
      <c r="G7402" cm="1">
        <f t="array" ref="G7402">PRODUCT( _xlfn._xlws.FILTER($E:$E, ($C:$C=C7402)*($F:$F=F7402)) ) - 1</f>
        <v>-1.4772365473884164E-2</v>
      </c>
    </row>
    <row r="7403" spans="1:7" x14ac:dyDescent="0.2">
      <c r="A7403" s="1">
        <v>42545</v>
      </c>
      <c r="B7403">
        <v>2</v>
      </c>
      <c r="C7403" t="s">
        <v>16</v>
      </c>
      <c r="D7403">
        <v>-2.8389999999999999E-2</v>
      </c>
      <c r="E7403">
        <f t="shared" si="230"/>
        <v>0.97160999999999997</v>
      </c>
      <c r="F7403" s="1">
        <f t="shared" si="231"/>
        <v>42541</v>
      </c>
      <c r="G7403" cm="1">
        <f t="array" ref="G7403">PRODUCT( _xlfn._xlws.FILTER($E:$E, ($C:$C=C7403)*($F:$F=F7403)) ) - 1</f>
        <v>-1.4772365473884164E-2</v>
      </c>
    </row>
    <row r="7404" spans="1:7" x14ac:dyDescent="0.2">
      <c r="A7404" s="1">
        <v>42548</v>
      </c>
      <c r="B7404">
        <v>2</v>
      </c>
      <c r="C7404" t="s">
        <v>16</v>
      </c>
      <c r="D7404">
        <v>-3.1911000000000002E-2</v>
      </c>
      <c r="E7404">
        <f t="shared" si="230"/>
        <v>0.96808899999999998</v>
      </c>
      <c r="F7404" s="1">
        <f t="shared" si="231"/>
        <v>42548</v>
      </c>
      <c r="G7404" cm="1">
        <f t="array" ref="G7404">PRODUCT( _xlfn._xlws.FILTER($E:$E, ($C:$C=C7404)*($F:$F=F7404)) ) - 1</f>
        <v>4.8052867005237143E-3</v>
      </c>
    </row>
    <row r="7405" spans="1:7" x14ac:dyDescent="0.2">
      <c r="A7405" s="1">
        <v>42549</v>
      </c>
      <c r="B7405">
        <v>2</v>
      </c>
      <c r="C7405" t="s">
        <v>16</v>
      </c>
      <c r="D7405">
        <v>7.3470000000000002E-3</v>
      </c>
      <c r="E7405">
        <f t="shared" si="230"/>
        <v>1.007347</v>
      </c>
      <c r="F7405" s="1">
        <f t="shared" si="231"/>
        <v>42548</v>
      </c>
      <c r="G7405" cm="1">
        <f t="array" ref="G7405">PRODUCT( _xlfn._xlws.FILTER($E:$E, ($C:$C=C7405)*($F:$F=F7405)) ) - 1</f>
        <v>4.8052867005237143E-3</v>
      </c>
    </row>
    <row r="7406" spans="1:7" x14ac:dyDescent="0.2">
      <c r="A7406" s="1">
        <v>42550</v>
      </c>
      <c r="B7406">
        <v>2</v>
      </c>
      <c r="C7406" t="s">
        <v>16</v>
      </c>
      <c r="D7406">
        <v>2.3852000000000002E-2</v>
      </c>
      <c r="E7406">
        <f t="shared" si="230"/>
        <v>1.023852</v>
      </c>
      <c r="F7406" s="1">
        <f t="shared" si="231"/>
        <v>42548</v>
      </c>
      <c r="G7406" cm="1">
        <f t="array" ref="G7406">PRODUCT( _xlfn._xlws.FILTER($E:$E, ($C:$C=C7406)*($F:$F=F7406)) ) - 1</f>
        <v>4.8052867005237143E-3</v>
      </c>
    </row>
    <row r="7407" spans="1:7" x14ac:dyDescent="0.2">
      <c r="A7407" s="1">
        <v>42551</v>
      </c>
      <c r="B7407">
        <v>2</v>
      </c>
      <c r="C7407" t="s">
        <v>16</v>
      </c>
      <c r="D7407">
        <v>6.3530000000000001E-3</v>
      </c>
      <c r="E7407">
        <f t="shared" si="230"/>
        <v>1.0063530000000001</v>
      </c>
      <c r="F7407" s="1">
        <f t="shared" si="231"/>
        <v>42548</v>
      </c>
      <c r="G7407" cm="1">
        <f t="array" ref="G7407">PRODUCT( _xlfn._xlws.FILTER($E:$E, ($C:$C=C7407)*($F:$F=F7407)) ) - 1</f>
        <v>4.8052867005237143E-3</v>
      </c>
    </row>
    <row r="7408" spans="1:7" x14ac:dyDescent="0.2">
      <c r="A7408" s="1">
        <v>42555</v>
      </c>
      <c r="B7408">
        <v>2</v>
      </c>
      <c r="C7408" t="s">
        <v>16</v>
      </c>
      <c r="D7408">
        <v>4.9740000000000001E-3</v>
      </c>
      <c r="E7408">
        <f t="shared" si="230"/>
        <v>1.004974</v>
      </c>
      <c r="F7408" s="1">
        <f t="shared" si="231"/>
        <v>42555</v>
      </c>
      <c r="G7408" cm="1">
        <f t="array" ref="G7408">PRODUCT( _xlfn._xlws.FILTER($E:$E, ($C:$C=C7408)*($F:$F=F7408)) ) - 1</f>
        <v>1.9130441449607627E-2</v>
      </c>
    </row>
    <row r="7409" spans="1:7" x14ac:dyDescent="0.2">
      <c r="A7409" s="1">
        <v>42556</v>
      </c>
      <c r="B7409">
        <v>2</v>
      </c>
      <c r="C7409" t="s">
        <v>16</v>
      </c>
      <c r="D7409">
        <v>2.284E-3</v>
      </c>
      <c r="E7409">
        <f t="shared" si="230"/>
        <v>1.002284</v>
      </c>
      <c r="F7409" s="1">
        <f t="shared" si="231"/>
        <v>42555</v>
      </c>
      <c r="G7409" cm="1">
        <f t="array" ref="G7409">PRODUCT( _xlfn._xlws.FILTER($E:$E, ($C:$C=C7409)*($F:$F=F7409)) ) - 1</f>
        <v>1.9130441449607627E-2</v>
      </c>
    </row>
    <row r="7410" spans="1:7" x14ac:dyDescent="0.2">
      <c r="A7410" s="1">
        <v>42557</v>
      </c>
      <c r="B7410">
        <v>2</v>
      </c>
      <c r="C7410" t="s">
        <v>16</v>
      </c>
      <c r="D7410">
        <v>-2.849E-3</v>
      </c>
      <c r="E7410">
        <f t="shared" si="230"/>
        <v>0.99715100000000001</v>
      </c>
      <c r="F7410" s="1">
        <f t="shared" si="231"/>
        <v>42555</v>
      </c>
      <c r="G7410" cm="1">
        <f t="array" ref="G7410">PRODUCT( _xlfn._xlws.FILTER($E:$E, ($C:$C=C7410)*($F:$F=F7410)) ) - 1</f>
        <v>1.9130441449607627E-2</v>
      </c>
    </row>
    <row r="7411" spans="1:7" x14ac:dyDescent="0.2">
      <c r="A7411" s="1">
        <v>42558</v>
      </c>
      <c r="B7411">
        <v>2</v>
      </c>
      <c r="C7411" t="s">
        <v>16</v>
      </c>
      <c r="D7411">
        <v>-3.8099999999999999E-4</v>
      </c>
      <c r="E7411">
        <f t="shared" si="230"/>
        <v>0.99961900000000004</v>
      </c>
      <c r="F7411" s="1">
        <f t="shared" si="231"/>
        <v>42555</v>
      </c>
      <c r="G7411" cm="1">
        <f t="array" ref="G7411">PRODUCT( _xlfn._xlws.FILTER($E:$E, ($C:$C=C7411)*($F:$F=F7411)) ) - 1</f>
        <v>1.9130441449607627E-2</v>
      </c>
    </row>
    <row r="7412" spans="1:7" x14ac:dyDescent="0.2">
      <c r="A7412" s="1">
        <v>42559</v>
      </c>
      <c r="B7412">
        <v>2</v>
      </c>
      <c r="C7412" t="s">
        <v>16</v>
      </c>
      <c r="D7412">
        <v>1.5053E-2</v>
      </c>
      <c r="E7412">
        <f t="shared" si="230"/>
        <v>1.015053</v>
      </c>
      <c r="F7412" s="1">
        <f t="shared" si="231"/>
        <v>42555</v>
      </c>
      <c r="G7412" cm="1">
        <f t="array" ref="G7412">PRODUCT( _xlfn._xlws.FILTER($E:$E, ($C:$C=C7412)*($F:$F=F7412)) ) - 1</f>
        <v>1.9130441449607627E-2</v>
      </c>
    </row>
    <row r="7413" spans="1:7" x14ac:dyDescent="0.2">
      <c r="A7413" s="1">
        <v>42562</v>
      </c>
      <c r="B7413">
        <v>2</v>
      </c>
      <c r="C7413" t="s">
        <v>16</v>
      </c>
      <c r="D7413">
        <v>2.1212999999999999E-2</v>
      </c>
      <c r="E7413">
        <f t="shared" si="230"/>
        <v>1.0212129999999999</v>
      </c>
      <c r="F7413" s="1">
        <f t="shared" si="231"/>
        <v>42562</v>
      </c>
      <c r="G7413" cm="1">
        <f t="array" ref="G7413">PRODUCT( _xlfn._xlws.FILTER($E:$E, ($C:$C=C7413)*($F:$F=F7413)) ) - 1</f>
        <v>4.1486133649539791E-2</v>
      </c>
    </row>
    <row r="7414" spans="1:7" x14ac:dyDescent="0.2">
      <c r="A7414" s="1">
        <v>42563</v>
      </c>
      <c r="B7414">
        <v>2</v>
      </c>
      <c r="C7414" t="s">
        <v>16</v>
      </c>
      <c r="D7414">
        <v>9.0069999999999994E-3</v>
      </c>
      <c r="E7414">
        <f t="shared" si="230"/>
        <v>1.009007</v>
      </c>
      <c r="F7414" s="1">
        <f t="shared" si="231"/>
        <v>42562</v>
      </c>
      <c r="G7414" cm="1">
        <f t="array" ref="G7414">PRODUCT( _xlfn._xlws.FILTER($E:$E, ($C:$C=C7414)*($F:$F=F7414)) ) - 1</f>
        <v>4.1486133649539791E-2</v>
      </c>
    </row>
    <row r="7415" spans="1:7" x14ac:dyDescent="0.2">
      <c r="A7415" s="1">
        <v>42564</v>
      </c>
      <c r="B7415">
        <v>2</v>
      </c>
      <c r="C7415" t="s">
        <v>16</v>
      </c>
      <c r="D7415">
        <v>7.1050000000000002E-3</v>
      </c>
      <c r="E7415">
        <f t="shared" si="230"/>
        <v>1.0071049999999999</v>
      </c>
      <c r="F7415" s="1">
        <f t="shared" si="231"/>
        <v>42562</v>
      </c>
      <c r="G7415" cm="1">
        <f t="array" ref="G7415">PRODUCT( _xlfn._xlws.FILTER($E:$E, ($C:$C=C7415)*($F:$F=F7415)) ) - 1</f>
        <v>4.1486133649539791E-2</v>
      </c>
    </row>
    <row r="7416" spans="1:7" x14ac:dyDescent="0.2">
      <c r="A7416" s="1">
        <v>42565</v>
      </c>
      <c r="B7416">
        <v>2</v>
      </c>
      <c r="C7416" t="s">
        <v>16</v>
      </c>
      <c r="D7416">
        <v>5.2459999999999998E-3</v>
      </c>
      <c r="E7416">
        <f t="shared" si="230"/>
        <v>1.0052460000000001</v>
      </c>
      <c r="F7416" s="1">
        <f t="shared" si="231"/>
        <v>42562</v>
      </c>
      <c r="G7416" cm="1">
        <f t="array" ref="G7416">PRODUCT( _xlfn._xlws.FILTER($E:$E, ($C:$C=C7416)*($F:$F=F7416)) ) - 1</f>
        <v>4.1486133649539791E-2</v>
      </c>
    </row>
    <row r="7417" spans="1:7" x14ac:dyDescent="0.2">
      <c r="A7417" s="1">
        <v>42566</v>
      </c>
      <c r="B7417">
        <v>2</v>
      </c>
      <c r="C7417" t="s">
        <v>16</v>
      </c>
      <c r="D7417">
        <v>-1.6199999999999999E-3</v>
      </c>
      <c r="E7417">
        <f t="shared" si="230"/>
        <v>0.99838000000000005</v>
      </c>
      <c r="F7417" s="1">
        <f t="shared" si="231"/>
        <v>42562</v>
      </c>
      <c r="G7417" cm="1">
        <f t="array" ref="G7417">PRODUCT( _xlfn._xlws.FILTER($E:$E, ($C:$C=C7417)*($F:$F=F7417)) ) - 1</f>
        <v>4.1486133649539791E-2</v>
      </c>
    </row>
    <row r="7418" spans="1:7" x14ac:dyDescent="0.2">
      <c r="A7418" s="1">
        <v>42569</v>
      </c>
      <c r="B7418">
        <v>2</v>
      </c>
      <c r="C7418" t="s">
        <v>16</v>
      </c>
      <c r="D7418">
        <v>1.0094000000000001E-2</v>
      </c>
      <c r="E7418">
        <f t="shared" si="230"/>
        <v>1.010094</v>
      </c>
      <c r="F7418" s="1">
        <f t="shared" si="231"/>
        <v>42569</v>
      </c>
      <c r="G7418" cm="1">
        <f t="array" ref="G7418">PRODUCT( _xlfn._xlws.FILTER($E:$E, ($C:$C=C7418)*($F:$F=F7418)) ) - 1</f>
        <v>2.9019526819662467E-2</v>
      </c>
    </row>
    <row r="7419" spans="1:7" x14ac:dyDescent="0.2">
      <c r="A7419" s="1">
        <v>42570</v>
      </c>
      <c r="B7419">
        <v>2</v>
      </c>
      <c r="C7419" t="s">
        <v>16</v>
      </c>
      <c r="D7419">
        <v>5.3530000000000001E-3</v>
      </c>
      <c r="E7419">
        <f t="shared" si="230"/>
        <v>1.0053529999999999</v>
      </c>
      <c r="F7419" s="1">
        <f t="shared" si="231"/>
        <v>42569</v>
      </c>
      <c r="G7419" cm="1">
        <f t="array" ref="G7419">PRODUCT( _xlfn._xlws.FILTER($E:$E, ($C:$C=C7419)*($F:$F=F7419)) ) - 1</f>
        <v>2.9019526819662467E-2</v>
      </c>
    </row>
    <row r="7420" spans="1:7" x14ac:dyDescent="0.2">
      <c r="A7420" s="1">
        <v>42571</v>
      </c>
      <c r="B7420">
        <v>2</v>
      </c>
      <c r="C7420" t="s">
        <v>16</v>
      </c>
      <c r="D7420">
        <v>7.1000000000000004E-3</v>
      </c>
      <c r="E7420">
        <f t="shared" si="230"/>
        <v>1.0071000000000001</v>
      </c>
      <c r="F7420" s="1">
        <f t="shared" si="231"/>
        <v>42569</v>
      </c>
      <c r="G7420" cm="1">
        <f t="array" ref="G7420">PRODUCT( _xlfn._xlws.FILTER($E:$E, ($C:$C=C7420)*($F:$F=F7420)) ) - 1</f>
        <v>2.9019526819662467E-2</v>
      </c>
    </row>
    <row r="7421" spans="1:7" x14ac:dyDescent="0.2">
      <c r="A7421" s="1">
        <v>42572</v>
      </c>
      <c r="B7421">
        <v>2</v>
      </c>
      <c r="C7421" t="s">
        <v>16</v>
      </c>
      <c r="D7421">
        <v>-1.0579999999999999E-3</v>
      </c>
      <c r="E7421">
        <f t="shared" si="230"/>
        <v>0.998942</v>
      </c>
      <c r="F7421" s="1">
        <f t="shared" si="231"/>
        <v>42569</v>
      </c>
      <c r="G7421" cm="1">
        <f t="array" ref="G7421">PRODUCT( _xlfn._xlws.FILTER($E:$E, ($C:$C=C7421)*($F:$F=F7421)) ) - 1</f>
        <v>2.9019526819662467E-2</v>
      </c>
    </row>
    <row r="7422" spans="1:7" x14ac:dyDescent="0.2">
      <c r="A7422" s="1">
        <v>42573</v>
      </c>
      <c r="B7422">
        <v>2</v>
      </c>
      <c r="C7422" t="s">
        <v>16</v>
      </c>
      <c r="D7422">
        <v>7.234E-3</v>
      </c>
      <c r="E7422">
        <f t="shared" si="230"/>
        <v>1.007234</v>
      </c>
      <c r="F7422" s="1">
        <f t="shared" si="231"/>
        <v>42569</v>
      </c>
      <c r="G7422" cm="1">
        <f t="array" ref="G7422">PRODUCT( _xlfn._xlws.FILTER($E:$E, ($C:$C=C7422)*($F:$F=F7422)) ) - 1</f>
        <v>2.9019526819662467E-2</v>
      </c>
    </row>
    <row r="7423" spans="1:7" x14ac:dyDescent="0.2">
      <c r="A7423" s="1">
        <v>42576</v>
      </c>
      <c r="B7423">
        <v>2</v>
      </c>
      <c r="C7423" t="s">
        <v>16</v>
      </c>
      <c r="D7423">
        <v>5.6049999999999997E-3</v>
      </c>
      <c r="E7423">
        <f t="shared" si="230"/>
        <v>1.0056050000000001</v>
      </c>
      <c r="F7423" s="1">
        <f t="shared" si="231"/>
        <v>42576</v>
      </c>
      <c r="G7423" cm="1">
        <f t="array" ref="G7423">PRODUCT( _xlfn._xlws.FILTER($E:$E, ($C:$C=C7423)*($F:$F=F7423)) ) - 1</f>
        <v>-3.6432910723626422E-2</v>
      </c>
    </row>
    <row r="7424" spans="1:7" x14ac:dyDescent="0.2">
      <c r="A7424" s="1">
        <v>42577</v>
      </c>
      <c r="B7424">
        <v>2</v>
      </c>
      <c r="C7424" t="s">
        <v>16</v>
      </c>
      <c r="D7424">
        <v>1.5679999999999999E-3</v>
      </c>
      <c r="E7424">
        <f t="shared" si="230"/>
        <v>1.001568</v>
      </c>
      <c r="F7424" s="1">
        <f t="shared" si="231"/>
        <v>42576</v>
      </c>
      <c r="G7424" cm="1">
        <f t="array" ref="G7424">PRODUCT( _xlfn._xlws.FILTER($E:$E, ($C:$C=C7424)*($F:$F=F7424)) ) - 1</f>
        <v>-3.6432910723626422E-2</v>
      </c>
    </row>
    <row r="7425" spans="1:7" x14ac:dyDescent="0.2">
      <c r="A7425" s="1">
        <v>42578</v>
      </c>
      <c r="B7425">
        <v>2</v>
      </c>
      <c r="C7425" t="s">
        <v>16</v>
      </c>
      <c r="D7425">
        <v>-5.5649999999999996E-3</v>
      </c>
      <c r="E7425">
        <f t="shared" si="230"/>
        <v>0.99443499999999996</v>
      </c>
      <c r="F7425" s="1">
        <f t="shared" si="231"/>
        <v>42576</v>
      </c>
      <c r="G7425" cm="1">
        <f t="array" ref="G7425">PRODUCT( _xlfn._xlws.FILTER($E:$E, ($C:$C=C7425)*($F:$F=F7425)) ) - 1</f>
        <v>-3.6432910723626422E-2</v>
      </c>
    </row>
    <row r="7426" spans="1:7" x14ac:dyDescent="0.2">
      <c r="A7426" s="1">
        <v>42579</v>
      </c>
      <c r="B7426">
        <v>2</v>
      </c>
      <c r="C7426" t="s">
        <v>16</v>
      </c>
      <c r="D7426">
        <v>-2.7106999999999999E-2</v>
      </c>
      <c r="E7426">
        <f t="shared" si="230"/>
        <v>0.97289300000000001</v>
      </c>
      <c r="F7426" s="1">
        <f t="shared" si="231"/>
        <v>42576</v>
      </c>
      <c r="G7426" cm="1">
        <f t="array" ref="G7426">PRODUCT( _xlfn._xlws.FILTER($E:$E, ($C:$C=C7426)*($F:$F=F7426)) ) - 1</f>
        <v>-3.6432910723626422E-2</v>
      </c>
    </row>
    <row r="7427" spans="1:7" x14ac:dyDescent="0.2">
      <c r="A7427" s="1">
        <v>42580</v>
      </c>
      <c r="B7427">
        <v>2</v>
      </c>
      <c r="C7427" t="s">
        <v>16</v>
      </c>
      <c r="D7427">
        <v>-1.1145E-2</v>
      </c>
      <c r="E7427">
        <f t="shared" si="230"/>
        <v>0.98885500000000004</v>
      </c>
      <c r="F7427" s="1">
        <f t="shared" si="231"/>
        <v>42576</v>
      </c>
      <c r="G7427" cm="1">
        <f t="array" ref="G7427">PRODUCT( _xlfn._xlws.FILTER($E:$E, ($C:$C=C7427)*($F:$F=F7427)) ) - 1</f>
        <v>-3.6432910723626422E-2</v>
      </c>
    </row>
    <row r="7428" spans="1:7" x14ac:dyDescent="0.2">
      <c r="A7428" s="1">
        <v>42584</v>
      </c>
      <c r="B7428">
        <v>2</v>
      </c>
      <c r="C7428" t="s">
        <v>16</v>
      </c>
      <c r="D7428">
        <v>-1.5270000000000001E-2</v>
      </c>
      <c r="E7428">
        <f t="shared" ref="E7428:E7491" si="232">D7428+1</f>
        <v>0.98472999999999999</v>
      </c>
      <c r="F7428" s="1">
        <f t="shared" ref="F7428:F7491" si="233">A7428 - (WEEKDAY(A7428, 2) - 1)</f>
        <v>42583</v>
      </c>
      <c r="G7428" cm="1">
        <f t="array" ref="G7428">PRODUCT( _xlfn._xlws.FILTER($E:$E, ($C:$C=C7428)*($F:$F=F7428)) ) - 1</f>
        <v>-1.2542721811092394E-2</v>
      </c>
    </row>
    <row r="7429" spans="1:7" x14ac:dyDescent="0.2">
      <c r="A7429" s="1">
        <v>42585</v>
      </c>
      <c r="B7429">
        <v>2</v>
      </c>
      <c r="C7429" t="s">
        <v>16</v>
      </c>
      <c r="D7429">
        <v>3.6900000000000002E-4</v>
      </c>
      <c r="E7429">
        <f t="shared" si="232"/>
        <v>1.0003690000000001</v>
      </c>
      <c r="F7429" s="1">
        <f t="shared" si="233"/>
        <v>42583</v>
      </c>
      <c r="G7429" cm="1">
        <f t="array" ref="G7429">PRODUCT( _xlfn._xlws.FILTER($E:$E, ($C:$C=C7429)*($F:$F=F7429)) ) - 1</f>
        <v>-1.2542721811092394E-2</v>
      </c>
    </row>
    <row r="7430" spans="1:7" x14ac:dyDescent="0.2">
      <c r="A7430" s="1">
        <v>42586</v>
      </c>
      <c r="B7430">
        <v>2</v>
      </c>
      <c r="C7430" t="s">
        <v>16</v>
      </c>
      <c r="D7430">
        <v>-4.2440000000000004E-3</v>
      </c>
      <c r="E7430">
        <f t="shared" si="232"/>
        <v>0.99575599999999997</v>
      </c>
      <c r="F7430" s="1">
        <f t="shared" si="233"/>
        <v>42583</v>
      </c>
      <c r="G7430" cm="1">
        <f t="array" ref="G7430">PRODUCT( _xlfn._xlws.FILTER($E:$E, ($C:$C=C7430)*($F:$F=F7430)) ) - 1</f>
        <v>-1.2542721811092394E-2</v>
      </c>
    </row>
    <row r="7431" spans="1:7" x14ac:dyDescent="0.2">
      <c r="A7431" s="1">
        <v>42587</v>
      </c>
      <c r="B7431">
        <v>2</v>
      </c>
      <c r="C7431" t="s">
        <v>16</v>
      </c>
      <c r="D7431">
        <v>6.672E-3</v>
      </c>
      <c r="E7431">
        <f t="shared" si="232"/>
        <v>1.006672</v>
      </c>
      <c r="F7431" s="1">
        <f t="shared" si="233"/>
        <v>42583</v>
      </c>
      <c r="G7431" cm="1">
        <f t="array" ref="G7431">PRODUCT( _xlfn._xlws.FILTER($E:$E, ($C:$C=C7431)*($F:$F=F7431)) ) - 1</f>
        <v>-1.2542721811092394E-2</v>
      </c>
    </row>
    <row r="7432" spans="1:7" x14ac:dyDescent="0.2">
      <c r="A7432" s="1">
        <v>42590</v>
      </c>
      <c r="B7432">
        <v>2</v>
      </c>
      <c r="C7432" t="s">
        <v>16</v>
      </c>
      <c r="D7432">
        <v>5.5199999999999997E-4</v>
      </c>
      <c r="E7432">
        <f t="shared" si="232"/>
        <v>1.0005520000000001</v>
      </c>
      <c r="F7432" s="1">
        <f t="shared" si="233"/>
        <v>42590</v>
      </c>
      <c r="G7432" cm="1">
        <f t="array" ref="G7432">PRODUCT( _xlfn._xlws.FILTER($E:$E, ($C:$C=C7432)*($F:$F=F7432)) ) - 1</f>
        <v>3.6819673846189005E-4</v>
      </c>
    </row>
    <row r="7433" spans="1:7" x14ac:dyDescent="0.2">
      <c r="A7433" s="1">
        <v>42591</v>
      </c>
      <c r="B7433">
        <v>2</v>
      </c>
      <c r="C7433" t="s">
        <v>16</v>
      </c>
      <c r="D7433">
        <v>9.7520000000000003E-3</v>
      </c>
      <c r="E7433">
        <f t="shared" si="232"/>
        <v>1.009752</v>
      </c>
      <c r="F7433" s="1">
        <f t="shared" si="233"/>
        <v>42590</v>
      </c>
      <c r="G7433" cm="1">
        <f t="array" ref="G7433">PRODUCT( _xlfn._xlws.FILTER($E:$E, ($C:$C=C7433)*($F:$F=F7433)) ) - 1</f>
        <v>3.6819673846189005E-4</v>
      </c>
    </row>
    <row r="7434" spans="1:7" x14ac:dyDescent="0.2">
      <c r="A7434" s="1">
        <v>42592</v>
      </c>
      <c r="B7434">
        <v>2</v>
      </c>
      <c r="C7434" t="s">
        <v>16</v>
      </c>
      <c r="D7434">
        <v>-4.9199999999999999E-3</v>
      </c>
      <c r="E7434">
        <f t="shared" si="232"/>
        <v>0.99507999999999996</v>
      </c>
      <c r="F7434" s="1">
        <f t="shared" si="233"/>
        <v>42590</v>
      </c>
      <c r="G7434" cm="1">
        <f t="array" ref="G7434">PRODUCT( _xlfn._xlws.FILTER($E:$E, ($C:$C=C7434)*($F:$F=F7434)) ) - 1</f>
        <v>3.6819673846189005E-4</v>
      </c>
    </row>
    <row r="7435" spans="1:7" x14ac:dyDescent="0.2">
      <c r="A7435" s="1">
        <v>42593</v>
      </c>
      <c r="B7435">
        <v>2</v>
      </c>
      <c r="C7435" t="s">
        <v>16</v>
      </c>
      <c r="D7435">
        <v>2.7469999999999999E-3</v>
      </c>
      <c r="E7435">
        <f t="shared" si="232"/>
        <v>1.0027470000000001</v>
      </c>
      <c r="F7435" s="1">
        <f t="shared" si="233"/>
        <v>42590</v>
      </c>
      <c r="G7435" cm="1">
        <f t="array" ref="G7435">PRODUCT( _xlfn._xlws.FILTER($E:$E, ($C:$C=C7435)*($F:$F=F7435)) ) - 1</f>
        <v>3.6819673846189005E-4</v>
      </c>
    </row>
    <row r="7436" spans="1:7" x14ac:dyDescent="0.2">
      <c r="A7436" s="1">
        <v>42594</v>
      </c>
      <c r="B7436">
        <v>2</v>
      </c>
      <c r="C7436" t="s">
        <v>16</v>
      </c>
      <c r="D7436">
        <v>-7.6699999999999997E-3</v>
      </c>
      <c r="E7436">
        <f t="shared" si="232"/>
        <v>0.99233000000000005</v>
      </c>
      <c r="F7436" s="1">
        <f t="shared" si="233"/>
        <v>42590</v>
      </c>
      <c r="G7436" cm="1">
        <f t="array" ref="G7436">PRODUCT( _xlfn._xlws.FILTER($E:$E, ($C:$C=C7436)*($F:$F=F7436)) ) - 1</f>
        <v>3.6819673846189005E-4</v>
      </c>
    </row>
    <row r="7437" spans="1:7" x14ac:dyDescent="0.2">
      <c r="A7437" s="1">
        <v>42597</v>
      </c>
      <c r="B7437">
        <v>2</v>
      </c>
      <c r="C7437" t="s">
        <v>16</v>
      </c>
      <c r="D7437">
        <v>-2.7599999999999999E-3</v>
      </c>
      <c r="E7437">
        <f t="shared" si="232"/>
        <v>0.99724000000000002</v>
      </c>
      <c r="F7437" s="1">
        <f t="shared" si="233"/>
        <v>42597</v>
      </c>
      <c r="G7437" cm="1">
        <f t="array" ref="G7437">PRODUCT( _xlfn._xlws.FILTER($E:$E, ($C:$C=C7437)*($F:$F=F7437)) ) - 1</f>
        <v>-7.5329487244950588E-3</v>
      </c>
    </row>
    <row r="7438" spans="1:7" x14ac:dyDescent="0.2">
      <c r="A7438" s="1">
        <v>42598</v>
      </c>
      <c r="B7438">
        <v>2</v>
      </c>
      <c r="C7438" t="s">
        <v>16</v>
      </c>
      <c r="D7438">
        <v>-1.2973E-2</v>
      </c>
      <c r="E7438">
        <f t="shared" si="232"/>
        <v>0.98702699999999999</v>
      </c>
      <c r="F7438" s="1">
        <f t="shared" si="233"/>
        <v>42597</v>
      </c>
      <c r="G7438" cm="1">
        <f t="array" ref="G7438">PRODUCT( _xlfn._xlws.FILTER($E:$E, ($C:$C=C7438)*($F:$F=F7438)) ) - 1</f>
        <v>-7.5329487244950588E-3</v>
      </c>
    </row>
    <row r="7439" spans="1:7" x14ac:dyDescent="0.2">
      <c r="A7439" s="1">
        <v>42599</v>
      </c>
      <c r="B7439">
        <v>2</v>
      </c>
      <c r="C7439" t="s">
        <v>16</v>
      </c>
      <c r="D7439">
        <v>8.1060000000000004E-3</v>
      </c>
      <c r="E7439">
        <f t="shared" si="232"/>
        <v>1.0081059999999999</v>
      </c>
      <c r="F7439" s="1">
        <f t="shared" si="233"/>
        <v>42597</v>
      </c>
      <c r="G7439" cm="1">
        <f t="array" ref="G7439">PRODUCT( _xlfn._xlws.FILTER($E:$E, ($C:$C=C7439)*($F:$F=F7439)) ) - 1</f>
        <v>-7.5329487244950588E-3</v>
      </c>
    </row>
    <row r="7440" spans="1:7" x14ac:dyDescent="0.2">
      <c r="A7440" s="1">
        <v>42600</v>
      </c>
      <c r="B7440">
        <v>2</v>
      </c>
      <c r="C7440" t="s">
        <v>16</v>
      </c>
      <c r="D7440">
        <v>-1.8699999999999999E-4</v>
      </c>
      <c r="E7440">
        <f t="shared" si="232"/>
        <v>0.99981299999999995</v>
      </c>
      <c r="F7440" s="1">
        <f t="shared" si="233"/>
        <v>42597</v>
      </c>
      <c r="G7440" cm="1">
        <f t="array" ref="G7440">PRODUCT( _xlfn._xlws.FILTER($E:$E, ($C:$C=C7440)*($F:$F=F7440)) ) - 1</f>
        <v>-7.5329487244950588E-3</v>
      </c>
    </row>
    <row r="7441" spans="1:7" x14ac:dyDescent="0.2">
      <c r="A7441" s="1">
        <v>42601</v>
      </c>
      <c r="B7441">
        <v>2</v>
      </c>
      <c r="C7441" t="s">
        <v>16</v>
      </c>
      <c r="D7441">
        <v>3.7399999999999998E-4</v>
      </c>
      <c r="E7441">
        <f t="shared" si="232"/>
        <v>1.0003740000000001</v>
      </c>
      <c r="F7441" s="1">
        <f t="shared" si="233"/>
        <v>42597</v>
      </c>
      <c r="G7441" cm="1">
        <f t="array" ref="G7441">PRODUCT( _xlfn._xlws.FILTER($E:$E, ($C:$C=C7441)*($F:$F=F7441)) ) - 1</f>
        <v>-7.5329487244950588E-3</v>
      </c>
    </row>
    <row r="7442" spans="1:7" x14ac:dyDescent="0.2">
      <c r="A7442" s="1">
        <v>42604</v>
      </c>
      <c r="B7442">
        <v>2</v>
      </c>
      <c r="C7442" t="s">
        <v>16</v>
      </c>
      <c r="D7442">
        <v>5.7949999999999998E-3</v>
      </c>
      <c r="E7442">
        <f t="shared" si="232"/>
        <v>1.005795</v>
      </c>
      <c r="F7442" s="1">
        <f t="shared" si="233"/>
        <v>42604</v>
      </c>
      <c r="G7442" cm="1">
        <f t="array" ref="G7442">PRODUCT( _xlfn._xlws.FILTER($E:$E, ($C:$C=C7442)*($F:$F=F7442)) ) - 1</f>
        <v>7.8514429065599245E-3</v>
      </c>
    </row>
    <row r="7443" spans="1:7" x14ac:dyDescent="0.2">
      <c r="A7443" s="1">
        <v>42605</v>
      </c>
      <c r="B7443">
        <v>2</v>
      </c>
      <c r="C7443" t="s">
        <v>16</v>
      </c>
      <c r="D7443">
        <v>-2.7880000000000001E-3</v>
      </c>
      <c r="E7443">
        <f t="shared" si="232"/>
        <v>0.99721199999999999</v>
      </c>
      <c r="F7443" s="1">
        <f t="shared" si="233"/>
        <v>42604</v>
      </c>
      <c r="G7443" cm="1">
        <f t="array" ref="G7443">PRODUCT( _xlfn._xlws.FILTER($E:$E, ($C:$C=C7443)*($F:$F=F7443)) ) - 1</f>
        <v>7.8514429065599245E-3</v>
      </c>
    </row>
    <row r="7444" spans="1:7" x14ac:dyDescent="0.2">
      <c r="A7444" s="1">
        <v>42606</v>
      </c>
      <c r="B7444">
        <v>2</v>
      </c>
      <c r="C7444" t="s">
        <v>16</v>
      </c>
      <c r="D7444">
        <v>1.678E-3</v>
      </c>
      <c r="E7444">
        <f t="shared" si="232"/>
        <v>1.0016780000000001</v>
      </c>
      <c r="F7444" s="1">
        <f t="shared" si="233"/>
        <v>42604</v>
      </c>
      <c r="G7444" cm="1">
        <f t="array" ref="G7444">PRODUCT( _xlfn._xlws.FILTER($E:$E, ($C:$C=C7444)*($F:$F=F7444)) ) - 1</f>
        <v>7.8514429065599245E-3</v>
      </c>
    </row>
    <row r="7445" spans="1:7" x14ac:dyDescent="0.2">
      <c r="A7445" s="1">
        <v>42607</v>
      </c>
      <c r="B7445">
        <v>2</v>
      </c>
      <c r="C7445" t="s">
        <v>16</v>
      </c>
      <c r="D7445">
        <v>7.4399999999999998E-4</v>
      </c>
      <c r="E7445">
        <f t="shared" si="232"/>
        <v>1.0007440000000001</v>
      </c>
      <c r="F7445" s="1">
        <f t="shared" si="233"/>
        <v>42604</v>
      </c>
      <c r="G7445" cm="1">
        <f t="array" ref="G7445">PRODUCT( _xlfn._xlws.FILTER($E:$E, ($C:$C=C7445)*($F:$F=F7445)) ) - 1</f>
        <v>7.8514429065599245E-3</v>
      </c>
    </row>
    <row r="7446" spans="1:7" x14ac:dyDescent="0.2">
      <c r="A7446" s="1">
        <v>42608</v>
      </c>
      <c r="B7446">
        <v>2</v>
      </c>
      <c r="C7446" t="s">
        <v>16</v>
      </c>
      <c r="D7446">
        <v>2.4169999999999999E-3</v>
      </c>
      <c r="E7446">
        <f t="shared" si="232"/>
        <v>1.0024169999999999</v>
      </c>
      <c r="F7446" s="1">
        <f t="shared" si="233"/>
        <v>42604</v>
      </c>
      <c r="G7446" cm="1">
        <f t="array" ref="G7446">PRODUCT( _xlfn._xlws.FILTER($E:$E, ($C:$C=C7446)*($F:$F=F7446)) ) - 1</f>
        <v>7.8514429065599245E-3</v>
      </c>
    </row>
    <row r="7447" spans="1:7" x14ac:dyDescent="0.2">
      <c r="A7447" s="1">
        <v>42611</v>
      </c>
      <c r="B7447">
        <v>2</v>
      </c>
      <c r="C7447" t="s">
        <v>16</v>
      </c>
      <c r="D7447">
        <v>4.0810000000000004E-3</v>
      </c>
      <c r="E7447">
        <f t="shared" si="232"/>
        <v>1.004081</v>
      </c>
      <c r="F7447" s="1">
        <f t="shared" si="233"/>
        <v>42611</v>
      </c>
      <c r="G7447" cm="1">
        <f t="array" ref="G7447">PRODUCT( _xlfn._xlws.FILTER($E:$E, ($C:$C=C7447)*($F:$F=F7447)) ) - 1</f>
        <v>2.1146359960955818E-2</v>
      </c>
    </row>
    <row r="7448" spans="1:7" x14ac:dyDescent="0.2">
      <c r="A7448" s="1">
        <v>42612</v>
      </c>
      <c r="B7448">
        <v>2</v>
      </c>
      <c r="C7448" t="s">
        <v>16</v>
      </c>
      <c r="D7448">
        <v>4.9880000000000002E-3</v>
      </c>
      <c r="E7448">
        <f t="shared" si="232"/>
        <v>1.004988</v>
      </c>
      <c r="F7448" s="1">
        <f t="shared" si="233"/>
        <v>42611</v>
      </c>
      <c r="G7448" cm="1">
        <f t="array" ref="G7448">PRODUCT( _xlfn._xlws.FILTER($E:$E, ($C:$C=C7448)*($F:$F=F7448)) ) - 1</f>
        <v>2.1146359960955818E-2</v>
      </c>
    </row>
    <row r="7449" spans="1:7" x14ac:dyDescent="0.2">
      <c r="A7449" s="1">
        <v>42613</v>
      </c>
      <c r="B7449">
        <v>2</v>
      </c>
      <c r="C7449" t="s">
        <v>16</v>
      </c>
      <c r="D7449">
        <v>-1.6540000000000001E-3</v>
      </c>
      <c r="E7449">
        <f t="shared" si="232"/>
        <v>0.99834599999999996</v>
      </c>
      <c r="F7449" s="1">
        <f t="shared" si="233"/>
        <v>42611</v>
      </c>
      <c r="G7449" cm="1">
        <f t="array" ref="G7449">PRODUCT( _xlfn._xlws.FILTER($E:$E, ($C:$C=C7449)*($F:$F=F7449)) ) - 1</f>
        <v>2.1146359960955818E-2</v>
      </c>
    </row>
    <row r="7450" spans="1:7" x14ac:dyDescent="0.2">
      <c r="A7450" s="1">
        <v>42614</v>
      </c>
      <c r="B7450">
        <v>2</v>
      </c>
      <c r="C7450" t="s">
        <v>16</v>
      </c>
      <c r="D7450">
        <v>8.8380000000000004E-3</v>
      </c>
      <c r="E7450">
        <f t="shared" si="232"/>
        <v>1.0088379999999999</v>
      </c>
      <c r="F7450" s="1">
        <f t="shared" si="233"/>
        <v>42611</v>
      </c>
      <c r="G7450" cm="1">
        <f t="array" ref="G7450">PRODUCT( _xlfn._xlws.FILTER($E:$E, ($C:$C=C7450)*($F:$F=F7450)) ) - 1</f>
        <v>2.1146359960955818E-2</v>
      </c>
    </row>
    <row r="7451" spans="1:7" x14ac:dyDescent="0.2">
      <c r="A7451" s="1">
        <v>42615</v>
      </c>
      <c r="B7451">
        <v>2</v>
      </c>
      <c r="C7451" t="s">
        <v>16</v>
      </c>
      <c r="D7451">
        <v>4.7450000000000001E-3</v>
      </c>
      <c r="E7451">
        <f t="shared" si="232"/>
        <v>1.004745</v>
      </c>
      <c r="F7451" s="1">
        <f t="shared" si="233"/>
        <v>42611</v>
      </c>
      <c r="G7451" cm="1">
        <f t="array" ref="G7451">PRODUCT( _xlfn._xlws.FILTER($E:$E, ($C:$C=C7451)*($F:$F=F7451)) ) - 1</f>
        <v>2.1146359960955818E-2</v>
      </c>
    </row>
    <row r="7452" spans="1:7" x14ac:dyDescent="0.2">
      <c r="A7452" s="1">
        <v>42619</v>
      </c>
      <c r="B7452">
        <v>2</v>
      </c>
      <c r="C7452" t="s">
        <v>16</v>
      </c>
      <c r="D7452">
        <v>-9.4459999999999995E-3</v>
      </c>
      <c r="E7452">
        <f t="shared" si="232"/>
        <v>0.99055400000000005</v>
      </c>
      <c r="F7452" s="1">
        <f t="shared" si="233"/>
        <v>42618</v>
      </c>
      <c r="G7452" cm="1">
        <f t="array" ref="G7452">PRODUCT( _xlfn._xlws.FILTER($E:$E, ($C:$C=C7452)*($F:$F=F7452)) ) - 1</f>
        <v>-3.6512651840433397E-2</v>
      </c>
    </row>
    <row r="7453" spans="1:7" x14ac:dyDescent="0.2">
      <c r="A7453" s="1">
        <v>42620</v>
      </c>
      <c r="B7453">
        <v>2</v>
      </c>
      <c r="C7453" t="s">
        <v>16</v>
      </c>
      <c r="D7453">
        <v>-3.8509999999999998E-3</v>
      </c>
      <c r="E7453">
        <f t="shared" si="232"/>
        <v>0.99614899999999995</v>
      </c>
      <c r="F7453" s="1">
        <f t="shared" si="233"/>
        <v>42618</v>
      </c>
      <c r="G7453" cm="1">
        <f t="array" ref="G7453">PRODUCT( _xlfn._xlws.FILTER($E:$E, ($C:$C=C7453)*($F:$F=F7453)) ) - 1</f>
        <v>-3.6512651840433397E-2</v>
      </c>
    </row>
    <row r="7454" spans="1:7" x14ac:dyDescent="0.2">
      <c r="A7454" s="1">
        <v>42621</v>
      </c>
      <c r="B7454">
        <v>2</v>
      </c>
      <c r="C7454" t="s">
        <v>16</v>
      </c>
      <c r="D7454">
        <v>-7.1799999999999998E-3</v>
      </c>
      <c r="E7454">
        <f t="shared" si="232"/>
        <v>0.99282000000000004</v>
      </c>
      <c r="F7454" s="1">
        <f t="shared" si="233"/>
        <v>42618</v>
      </c>
      <c r="G7454" cm="1">
        <f t="array" ref="G7454">PRODUCT( _xlfn._xlws.FILTER($E:$E, ($C:$C=C7454)*($F:$F=F7454)) ) - 1</f>
        <v>-3.6512651840433397E-2</v>
      </c>
    </row>
    <row r="7455" spans="1:7" x14ac:dyDescent="0.2">
      <c r="A7455" s="1">
        <v>42622</v>
      </c>
      <c r="B7455">
        <v>2</v>
      </c>
      <c r="C7455" t="s">
        <v>16</v>
      </c>
      <c r="D7455">
        <v>-1.6503E-2</v>
      </c>
      <c r="E7455">
        <f t="shared" si="232"/>
        <v>0.98349699999999995</v>
      </c>
      <c r="F7455" s="1">
        <f t="shared" si="233"/>
        <v>42618</v>
      </c>
      <c r="G7455" cm="1">
        <f t="array" ref="G7455">PRODUCT( _xlfn._xlws.FILTER($E:$E, ($C:$C=C7455)*($F:$F=F7455)) ) - 1</f>
        <v>-3.6512651840433397E-2</v>
      </c>
    </row>
    <row r="7456" spans="1:7" x14ac:dyDescent="0.2">
      <c r="A7456" s="1">
        <v>42625</v>
      </c>
      <c r="B7456">
        <v>2</v>
      </c>
      <c r="C7456" t="s">
        <v>16</v>
      </c>
      <c r="D7456">
        <v>1.6403000000000001E-2</v>
      </c>
      <c r="E7456">
        <f t="shared" si="232"/>
        <v>1.0164029999999999</v>
      </c>
      <c r="F7456" s="1">
        <f t="shared" si="233"/>
        <v>42625</v>
      </c>
      <c r="G7456" cm="1">
        <f t="array" ref="G7456">PRODUCT( _xlfn._xlws.FILTER($E:$E, ($C:$C=C7456)*($F:$F=F7456)) ) - 1</f>
        <v>3.2994189274554442E-2</v>
      </c>
    </row>
    <row r="7457" spans="1:7" x14ac:dyDescent="0.2">
      <c r="A7457" s="1">
        <v>42626</v>
      </c>
      <c r="B7457">
        <v>2</v>
      </c>
      <c r="C7457" t="s">
        <v>16</v>
      </c>
      <c r="D7457">
        <v>-1.1129999999999999E-2</v>
      </c>
      <c r="E7457">
        <f t="shared" si="232"/>
        <v>0.98887000000000003</v>
      </c>
      <c r="F7457" s="1">
        <f t="shared" si="233"/>
        <v>42625</v>
      </c>
      <c r="G7457" cm="1">
        <f t="array" ref="G7457">PRODUCT( _xlfn._xlws.FILTER($E:$E, ($C:$C=C7457)*($F:$F=F7457)) ) - 1</f>
        <v>3.2994189274554442E-2</v>
      </c>
    </row>
    <row r="7458" spans="1:7" x14ac:dyDescent="0.2">
      <c r="A7458" s="1">
        <v>42627</v>
      </c>
      <c r="B7458">
        <v>2</v>
      </c>
      <c r="C7458" t="s">
        <v>16</v>
      </c>
      <c r="D7458">
        <v>-3.7500000000000001E-4</v>
      </c>
      <c r="E7458">
        <f t="shared" si="232"/>
        <v>0.99962499999999999</v>
      </c>
      <c r="F7458" s="1">
        <f t="shared" si="233"/>
        <v>42625</v>
      </c>
      <c r="G7458" cm="1">
        <f t="array" ref="G7458">PRODUCT( _xlfn._xlws.FILTER($E:$E, ($C:$C=C7458)*($F:$F=F7458)) ) - 1</f>
        <v>3.2994189274554442E-2</v>
      </c>
    </row>
    <row r="7459" spans="1:7" x14ac:dyDescent="0.2">
      <c r="A7459" s="1">
        <v>42628</v>
      </c>
      <c r="B7459">
        <v>2</v>
      </c>
      <c r="C7459" t="s">
        <v>16</v>
      </c>
      <c r="D7459">
        <v>8.4440000000000001E-3</v>
      </c>
      <c r="E7459">
        <f t="shared" si="232"/>
        <v>1.0084439999999999</v>
      </c>
      <c r="F7459" s="1">
        <f t="shared" si="233"/>
        <v>42625</v>
      </c>
      <c r="G7459" cm="1">
        <f t="array" ref="G7459">PRODUCT( _xlfn._xlws.FILTER($E:$E, ($C:$C=C7459)*($F:$F=F7459)) ) - 1</f>
        <v>3.2994189274554442E-2</v>
      </c>
    </row>
    <row r="7460" spans="1:7" x14ac:dyDescent="0.2">
      <c r="A7460" s="1">
        <v>42629</v>
      </c>
      <c r="B7460">
        <v>2</v>
      </c>
      <c r="C7460" t="s">
        <v>16</v>
      </c>
      <c r="D7460">
        <v>1.9539000000000001E-2</v>
      </c>
      <c r="E7460">
        <f t="shared" si="232"/>
        <v>1.019539</v>
      </c>
      <c r="F7460" s="1">
        <f t="shared" si="233"/>
        <v>42625</v>
      </c>
      <c r="G7460" cm="1">
        <f t="array" ref="G7460">PRODUCT( _xlfn._xlws.FILTER($E:$E, ($C:$C=C7460)*($F:$F=F7460)) ) - 1</f>
        <v>3.2994189274554442E-2</v>
      </c>
    </row>
    <row r="7461" spans="1:7" x14ac:dyDescent="0.2">
      <c r="A7461" s="1">
        <v>42632</v>
      </c>
      <c r="B7461">
        <v>2</v>
      </c>
      <c r="C7461" t="s">
        <v>16</v>
      </c>
      <c r="D7461">
        <v>-1.8069000000000002E-2</v>
      </c>
      <c r="E7461">
        <f t="shared" si="232"/>
        <v>0.981931</v>
      </c>
      <c r="F7461" s="1">
        <f t="shared" si="233"/>
        <v>42632</v>
      </c>
      <c r="G7461" cm="1">
        <f t="array" ref="G7461">PRODUCT( _xlfn._xlws.FILTER($E:$E, ($C:$C=C7461)*($F:$F=F7461)) ) - 1</f>
        <v>-5.6577039658382011E-3</v>
      </c>
    </row>
    <row r="7462" spans="1:7" x14ac:dyDescent="0.2">
      <c r="A7462" s="1">
        <v>42633</v>
      </c>
      <c r="B7462">
        <v>2</v>
      </c>
      <c r="C7462" t="s">
        <v>16</v>
      </c>
      <c r="D7462">
        <v>7.4349999999999998E-3</v>
      </c>
      <c r="E7462">
        <f t="shared" si="232"/>
        <v>1.0074350000000001</v>
      </c>
      <c r="F7462" s="1">
        <f t="shared" si="233"/>
        <v>42632</v>
      </c>
      <c r="G7462" cm="1">
        <f t="array" ref="G7462">PRODUCT( _xlfn._xlws.FILTER($E:$E, ($C:$C=C7462)*($F:$F=F7462)) ) - 1</f>
        <v>-5.6577039658382011E-3</v>
      </c>
    </row>
    <row r="7463" spans="1:7" x14ac:dyDescent="0.2">
      <c r="A7463" s="1">
        <v>42634</v>
      </c>
      <c r="B7463">
        <v>2</v>
      </c>
      <c r="C7463" t="s">
        <v>16</v>
      </c>
      <c r="D7463">
        <v>-5.1659999999999996E-3</v>
      </c>
      <c r="E7463">
        <f t="shared" si="232"/>
        <v>0.994834</v>
      </c>
      <c r="F7463" s="1">
        <f t="shared" si="233"/>
        <v>42632</v>
      </c>
      <c r="G7463" cm="1">
        <f t="array" ref="G7463">PRODUCT( _xlfn._xlws.FILTER($E:$E, ($C:$C=C7463)*($F:$F=F7463)) ) - 1</f>
        <v>-5.6577039658382011E-3</v>
      </c>
    </row>
    <row r="7464" spans="1:7" x14ac:dyDescent="0.2">
      <c r="A7464" s="1">
        <v>42635</v>
      </c>
      <c r="B7464">
        <v>2</v>
      </c>
      <c r="C7464" t="s">
        <v>16</v>
      </c>
      <c r="D7464">
        <v>1.4836999999999999E-2</v>
      </c>
      <c r="E7464">
        <f t="shared" si="232"/>
        <v>1.014837</v>
      </c>
      <c r="F7464" s="1">
        <f t="shared" si="233"/>
        <v>42632</v>
      </c>
      <c r="G7464" cm="1">
        <f t="array" ref="G7464">PRODUCT( _xlfn._xlws.FILTER($E:$E, ($C:$C=C7464)*($F:$F=F7464)) ) - 1</f>
        <v>-5.6577039658382011E-3</v>
      </c>
    </row>
    <row r="7465" spans="1:7" x14ac:dyDescent="0.2">
      <c r="A7465" s="1">
        <v>42636</v>
      </c>
      <c r="B7465">
        <v>2</v>
      </c>
      <c r="C7465" t="s">
        <v>16</v>
      </c>
      <c r="D7465">
        <v>-4.3860000000000001E-3</v>
      </c>
      <c r="E7465">
        <f t="shared" si="232"/>
        <v>0.995614</v>
      </c>
      <c r="F7465" s="1">
        <f t="shared" si="233"/>
        <v>42632</v>
      </c>
      <c r="G7465" cm="1">
        <f t="array" ref="G7465">PRODUCT( _xlfn._xlws.FILTER($E:$E, ($C:$C=C7465)*($F:$F=F7465)) ) - 1</f>
        <v>-5.6577039658382011E-3</v>
      </c>
    </row>
    <row r="7466" spans="1:7" x14ac:dyDescent="0.2">
      <c r="A7466" s="1">
        <v>42639</v>
      </c>
      <c r="B7466">
        <v>2</v>
      </c>
      <c r="C7466" t="s">
        <v>16</v>
      </c>
      <c r="D7466">
        <v>-6.7910000000000002E-3</v>
      </c>
      <c r="E7466">
        <f t="shared" si="232"/>
        <v>0.99320900000000001</v>
      </c>
      <c r="F7466" s="1">
        <f t="shared" si="233"/>
        <v>42639</v>
      </c>
      <c r="G7466" cm="1">
        <f t="array" ref="G7466">PRODUCT( _xlfn._xlws.FILTER($E:$E, ($C:$C=C7466)*($F:$F=F7466)) ) - 1</f>
        <v>-4.2211991357681278E-3</v>
      </c>
    </row>
    <row r="7467" spans="1:7" x14ac:dyDescent="0.2">
      <c r="A7467" s="1">
        <v>42640</v>
      </c>
      <c r="B7467">
        <v>2</v>
      </c>
      <c r="C7467" t="s">
        <v>16</v>
      </c>
      <c r="D7467">
        <v>-1.294E-3</v>
      </c>
      <c r="E7467">
        <f t="shared" si="232"/>
        <v>0.99870599999999998</v>
      </c>
      <c r="F7467" s="1">
        <f t="shared" si="233"/>
        <v>42639</v>
      </c>
      <c r="G7467" cm="1">
        <f t="array" ref="G7467">PRODUCT( _xlfn._xlws.FILTER($E:$E, ($C:$C=C7467)*($F:$F=F7467)) ) - 1</f>
        <v>-4.2211991357681278E-3</v>
      </c>
    </row>
    <row r="7468" spans="1:7" x14ac:dyDescent="0.2">
      <c r="A7468" s="1">
        <v>42641</v>
      </c>
      <c r="B7468">
        <v>2</v>
      </c>
      <c r="C7468" t="s">
        <v>16</v>
      </c>
      <c r="D7468">
        <v>0</v>
      </c>
      <c r="E7468">
        <f t="shared" si="232"/>
        <v>1</v>
      </c>
      <c r="F7468" s="1">
        <f t="shared" si="233"/>
        <v>42639</v>
      </c>
      <c r="G7468" cm="1">
        <f t="array" ref="G7468">PRODUCT( _xlfn._xlws.FILTER($E:$E, ($C:$C=C7468)*($F:$F=F7468)) ) - 1</f>
        <v>-4.2211991357681278E-3</v>
      </c>
    </row>
    <row r="7469" spans="1:7" x14ac:dyDescent="0.2">
      <c r="A7469" s="1">
        <v>42642</v>
      </c>
      <c r="B7469">
        <v>2</v>
      </c>
      <c r="C7469" t="s">
        <v>16</v>
      </c>
      <c r="D7469">
        <v>-4.9959999999999996E-3</v>
      </c>
      <c r="E7469">
        <f t="shared" si="232"/>
        <v>0.995004</v>
      </c>
      <c r="F7469" s="1">
        <f t="shared" si="233"/>
        <v>42639</v>
      </c>
      <c r="G7469" cm="1">
        <f t="array" ref="G7469">PRODUCT( _xlfn._xlws.FILTER($E:$E, ($C:$C=C7469)*($F:$F=F7469)) ) - 1</f>
        <v>-4.2211991357681278E-3</v>
      </c>
    </row>
    <row r="7470" spans="1:7" x14ac:dyDescent="0.2">
      <c r="A7470" s="1">
        <v>42643</v>
      </c>
      <c r="B7470">
        <v>2</v>
      </c>
      <c r="C7470" t="s">
        <v>16</v>
      </c>
      <c r="D7470">
        <v>8.9269999999999992E-3</v>
      </c>
      <c r="E7470">
        <f t="shared" si="232"/>
        <v>1.0089269999999999</v>
      </c>
      <c r="F7470" s="1">
        <f t="shared" si="233"/>
        <v>42639</v>
      </c>
      <c r="G7470" cm="1">
        <f t="array" ref="G7470">PRODUCT( _xlfn._xlws.FILTER($E:$E, ($C:$C=C7470)*($F:$F=F7470)) ) - 1</f>
        <v>-4.2211991357681278E-3</v>
      </c>
    </row>
    <row r="7471" spans="1:7" x14ac:dyDescent="0.2">
      <c r="A7471" s="1">
        <v>42646</v>
      </c>
      <c r="B7471">
        <v>2</v>
      </c>
      <c r="C7471" t="s">
        <v>16</v>
      </c>
      <c r="D7471">
        <v>1.475E-3</v>
      </c>
      <c r="E7471">
        <f t="shared" si="232"/>
        <v>1.0014749999999999</v>
      </c>
      <c r="F7471" s="1">
        <f t="shared" si="233"/>
        <v>42646</v>
      </c>
      <c r="G7471" cm="1">
        <f t="array" ref="G7471">PRODUCT( _xlfn._xlws.FILTER($E:$E, ($C:$C=C7471)*($F:$F=F7471)) ) - 1</f>
        <v>-8.1098888809461034E-3</v>
      </c>
    </row>
    <row r="7472" spans="1:7" x14ac:dyDescent="0.2">
      <c r="A7472" s="1">
        <v>42647</v>
      </c>
      <c r="B7472">
        <v>2</v>
      </c>
      <c r="C7472" t="s">
        <v>16</v>
      </c>
      <c r="D7472">
        <v>-3.6809999999999998E-3</v>
      </c>
      <c r="E7472">
        <f t="shared" si="232"/>
        <v>0.99631899999999995</v>
      </c>
      <c r="F7472" s="1">
        <f t="shared" si="233"/>
        <v>42646</v>
      </c>
      <c r="G7472" cm="1">
        <f t="array" ref="G7472">PRODUCT( _xlfn._xlws.FILTER($E:$E, ($C:$C=C7472)*($F:$F=F7472)) ) - 1</f>
        <v>-8.1098888809461034E-3</v>
      </c>
    </row>
    <row r="7473" spans="1:7" x14ac:dyDescent="0.2">
      <c r="A7473" s="1">
        <v>42648</v>
      </c>
      <c r="B7473">
        <v>2</v>
      </c>
      <c r="C7473" t="s">
        <v>16</v>
      </c>
      <c r="D7473">
        <v>3.3249999999999998E-3</v>
      </c>
      <c r="E7473">
        <f t="shared" si="232"/>
        <v>1.003325</v>
      </c>
      <c r="F7473" s="1">
        <f t="shared" si="233"/>
        <v>42646</v>
      </c>
      <c r="G7473" cm="1">
        <f t="array" ref="G7473">PRODUCT( _xlfn._xlws.FILTER($E:$E, ($C:$C=C7473)*($F:$F=F7473)) ) - 1</f>
        <v>-8.1098888809461034E-3</v>
      </c>
    </row>
    <row r="7474" spans="1:7" x14ac:dyDescent="0.2">
      <c r="A7474" s="1">
        <v>42649</v>
      </c>
      <c r="B7474">
        <v>2</v>
      </c>
      <c r="C7474" t="s">
        <v>16</v>
      </c>
      <c r="D7474">
        <v>-3.13E-3</v>
      </c>
      <c r="E7474">
        <f t="shared" si="232"/>
        <v>0.99687000000000003</v>
      </c>
      <c r="F7474" s="1">
        <f t="shared" si="233"/>
        <v>42646</v>
      </c>
      <c r="G7474" cm="1">
        <f t="array" ref="G7474">PRODUCT( _xlfn._xlws.FILTER($E:$E, ($C:$C=C7474)*($F:$F=F7474)) ) - 1</f>
        <v>-8.1098888809461034E-3</v>
      </c>
    </row>
    <row r="7475" spans="1:7" x14ac:dyDescent="0.2">
      <c r="A7475" s="1">
        <v>42650</v>
      </c>
      <c r="B7475">
        <v>2</v>
      </c>
      <c r="C7475" t="s">
        <v>16</v>
      </c>
      <c r="D7475">
        <v>-6.0949999999999997E-3</v>
      </c>
      <c r="E7475">
        <f t="shared" si="232"/>
        <v>0.99390500000000004</v>
      </c>
      <c r="F7475" s="1">
        <f t="shared" si="233"/>
        <v>42646</v>
      </c>
      <c r="G7475" cm="1">
        <f t="array" ref="G7475">PRODUCT( _xlfn._xlws.FILTER($E:$E, ($C:$C=C7475)*($F:$F=F7475)) ) - 1</f>
        <v>-8.1098888809461034E-3</v>
      </c>
    </row>
    <row r="7476" spans="1:7" x14ac:dyDescent="0.2">
      <c r="A7476" s="1">
        <v>42654</v>
      </c>
      <c r="B7476">
        <v>2</v>
      </c>
      <c r="C7476" t="s">
        <v>16</v>
      </c>
      <c r="D7476">
        <v>-2.1742999999999998E-2</v>
      </c>
      <c r="E7476">
        <f t="shared" si="232"/>
        <v>0.97825700000000004</v>
      </c>
      <c r="F7476" s="1">
        <f t="shared" si="233"/>
        <v>42653</v>
      </c>
      <c r="G7476" cm="1">
        <f t="array" ref="G7476">PRODUCT( _xlfn._xlws.FILTER($E:$E, ($C:$C=C7476)*($F:$F=F7476)) ) - 1</f>
        <v>-2.7875748524642807E-2</v>
      </c>
    </row>
    <row r="7477" spans="1:7" x14ac:dyDescent="0.2">
      <c r="A7477" s="1">
        <v>42655</v>
      </c>
      <c r="B7477">
        <v>2</v>
      </c>
      <c r="C7477" t="s">
        <v>16</v>
      </c>
      <c r="D7477">
        <v>2.66E-3</v>
      </c>
      <c r="E7477">
        <f t="shared" si="232"/>
        <v>1.0026600000000001</v>
      </c>
      <c r="F7477" s="1">
        <f t="shared" si="233"/>
        <v>42653</v>
      </c>
      <c r="G7477" cm="1">
        <f t="array" ref="G7477">PRODUCT( _xlfn._xlws.FILTER($E:$E, ($C:$C=C7477)*($F:$F=F7477)) ) - 1</f>
        <v>-2.7875748524642807E-2</v>
      </c>
    </row>
    <row r="7478" spans="1:7" x14ac:dyDescent="0.2">
      <c r="A7478" s="1">
        <v>42656</v>
      </c>
      <c r="B7478">
        <v>2</v>
      </c>
      <c r="C7478" t="s">
        <v>16</v>
      </c>
      <c r="D7478">
        <v>-2.653E-3</v>
      </c>
      <c r="E7478">
        <f t="shared" si="232"/>
        <v>0.99734699999999998</v>
      </c>
      <c r="F7478" s="1">
        <f t="shared" si="233"/>
        <v>42653</v>
      </c>
      <c r="G7478" cm="1">
        <f t="array" ref="G7478">PRODUCT( _xlfn._xlws.FILTER($E:$E, ($C:$C=C7478)*($F:$F=F7478)) ) - 1</f>
        <v>-2.7875748524642807E-2</v>
      </c>
    </row>
    <row r="7479" spans="1:7" x14ac:dyDescent="0.2">
      <c r="A7479" s="1">
        <v>42657</v>
      </c>
      <c r="B7479">
        <v>2</v>
      </c>
      <c r="C7479" t="s">
        <v>16</v>
      </c>
      <c r="D7479">
        <v>-6.2690000000000003E-3</v>
      </c>
      <c r="E7479">
        <f t="shared" si="232"/>
        <v>0.99373100000000003</v>
      </c>
      <c r="F7479" s="1">
        <f t="shared" si="233"/>
        <v>42653</v>
      </c>
      <c r="G7479" cm="1">
        <f t="array" ref="G7479">PRODUCT( _xlfn._xlws.FILTER($E:$E, ($C:$C=C7479)*($F:$F=F7479)) ) - 1</f>
        <v>-2.7875748524642807E-2</v>
      </c>
    </row>
    <row r="7480" spans="1:7" x14ac:dyDescent="0.2">
      <c r="A7480" s="1">
        <v>42660</v>
      </c>
      <c r="B7480">
        <v>2</v>
      </c>
      <c r="C7480" t="s">
        <v>16</v>
      </c>
      <c r="D7480">
        <v>-1.529E-3</v>
      </c>
      <c r="E7480">
        <f t="shared" si="232"/>
        <v>0.998471</v>
      </c>
      <c r="F7480" s="1">
        <f t="shared" si="233"/>
        <v>42660</v>
      </c>
      <c r="G7480" cm="1">
        <f t="array" ref="G7480">PRODUCT( _xlfn._xlws.FILTER($E:$E, ($C:$C=C7480)*($F:$F=F7480)) ) - 1</f>
        <v>1.2617572179212111E-2</v>
      </c>
    </row>
    <row r="7481" spans="1:7" x14ac:dyDescent="0.2">
      <c r="A7481" s="1">
        <v>42661</v>
      </c>
      <c r="B7481">
        <v>2</v>
      </c>
      <c r="C7481" t="s">
        <v>16</v>
      </c>
      <c r="D7481">
        <v>5.7399999999999997E-4</v>
      </c>
      <c r="E7481">
        <f t="shared" si="232"/>
        <v>1.0005740000000001</v>
      </c>
      <c r="F7481" s="1">
        <f t="shared" si="233"/>
        <v>42660</v>
      </c>
      <c r="G7481" cm="1">
        <f t="array" ref="G7481">PRODUCT( _xlfn._xlws.FILTER($E:$E, ($C:$C=C7481)*($F:$F=F7481)) ) - 1</f>
        <v>1.2617572179212111E-2</v>
      </c>
    </row>
    <row r="7482" spans="1:7" x14ac:dyDescent="0.2">
      <c r="A7482" s="1">
        <v>42662</v>
      </c>
      <c r="B7482">
        <v>2</v>
      </c>
      <c r="C7482" t="s">
        <v>16</v>
      </c>
      <c r="D7482">
        <v>-1.913E-3</v>
      </c>
      <c r="E7482">
        <f t="shared" si="232"/>
        <v>0.99808699999999995</v>
      </c>
      <c r="F7482" s="1">
        <f t="shared" si="233"/>
        <v>42660</v>
      </c>
      <c r="G7482" cm="1">
        <f t="array" ref="G7482">PRODUCT( _xlfn._xlws.FILTER($E:$E, ($C:$C=C7482)*($F:$F=F7482)) ) - 1</f>
        <v>1.2617572179212111E-2</v>
      </c>
    </row>
    <row r="7483" spans="1:7" x14ac:dyDescent="0.2">
      <c r="A7483" s="1">
        <v>42663</v>
      </c>
      <c r="B7483">
        <v>2</v>
      </c>
      <c r="C7483" t="s">
        <v>16</v>
      </c>
      <c r="D7483">
        <v>3.643E-3</v>
      </c>
      <c r="E7483">
        <f t="shared" si="232"/>
        <v>1.0036430000000001</v>
      </c>
      <c r="F7483" s="1">
        <f t="shared" si="233"/>
        <v>42660</v>
      </c>
      <c r="G7483" cm="1">
        <f t="array" ref="G7483">PRODUCT( _xlfn._xlws.FILTER($E:$E, ($C:$C=C7483)*($F:$F=F7483)) ) - 1</f>
        <v>1.2617572179212111E-2</v>
      </c>
    </row>
    <row r="7484" spans="1:7" x14ac:dyDescent="0.2">
      <c r="A7484" s="1">
        <v>42664</v>
      </c>
      <c r="B7484">
        <v>2</v>
      </c>
      <c r="C7484" t="s">
        <v>16</v>
      </c>
      <c r="D7484">
        <v>1.1842999999999999E-2</v>
      </c>
      <c r="E7484">
        <f t="shared" si="232"/>
        <v>1.011843</v>
      </c>
      <c r="F7484" s="1">
        <f t="shared" si="233"/>
        <v>42660</v>
      </c>
      <c r="G7484" cm="1">
        <f t="array" ref="G7484">PRODUCT( _xlfn._xlws.FILTER($E:$E, ($C:$C=C7484)*($F:$F=F7484)) ) - 1</f>
        <v>1.2617572179212111E-2</v>
      </c>
    </row>
    <row r="7485" spans="1:7" x14ac:dyDescent="0.2">
      <c r="A7485" s="1">
        <v>42667</v>
      </c>
      <c r="B7485">
        <v>2</v>
      </c>
      <c r="C7485" t="s">
        <v>16</v>
      </c>
      <c r="D7485">
        <v>3.5869999999999999E-3</v>
      </c>
      <c r="E7485">
        <f t="shared" si="232"/>
        <v>1.003587</v>
      </c>
      <c r="F7485" s="1">
        <f t="shared" si="233"/>
        <v>42667</v>
      </c>
      <c r="G7485" cm="1">
        <f t="array" ref="G7485">PRODUCT( _xlfn._xlws.FILTER($E:$E, ($C:$C=C7485)*($F:$F=F7485)) ) - 1</f>
        <v>-1.5111485886105669E-3</v>
      </c>
    </row>
    <row r="7486" spans="1:7" x14ac:dyDescent="0.2">
      <c r="A7486" s="1">
        <v>42668</v>
      </c>
      <c r="B7486">
        <v>2</v>
      </c>
      <c r="C7486" t="s">
        <v>16</v>
      </c>
      <c r="D7486">
        <v>-9.4059999999999994E-3</v>
      </c>
      <c r="E7486">
        <f t="shared" si="232"/>
        <v>0.99059399999999997</v>
      </c>
      <c r="F7486" s="1">
        <f t="shared" si="233"/>
        <v>42667</v>
      </c>
      <c r="G7486" cm="1">
        <f t="array" ref="G7486">PRODUCT( _xlfn._xlws.FILTER($E:$E, ($C:$C=C7486)*($F:$F=F7486)) ) - 1</f>
        <v>-1.5111485886105669E-3</v>
      </c>
    </row>
    <row r="7487" spans="1:7" x14ac:dyDescent="0.2">
      <c r="A7487" s="1">
        <v>42669</v>
      </c>
      <c r="B7487">
        <v>2</v>
      </c>
      <c r="C7487" t="s">
        <v>16</v>
      </c>
      <c r="D7487">
        <v>7.5960000000000003E-3</v>
      </c>
      <c r="E7487">
        <f t="shared" si="232"/>
        <v>1.0075959999999999</v>
      </c>
      <c r="F7487" s="1">
        <f t="shared" si="233"/>
        <v>42667</v>
      </c>
      <c r="G7487" cm="1">
        <f t="array" ref="G7487">PRODUCT( _xlfn._xlws.FILTER($E:$E, ($C:$C=C7487)*($F:$F=F7487)) ) - 1</f>
        <v>-1.5111485886105669E-3</v>
      </c>
    </row>
    <row r="7488" spans="1:7" x14ac:dyDescent="0.2">
      <c r="A7488" s="1">
        <v>42670</v>
      </c>
      <c r="B7488">
        <v>2</v>
      </c>
      <c r="C7488" t="s">
        <v>16</v>
      </c>
      <c r="D7488">
        <v>-1.885E-3</v>
      </c>
      <c r="E7488">
        <f t="shared" si="232"/>
        <v>0.99811499999999997</v>
      </c>
      <c r="F7488" s="1">
        <f t="shared" si="233"/>
        <v>42667</v>
      </c>
      <c r="G7488" cm="1">
        <f t="array" ref="G7488">PRODUCT( _xlfn._xlws.FILTER($E:$E, ($C:$C=C7488)*($F:$F=F7488)) ) - 1</f>
        <v>-1.5111485886105669E-3</v>
      </c>
    </row>
    <row r="7489" spans="1:7" x14ac:dyDescent="0.2">
      <c r="A7489" s="1">
        <v>42671</v>
      </c>
      <c r="B7489">
        <v>2</v>
      </c>
      <c r="C7489" t="s">
        <v>16</v>
      </c>
      <c r="D7489">
        <v>-1.322E-3</v>
      </c>
      <c r="E7489">
        <f t="shared" si="232"/>
        <v>0.99867799999999995</v>
      </c>
      <c r="F7489" s="1">
        <f t="shared" si="233"/>
        <v>42667</v>
      </c>
      <c r="G7489" cm="1">
        <f t="array" ref="G7489">PRODUCT( _xlfn._xlws.FILTER($E:$E, ($C:$C=C7489)*($F:$F=F7489)) ) - 1</f>
        <v>-1.5111485886105669E-3</v>
      </c>
    </row>
    <row r="7490" spans="1:7" x14ac:dyDescent="0.2">
      <c r="A7490" s="1">
        <v>42674</v>
      </c>
      <c r="B7490">
        <v>2</v>
      </c>
      <c r="C7490" t="s">
        <v>16</v>
      </c>
      <c r="D7490">
        <v>-5.6700000000000001E-4</v>
      </c>
      <c r="E7490">
        <f t="shared" si="232"/>
        <v>0.99943300000000002</v>
      </c>
      <c r="F7490" s="1">
        <f t="shared" si="233"/>
        <v>42674</v>
      </c>
      <c r="G7490" cm="1">
        <f t="array" ref="G7490">PRODUCT( _xlfn._xlws.FILTER($E:$E, ($C:$C=C7490)*($F:$F=F7490)) ) - 1</f>
        <v>3.6112208361177123E-2</v>
      </c>
    </row>
    <row r="7491" spans="1:7" x14ac:dyDescent="0.2">
      <c r="A7491" s="1">
        <v>42675</v>
      </c>
      <c r="B7491">
        <v>2</v>
      </c>
      <c r="C7491" t="s">
        <v>16</v>
      </c>
      <c r="D7491">
        <v>3.9537999999999997E-2</v>
      </c>
      <c r="E7491">
        <f t="shared" si="232"/>
        <v>1.0395380000000001</v>
      </c>
      <c r="F7491" s="1">
        <f t="shared" si="233"/>
        <v>42674</v>
      </c>
      <c r="G7491" cm="1">
        <f t="array" ref="G7491">PRODUCT( _xlfn._xlws.FILTER($E:$E, ($C:$C=C7491)*($F:$F=F7491)) ) - 1</f>
        <v>3.6112208361177123E-2</v>
      </c>
    </row>
    <row r="7492" spans="1:7" x14ac:dyDescent="0.2">
      <c r="A7492" s="1">
        <v>42676</v>
      </c>
      <c r="B7492">
        <v>2</v>
      </c>
      <c r="C7492" t="s">
        <v>16</v>
      </c>
      <c r="D7492">
        <v>-9.1E-4</v>
      </c>
      <c r="E7492">
        <f t="shared" ref="E7492:E7532" si="234">D7492+1</f>
        <v>0.99909000000000003</v>
      </c>
      <c r="F7492" s="1">
        <f t="shared" ref="F7492:F7532" si="235">A7492 - (WEEKDAY(A7492, 2) - 1)</f>
        <v>42674</v>
      </c>
      <c r="G7492" cm="1">
        <f t="array" ref="G7492">PRODUCT( _xlfn._xlws.FILTER($E:$E, ($C:$C=C7492)*($F:$F=F7492)) ) - 1</f>
        <v>3.6112208361177123E-2</v>
      </c>
    </row>
    <row r="7493" spans="1:7" x14ac:dyDescent="0.2">
      <c r="A7493" s="1">
        <v>42677</v>
      </c>
      <c r="B7493">
        <v>2</v>
      </c>
      <c r="C7493" t="s">
        <v>16</v>
      </c>
      <c r="D7493">
        <v>-1.639E-3</v>
      </c>
      <c r="E7493">
        <f t="shared" si="234"/>
        <v>0.99836100000000005</v>
      </c>
      <c r="F7493" s="1">
        <f t="shared" si="235"/>
        <v>42674</v>
      </c>
      <c r="G7493" cm="1">
        <f t="array" ref="G7493">PRODUCT( _xlfn._xlws.FILTER($E:$E, ($C:$C=C7493)*($F:$F=F7493)) ) - 1</f>
        <v>3.6112208361177123E-2</v>
      </c>
    </row>
    <row r="7494" spans="1:7" x14ac:dyDescent="0.2">
      <c r="A7494" s="1">
        <v>42678</v>
      </c>
      <c r="B7494">
        <v>2</v>
      </c>
      <c r="C7494" t="s">
        <v>16</v>
      </c>
      <c r="D7494">
        <v>-1.83E-4</v>
      </c>
      <c r="E7494">
        <f t="shared" si="234"/>
        <v>0.99981699999999996</v>
      </c>
      <c r="F7494" s="1">
        <f t="shared" si="235"/>
        <v>42674</v>
      </c>
      <c r="G7494" cm="1">
        <f t="array" ref="G7494">PRODUCT( _xlfn._xlws.FILTER($E:$E, ($C:$C=C7494)*($F:$F=F7494)) ) - 1</f>
        <v>3.6112208361177123E-2</v>
      </c>
    </row>
    <row r="7495" spans="1:7" x14ac:dyDescent="0.2">
      <c r="A7495" s="1">
        <v>42681</v>
      </c>
      <c r="B7495">
        <v>2</v>
      </c>
      <c r="C7495" t="s">
        <v>16</v>
      </c>
      <c r="D7495">
        <v>1.1679E-2</v>
      </c>
      <c r="E7495">
        <f t="shared" si="234"/>
        <v>1.011679</v>
      </c>
      <c r="F7495" s="1">
        <f t="shared" si="235"/>
        <v>42681</v>
      </c>
      <c r="G7495" cm="1">
        <f t="array" ref="G7495">PRODUCT( _xlfn._xlws.FILTER($E:$E, ($C:$C=C7495)*($F:$F=F7495)) ) - 1</f>
        <v>2.4635467518449694E-2</v>
      </c>
    </row>
    <row r="7496" spans="1:7" x14ac:dyDescent="0.2">
      <c r="A7496" s="1">
        <v>42682</v>
      </c>
      <c r="B7496">
        <v>2</v>
      </c>
      <c r="C7496" t="s">
        <v>16</v>
      </c>
      <c r="D7496">
        <v>-1.804E-3</v>
      </c>
      <c r="E7496">
        <f t="shared" si="234"/>
        <v>0.99819599999999997</v>
      </c>
      <c r="F7496" s="1">
        <f t="shared" si="235"/>
        <v>42681</v>
      </c>
      <c r="G7496" cm="1">
        <f t="array" ref="G7496">PRODUCT( _xlfn._xlws.FILTER($E:$E, ($C:$C=C7496)*($F:$F=F7496)) ) - 1</f>
        <v>2.4635467518449694E-2</v>
      </c>
    </row>
    <row r="7497" spans="1:7" x14ac:dyDescent="0.2">
      <c r="A7497" s="1">
        <v>42683</v>
      </c>
      <c r="B7497">
        <v>2</v>
      </c>
      <c r="C7497" t="s">
        <v>16</v>
      </c>
      <c r="D7497">
        <v>9.7579999999999993E-3</v>
      </c>
      <c r="E7497">
        <f t="shared" si="234"/>
        <v>1.0097579999999999</v>
      </c>
      <c r="F7497" s="1">
        <f t="shared" si="235"/>
        <v>42681</v>
      </c>
      <c r="G7497" cm="1">
        <f t="array" ref="G7497">PRODUCT( _xlfn._xlws.FILTER($E:$E, ($C:$C=C7497)*($F:$F=F7497)) ) - 1</f>
        <v>2.4635467518449694E-2</v>
      </c>
    </row>
    <row r="7498" spans="1:7" x14ac:dyDescent="0.2">
      <c r="A7498" s="1">
        <v>42684</v>
      </c>
      <c r="B7498">
        <v>2</v>
      </c>
      <c r="C7498" t="s">
        <v>16</v>
      </c>
      <c r="D7498">
        <v>8.4110000000000001E-3</v>
      </c>
      <c r="E7498">
        <f t="shared" si="234"/>
        <v>1.0084109999999999</v>
      </c>
      <c r="F7498" s="1">
        <f t="shared" si="235"/>
        <v>42681</v>
      </c>
      <c r="G7498" cm="1">
        <f t="array" ref="G7498">PRODUCT( _xlfn._xlws.FILTER($E:$E, ($C:$C=C7498)*($F:$F=F7498)) ) - 1</f>
        <v>2.4635467518449694E-2</v>
      </c>
    </row>
    <row r="7499" spans="1:7" x14ac:dyDescent="0.2">
      <c r="A7499" s="1">
        <v>42685</v>
      </c>
      <c r="B7499">
        <v>2</v>
      </c>
      <c r="C7499" t="s">
        <v>16</v>
      </c>
      <c r="D7499">
        <v>-3.5490000000000001E-3</v>
      </c>
      <c r="E7499">
        <f t="shared" si="234"/>
        <v>0.99645099999999998</v>
      </c>
      <c r="F7499" s="1">
        <f t="shared" si="235"/>
        <v>42681</v>
      </c>
      <c r="G7499" cm="1">
        <f t="array" ref="G7499">PRODUCT( _xlfn._xlws.FILTER($E:$E, ($C:$C=C7499)*($F:$F=F7499)) ) - 1</f>
        <v>2.4635467518449694E-2</v>
      </c>
    </row>
    <row r="7500" spans="1:7" x14ac:dyDescent="0.2">
      <c r="A7500" s="1">
        <v>42688</v>
      </c>
      <c r="B7500">
        <v>2</v>
      </c>
      <c r="C7500" t="s">
        <v>16</v>
      </c>
      <c r="D7500">
        <v>3.3839999999999999E-3</v>
      </c>
      <c r="E7500">
        <f t="shared" si="234"/>
        <v>1.0033840000000001</v>
      </c>
      <c r="F7500" s="1">
        <f t="shared" si="235"/>
        <v>42688</v>
      </c>
      <c r="G7500" cm="1">
        <f t="array" ref="G7500">PRODUCT( _xlfn._xlws.FILTER($E:$E, ($C:$C=C7500)*($F:$F=F7500)) ) - 1</f>
        <v>2.2910502952579126E-2</v>
      </c>
    </row>
    <row r="7501" spans="1:7" x14ac:dyDescent="0.2">
      <c r="A7501" s="1">
        <v>42689</v>
      </c>
      <c r="B7501">
        <v>2</v>
      </c>
      <c r="C7501" t="s">
        <v>16</v>
      </c>
      <c r="D7501">
        <v>-5.8200000000000005E-4</v>
      </c>
      <c r="E7501">
        <f t="shared" si="234"/>
        <v>0.99941800000000003</v>
      </c>
      <c r="F7501" s="1">
        <f t="shared" si="235"/>
        <v>42688</v>
      </c>
      <c r="G7501" cm="1">
        <f t="array" ref="G7501">PRODUCT( _xlfn._xlws.FILTER($E:$E, ($C:$C=C7501)*($F:$F=F7501)) ) - 1</f>
        <v>2.2910502952579126E-2</v>
      </c>
    </row>
    <row r="7502" spans="1:7" x14ac:dyDescent="0.2">
      <c r="A7502" s="1">
        <v>42690</v>
      </c>
      <c r="B7502">
        <v>2</v>
      </c>
      <c r="C7502" t="s">
        <v>16</v>
      </c>
      <c r="D7502">
        <v>1.97E-3</v>
      </c>
      <c r="E7502">
        <f t="shared" si="234"/>
        <v>1.00197</v>
      </c>
      <c r="F7502" s="1">
        <f t="shared" si="235"/>
        <v>42688</v>
      </c>
      <c r="G7502" cm="1">
        <f t="array" ref="G7502">PRODUCT( _xlfn._xlws.FILTER($E:$E, ($C:$C=C7502)*($F:$F=F7502)) ) - 1</f>
        <v>2.2910502952579126E-2</v>
      </c>
    </row>
    <row r="7503" spans="1:7" x14ac:dyDescent="0.2">
      <c r="A7503" s="1">
        <v>42691</v>
      </c>
      <c r="B7503">
        <v>2</v>
      </c>
      <c r="C7503" t="s">
        <v>16</v>
      </c>
      <c r="D7503">
        <v>1.1436999999999999E-2</v>
      </c>
      <c r="E7503">
        <f t="shared" si="234"/>
        <v>1.0114369999999999</v>
      </c>
      <c r="F7503" s="1">
        <f t="shared" si="235"/>
        <v>42688</v>
      </c>
      <c r="G7503" cm="1">
        <f t="array" ref="G7503">PRODUCT( _xlfn._xlws.FILTER($E:$E, ($C:$C=C7503)*($F:$F=F7503)) ) - 1</f>
        <v>2.2910502952579126E-2</v>
      </c>
    </row>
    <row r="7504" spans="1:7" x14ac:dyDescent="0.2">
      <c r="A7504" s="1">
        <v>42692</v>
      </c>
      <c r="B7504">
        <v>2</v>
      </c>
      <c r="C7504" t="s">
        <v>16</v>
      </c>
      <c r="D7504">
        <v>6.5370000000000003E-3</v>
      </c>
      <c r="E7504">
        <f t="shared" si="234"/>
        <v>1.006537</v>
      </c>
      <c r="F7504" s="1">
        <f t="shared" si="235"/>
        <v>42688</v>
      </c>
      <c r="G7504" cm="1">
        <f t="array" ref="G7504">PRODUCT( _xlfn._xlws.FILTER($E:$E, ($C:$C=C7504)*($F:$F=F7504)) ) - 1</f>
        <v>2.2910502952579126E-2</v>
      </c>
    </row>
    <row r="7505" spans="1:7" x14ac:dyDescent="0.2">
      <c r="A7505" s="1">
        <v>42695</v>
      </c>
      <c r="B7505">
        <v>2</v>
      </c>
      <c r="C7505" t="s">
        <v>16</v>
      </c>
      <c r="D7505">
        <v>-2.1059999999999998E-3</v>
      </c>
      <c r="E7505">
        <f t="shared" si="234"/>
        <v>0.99789399999999995</v>
      </c>
      <c r="F7505" s="1">
        <f t="shared" si="235"/>
        <v>42695</v>
      </c>
      <c r="G7505" cm="1">
        <f t="array" ref="G7505">PRODUCT( _xlfn._xlws.FILTER($E:$E, ($C:$C=C7505)*($F:$F=F7505)) ) - 1</f>
        <v>1.8957764024270629E-2</v>
      </c>
    </row>
    <row r="7506" spans="1:7" x14ac:dyDescent="0.2">
      <c r="A7506" s="1">
        <v>42696</v>
      </c>
      <c r="B7506">
        <v>2</v>
      </c>
      <c r="C7506" t="s">
        <v>16</v>
      </c>
      <c r="D7506">
        <v>8.6189999999999999E-3</v>
      </c>
      <c r="E7506">
        <f t="shared" si="234"/>
        <v>1.0086189999999999</v>
      </c>
      <c r="F7506" s="1">
        <f t="shared" si="235"/>
        <v>42695</v>
      </c>
      <c r="G7506" cm="1">
        <f t="array" ref="G7506">PRODUCT( _xlfn._xlws.FILTER($E:$E, ($C:$C=C7506)*($F:$F=F7506)) ) - 1</f>
        <v>1.8957764024270629E-2</v>
      </c>
    </row>
    <row r="7507" spans="1:7" x14ac:dyDescent="0.2">
      <c r="A7507" s="1">
        <v>42697</v>
      </c>
      <c r="B7507">
        <v>2</v>
      </c>
      <c r="C7507" t="s">
        <v>16</v>
      </c>
      <c r="D7507">
        <v>1.7440000000000001E-3</v>
      </c>
      <c r="E7507">
        <f t="shared" si="234"/>
        <v>1.001744</v>
      </c>
      <c r="F7507" s="1">
        <f t="shared" si="235"/>
        <v>42695</v>
      </c>
      <c r="G7507" cm="1">
        <f t="array" ref="G7507">PRODUCT( _xlfn._xlws.FILTER($E:$E, ($C:$C=C7507)*($F:$F=F7507)) ) - 1</f>
        <v>1.8957764024270629E-2</v>
      </c>
    </row>
    <row r="7508" spans="1:7" x14ac:dyDescent="0.2">
      <c r="A7508" s="1">
        <v>42698</v>
      </c>
      <c r="B7508">
        <v>2</v>
      </c>
      <c r="C7508" t="s">
        <v>16</v>
      </c>
      <c r="D7508">
        <v>5.5710000000000004E-3</v>
      </c>
      <c r="E7508">
        <f t="shared" si="234"/>
        <v>1.005571</v>
      </c>
      <c r="F7508" s="1">
        <f t="shared" si="235"/>
        <v>42695</v>
      </c>
      <c r="G7508" cm="1">
        <f t="array" ref="G7508">PRODUCT( _xlfn._xlws.FILTER($E:$E, ($C:$C=C7508)*($F:$F=F7508)) ) - 1</f>
        <v>1.8957764024270629E-2</v>
      </c>
    </row>
    <row r="7509" spans="1:7" x14ac:dyDescent="0.2">
      <c r="A7509" s="1">
        <v>42699</v>
      </c>
      <c r="B7509">
        <v>2</v>
      </c>
      <c r="C7509" t="s">
        <v>16</v>
      </c>
      <c r="D7509">
        <v>5.0210000000000003E-3</v>
      </c>
      <c r="E7509">
        <f t="shared" si="234"/>
        <v>1.0050209999999999</v>
      </c>
      <c r="F7509" s="1">
        <f t="shared" si="235"/>
        <v>42695</v>
      </c>
      <c r="G7509" cm="1">
        <f t="array" ref="G7509">PRODUCT( _xlfn._xlws.FILTER($E:$E, ($C:$C=C7509)*($F:$F=F7509)) ) - 1</f>
        <v>1.8957764024270629E-2</v>
      </c>
    </row>
    <row r="7510" spans="1:7" x14ac:dyDescent="0.2">
      <c r="A7510" s="1">
        <v>42702</v>
      </c>
      <c r="B7510">
        <v>2</v>
      </c>
      <c r="C7510" t="s">
        <v>16</v>
      </c>
      <c r="D7510">
        <v>-1.7229999999999999E-3</v>
      </c>
      <c r="E7510">
        <f t="shared" si="234"/>
        <v>0.99827699999999997</v>
      </c>
      <c r="F7510" s="1">
        <f t="shared" si="235"/>
        <v>42702</v>
      </c>
      <c r="G7510" cm="1">
        <f t="array" ref="G7510">PRODUCT( _xlfn._xlws.FILTER($E:$E, ($C:$C=C7510)*($F:$F=F7510)) ) - 1</f>
        <v>-8.9576429621506248E-3</v>
      </c>
    </row>
    <row r="7511" spans="1:7" x14ac:dyDescent="0.2">
      <c r="A7511" s="1">
        <v>42703</v>
      </c>
      <c r="B7511">
        <v>2</v>
      </c>
      <c r="C7511" t="s">
        <v>16</v>
      </c>
      <c r="D7511">
        <v>5.3489999999999996E-3</v>
      </c>
      <c r="E7511">
        <f t="shared" si="234"/>
        <v>1.005349</v>
      </c>
      <c r="F7511" s="1">
        <f t="shared" si="235"/>
        <v>42702</v>
      </c>
      <c r="G7511" cm="1">
        <f t="array" ref="G7511">PRODUCT( _xlfn._xlws.FILTER($E:$E, ($C:$C=C7511)*($F:$F=F7511)) ) - 1</f>
        <v>-8.9576429621506248E-3</v>
      </c>
    </row>
    <row r="7512" spans="1:7" x14ac:dyDescent="0.2">
      <c r="A7512" s="1">
        <v>42704</v>
      </c>
      <c r="B7512">
        <v>2</v>
      </c>
      <c r="C7512" t="s">
        <v>16</v>
      </c>
      <c r="D7512">
        <v>-4.1190000000000003E-3</v>
      </c>
      <c r="E7512">
        <f t="shared" si="234"/>
        <v>0.99588100000000002</v>
      </c>
      <c r="F7512" s="1">
        <f t="shared" si="235"/>
        <v>42702</v>
      </c>
      <c r="G7512" cm="1">
        <f t="array" ref="G7512">PRODUCT( _xlfn._xlws.FILTER($E:$E, ($C:$C=C7512)*($F:$F=F7512)) ) - 1</f>
        <v>-8.9576429621506248E-3</v>
      </c>
    </row>
    <row r="7513" spans="1:7" x14ac:dyDescent="0.2">
      <c r="A7513" s="1">
        <v>42705</v>
      </c>
      <c r="B7513">
        <v>2</v>
      </c>
      <c r="C7513" t="s">
        <v>16</v>
      </c>
      <c r="D7513">
        <v>-9.4789999999999996E-3</v>
      </c>
      <c r="E7513">
        <f t="shared" si="234"/>
        <v>0.99052099999999998</v>
      </c>
      <c r="F7513" s="1">
        <f t="shared" si="235"/>
        <v>42702</v>
      </c>
      <c r="G7513" cm="1">
        <f t="array" ref="G7513">PRODUCT( _xlfn._xlws.FILTER($E:$E, ($C:$C=C7513)*($F:$F=F7513)) ) - 1</f>
        <v>-8.9576429621506248E-3</v>
      </c>
    </row>
    <row r="7514" spans="1:7" x14ac:dyDescent="0.2">
      <c r="A7514" s="1">
        <v>42706</v>
      </c>
      <c r="B7514">
        <v>2</v>
      </c>
      <c r="C7514" t="s">
        <v>16</v>
      </c>
      <c r="D7514">
        <v>1.044E-3</v>
      </c>
      <c r="E7514">
        <f t="shared" si="234"/>
        <v>1.001044</v>
      </c>
      <c r="F7514" s="1">
        <f t="shared" si="235"/>
        <v>42702</v>
      </c>
      <c r="G7514" cm="1">
        <f t="array" ref="G7514">PRODUCT( _xlfn._xlws.FILTER($E:$E, ($C:$C=C7514)*($F:$F=F7514)) ) - 1</f>
        <v>-8.9576429621506248E-3</v>
      </c>
    </row>
    <row r="7515" spans="1:7" x14ac:dyDescent="0.2">
      <c r="A7515" s="1">
        <v>42709</v>
      </c>
      <c r="B7515">
        <v>2</v>
      </c>
      <c r="C7515" t="s">
        <v>16</v>
      </c>
      <c r="D7515">
        <v>1.74E-4</v>
      </c>
      <c r="E7515">
        <f t="shared" si="234"/>
        <v>1.0001739999999999</v>
      </c>
      <c r="F7515" s="1">
        <f t="shared" si="235"/>
        <v>42709</v>
      </c>
      <c r="G7515" cm="1">
        <f t="array" ref="G7515">PRODUCT( _xlfn._xlws.FILTER($E:$E, ($C:$C=C7515)*($F:$F=F7515)) ) - 1</f>
        <v>2.5552117273282215E-2</v>
      </c>
    </row>
    <row r="7516" spans="1:7" x14ac:dyDescent="0.2">
      <c r="A7516" s="1">
        <v>42710</v>
      </c>
      <c r="B7516">
        <v>2</v>
      </c>
      <c r="C7516" t="s">
        <v>16</v>
      </c>
      <c r="D7516">
        <v>1.74E-4</v>
      </c>
      <c r="E7516">
        <f t="shared" si="234"/>
        <v>1.0001739999999999</v>
      </c>
      <c r="F7516" s="1">
        <f t="shared" si="235"/>
        <v>42709</v>
      </c>
      <c r="G7516" cm="1">
        <f t="array" ref="G7516">PRODUCT( _xlfn._xlws.FILTER($E:$E, ($C:$C=C7516)*($F:$F=F7516)) ) - 1</f>
        <v>2.5552117273282215E-2</v>
      </c>
    </row>
    <row r="7517" spans="1:7" x14ac:dyDescent="0.2">
      <c r="A7517" s="1">
        <v>42711</v>
      </c>
      <c r="B7517">
        <v>2</v>
      </c>
      <c r="C7517" t="s">
        <v>16</v>
      </c>
      <c r="D7517">
        <v>1.4422000000000001E-2</v>
      </c>
      <c r="E7517">
        <f t="shared" si="234"/>
        <v>1.0144219999999999</v>
      </c>
      <c r="F7517" s="1">
        <f t="shared" si="235"/>
        <v>42709</v>
      </c>
      <c r="G7517" cm="1">
        <f t="array" ref="G7517">PRODUCT( _xlfn._xlws.FILTER($E:$E, ($C:$C=C7517)*($F:$F=F7517)) ) - 1</f>
        <v>2.5552117273282215E-2</v>
      </c>
    </row>
    <row r="7518" spans="1:7" x14ac:dyDescent="0.2">
      <c r="A7518" s="1">
        <v>42712</v>
      </c>
      <c r="B7518">
        <v>2</v>
      </c>
      <c r="C7518" t="s">
        <v>16</v>
      </c>
      <c r="D7518">
        <v>-1.7100000000000001E-4</v>
      </c>
      <c r="E7518">
        <f t="shared" si="234"/>
        <v>0.99982899999999997</v>
      </c>
      <c r="F7518" s="1">
        <f t="shared" si="235"/>
        <v>42709</v>
      </c>
      <c r="G7518" cm="1">
        <f t="array" ref="G7518">PRODUCT( _xlfn._xlws.FILTER($E:$E, ($C:$C=C7518)*($F:$F=F7518)) ) - 1</f>
        <v>2.5552117273282215E-2</v>
      </c>
    </row>
    <row r="7519" spans="1:7" x14ac:dyDescent="0.2">
      <c r="A7519" s="1">
        <v>42713</v>
      </c>
      <c r="B7519">
        <v>2</v>
      </c>
      <c r="C7519" t="s">
        <v>16</v>
      </c>
      <c r="D7519">
        <v>1.0793000000000001E-2</v>
      </c>
      <c r="E7519">
        <f t="shared" si="234"/>
        <v>1.0107930000000001</v>
      </c>
      <c r="F7519" s="1">
        <f t="shared" si="235"/>
        <v>42709</v>
      </c>
      <c r="G7519" cm="1">
        <f t="array" ref="G7519">PRODUCT( _xlfn._xlws.FILTER($E:$E, ($C:$C=C7519)*($F:$F=F7519)) ) - 1</f>
        <v>2.5552117273282215E-2</v>
      </c>
    </row>
    <row r="7520" spans="1:7" x14ac:dyDescent="0.2">
      <c r="A7520" s="1">
        <v>42716</v>
      </c>
      <c r="B7520">
        <v>2</v>
      </c>
      <c r="C7520" t="s">
        <v>16</v>
      </c>
      <c r="D7520">
        <v>-6.78E-4</v>
      </c>
      <c r="E7520">
        <f t="shared" si="234"/>
        <v>0.99932200000000004</v>
      </c>
      <c r="F7520" s="1">
        <f t="shared" si="235"/>
        <v>42716</v>
      </c>
      <c r="G7520" cm="1">
        <f t="array" ref="G7520">PRODUCT( _xlfn._xlws.FILTER($E:$E, ($C:$C=C7520)*($F:$F=F7520)) ) - 1</f>
        <v>2.8810085731199031E-3</v>
      </c>
    </row>
    <row r="7521" spans="1:7" x14ac:dyDescent="0.2">
      <c r="A7521" s="1">
        <v>42717</v>
      </c>
      <c r="B7521">
        <v>2</v>
      </c>
      <c r="C7521" t="s">
        <v>16</v>
      </c>
      <c r="D7521">
        <v>1.0345999999999999E-2</v>
      </c>
      <c r="E7521">
        <f t="shared" si="234"/>
        <v>1.010346</v>
      </c>
      <c r="F7521" s="1">
        <f t="shared" si="235"/>
        <v>42716</v>
      </c>
      <c r="G7521" cm="1">
        <f t="array" ref="G7521">PRODUCT( _xlfn._xlws.FILTER($E:$E, ($C:$C=C7521)*($F:$F=F7521)) ) - 1</f>
        <v>2.8810085731199031E-3</v>
      </c>
    </row>
    <row r="7522" spans="1:7" x14ac:dyDescent="0.2">
      <c r="A7522" s="1">
        <v>42718</v>
      </c>
      <c r="B7522">
        <v>2</v>
      </c>
      <c r="C7522" t="s">
        <v>16</v>
      </c>
      <c r="D7522">
        <v>-3.3599999999999998E-4</v>
      </c>
      <c r="E7522">
        <f t="shared" si="234"/>
        <v>0.999664</v>
      </c>
      <c r="F7522" s="1">
        <f t="shared" si="235"/>
        <v>42716</v>
      </c>
      <c r="G7522" cm="1">
        <f t="array" ref="G7522">PRODUCT( _xlfn._xlws.FILTER($E:$E, ($C:$C=C7522)*($F:$F=F7522)) ) - 1</f>
        <v>2.8810085731199031E-3</v>
      </c>
    </row>
    <row r="7523" spans="1:7" x14ac:dyDescent="0.2">
      <c r="A7523" s="1">
        <v>42719</v>
      </c>
      <c r="B7523">
        <v>2</v>
      </c>
      <c r="C7523" t="s">
        <v>16</v>
      </c>
      <c r="D7523">
        <v>-2.519E-3</v>
      </c>
      <c r="E7523">
        <f t="shared" si="234"/>
        <v>0.99748099999999995</v>
      </c>
      <c r="F7523" s="1">
        <f t="shared" si="235"/>
        <v>42716</v>
      </c>
      <c r="G7523" cm="1">
        <f t="array" ref="G7523">PRODUCT( _xlfn._xlws.FILTER($E:$E, ($C:$C=C7523)*($F:$F=F7523)) ) - 1</f>
        <v>2.8810085731199031E-3</v>
      </c>
    </row>
    <row r="7524" spans="1:7" x14ac:dyDescent="0.2">
      <c r="A7524" s="1">
        <v>42720</v>
      </c>
      <c r="B7524">
        <v>2</v>
      </c>
      <c r="C7524" t="s">
        <v>16</v>
      </c>
      <c r="D7524">
        <v>-3.872E-3</v>
      </c>
      <c r="E7524">
        <f t="shared" si="234"/>
        <v>0.99612800000000001</v>
      </c>
      <c r="F7524" s="1">
        <f t="shared" si="235"/>
        <v>42716</v>
      </c>
      <c r="G7524" cm="1">
        <f t="array" ref="G7524">PRODUCT( _xlfn._xlws.FILTER($E:$E, ($C:$C=C7524)*($F:$F=F7524)) ) - 1</f>
        <v>2.8810085731199031E-3</v>
      </c>
    </row>
    <row r="7525" spans="1:7" x14ac:dyDescent="0.2">
      <c r="A7525" s="1">
        <v>42723</v>
      </c>
      <c r="B7525">
        <v>2</v>
      </c>
      <c r="C7525" t="s">
        <v>16</v>
      </c>
      <c r="D7525">
        <v>1.183E-3</v>
      </c>
      <c r="E7525">
        <f t="shared" si="234"/>
        <v>1.0011829999999999</v>
      </c>
      <c r="F7525" s="1">
        <f t="shared" si="235"/>
        <v>42723</v>
      </c>
      <c r="G7525" cm="1">
        <f t="array" ref="G7525">PRODUCT( _xlfn._xlws.FILTER($E:$E, ($C:$C=C7525)*($F:$F=F7525)) ) - 1</f>
        <v>4.7320653891078646E-3</v>
      </c>
    </row>
    <row r="7526" spans="1:7" x14ac:dyDescent="0.2">
      <c r="A7526" s="1">
        <v>42724</v>
      </c>
      <c r="B7526">
        <v>2</v>
      </c>
      <c r="C7526" t="s">
        <v>16</v>
      </c>
      <c r="D7526">
        <v>5.0600000000000005E-4</v>
      </c>
      <c r="E7526">
        <f t="shared" si="234"/>
        <v>1.0005059999999999</v>
      </c>
      <c r="F7526" s="1">
        <f t="shared" si="235"/>
        <v>42723</v>
      </c>
      <c r="G7526" cm="1">
        <f t="array" ref="G7526">PRODUCT( _xlfn._xlws.FILTER($E:$E, ($C:$C=C7526)*($F:$F=F7526)) ) - 1</f>
        <v>4.7320653891078646E-3</v>
      </c>
    </row>
    <row r="7527" spans="1:7" x14ac:dyDescent="0.2">
      <c r="A7527" s="1">
        <v>42725</v>
      </c>
      <c r="B7527">
        <v>2</v>
      </c>
      <c r="C7527" t="s">
        <v>16</v>
      </c>
      <c r="D7527">
        <v>2.5309999999999998E-3</v>
      </c>
      <c r="E7527">
        <f t="shared" si="234"/>
        <v>1.0025310000000001</v>
      </c>
      <c r="F7527" s="1">
        <f t="shared" si="235"/>
        <v>42723</v>
      </c>
      <c r="G7527" cm="1">
        <f t="array" ref="G7527">PRODUCT( _xlfn._xlws.FILTER($E:$E, ($C:$C=C7527)*($F:$F=F7527)) ) - 1</f>
        <v>4.7320653891078646E-3</v>
      </c>
    </row>
    <row r="7528" spans="1:7" x14ac:dyDescent="0.2">
      <c r="A7528" s="1">
        <v>42726</v>
      </c>
      <c r="B7528">
        <v>2</v>
      </c>
      <c r="C7528" t="s">
        <v>16</v>
      </c>
      <c r="D7528">
        <v>1.6799999999999999E-4</v>
      </c>
      <c r="E7528">
        <f t="shared" si="234"/>
        <v>1.0001679999999999</v>
      </c>
      <c r="F7528" s="1">
        <f t="shared" si="235"/>
        <v>42723</v>
      </c>
      <c r="G7528" cm="1">
        <f t="array" ref="G7528">PRODUCT( _xlfn._xlws.FILTER($E:$E, ($C:$C=C7528)*($F:$F=F7528)) ) - 1</f>
        <v>4.7320653891078646E-3</v>
      </c>
    </row>
    <row r="7529" spans="1:7" x14ac:dyDescent="0.2">
      <c r="A7529" s="1">
        <v>42727</v>
      </c>
      <c r="B7529">
        <v>2</v>
      </c>
      <c r="C7529" t="s">
        <v>16</v>
      </c>
      <c r="D7529">
        <v>3.3700000000000001E-4</v>
      </c>
      <c r="E7529">
        <f t="shared" si="234"/>
        <v>1.000337</v>
      </c>
      <c r="F7529" s="1">
        <f t="shared" si="235"/>
        <v>42723</v>
      </c>
      <c r="G7529" cm="1">
        <f t="array" ref="G7529">PRODUCT( _xlfn._xlws.FILTER($E:$E, ($C:$C=C7529)*($F:$F=F7529)) ) - 1</f>
        <v>4.7320653891078646E-3</v>
      </c>
    </row>
    <row r="7530" spans="1:7" x14ac:dyDescent="0.2">
      <c r="A7530" s="1">
        <v>42732</v>
      </c>
      <c r="B7530">
        <v>2</v>
      </c>
      <c r="C7530" t="s">
        <v>16</v>
      </c>
      <c r="D7530">
        <v>-2.8600000000000001E-3</v>
      </c>
      <c r="E7530">
        <f t="shared" si="234"/>
        <v>0.99714000000000003</v>
      </c>
      <c r="F7530" s="1">
        <f t="shared" si="235"/>
        <v>42730</v>
      </c>
      <c r="G7530" cm="1">
        <f t="array" ref="G7530">PRODUCT( _xlfn._xlws.FILTER($E:$E, ($C:$C=C7530)*($F:$F=F7530)) ) - 1</f>
        <v>-1.1607050467077773E-2</v>
      </c>
    </row>
    <row r="7531" spans="1:7" x14ac:dyDescent="0.2">
      <c r="A7531" s="1">
        <v>42733</v>
      </c>
      <c r="B7531">
        <v>2</v>
      </c>
      <c r="C7531" t="s">
        <v>16</v>
      </c>
      <c r="D7531">
        <v>-1.0120000000000001E-3</v>
      </c>
      <c r="E7531">
        <f t="shared" si="234"/>
        <v>0.99898799999999999</v>
      </c>
      <c r="F7531" s="1">
        <f t="shared" si="235"/>
        <v>42730</v>
      </c>
      <c r="G7531" cm="1">
        <f t="array" ref="G7531">PRODUCT( _xlfn._xlws.FILTER($E:$E, ($C:$C=C7531)*($F:$F=F7531)) ) - 1</f>
        <v>-1.1607050467077773E-2</v>
      </c>
    </row>
    <row r="7532" spans="1:7" x14ac:dyDescent="0.2">
      <c r="A7532" s="1">
        <v>42734</v>
      </c>
      <c r="B7532">
        <v>2</v>
      </c>
      <c r="C7532" t="s">
        <v>16</v>
      </c>
      <c r="D7532">
        <v>-7.7679999999999997E-3</v>
      </c>
      <c r="E7532">
        <f t="shared" si="234"/>
        <v>0.992232</v>
      </c>
      <c r="F7532" s="1">
        <f t="shared" si="235"/>
        <v>42730</v>
      </c>
      <c r="G7532" cm="1">
        <f t="array" ref="G7532">PRODUCT( _xlfn._xlws.FILTER($E:$E, ($C:$C=C7532)*($F:$F=F7532)) ) - 1</f>
        <v>-1.1607050467077773E-2</v>
      </c>
    </row>
  </sheetData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Ellie Clarke</cp:lastModifiedBy>
  <cp:revision/>
  <dcterms:created xsi:type="dcterms:W3CDTF">2025-11-11T01:08:21Z</dcterms:created>
  <dcterms:modified xsi:type="dcterms:W3CDTF">2025-11-27T21:21:12Z</dcterms:modified>
  <cp:category/>
  <cp:contentStatus/>
</cp:coreProperties>
</file>